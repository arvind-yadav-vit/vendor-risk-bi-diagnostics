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KPIs" sheetId="1" state="visible" r:id="rId3"/>
    <sheet name="README" sheetId="2" state="visible" r:id="rId4"/>
    <sheet name="Vendors" sheetId="3" state="visible" r:id="rId5"/>
    <sheet name="PurchaseOrders" sheetId="4" state="visible" r:id="rId6"/>
    <sheet name="QualityInspections" sheetId="5" state="visible" r:id="rId7"/>
    <sheet name="ShipmentTracking" sheetId="6" state="visible" r:id="rId8"/>
    <sheet name="DataQualityChecks" sheetId="7" state="visible" r:id="rId9"/>
    <sheet name="VendorMetrics" sheetId="8" state="visible" r:id="rId10"/>
  </sheets>
  <definedNames>
    <definedName function="false" hidden="true" localSheetId="3" name="_xlnm._FilterDatabase" vbProcedure="false">PurchaseOrders!$A$1:$N$3001</definedName>
    <definedName function="false" hidden="true" localSheetId="4" name="_xlnm._FilterDatabase" vbProcedure="false">QualityInspections!$A$1:$G$3001</definedName>
    <definedName function="false" hidden="true" localSheetId="5" name="_xlnm._FilterDatabase" vbProcedure="false">ShipmentTracking!$A$1:$F$3001</definedName>
    <definedName function="false" hidden="true" localSheetId="7" name="_xlnm._FilterDatabase" vbProcedure="false">VendorMetrics!$A$1:$X$61</definedName>
    <definedName function="false" hidden="true" localSheetId="2" name="_xlnm._FilterDatabase" vbProcedure="false">Vendors!$A$1:$F$61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<sst xmlns="http://schemas.openxmlformats.org/spreadsheetml/2006/main" count="28985" uniqueCount="6254">
  <si>
    <t xml:space="preserve">Vendor Risk Management &amp; Supplier Performance Scorecard</t>
  </si>
  <si>
    <t xml:space="preserve">Executive KPI Summary -- Supply Chain / Procurement Risk Analytics</t>
  </si>
  <si>
    <t xml:space="preserve">Total Vendors</t>
  </si>
  <si>
    <t xml:space="preserve">Total Procurement Spend</t>
  </si>
  <si>
    <t xml:space="preserve">Spend at High Risk (Total Spend with High-tier vendors)</t>
  </si>
  <si>
    <t xml:space="preserve">% of Total Spend at High Risk</t>
  </si>
  <si>
    <t xml:space="preserve">High-Risk Vendor Count</t>
  </si>
  <si>
    <t xml:space="preserve">Strategic Vendors (high spend + high risk -- manage closely)</t>
  </si>
  <si>
    <t xml:space="preserve">Bottleneck Vendors (low spend but high risk -- secure alternatives)</t>
  </si>
  <si>
    <t xml:space="preserve">Leverage Vendors (high spend, low risk -- negotiate on price)</t>
  </si>
  <si>
    <t xml:space="preserve">Non-Critical Vendors (low spend, low risk -- simplify/automate)</t>
  </si>
  <si>
    <t xml:space="preserve">METHODOLOGY NOTE: Vendor segmentation uses a Kraljic Matrix approach -- Supply Risk axis = normalized RiskScore (median split), Business Impact axis = Total Spend (median split). See VendorMetrics sheet for full per-vendor detail.</t>
  </si>
  <si>
    <t xml:space="preserve">Enterprise Supply Chain Operational Risk &amp; Vendor Performance Diagnostics</t>
  </si>
  <si>
    <t xml:space="preserve">Synthetic dataset — 60 vendors, 3,000 purchase orders, 2023–2024. Built for portfolio/learning use.</t>
  </si>
  <si>
    <t xml:space="preserve">Vendors</t>
  </si>
  <si>
    <t xml:space="preserve">One row per vendor. Master list of who supplies what.</t>
  </si>
  <si>
    <t xml:space="preserve">Columns: VendorID (key), VendorName, Category, Country, OnboardedDate, ContractType</t>
  </si>
  <si>
    <t xml:space="preserve">PurchaseOrders</t>
  </si>
  <si>
    <t xml:space="preserve">One row per order placed with a vendor. This is the core fact table.</t>
  </si>
  <si>
    <t xml:space="preserve">Columns: PO_ID (key), VendorID (link to Vendors), OrderDate, PromisedDeliveryDate, ActualDeliveryDate, OrderedQty, DeliveredQty, ContractedUnitPrice, InvoicedUnitPrice</t>
  </si>
  <si>
    <t xml:space="preserve">QualityInspections</t>
  </si>
  <si>
    <t xml:space="preserve">One row per inspection carried out on a delivered order.</t>
  </si>
  <si>
    <t xml:space="preserve">Columns: InspectionID (key), PO_ID (link to PurchaseOrders), InspectedQty, DefectiveQty, InspectionDate, DefectReason</t>
  </si>
  <si>
    <t xml:space="preserve">ShipmentTracking</t>
  </si>
  <si>
    <t xml:space="preserve">One row per shipment leg for a purchase order.</t>
  </si>
  <si>
    <t xml:space="preserve">Columns: PO_ID (link to PurchaseOrders), ShippedDate, CarrierName, Origin, Destination, DelayReason</t>
  </si>
  <si>
    <t xml:space="preserve">VendorID</t>
  </si>
  <si>
    <t xml:space="preserve">VendorName</t>
  </si>
  <si>
    <t xml:space="preserve">Category</t>
  </si>
  <si>
    <t xml:space="preserve">Country</t>
  </si>
  <si>
    <t xml:space="preserve">OnboardedDate</t>
  </si>
  <si>
    <t xml:space="preserve">ContractType</t>
  </si>
  <si>
    <t xml:space="preserve">V001</t>
  </si>
  <si>
    <t xml:space="preserve">Everest Supplies</t>
  </si>
  <si>
    <t xml:space="preserve">Packaging</t>
  </si>
  <si>
    <t xml:space="preserve">USA</t>
  </si>
  <si>
    <t xml:space="preserve">Long-term</t>
  </si>
  <si>
    <t xml:space="preserve">V002</t>
  </si>
  <si>
    <t xml:space="preserve">Global Enterprises</t>
  </si>
  <si>
    <t xml:space="preserve">India</t>
  </si>
  <si>
    <t xml:space="preserve">Spot</t>
  </si>
  <si>
    <t xml:space="preserve">V003</t>
  </si>
  <si>
    <t xml:space="preserve">Vertex Logistics</t>
  </si>
  <si>
    <t xml:space="preserve">V004</t>
  </si>
  <si>
    <t xml:space="preserve">Everest Manufacturing</t>
  </si>
  <si>
    <t xml:space="preserve">Electronics</t>
  </si>
  <si>
    <t xml:space="preserve">China</t>
  </si>
  <si>
    <t xml:space="preserve">V005</t>
  </si>
  <si>
    <t xml:space="preserve">Kiran Industries</t>
  </si>
  <si>
    <t xml:space="preserve">Raw Materials</t>
  </si>
  <si>
    <t xml:space="preserve">V006</t>
  </si>
  <si>
    <t xml:space="preserve">Apex Systems</t>
  </si>
  <si>
    <t xml:space="preserve">V007</t>
  </si>
  <si>
    <t xml:space="preserve">Kingfisher Supplies</t>
  </si>
  <si>
    <t xml:space="preserve">Germany</t>
  </si>
  <si>
    <t xml:space="preserve">V008</t>
  </si>
  <si>
    <t xml:space="preserve">Jyoti Supplies</t>
  </si>
  <si>
    <t xml:space="preserve">Annual</t>
  </si>
  <si>
    <t xml:space="preserve">V009</t>
  </si>
  <si>
    <t xml:space="preserve">Zenith Traders</t>
  </si>
  <si>
    <t xml:space="preserve">MRO/Spares</t>
  </si>
  <si>
    <t xml:space="preserve">V010</t>
  </si>
  <si>
    <t xml:space="preserve">Precision Enterprises</t>
  </si>
  <si>
    <t xml:space="preserve">V011</t>
  </si>
  <si>
    <t xml:space="preserve">Zenith Pvt Ltd</t>
  </si>
  <si>
    <t xml:space="preserve">V012</t>
  </si>
  <si>
    <t xml:space="preserve">Jupiter Systems</t>
  </si>
  <si>
    <t xml:space="preserve">Vietnam</t>
  </si>
  <si>
    <t xml:space="preserve">V013</t>
  </si>
  <si>
    <t xml:space="preserve">Nirvana Manufacturing</t>
  </si>
  <si>
    <t xml:space="preserve">V014</t>
  </si>
  <si>
    <t xml:space="preserve">Unity Logistics</t>
  </si>
  <si>
    <t xml:space="preserve">V015</t>
  </si>
  <si>
    <t xml:space="preserve">Bluepeak Enterprises</t>
  </si>
  <si>
    <t xml:space="preserve">V016</t>
  </si>
  <si>
    <t xml:space="preserve">Wave Components</t>
  </si>
  <si>
    <t xml:space="preserve">Logistics Services</t>
  </si>
  <si>
    <t xml:space="preserve">V017</t>
  </si>
  <si>
    <t xml:space="preserve">Everest Corp</t>
  </si>
  <si>
    <t xml:space="preserve">V018</t>
  </si>
  <si>
    <t xml:space="preserve">Summit Industries</t>
  </si>
  <si>
    <t xml:space="preserve">V019</t>
  </si>
  <si>
    <t xml:space="preserve">Quality Logistics</t>
  </si>
  <si>
    <t xml:space="preserve">V020</t>
  </si>
  <si>
    <t xml:space="preserve">Nova Manufacturing</t>
  </si>
  <si>
    <t xml:space="preserve">V021</t>
  </si>
  <si>
    <t xml:space="preserve">Indus Supplies</t>
  </si>
  <si>
    <t xml:space="preserve">V022</t>
  </si>
  <si>
    <t xml:space="preserve">Jyoti Pvt Ltd</t>
  </si>
  <si>
    <t xml:space="preserve">V023</t>
  </si>
  <si>
    <t xml:space="preserve">Delta Systems</t>
  </si>
  <si>
    <t xml:space="preserve">V024</t>
  </si>
  <si>
    <t xml:space="preserve">Wave Logistics</t>
  </si>
  <si>
    <t xml:space="preserve">V025</t>
  </si>
  <si>
    <t xml:space="preserve">Highland Supplies</t>
  </si>
  <si>
    <t xml:space="preserve">V026</t>
  </si>
  <si>
    <t xml:space="preserve">Legacy Traders</t>
  </si>
  <si>
    <t xml:space="preserve">V027</t>
  </si>
  <si>
    <t xml:space="preserve">Sapphire Enterprises</t>
  </si>
  <si>
    <t xml:space="preserve">V028</t>
  </si>
  <si>
    <t xml:space="preserve">Yashaswi Industries</t>
  </si>
  <si>
    <t xml:space="preserve">V029</t>
  </si>
  <si>
    <t xml:space="preserve">Bluepeak Traders</t>
  </si>
  <si>
    <t xml:space="preserve">V030</t>
  </si>
  <si>
    <t xml:space="preserve">Legacy Manufacturing</t>
  </si>
  <si>
    <t xml:space="preserve">V031</t>
  </si>
  <si>
    <t xml:space="preserve">United Supplies</t>
  </si>
  <si>
    <t xml:space="preserve">V032</t>
  </si>
  <si>
    <t xml:space="preserve">Sapphire Systems</t>
  </si>
  <si>
    <t xml:space="preserve">V033</t>
  </si>
  <si>
    <t xml:space="preserve">Unity Pvt Ltd</t>
  </si>
  <si>
    <t xml:space="preserve">V034</t>
  </si>
  <si>
    <t xml:space="preserve">Trident Pvt Ltd</t>
  </si>
  <si>
    <t xml:space="preserve">V035</t>
  </si>
  <si>
    <t xml:space="preserve">Delta Enterprises</t>
  </si>
  <si>
    <t xml:space="preserve">V036</t>
  </si>
  <si>
    <t xml:space="preserve">Nirvana Traders</t>
  </si>
  <si>
    <t xml:space="preserve">V037</t>
  </si>
  <si>
    <t xml:space="preserve">Xenon Traders</t>
  </si>
  <si>
    <t xml:space="preserve">V038</t>
  </si>
  <si>
    <t xml:space="preserve">Infinity Enterprises</t>
  </si>
  <si>
    <t xml:space="preserve">V039</t>
  </si>
  <si>
    <t xml:space="preserve">Quantum Components</t>
  </si>
  <si>
    <t xml:space="preserve">V040</t>
  </si>
  <si>
    <t xml:space="preserve">Continental Manufacturing</t>
  </si>
  <si>
    <t xml:space="preserve">V041</t>
  </si>
  <si>
    <t xml:space="preserve">Vantage Enterprises</t>
  </si>
  <si>
    <t xml:space="preserve">V042</t>
  </si>
  <si>
    <t xml:space="preserve">Indus Logistics</t>
  </si>
  <si>
    <t xml:space="preserve">V043</t>
  </si>
  <si>
    <t xml:space="preserve">Frontier Supplies</t>
  </si>
  <si>
    <t xml:space="preserve">V044</t>
  </si>
  <si>
    <t xml:space="preserve">Everest Pvt Ltd</t>
  </si>
  <si>
    <t xml:space="preserve">V045</t>
  </si>
  <si>
    <t xml:space="preserve">Metro Logistics</t>
  </si>
  <si>
    <t xml:space="preserve">V046</t>
  </si>
  <si>
    <t xml:space="preserve">Quality Pvt Ltd</t>
  </si>
  <si>
    <t xml:space="preserve">V047</t>
  </si>
  <si>
    <t xml:space="preserve">Summit Components</t>
  </si>
  <si>
    <t xml:space="preserve">V048</t>
  </si>
  <si>
    <t xml:space="preserve">Lakshmi Manufacturing</t>
  </si>
  <si>
    <t xml:space="preserve">V049</t>
  </si>
  <si>
    <t xml:space="preserve">Frontier Traders</t>
  </si>
  <si>
    <t xml:space="preserve">V050</t>
  </si>
  <si>
    <t xml:space="preserve">Precision Traders</t>
  </si>
  <si>
    <t xml:space="preserve">V051</t>
  </si>
  <si>
    <t xml:space="preserve">Oceanic Industries</t>
  </si>
  <si>
    <t xml:space="preserve">V052</t>
  </si>
  <si>
    <t xml:space="preserve">Nirvana Supplies</t>
  </si>
  <si>
    <t xml:space="preserve">V053</t>
  </si>
  <si>
    <t xml:space="preserve">Xenon Supplies</t>
  </si>
  <si>
    <t xml:space="preserve">V054</t>
  </si>
  <si>
    <t xml:space="preserve">Nova Supplies</t>
  </si>
  <si>
    <t xml:space="preserve">V055</t>
  </si>
  <si>
    <t xml:space="preserve">Zenith Corp</t>
  </si>
  <si>
    <t xml:space="preserve">V056</t>
  </si>
  <si>
    <t xml:space="preserve">Bharat Traders</t>
  </si>
  <si>
    <t xml:space="preserve">V057</t>
  </si>
  <si>
    <t xml:space="preserve">Meridian Traders</t>
  </si>
  <si>
    <t xml:space="preserve">V058</t>
  </si>
  <si>
    <t xml:space="preserve">Vertex Manufacturing</t>
  </si>
  <si>
    <t xml:space="preserve">V059</t>
  </si>
  <si>
    <t xml:space="preserve">Quality Corp</t>
  </si>
  <si>
    <t xml:space="preserve">V060</t>
  </si>
  <si>
    <t xml:space="preserve">Delta Supplies</t>
  </si>
  <si>
    <t xml:space="preserve">PO_ID</t>
  </si>
  <si>
    <t xml:space="preserve">OrderDate</t>
  </si>
  <si>
    <t xml:space="preserve">PromisedDeliveryDate</t>
  </si>
  <si>
    <t xml:space="preserve">ActualDeliveryDate</t>
  </si>
  <si>
    <t xml:space="preserve">OrderedQty</t>
  </si>
  <si>
    <t xml:space="preserve">DeliveredQty</t>
  </si>
  <si>
    <t xml:space="preserve">ContractedUnitPrice</t>
  </si>
  <si>
    <t xml:space="preserve">InvoicedUnitPrice</t>
  </si>
  <si>
    <t xml:space="preserve">DelayDays</t>
  </si>
  <si>
    <t xml:space="preserve">OnTimeFlag</t>
  </si>
  <si>
    <t xml:space="preserve">FillRatePct</t>
  </si>
  <si>
    <t xml:space="preserve">PriceVariancePct</t>
  </si>
  <si>
    <t xml:space="preserve">LineTotal</t>
  </si>
  <si>
    <t xml:space="preserve">PO10001</t>
  </si>
  <si>
    <t xml:space="preserve">PO10002</t>
  </si>
  <si>
    <t xml:space="preserve">PO10003</t>
  </si>
  <si>
    <t xml:space="preserve">PO10004</t>
  </si>
  <si>
    <t xml:space="preserve">PO10005</t>
  </si>
  <si>
    <t xml:space="preserve">PO10006</t>
  </si>
  <si>
    <t xml:space="preserve">PO10007</t>
  </si>
  <si>
    <t xml:space="preserve">PO10008</t>
  </si>
  <si>
    <t xml:space="preserve">PO10009</t>
  </si>
  <si>
    <t xml:space="preserve">PO10010</t>
  </si>
  <si>
    <t xml:space="preserve">PO10011</t>
  </si>
  <si>
    <t xml:space="preserve">PO10012</t>
  </si>
  <si>
    <t xml:space="preserve">PO10013</t>
  </si>
  <si>
    <t xml:space="preserve">PO10014</t>
  </si>
  <si>
    <t xml:space="preserve">PO10015</t>
  </si>
  <si>
    <t xml:space="preserve">PO10016</t>
  </si>
  <si>
    <t xml:space="preserve">PO10017</t>
  </si>
  <si>
    <t xml:space="preserve">PO10018</t>
  </si>
  <si>
    <t xml:space="preserve">PO10019</t>
  </si>
  <si>
    <t xml:space="preserve">PO10020</t>
  </si>
  <si>
    <t xml:space="preserve">PO10021</t>
  </si>
  <si>
    <t xml:space="preserve">PO10022</t>
  </si>
  <si>
    <t xml:space="preserve">PO10023</t>
  </si>
  <si>
    <t xml:space="preserve">PO10024</t>
  </si>
  <si>
    <t xml:space="preserve">PO10025</t>
  </si>
  <si>
    <t xml:space="preserve">PO10026</t>
  </si>
  <si>
    <t xml:space="preserve">PO10027</t>
  </si>
  <si>
    <t xml:space="preserve">PO10028</t>
  </si>
  <si>
    <t xml:space="preserve">PO10029</t>
  </si>
  <si>
    <t xml:space="preserve">PO10030</t>
  </si>
  <si>
    <t xml:space="preserve">PO10031</t>
  </si>
  <si>
    <t xml:space="preserve">PO10032</t>
  </si>
  <si>
    <t xml:space="preserve">PO10033</t>
  </si>
  <si>
    <t xml:space="preserve">PO10034</t>
  </si>
  <si>
    <t xml:space="preserve">PO10035</t>
  </si>
  <si>
    <t xml:space="preserve">PO10036</t>
  </si>
  <si>
    <t xml:space="preserve">PO10037</t>
  </si>
  <si>
    <t xml:space="preserve">PO10038</t>
  </si>
  <si>
    <t xml:space="preserve">PO10039</t>
  </si>
  <si>
    <t xml:space="preserve">PO10040</t>
  </si>
  <si>
    <t xml:space="preserve">PO10041</t>
  </si>
  <si>
    <t xml:space="preserve">PO10042</t>
  </si>
  <si>
    <t xml:space="preserve">PO10043</t>
  </si>
  <si>
    <t xml:space="preserve">PO10044</t>
  </si>
  <si>
    <t xml:space="preserve">PO10045</t>
  </si>
  <si>
    <t xml:space="preserve">PO10046</t>
  </si>
  <si>
    <t xml:space="preserve">PO10047</t>
  </si>
  <si>
    <t xml:space="preserve">PO10048</t>
  </si>
  <si>
    <t xml:space="preserve">PO10049</t>
  </si>
  <si>
    <t xml:space="preserve">PO10050</t>
  </si>
  <si>
    <t xml:space="preserve">PO10051</t>
  </si>
  <si>
    <t xml:space="preserve">PO10052</t>
  </si>
  <si>
    <t xml:space="preserve">PO10053</t>
  </si>
  <si>
    <t xml:space="preserve">PO10054</t>
  </si>
  <si>
    <t xml:space="preserve">PO10055</t>
  </si>
  <si>
    <t xml:space="preserve">PO10056</t>
  </si>
  <si>
    <t xml:space="preserve">PO10057</t>
  </si>
  <si>
    <t xml:space="preserve">PO10058</t>
  </si>
  <si>
    <t xml:space="preserve">PO10059</t>
  </si>
  <si>
    <t xml:space="preserve">PO10060</t>
  </si>
  <si>
    <t xml:space="preserve">PO10061</t>
  </si>
  <si>
    <t xml:space="preserve">PO10062</t>
  </si>
  <si>
    <t xml:space="preserve">PO10063</t>
  </si>
  <si>
    <t xml:space="preserve">PO10064</t>
  </si>
  <si>
    <t xml:space="preserve">PO10065</t>
  </si>
  <si>
    <t xml:space="preserve">PO10066</t>
  </si>
  <si>
    <t xml:space="preserve">PO10067</t>
  </si>
  <si>
    <t xml:space="preserve">PO10068</t>
  </si>
  <si>
    <t xml:space="preserve">PO10069</t>
  </si>
  <si>
    <t xml:space="preserve">PO10070</t>
  </si>
  <si>
    <t xml:space="preserve">PO10071</t>
  </si>
  <si>
    <t xml:space="preserve">PO10072</t>
  </si>
  <si>
    <t xml:space="preserve">PO10073</t>
  </si>
  <si>
    <t xml:space="preserve">PO10074</t>
  </si>
  <si>
    <t xml:space="preserve">PO10075</t>
  </si>
  <si>
    <t xml:space="preserve">PO10076</t>
  </si>
  <si>
    <t xml:space="preserve">PO10077</t>
  </si>
  <si>
    <t xml:space="preserve">PO10078</t>
  </si>
  <si>
    <t xml:space="preserve">PO10079</t>
  </si>
  <si>
    <t xml:space="preserve">PO10080</t>
  </si>
  <si>
    <t xml:space="preserve">PO10081</t>
  </si>
  <si>
    <t xml:space="preserve">PO10082</t>
  </si>
  <si>
    <t xml:space="preserve">PO10083</t>
  </si>
  <si>
    <t xml:space="preserve">PO10084</t>
  </si>
  <si>
    <t xml:space="preserve">PO10085</t>
  </si>
  <si>
    <t xml:space="preserve">PO10086</t>
  </si>
  <si>
    <t xml:space="preserve">PO10087</t>
  </si>
  <si>
    <t xml:space="preserve">PO10088</t>
  </si>
  <si>
    <t xml:space="preserve">PO10089</t>
  </si>
  <si>
    <t xml:space="preserve">PO10090</t>
  </si>
  <si>
    <t xml:space="preserve">PO10091</t>
  </si>
  <si>
    <t xml:space="preserve">PO10092</t>
  </si>
  <si>
    <t xml:space="preserve">PO10093</t>
  </si>
  <si>
    <t xml:space="preserve">PO10094</t>
  </si>
  <si>
    <t xml:space="preserve">PO10095</t>
  </si>
  <si>
    <t xml:space="preserve">PO10096</t>
  </si>
  <si>
    <t xml:space="preserve">PO10097</t>
  </si>
  <si>
    <t xml:space="preserve">PO10098</t>
  </si>
  <si>
    <t xml:space="preserve">PO10099</t>
  </si>
  <si>
    <t xml:space="preserve">PO10100</t>
  </si>
  <si>
    <t xml:space="preserve">PO10101</t>
  </si>
  <si>
    <t xml:space="preserve">PO10102</t>
  </si>
  <si>
    <t xml:space="preserve">PO10103</t>
  </si>
  <si>
    <t xml:space="preserve">PO10104</t>
  </si>
  <si>
    <t xml:space="preserve">PO10105</t>
  </si>
  <si>
    <t xml:space="preserve">PO10106</t>
  </si>
  <si>
    <t xml:space="preserve">PO10107</t>
  </si>
  <si>
    <t xml:space="preserve">PO10108</t>
  </si>
  <si>
    <t xml:space="preserve">PO10109</t>
  </si>
  <si>
    <t xml:space="preserve">PO10110</t>
  </si>
  <si>
    <t xml:space="preserve">PO10111</t>
  </si>
  <si>
    <t xml:space="preserve">PO10112</t>
  </si>
  <si>
    <t xml:space="preserve">PO10113</t>
  </si>
  <si>
    <t xml:space="preserve">PO10114</t>
  </si>
  <si>
    <t xml:space="preserve">PO10115</t>
  </si>
  <si>
    <t xml:space="preserve">PO10116</t>
  </si>
  <si>
    <t xml:space="preserve">PO10117</t>
  </si>
  <si>
    <t xml:space="preserve">PO10118</t>
  </si>
  <si>
    <t xml:space="preserve">PO10119</t>
  </si>
  <si>
    <t xml:space="preserve">PO10120</t>
  </si>
  <si>
    <t xml:space="preserve">PO10121</t>
  </si>
  <si>
    <t xml:space="preserve">PO10122</t>
  </si>
  <si>
    <t xml:space="preserve">PO10123</t>
  </si>
  <si>
    <t xml:space="preserve">PO10124</t>
  </si>
  <si>
    <t xml:space="preserve">PO10125</t>
  </si>
  <si>
    <t xml:space="preserve">PO10126</t>
  </si>
  <si>
    <t xml:space="preserve">PO10127</t>
  </si>
  <si>
    <t xml:space="preserve">PO10128</t>
  </si>
  <si>
    <t xml:space="preserve">PO10129</t>
  </si>
  <si>
    <t xml:space="preserve">PO10130</t>
  </si>
  <si>
    <t xml:space="preserve">PO10131</t>
  </si>
  <si>
    <t xml:space="preserve">PO10132</t>
  </si>
  <si>
    <t xml:space="preserve">PO10133</t>
  </si>
  <si>
    <t xml:space="preserve">PO10134</t>
  </si>
  <si>
    <t xml:space="preserve">PO10135</t>
  </si>
  <si>
    <t xml:space="preserve">PO10136</t>
  </si>
  <si>
    <t xml:space="preserve">PO10137</t>
  </si>
  <si>
    <t xml:space="preserve">PO10138</t>
  </si>
  <si>
    <t xml:space="preserve">PO10139</t>
  </si>
  <si>
    <t xml:space="preserve">PO10140</t>
  </si>
  <si>
    <t xml:space="preserve">PO10141</t>
  </si>
  <si>
    <t xml:space="preserve">PO10142</t>
  </si>
  <si>
    <t xml:space="preserve">PO10143</t>
  </si>
  <si>
    <t xml:space="preserve">PO10144</t>
  </si>
  <si>
    <t xml:space="preserve">PO10145</t>
  </si>
  <si>
    <t xml:space="preserve">PO10146</t>
  </si>
  <si>
    <t xml:space="preserve">PO10147</t>
  </si>
  <si>
    <t xml:space="preserve">PO10148</t>
  </si>
  <si>
    <t xml:space="preserve">PO10149</t>
  </si>
  <si>
    <t xml:space="preserve">PO10150</t>
  </si>
  <si>
    <t xml:space="preserve">PO10151</t>
  </si>
  <si>
    <t xml:space="preserve">PO10152</t>
  </si>
  <si>
    <t xml:space="preserve">PO10153</t>
  </si>
  <si>
    <t xml:space="preserve">PO10154</t>
  </si>
  <si>
    <t xml:space="preserve">PO10155</t>
  </si>
  <si>
    <t xml:space="preserve">PO10156</t>
  </si>
  <si>
    <t xml:space="preserve">PO10157</t>
  </si>
  <si>
    <t xml:space="preserve">PO10158</t>
  </si>
  <si>
    <t xml:space="preserve">PO10159</t>
  </si>
  <si>
    <t xml:space="preserve">PO10160</t>
  </si>
  <si>
    <t xml:space="preserve">PO10161</t>
  </si>
  <si>
    <t xml:space="preserve">PO10162</t>
  </si>
  <si>
    <t xml:space="preserve">PO10163</t>
  </si>
  <si>
    <t xml:space="preserve">PO10164</t>
  </si>
  <si>
    <t xml:space="preserve">PO10165</t>
  </si>
  <si>
    <t xml:space="preserve">PO10166</t>
  </si>
  <si>
    <t xml:space="preserve">PO10167</t>
  </si>
  <si>
    <t xml:space="preserve">PO10168</t>
  </si>
  <si>
    <t xml:space="preserve">PO10169</t>
  </si>
  <si>
    <t xml:space="preserve">PO10170</t>
  </si>
  <si>
    <t xml:space="preserve">PO10171</t>
  </si>
  <si>
    <t xml:space="preserve">PO10172</t>
  </si>
  <si>
    <t xml:space="preserve">PO10173</t>
  </si>
  <si>
    <t xml:space="preserve">PO10174</t>
  </si>
  <si>
    <t xml:space="preserve">PO10175</t>
  </si>
  <si>
    <t xml:space="preserve">PO10176</t>
  </si>
  <si>
    <t xml:space="preserve">PO10177</t>
  </si>
  <si>
    <t xml:space="preserve">PO10178</t>
  </si>
  <si>
    <t xml:space="preserve">PO10179</t>
  </si>
  <si>
    <t xml:space="preserve">PO10180</t>
  </si>
  <si>
    <t xml:space="preserve">PO10181</t>
  </si>
  <si>
    <t xml:space="preserve">PO10182</t>
  </si>
  <si>
    <t xml:space="preserve">PO10183</t>
  </si>
  <si>
    <t xml:space="preserve">PO10184</t>
  </si>
  <si>
    <t xml:space="preserve">PO10185</t>
  </si>
  <si>
    <t xml:space="preserve">PO10186</t>
  </si>
  <si>
    <t xml:space="preserve">PO10187</t>
  </si>
  <si>
    <t xml:space="preserve">PO10188</t>
  </si>
  <si>
    <t xml:space="preserve">PO10189</t>
  </si>
  <si>
    <t xml:space="preserve">PO10190</t>
  </si>
  <si>
    <t xml:space="preserve">PO10191</t>
  </si>
  <si>
    <t xml:space="preserve">PO10192</t>
  </si>
  <si>
    <t xml:space="preserve">PO10193</t>
  </si>
  <si>
    <t xml:space="preserve">PO10194</t>
  </si>
  <si>
    <t xml:space="preserve">PO10195</t>
  </si>
  <si>
    <t xml:space="preserve">PO10196</t>
  </si>
  <si>
    <t xml:space="preserve">PO10197</t>
  </si>
  <si>
    <t xml:space="preserve">PO10198</t>
  </si>
  <si>
    <t xml:space="preserve">PO10199</t>
  </si>
  <si>
    <t xml:space="preserve">PO10200</t>
  </si>
  <si>
    <t xml:space="preserve">PO10201</t>
  </si>
  <si>
    <t xml:space="preserve">PO10202</t>
  </si>
  <si>
    <t xml:space="preserve">PO10203</t>
  </si>
  <si>
    <t xml:space="preserve">PO10204</t>
  </si>
  <si>
    <t xml:space="preserve">PO10205</t>
  </si>
  <si>
    <t xml:space="preserve">PO10206</t>
  </si>
  <si>
    <t xml:space="preserve">PO10207</t>
  </si>
  <si>
    <t xml:space="preserve">PO10208</t>
  </si>
  <si>
    <t xml:space="preserve">PO10209</t>
  </si>
  <si>
    <t xml:space="preserve">PO10210</t>
  </si>
  <si>
    <t xml:space="preserve">PO10211</t>
  </si>
  <si>
    <t xml:space="preserve">PO10212</t>
  </si>
  <si>
    <t xml:space="preserve">PO10213</t>
  </si>
  <si>
    <t xml:space="preserve">PO10214</t>
  </si>
  <si>
    <t xml:space="preserve">PO10215</t>
  </si>
  <si>
    <t xml:space="preserve">PO10216</t>
  </si>
  <si>
    <t xml:space="preserve">PO10217</t>
  </si>
  <si>
    <t xml:space="preserve">PO10218</t>
  </si>
  <si>
    <t xml:space="preserve">PO10219</t>
  </si>
  <si>
    <t xml:space="preserve">PO10220</t>
  </si>
  <si>
    <t xml:space="preserve">PO10221</t>
  </si>
  <si>
    <t xml:space="preserve">PO10222</t>
  </si>
  <si>
    <t xml:space="preserve">PO10223</t>
  </si>
  <si>
    <t xml:space="preserve">PO10224</t>
  </si>
  <si>
    <t xml:space="preserve">PO10225</t>
  </si>
  <si>
    <t xml:space="preserve">PO10226</t>
  </si>
  <si>
    <t xml:space="preserve">PO10227</t>
  </si>
  <si>
    <t xml:space="preserve">PO10228</t>
  </si>
  <si>
    <t xml:space="preserve">PO10229</t>
  </si>
  <si>
    <t xml:space="preserve">PO10230</t>
  </si>
  <si>
    <t xml:space="preserve">PO10231</t>
  </si>
  <si>
    <t xml:space="preserve">PO10232</t>
  </si>
  <si>
    <t xml:space="preserve">PO10233</t>
  </si>
  <si>
    <t xml:space="preserve">PO10234</t>
  </si>
  <si>
    <t xml:space="preserve">PO10235</t>
  </si>
  <si>
    <t xml:space="preserve">PO10236</t>
  </si>
  <si>
    <t xml:space="preserve">PO10237</t>
  </si>
  <si>
    <t xml:space="preserve">PO10238</t>
  </si>
  <si>
    <t xml:space="preserve">PO10239</t>
  </si>
  <si>
    <t xml:space="preserve">PO10240</t>
  </si>
  <si>
    <t xml:space="preserve">PO10241</t>
  </si>
  <si>
    <t xml:space="preserve">PO10242</t>
  </si>
  <si>
    <t xml:space="preserve">PO10243</t>
  </si>
  <si>
    <t xml:space="preserve">PO10244</t>
  </si>
  <si>
    <t xml:space="preserve">PO10245</t>
  </si>
  <si>
    <t xml:space="preserve">PO10246</t>
  </si>
  <si>
    <t xml:space="preserve">PO10247</t>
  </si>
  <si>
    <t xml:space="preserve">PO10248</t>
  </si>
  <si>
    <t xml:space="preserve">PO10249</t>
  </si>
  <si>
    <t xml:space="preserve">PO10250</t>
  </si>
  <si>
    <t xml:space="preserve">PO10251</t>
  </si>
  <si>
    <t xml:space="preserve">PO10252</t>
  </si>
  <si>
    <t xml:space="preserve">PO10253</t>
  </si>
  <si>
    <t xml:space="preserve">PO10254</t>
  </si>
  <si>
    <t xml:space="preserve">PO10255</t>
  </si>
  <si>
    <t xml:space="preserve">PO10256</t>
  </si>
  <si>
    <t xml:space="preserve">PO10257</t>
  </si>
  <si>
    <t xml:space="preserve">PO10258</t>
  </si>
  <si>
    <t xml:space="preserve">PO10259</t>
  </si>
  <si>
    <t xml:space="preserve">PO10260</t>
  </si>
  <si>
    <t xml:space="preserve">PO10261</t>
  </si>
  <si>
    <t xml:space="preserve">PO10262</t>
  </si>
  <si>
    <t xml:space="preserve">PO10263</t>
  </si>
  <si>
    <t xml:space="preserve">PO10264</t>
  </si>
  <si>
    <t xml:space="preserve">PO10265</t>
  </si>
  <si>
    <t xml:space="preserve">PO10266</t>
  </si>
  <si>
    <t xml:space="preserve">PO10267</t>
  </si>
  <si>
    <t xml:space="preserve">PO10268</t>
  </si>
  <si>
    <t xml:space="preserve">PO10269</t>
  </si>
  <si>
    <t xml:space="preserve">PO10270</t>
  </si>
  <si>
    <t xml:space="preserve">PO10271</t>
  </si>
  <si>
    <t xml:space="preserve">PO10272</t>
  </si>
  <si>
    <t xml:space="preserve">PO10273</t>
  </si>
  <si>
    <t xml:space="preserve">PO10274</t>
  </si>
  <si>
    <t xml:space="preserve">PO10275</t>
  </si>
  <si>
    <t xml:space="preserve">PO10276</t>
  </si>
  <si>
    <t xml:space="preserve">PO10277</t>
  </si>
  <si>
    <t xml:space="preserve">PO10278</t>
  </si>
  <si>
    <t xml:space="preserve">PO10279</t>
  </si>
  <si>
    <t xml:space="preserve">PO10280</t>
  </si>
  <si>
    <t xml:space="preserve">PO10281</t>
  </si>
  <si>
    <t xml:space="preserve">PO10282</t>
  </si>
  <si>
    <t xml:space="preserve">PO10283</t>
  </si>
  <si>
    <t xml:space="preserve">PO10284</t>
  </si>
  <si>
    <t xml:space="preserve">PO10285</t>
  </si>
  <si>
    <t xml:space="preserve">PO10286</t>
  </si>
  <si>
    <t xml:space="preserve">PO10287</t>
  </si>
  <si>
    <t xml:space="preserve">PO10288</t>
  </si>
  <si>
    <t xml:space="preserve">PO10289</t>
  </si>
  <si>
    <t xml:space="preserve">PO10290</t>
  </si>
  <si>
    <t xml:space="preserve">PO10291</t>
  </si>
  <si>
    <t xml:space="preserve">PO10292</t>
  </si>
  <si>
    <t xml:space="preserve">PO10293</t>
  </si>
  <si>
    <t xml:space="preserve">PO10294</t>
  </si>
  <si>
    <t xml:space="preserve">PO10295</t>
  </si>
  <si>
    <t xml:space="preserve">PO10296</t>
  </si>
  <si>
    <t xml:space="preserve">PO10297</t>
  </si>
  <si>
    <t xml:space="preserve">PO10298</t>
  </si>
  <si>
    <t xml:space="preserve">PO10299</t>
  </si>
  <si>
    <t xml:space="preserve">PO10300</t>
  </si>
  <si>
    <t xml:space="preserve">PO10301</t>
  </si>
  <si>
    <t xml:space="preserve">PO10302</t>
  </si>
  <si>
    <t xml:space="preserve">PO10303</t>
  </si>
  <si>
    <t xml:space="preserve">PO10304</t>
  </si>
  <si>
    <t xml:space="preserve">PO10305</t>
  </si>
  <si>
    <t xml:space="preserve">PO10306</t>
  </si>
  <si>
    <t xml:space="preserve">PO10307</t>
  </si>
  <si>
    <t xml:space="preserve">PO10308</t>
  </si>
  <si>
    <t xml:space="preserve">PO10309</t>
  </si>
  <si>
    <t xml:space="preserve">PO10310</t>
  </si>
  <si>
    <t xml:space="preserve">PO10311</t>
  </si>
  <si>
    <t xml:space="preserve">PO10312</t>
  </si>
  <si>
    <t xml:space="preserve">PO10313</t>
  </si>
  <si>
    <t xml:space="preserve">PO10314</t>
  </si>
  <si>
    <t xml:space="preserve">PO10315</t>
  </si>
  <si>
    <t xml:space="preserve">PO10316</t>
  </si>
  <si>
    <t xml:space="preserve">PO10317</t>
  </si>
  <si>
    <t xml:space="preserve">PO10318</t>
  </si>
  <si>
    <t xml:space="preserve">PO10319</t>
  </si>
  <si>
    <t xml:space="preserve">PO10320</t>
  </si>
  <si>
    <t xml:space="preserve">PO10321</t>
  </si>
  <si>
    <t xml:space="preserve">PO10322</t>
  </si>
  <si>
    <t xml:space="preserve">PO10323</t>
  </si>
  <si>
    <t xml:space="preserve">PO10324</t>
  </si>
  <si>
    <t xml:space="preserve">PO10325</t>
  </si>
  <si>
    <t xml:space="preserve">PO10326</t>
  </si>
  <si>
    <t xml:space="preserve">PO10327</t>
  </si>
  <si>
    <t xml:space="preserve">PO10328</t>
  </si>
  <si>
    <t xml:space="preserve">PO10329</t>
  </si>
  <si>
    <t xml:space="preserve">PO10330</t>
  </si>
  <si>
    <t xml:space="preserve">PO10331</t>
  </si>
  <si>
    <t xml:space="preserve">PO10332</t>
  </si>
  <si>
    <t xml:space="preserve">PO10333</t>
  </si>
  <si>
    <t xml:space="preserve">PO10334</t>
  </si>
  <si>
    <t xml:space="preserve">PO10335</t>
  </si>
  <si>
    <t xml:space="preserve">PO10336</t>
  </si>
  <si>
    <t xml:space="preserve">PO10337</t>
  </si>
  <si>
    <t xml:space="preserve">PO10338</t>
  </si>
  <si>
    <t xml:space="preserve">PO10339</t>
  </si>
  <si>
    <t xml:space="preserve">PO10340</t>
  </si>
  <si>
    <t xml:space="preserve">PO10341</t>
  </si>
  <si>
    <t xml:space="preserve">PO10342</t>
  </si>
  <si>
    <t xml:space="preserve">PO10343</t>
  </si>
  <si>
    <t xml:space="preserve">PO10344</t>
  </si>
  <si>
    <t xml:space="preserve">PO10345</t>
  </si>
  <si>
    <t xml:space="preserve">PO10346</t>
  </si>
  <si>
    <t xml:space="preserve">PO10347</t>
  </si>
  <si>
    <t xml:space="preserve">PO10348</t>
  </si>
  <si>
    <t xml:space="preserve">PO10349</t>
  </si>
  <si>
    <t xml:space="preserve">PO10350</t>
  </si>
  <si>
    <t xml:space="preserve">PO10351</t>
  </si>
  <si>
    <t xml:space="preserve">PO10352</t>
  </si>
  <si>
    <t xml:space="preserve">PO10353</t>
  </si>
  <si>
    <t xml:space="preserve">PO10354</t>
  </si>
  <si>
    <t xml:space="preserve">PO10355</t>
  </si>
  <si>
    <t xml:space="preserve">PO10356</t>
  </si>
  <si>
    <t xml:space="preserve">PO10357</t>
  </si>
  <si>
    <t xml:space="preserve">PO10358</t>
  </si>
  <si>
    <t xml:space="preserve">PO10359</t>
  </si>
  <si>
    <t xml:space="preserve">PO10360</t>
  </si>
  <si>
    <t xml:space="preserve">PO10361</t>
  </si>
  <si>
    <t xml:space="preserve">PO10362</t>
  </si>
  <si>
    <t xml:space="preserve">PO10363</t>
  </si>
  <si>
    <t xml:space="preserve">PO10364</t>
  </si>
  <si>
    <t xml:space="preserve">PO10365</t>
  </si>
  <si>
    <t xml:space="preserve">PO10366</t>
  </si>
  <si>
    <t xml:space="preserve">PO10367</t>
  </si>
  <si>
    <t xml:space="preserve">PO10368</t>
  </si>
  <si>
    <t xml:space="preserve">PO10369</t>
  </si>
  <si>
    <t xml:space="preserve">PO10370</t>
  </si>
  <si>
    <t xml:space="preserve">PO10371</t>
  </si>
  <si>
    <t xml:space="preserve">PO10372</t>
  </si>
  <si>
    <t xml:space="preserve">PO10373</t>
  </si>
  <si>
    <t xml:space="preserve">PO10374</t>
  </si>
  <si>
    <t xml:space="preserve">PO10375</t>
  </si>
  <si>
    <t xml:space="preserve">PO10376</t>
  </si>
  <si>
    <t xml:space="preserve">PO10377</t>
  </si>
  <si>
    <t xml:space="preserve">PO10378</t>
  </si>
  <si>
    <t xml:space="preserve">PO10379</t>
  </si>
  <si>
    <t xml:space="preserve">PO10380</t>
  </si>
  <si>
    <t xml:space="preserve">PO10381</t>
  </si>
  <si>
    <t xml:space="preserve">PO10382</t>
  </si>
  <si>
    <t xml:space="preserve">PO10383</t>
  </si>
  <si>
    <t xml:space="preserve">PO10384</t>
  </si>
  <si>
    <t xml:space="preserve">PO10385</t>
  </si>
  <si>
    <t xml:space="preserve">PO10386</t>
  </si>
  <si>
    <t xml:space="preserve">PO10387</t>
  </si>
  <si>
    <t xml:space="preserve">PO10388</t>
  </si>
  <si>
    <t xml:space="preserve">PO10389</t>
  </si>
  <si>
    <t xml:space="preserve">PO10390</t>
  </si>
  <si>
    <t xml:space="preserve">PO10391</t>
  </si>
  <si>
    <t xml:space="preserve">PO10392</t>
  </si>
  <si>
    <t xml:space="preserve">PO10393</t>
  </si>
  <si>
    <t xml:space="preserve">PO10394</t>
  </si>
  <si>
    <t xml:space="preserve">PO10395</t>
  </si>
  <si>
    <t xml:space="preserve">PO10396</t>
  </si>
  <si>
    <t xml:space="preserve">PO10397</t>
  </si>
  <si>
    <t xml:space="preserve">PO10398</t>
  </si>
  <si>
    <t xml:space="preserve">PO10399</t>
  </si>
  <si>
    <t xml:space="preserve">PO10400</t>
  </si>
  <si>
    <t xml:space="preserve">PO10401</t>
  </si>
  <si>
    <t xml:space="preserve">PO10402</t>
  </si>
  <si>
    <t xml:space="preserve">PO10403</t>
  </si>
  <si>
    <t xml:space="preserve">PO10404</t>
  </si>
  <si>
    <t xml:space="preserve">PO10405</t>
  </si>
  <si>
    <t xml:space="preserve">PO10406</t>
  </si>
  <si>
    <t xml:space="preserve">PO10407</t>
  </si>
  <si>
    <t xml:space="preserve">PO10408</t>
  </si>
  <si>
    <t xml:space="preserve">PO10409</t>
  </si>
  <si>
    <t xml:space="preserve">PO10410</t>
  </si>
  <si>
    <t xml:space="preserve">PO10411</t>
  </si>
  <si>
    <t xml:space="preserve">PO10412</t>
  </si>
  <si>
    <t xml:space="preserve">PO10413</t>
  </si>
  <si>
    <t xml:space="preserve">PO10414</t>
  </si>
  <si>
    <t xml:space="preserve">PO10415</t>
  </si>
  <si>
    <t xml:space="preserve">PO10416</t>
  </si>
  <si>
    <t xml:space="preserve">PO10417</t>
  </si>
  <si>
    <t xml:space="preserve">PO10418</t>
  </si>
  <si>
    <t xml:space="preserve">PO10419</t>
  </si>
  <si>
    <t xml:space="preserve">PO10420</t>
  </si>
  <si>
    <t xml:space="preserve">PO10421</t>
  </si>
  <si>
    <t xml:space="preserve">PO10422</t>
  </si>
  <si>
    <t xml:space="preserve">PO10423</t>
  </si>
  <si>
    <t xml:space="preserve">PO10424</t>
  </si>
  <si>
    <t xml:space="preserve">PO10425</t>
  </si>
  <si>
    <t xml:space="preserve">PO10426</t>
  </si>
  <si>
    <t xml:space="preserve">PO10427</t>
  </si>
  <si>
    <t xml:space="preserve">PO10428</t>
  </si>
  <si>
    <t xml:space="preserve">PO10429</t>
  </si>
  <si>
    <t xml:space="preserve">PO10430</t>
  </si>
  <si>
    <t xml:space="preserve">PO10431</t>
  </si>
  <si>
    <t xml:space="preserve">PO10432</t>
  </si>
  <si>
    <t xml:space="preserve">PO10433</t>
  </si>
  <si>
    <t xml:space="preserve">PO10434</t>
  </si>
  <si>
    <t xml:space="preserve">PO10435</t>
  </si>
  <si>
    <t xml:space="preserve">PO10436</t>
  </si>
  <si>
    <t xml:space="preserve">PO10437</t>
  </si>
  <si>
    <t xml:space="preserve">PO10438</t>
  </si>
  <si>
    <t xml:space="preserve">PO10439</t>
  </si>
  <si>
    <t xml:space="preserve">PO10440</t>
  </si>
  <si>
    <t xml:space="preserve">PO10441</t>
  </si>
  <si>
    <t xml:space="preserve">PO10442</t>
  </si>
  <si>
    <t xml:space="preserve">PO10443</t>
  </si>
  <si>
    <t xml:space="preserve">PO10444</t>
  </si>
  <si>
    <t xml:space="preserve">PO10445</t>
  </si>
  <si>
    <t xml:space="preserve">PO10446</t>
  </si>
  <si>
    <t xml:space="preserve">PO10447</t>
  </si>
  <si>
    <t xml:space="preserve">PO10448</t>
  </si>
  <si>
    <t xml:space="preserve">PO10449</t>
  </si>
  <si>
    <t xml:space="preserve">PO10450</t>
  </si>
  <si>
    <t xml:space="preserve">PO10451</t>
  </si>
  <si>
    <t xml:space="preserve">PO10452</t>
  </si>
  <si>
    <t xml:space="preserve">PO10453</t>
  </si>
  <si>
    <t xml:space="preserve">PO10454</t>
  </si>
  <si>
    <t xml:space="preserve">PO10455</t>
  </si>
  <si>
    <t xml:space="preserve">PO10456</t>
  </si>
  <si>
    <t xml:space="preserve">PO10457</t>
  </si>
  <si>
    <t xml:space="preserve">PO10458</t>
  </si>
  <si>
    <t xml:space="preserve">PO10459</t>
  </si>
  <si>
    <t xml:space="preserve">PO10460</t>
  </si>
  <si>
    <t xml:space="preserve">PO10461</t>
  </si>
  <si>
    <t xml:space="preserve">PO10462</t>
  </si>
  <si>
    <t xml:space="preserve">PO10463</t>
  </si>
  <si>
    <t xml:space="preserve">PO10464</t>
  </si>
  <si>
    <t xml:space="preserve">PO10465</t>
  </si>
  <si>
    <t xml:space="preserve">PO10466</t>
  </si>
  <si>
    <t xml:space="preserve">PO10467</t>
  </si>
  <si>
    <t xml:space="preserve">PO10468</t>
  </si>
  <si>
    <t xml:space="preserve">PO10469</t>
  </si>
  <si>
    <t xml:space="preserve">PO10470</t>
  </si>
  <si>
    <t xml:space="preserve">PO10471</t>
  </si>
  <si>
    <t xml:space="preserve">PO10472</t>
  </si>
  <si>
    <t xml:space="preserve">PO10473</t>
  </si>
  <si>
    <t xml:space="preserve">PO10474</t>
  </si>
  <si>
    <t xml:space="preserve">PO10475</t>
  </si>
  <si>
    <t xml:space="preserve">PO10476</t>
  </si>
  <si>
    <t xml:space="preserve">PO10477</t>
  </si>
  <si>
    <t xml:space="preserve">PO10478</t>
  </si>
  <si>
    <t xml:space="preserve">PO10479</t>
  </si>
  <si>
    <t xml:space="preserve">PO10480</t>
  </si>
  <si>
    <t xml:space="preserve">PO10481</t>
  </si>
  <si>
    <t xml:space="preserve">PO10482</t>
  </si>
  <si>
    <t xml:space="preserve">PO10483</t>
  </si>
  <si>
    <t xml:space="preserve">PO10484</t>
  </si>
  <si>
    <t xml:space="preserve">PO10485</t>
  </si>
  <si>
    <t xml:space="preserve">PO10486</t>
  </si>
  <si>
    <t xml:space="preserve">PO10487</t>
  </si>
  <si>
    <t xml:space="preserve">PO10488</t>
  </si>
  <si>
    <t xml:space="preserve">PO10489</t>
  </si>
  <si>
    <t xml:space="preserve">PO10490</t>
  </si>
  <si>
    <t xml:space="preserve">PO10491</t>
  </si>
  <si>
    <t xml:space="preserve">PO10492</t>
  </si>
  <si>
    <t xml:space="preserve">PO10493</t>
  </si>
  <si>
    <t xml:space="preserve">PO10494</t>
  </si>
  <si>
    <t xml:space="preserve">PO10495</t>
  </si>
  <si>
    <t xml:space="preserve">PO10496</t>
  </si>
  <si>
    <t xml:space="preserve">PO10497</t>
  </si>
  <si>
    <t xml:space="preserve">PO10498</t>
  </si>
  <si>
    <t xml:space="preserve">PO10499</t>
  </si>
  <si>
    <t xml:space="preserve">PO10500</t>
  </si>
  <si>
    <t xml:space="preserve">PO10501</t>
  </si>
  <si>
    <t xml:space="preserve">PO10502</t>
  </si>
  <si>
    <t xml:space="preserve">PO10503</t>
  </si>
  <si>
    <t xml:space="preserve">PO10504</t>
  </si>
  <si>
    <t xml:space="preserve">PO10505</t>
  </si>
  <si>
    <t xml:space="preserve">PO10506</t>
  </si>
  <si>
    <t xml:space="preserve">PO10507</t>
  </si>
  <si>
    <t xml:space="preserve">PO10508</t>
  </si>
  <si>
    <t xml:space="preserve">PO10509</t>
  </si>
  <si>
    <t xml:space="preserve">PO10510</t>
  </si>
  <si>
    <t xml:space="preserve">PO10511</t>
  </si>
  <si>
    <t xml:space="preserve">PO10512</t>
  </si>
  <si>
    <t xml:space="preserve">PO10513</t>
  </si>
  <si>
    <t xml:space="preserve">PO10514</t>
  </si>
  <si>
    <t xml:space="preserve">PO10515</t>
  </si>
  <si>
    <t xml:space="preserve">PO10516</t>
  </si>
  <si>
    <t xml:space="preserve">PO10517</t>
  </si>
  <si>
    <t xml:space="preserve">PO10518</t>
  </si>
  <si>
    <t xml:space="preserve">PO10519</t>
  </si>
  <si>
    <t xml:space="preserve">PO10520</t>
  </si>
  <si>
    <t xml:space="preserve">PO10521</t>
  </si>
  <si>
    <t xml:space="preserve">PO10522</t>
  </si>
  <si>
    <t xml:space="preserve">PO10523</t>
  </si>
  <si>
    <t xml:space="preserve">PO10524</t>
  </si>
  <si>
    <t xml:space="preserve">PO10525</t>
  </si>
  <si>
    <t xml:space="preserve">PO10526</t>
  </si>
  <si>
    <t xml:space="preserve">PO10527</t>
  </si>
  <si>
    <t xml:space="preserve">PO10528</t>
  </si>
  <si>
    <t xml:space="preserve">PO10529</t>
  </si>
  <si>
    <t xml:space="preserve">PO10530</t>
  </si>
  <si>
    <t xml:space="preserve">PO10531</t>
  </si>
  <si>
    <t xml:space="preserve">PO10532</t>
  </si>
  <si>
    <t xml:space="preserve">PO10533</t>
  </si>
  <si>
    <t xml:space="preserve">PO10534</t>
  </si>
  <si>
    <t xml:space="preserve">PO10535</t>
  </si>
  <si>
    <t xml:space="preserve">PO10536</t>
  </si>
  <si>
    <t xml:space="preserve">PO10537</t>
  </si>
  <si>
    <t xml:space="preserve">PO10538</t>
  </si>
  <si>
    <t xml:space="preserve">PO10539</t>
  </si>
  <si>
    <t xml:space="preserve">PO10540</t>
  </si>
  <si>
    <t xml:space="preserve">PO10541</t>
  </si>
  <si>
    <t xml:space="preserve">PO10542</t>
  </si>
  <si>
    <t xml:space="preserve">PO10543</t>
  </si>
  <si>
    <t xml:space="preserve">PO10544</t>
  </si>
  <si>
    <t xml:space="preserve">PO10545</t>
  </si>
  <si>
    <t xml:space="preserve">PO10546</t>
  </si>
  <si>
    <t xml:space="preserve">PO10547</t>
  </si>
  <si>
    <t xml:space="preserve">PO10548</t>
  </si>
  <si>
    <t xml:space="preserve">PO10549</t>
  </si>
  <si>
    <t xml:space="preserve">PO10550</t>
  </si>
  <si>
    <t xml:space="preserve">PO10551</t>
  </si>
  <si>
    <t xml:space="preserve">PO10552</t>
  </si>
  <si>
    <t xml:space="preserve">PO10553</t>
  </si>
  <si>
    <t xml:space="preserve">PO10554</t>
  </si>
  <si>
    <t xml:space="preserve">PO10555</t>
  </si>
  <si>
    <t xml:space="preserve">PO10556</t>
  </si>
  <si>
    <t xml:space="preserve">PO10557</t>
  </si>
  <si>
    <t xml:space="preserve">PO10558</t>
  </si>
  <si>
    <t xml:space="preserve">PO10559</t>
  </si>
  <si>
    <t xml:space="preserve">PO10560</t>
  </si>
  <si>
    <t xml:space="preserve">PO10561</t>
  </si>
  <si>
    <t xml:space="preserve">PO10562</t>
  </si>
  <si>
    <t xml:space="preserve">PO10563</t>
  </si>
  <si>
    <t xml:space="preserve">PO10564</t>
  </si>
  <si>
    <t xml:space="preserve">PO10565</t>
  </si>
  <si>
    <t xml:space="preserve">PO10566</t>
  </si>
  <si>
    <t xml:space="preserve">PO10567</t>
  </si>
  <si>
    <t xml:space="preserve">PO10568</t>
  </si>
  <si>
    <t xml:space="preserve">PO10569</t>
  </si>
  <si>
    <t xml:space="preserve">PO10570</t>
  </si>
  <si>
    <t xml:space="preserve">PO10571</t>
  </si>
  <si>
    <t xml:space="preserve">PO10572</t>
  </si>
  <si>
    <t xml:space="preserve">PO10573</t>
  </si>
  <si>
    <t xml:space="preserve">PO10574</t>
  </si>
  <si>
    <t xml:space="preserve">PO10575</t>
  </si>
  <si>
    <t xml:space="preserve">PO10576</t>
  </si>
  <si>
    <t xml:space="preserve">PO10577</t>
  </si>
  <si>
    <t xml:space="preserve">PO10578</t>
  </si>
  <si>
    <t xml:space="preserve">PO10579</t>
  </si>
  <si>
    <t xml:space="preserve">PO10580</t>
  </si>
  <si>
    <t xml:space="preserve">PO10581</t>
  </si>
  <si>
    <t xml:space="preserve">PO10582</t>
  </si>
  <si>
    <t xml:space="preserve">PO10583</t>
  </si>
  <si>
    <t xml:space="preserve">PO10584</t>
  </si>
  <si>
    <t xml:space="preserve">PO10585</t>
  </si>
  <si>
    <t xml:space="preserve">PO10586</t>
  </si>
  <si>
    <t xml:space="preserve">PO10587</t>
  </si>
  <si>
    <t xml:space="preserve">PO10588</t>
  </si>
  <si>
    <t xml:space="preserve">PO10589</t>
  </si>
  <si>
    <t xml:space="preserve">PO10590</t>
  </si>
  <si>
    <t xml:space="preserve">PO10591</t>
  </si>
  <si>
    <t xml:space="preserve">PO10592</t>
  </si>
  <si>
    <t xml:space="preserve">PO10593</t>
  </si>
  <si>
    <t xml:space="preserve">PO10594</t>
  </si>
  <si>
    <t xml:space="preserve">PO10595</t>
  </si>
  <si>
    <t xml:space="preserve">PO10596</t>
  </si>
  <si>
    <t xml:space="preserve">PO10597</t>
  </si>
  <si>
    <t xml:space="preserve">PO10598</t>
  </si>
  <si>
    <t xml:space="preserve">PO10599</t>
  </si>
  <si>
    <t xml:space="preserve">PO10600</t>
  </si>
  <si>
    <t xml:space="preserve">PO10601</t>
  </si>
  <si>
    <t xml:space="preserve">PO10602</t>
  </si>
  <si>
    <t xml:space="preserve">PO10603</t>
  </si>
  <si>
    <t xml:space="preserve">PO10604</t>
  </si>
  <si>
    <t xml:space="preserve">PO10605</t>
  </si>
  <si>
    <t xml:space="preserve">PO10606</t>
  </si>
  <si>
    <t xml:space="preserve">PO10607</t>
  </si>
  <si>
    <t xml:space="preserve">PO10608</t>
  </si>
  <si>
    <t xml:space="preserve">PO10609</t>
  </si>
  <si>
    <t xml:space="preserve">PO10610</t>
  </si>
  <si>
    <t xml:space="preserve">PO10611</t>
  </si>
  <si>
    <t xml:space="preserve">PO10612</t>
  </si>
  <si>
    <t xml:space="preserve">PO10613</t>
  </si>
  <si>
    <t xml:space="preserve">PO10614</t>
  </si>
  <si>
    <t xml:space="preserve">PO10615</t>
  </si>
  <si>
    <t xml:space="preserve">PO10616</t>
  </si>
  <si>
    <t xml:space="preserve">PO10617</t>
  </si>
  <si>
    <t xml:space="preserve">PO10618</t>
  </si>
  <si>
    <t xml:space="preserve">PO10619</t>
  </si>
  <si>
    <t xml:space="preserve">PO10620</t>
  </si>
  <si>
    <t xml:space="preserve">PO10621</t>
  </si>
  <si>
    <t xml:space="preserve">PO10622</t>
  </si>
  <si>
    <t xml:space="preserve">PO10623</t>
  </si>
  <si>
    <t xml:space="preserve">PO10624</t>
  </si>
  <si>
    <t xml:space="preserve">PO10625</t>
  </si>
  <si>
    <t xml:space="preserve">PO10626</t>
  </si>
  <si>
    <t xml:space="preserve">PO10627</t>
  </si>
  <si>
    <t xml:space="preserve">PO10628</t>
  </si>
  <si>
    <t xml:space="preserve">PO10629</t>
  </si>
  <si>
    <t xml:space="preserve">PO10630</t>
  </si>
  <si>
    <t xml:space="preserve">PO10631</t>
  </si>
  <si>
    <t xml:space="preserve">PO10632</t>
  </si>
  <si>
    <t xml:space="preserve">PO10633</t>
  </si>
  <si>
    <t xml:space="preserve">PO10634</t>
  </si>
  <si>
    <t xml:space="preserve">PO10635</t>
  </si>
  <si>
    <t xml:space="preserve">PO10636</t>
  </si>
  <si>
    <t xml:space="preserve">PO10637</t>
  </si>
  <si>
    <t xml:space="preserve">PO10638</t>
  </si>
  <si>
    <t xml:space="preserve">PO10639</t>
  </si>
  <si>
    <t xml:space="preserve">PO10640</t>
  </si>
  <si>
    <t xml:space="preserve">PO10641</t>
  </si>
  <si>
    <t xml:space="preserve">PO10642</t>
  </si>
  <si>
    <t xml:space="preserve">PO10643</t>
  </si>
  <si>
    <t xml:space="preserve">PO10644</t>
  </si>
  <si>
    <t xml:space="preserve">PO10645</t>
  </si>
  <si>
    <t xml:space="preserve">PO10646</t>
  </si>
  <si>
    <t xml:space="preserve">PO10647</t>
  </si>
  <si>
    <t xml:space="preserve">PO10648</t>
  </si>
  <si>
    <t xml:space="preserve">PO10649</t>
  </si>
  <si>
    <t xml:space="preserve">PO10650</t>
  </si>
  <si>
    <t xml:space="preserve">PO10651</t>
  </si>
  <si>
    <t xml:space="preserve">PO10652</t>
  </si>
  <si>
    <t xml:space="preserve">PO10653</t>
  </si>
  <si>
    <t xml:space="preserve">PO10654</t>
  </si>
  <si>
    <t xml:space="preserve">PO10655</t>
  </si>
  <si>
    <t xml:space="preserve">PO10656</t>
  </si>
  <si>
    <t xml:space="preserve">PO10657</t>
  </si>
  <si>
    <t xml:space="preserve">PO10658</t>
  </si>
  <si>
    <t xml:space="preserve">PO10659</t>
  </si>
  <si>
    <t xml:space="preserve">PO10660</t>
  </si>
  <si>
    <t xml:space="preserve">PO10661</t>
  </si>
  <si>
    <t xml:space="preserve">PO10662</t>
  </si>
  <si>
    <t xml:space="preserve">PO10663</t>
  </si>
  <si>
    <t xml:space="preserve">PO10664</t>
  </si>
  <si>
    <t xml:space="preserve">PO10665</t>
  </si>
  <si>
    <t xml:space="preserve">PO10666</t>
  </si>
  <si>
    <t xml:space="preserve">PO10667</t>
  </si>
  <si>
    <t xml:space="preserve">PO10668</t>
  </si>
  <si>
    <t xml:space="preserve">PO10669</t>
  </si>
  <si>
    <t xml:space="preserve">PO10670</t>
  </si>
  <si>
    <t xml:space="preserve">PO10671</t>
  </si>
  <si>
    <t xml:space="preserve">PO10672</t>
  </si>
  <si>
    <t xml:space="preserve">PO10673</t>
  </si>
  <si>
    <t xml:space="preserve">PO10674</t>
  </si>
  <si>
    <t xml:space="preserve">PO10675</t>
  </si>
  <si>
    <t xml:space="preserve">PO10676</t>
  </si>
  <si>
    <t xml:space="preserve">PO10677</t>
  </si>
  <si>
    <t xml:space="preserve">PO10678</t>
  </si>
  <si>
    <t xml:space="preserve">PO10679</t>
  </si>
  <si>
    <t xml:space="preserve">PO10680</t>
  </si>
  <si>
    <t xml:space="preserve">PO10681</t>
  </si>
  <si>
    <t xml:space="preserve">PO10682</t>
  </si>
  <si>
    <t xml:space="preserve">PO10683</t>
  </si>
  <si>
    <t xml:space="preserve">PO10684</t>
  </si>
  <si>
    <t xml:space="preserve">PO10685</t>
  </si>
  <si>
    <t xml:space="preserve">PO10686</t>
  </si>
  <si>
    <t xml:space="preserve">PO10687</t>
  </si>
  <si>
    <t xml:space="preserve">PO10688</t>
  </si>
  <si>
    <t xml:space="preserve">PO10689</t>
  </si>
  <si>
    <t xml:space="preserve">PO10690</t>
  </si>
  <si>
    <t xml:space="preserve">PO10691</t>
  </si>
  <si>
    <t xml:space="preserve">PO10692</t>
  </si>
  <si>
    <t xml:space="preserve">PO10693</t>
  </si>
  <si>
    <t xml:space="preserve">PO10694</t>
  </si>
  <si>
    <t xml:space="preserve">PO10695</t>
  </si>
  <si>
    <t xml:space="preserve">PO10696</t>
  </si>
  <si>
    <t xml:space="preserve">PO10697</t>
  </si>
  <si>
    <t xml:space="preserve">PO10698</t>
  </si>
  <si>
    <t xml:space="preserve">PO10699</t>
  </si>
  <si>
    <t xml:space="preserve">PO10700</t>
  </si>
  <si>
    <t xml:space="preserve">PO10701</t>
  </si>
  <si>
    <t xml:space="preserve">PO10702</t>
  </si>
  <si>
    <t xml:space="preserve">PO10703</t>
  </si>
  <si>
    <t xml:space="preserve">PO10704</t>
  </si>
  <si>
    <t xml:space="preserve">PO10705</t>
  </si>
  <si>
    <t xml:space="preserve">PO10706</t>
  </si>
  <si>
    <t xml:space="preserve">PO10707</t>
  </si>
  <si>
    <t xml:space="preserve">PO10708</t>
  </si>
  <si>
    <t xml:space="preserve">PO10709</t>
  </si>
  <si>
    <t xml:space="preserve">PO10710</t>
  </si>
  <si>
    <t xml:space="preserve">PO10711</t>
  </si>
  <si>
    <t xml:space="preserve">PO10712</t>
  </si>
  <si>
    <t xml:space="preserve">PO10713</t>
  </si>
  <si>
    <t xml:space="preserve">PO10714</t>
  </si>
  <si>
    <t xml:space="preserve">PO10715</t>
  </si>
  <si>
    <t xml:space="preserve">PO10716</t>
  </si>
  <si>
    <t xml:space="preserve">PO10717</t>
  </si>
  <si>
    <t xml:space="preserve">PO10718</t>
  </si>
  <si>
    <t xml:space="preserve">PO10719</t>
  </si>
  <si>
    <t xml:space="preserve">PO10720</t>
  </si>
  <si>
    <t xml:space="preserve">PO10721</t>
  </si>
  <si>
    <t xml:space="preserve">PO10722</t>
  </si>
  <si>
    <t xml:space="preserve">PO10723</t>
  </si>
  <si>
    <t xml:space="preserve">PO10724</t>
  </si>
  <si>
    <t xml:space="preserve">PO10725</t>
  </si>
  <si>
    <t xml:space="preserve">PO10726</t>
  </si>
  <si>
    <t xml:space="preserve">PO10727</t>
  </si>
  <si>
    <t xml:space="preserve">PO10728</t>
  </si>
  <si>
    <t xml:space="preserve">PO10729</t>
  </si>
  <si>
    <t xml:space="preserve">PO10730</t>
  </si>
  <si>
    <t xml:space="preserve">PO10731</t>
  </si>
  <si>
    <t xml:space="preserve">PO10732</t>
  </si>
  <si>
    <t xml:space="preserve">PO10733</t>
  </si>
  <si>
    <t xml:space="preserve">PO10734</t>
  </si>
  <si>
    <t xml:space="preserve">PO10735</t>
  </si>
  <si>
    <t xml:space="preserve">PO10736</t>
  </si>
  <si>
    <t xml:space="preserve">PO10737</t>
  </si>
  <si>
    <t xml:space="preserve">PO10738</t>
  </si>
  <si>
    <t xml:space="preserve">PO10739</t>
  </si>
  <si>
    <t xml:space="preserve">PO10740</t>
  </si>
  <si>
    <t xml:space="preserve">PO10741</t>
  </si>
  <si>
    <t xml:space="preserve">PO10742</t>
  </si>
  <si>
    <t xml:space="preserve">PO10743</t>
  </si>
  <si>
    <t xml:space="preserve">PO10744</t>
  </si>
  <si>
    <t xml:space="preserve">PO10745</t>
  </si>
  <si>
    <t xml:space="preserve">PO10746</t>
  </si>
  <si>
    <t xml:space="preserve">PO10747</t>
  </si>
  <si>
    <t xml:space="preserve">PO10748</t>
  </si>
  <si>
    <t xml:space="preserve">PO10749</t>
  </si>
  <si>
    <t xml:space="preserve">PO10750</t>
  </si>
  <si>
    <t xml:space="preserve">PO10751</t>
  </si>
  <si>
    <t xml:space="preserve">PO10752</t>
  </si>
  <si>
    <t xml:space="preserve">PO10753</t>
  </si>
  <si>
    <t xml:space="preserve">PO10754</t>
  </si>
  <si>
    <t xml:space="preserve">PO10755</t>
  </si>
  <si>
    <t xml:space="preserve">PO10756</t>
  </si>
  <si>
    <t xml:space="preserve">PO10757</t>
  </si>
  <si>
    <t xml:space="preserve">PO10758</t>
  </si>
  <si>
    <t xml:space="preserve">PO10759</t>
  </si>
  <si>
    <t xml:space="preserve">PO10760</t>
  </si>
  <si>
    <t xml:space="preserve">PO10761</t>
  </si>
  <si>
    <t xml:space="preserve">PO10762</t>
  </si>
  <si>
    <t xml:space="preserve">PO10763</t>
  </si>
  <si>
    <t xml:space="preserve">PO10764</t>
  </si>
  <si>
    <t xml:space="preserve">PO10765</t>
  </si>
  <si>
    <t xml:space="preserve">PO10766</t>
  </si>
  <si>
    <t xml:space="preserve">PO10767</t>
  </si>
  <si>
    <t xml:space="preserve">PO10768</t>
  </si>
  <si>
    <t xml:space="preserve">PO10769</t>
  </si>
  <si>
    <t xml:space="preserve">PO10770</t>
  </si>
  <si>
    <t xml:space="preserve">PO10771</t>
  </si>
  <si>
    <t xml:space="preserve">PO10772</t>
  </si>
  <si>
    <t xml:space="preserve">PO10773</t>
  </si>
  <si>
    <t xml:space="preserve">PO10774</t>
  </si>
  <si>
    <t xml:space="preserve">PO10775</t>
  </si>
  <si>
    <t xml:space="preserve">PO10776</t>
  </si>
  <si>
    <t xml:space="preserve">PO10777</t>
  </si>
  <si>
    <t xml:space="preserve">PO10778</t>
  </si>
  <si>
    <t xml:space="preserve">PO10779</t>
  </si>
  <si>
    <t xml:space="preserve">PO10780</t>
  </si>
  <si>
    <t xml:space="preserve">PO10781</t>
  </si>
  <si>
    <t xml:space="preserve">PO10782</t>
  </si>
  <si>
    <t xml:space="preserve">PO10783</t>
  </si>
  <si>
    <t xml:space="preserve">PO10784</t>
  </si>
  <si>
    <t xml:space="preserve">PO10785</t>
  </si>
  <si>
    <t xml:space="preserve">PO10786</t>
  </si>
  <si>
    <t xml:space="preserve">PO10787</t>
  </si>
  <si>
    <t xml:space="preserve">PO10788</t>
  </si>
  <si>
    <t xml:space="preserve">PO10789</t>
  </si>
  <si>
    <t xml:space="preserve">PO10790</t>
  </si>
  <si>
    <t xml:space="preserve">PO10791</t>
  </si>
  <si>
    <t xml:space="preserve">PO10792</t>
  </si>
  <si>
    <t xml:space="preserve">PO10793</t>
  </si>
  <si>
    <t xml:space="preserve">PO10794</t>
  </si>
  <si>
    <t xml:space="preserve">PO10795</t>
  </si>
  <si>
    <t xml:space="preserve">PO10796</t>
  </si>
  <si>
    <t xml:space="preserve">PO10797</t>
  </si>
  <si>
    <t xml:space="preserve">PO10798</t>
  </si>
  <si>
    <t xml:space="preserve">PO10799</t>
  </si>
  <si>
    <t xml:space="preserve">PO10800</t>
  </si>
  <si>
    <t xml:space="preserve">PO10801</t>
  </si>
  <si>
    <t xml:space="preserve">PO10802</t>
  </si>
  <si>
    <t xml:space="preserve">PO10803</t>
  </si>
  <si>
    <t xml:space="preserve">PO10804</t>
  </si>
  <si>
    <t xml:space="preserve">PO10805</t>
  </si>
  <si>
    <t xml:space="preserve">PO10806</t>
  </si>
  <si>
    <t xml:space="preserve">PO10807</t>
  </si>
  <si>
    <t xml:space="preserve">PO10808</t>
  </si>
  <si>
    <t xml:space="preserve">PO10809</t>
  </si>
  <si>
    <t xml:space="preserve">PO10810</t>
  </si>
  <si>
    <t xml:space="preserve">PO10811</t>
  </si>
  <si>
    <t xml:space="preserve">PO10812</t>
  </si>
  <si>
    <t xml:space="preserve">PO10813</t>
  </si>
  <si>
    <t xml:space="preserve">PO10814</t>
  </si>
  <si>
    <t xml:space="preserve">PO10815</t>
  </si>
  <si>
    <t xml:space="preserve">PO10816</t>
  </si>
  <si>
    <t xml:space="preserve">PO10817</t>
  </si>
  <si>
    <t xml:space="preserve">PO10818</t>
  </si>
  <si>
    <t xml:space="preserve">PO10819</t>
  </si>
  <si>
    <t xml:space="preserve">PO10820</t>
  </si>
  <si>
    <t xml:space="preserve">PO10821</t>
  </si>
  <si>
    <t xml:space="preserve">PO10822</t>
  </si>
  <si>
    <t xml:space="preserve">PO10823</t>
  </si>
  <si>
    <t xml:space="preserve">PO10824</t>
  </si>
  <si>
    <t xml:space="preserve">PO10825</t>
  </si>
  <si>
    <t xml:space="preserve">PO10826</t>
  </si>
  <si>
    <t xml:space="preserve">PO10827</t>
  </si>
  <si>
    <t xml:space="preserve">PO10828</t>
  </si>
  <si>
    <t xml:space="preserve">PO10829</t>
  </si>
  <si>
    <t xml:space="preserve">PO10830</t>
  </si>
  <si>
    <t xml:space="preserve">PO10831</t>
  </si>
  <si>
    <t xml:space="preserve">PO10832</t>
  </si>
  <si>
    <t xml:space="preserve">PO10833</t>
  </si>
  <si>
    <t xml:space="preserve">PO10834</t>
  </si>
  <si>
    <t xml:space="preserve">PO10835</t>
  </si>
  <si>
    <t xml:space="preserve">PO10836</t>
  </si>
  <si>
    <t xml:space="preserve">PO10837</t>
  </si>
  <si>
    <t xml:space="preserve">PO10838</t>
  </si>
  <si>
    <t xml:space="preserve">PO10839</t>
  </si>
  <si>
    <t xml:space="preserve">PO10840</t>
  </si>
  <si>
    <t xml:space="preserve">PO10841</t>
  </si>
  <si>
    <t xml:space="preserve">PO10842</t>
  </si>
  <si>
    <t xml:space="preserve">PO10843</t>
  </si>
  <si>
    <t xml:space="preserve">PO10844</t>
  </si>
  <si>
    <t xml:space="preserve">PO10845</t>
  </si>
  <si>
    <t xml:space="preserve">PO10846</t>
  </si>
  <si>
    <t xml:space="preserve">PO10847</t>
  </si>
  <si>
    <t xml:space="preserve">PO10848</t>
  </si>
  <si>
    <t xml:space="preserve">PO10849</t>
  </si>
  <si>
    <t xml:space="preserve">PO10850</t>
  </si>
  <si>
    <t xml:space="preserve">PO10851</t>
  </si>
  <si>
    <t xml:space="preserve">PO10852</t>
  </si>
  <si>
    <t xml:space="preserve">PO10853</t>
  </si>
  <si>
    <t xml:space="preserve">PO10854</t>
  </si>
  <si>
    <t xml:space="preserve">PO10855</t>
  </si>
  <si>
    <t xml:space="preserve">PO10856</t>
  </si>
  <si>
    <t xml:space="preserve">PO10857</t>
  </si>
  <si>
    <t xml:space="preserve">PO10858</t>
  </si>
  <si>
    <t xml:space="preserve">PO10859</t>
  </si>
  <si>
    <t xml:space="preserve">PO10860</t>
  </si>
  <si>
    <t xml:space="preserve">PO10861</t>
  </si>
  <si>
    <t xml:space="preserve">PO10862</t>
  </si>
  <si>
    <t xml:space="preserve">PO10863</t>
  </si>
  <si>
    <t xml:space="preserve">PO10864</t>
  </si>
  <si>
    <t xml:space="preserve">PO10865</t>
  </si>
  <si>
    <t xml:space="preserve">PO10866</t>
  </si>
  <si>
    <t xml:space="preserve">PO10867</t>
  </si>
  <si>
    <t xml:space="preserve">PO10868</t>
  </si>
  <si>
    <t xml:space="preserve">PO10869</t>
  </si>
  <si>
    <t xml:space="preserve">PO10870</t>
  </si>
  <si>
    <t xml:space="preserve">PO10871</t>
  </si>
  <si>
    <t xml:space="preserve">PO10872</t>
  </si>
  <si>
    <t xml:space="preserve">PO10873</t>
  </si>
  <si>
    <t xml:space="preserve">PO10874</t>
  </si>
  <si>
    <t xml:space="preserve">PO10875</t>
  </si>
  <si>
    <t xml:space="preserve">PO10876</t>
  </si>
  <si>
    <t xml:space="preserve">PO10877</t>
  </si>
  <si>
    <t xml:space="preserve">PO10878</t>
  </si>
  <si>
    <t xml:space="preserve">PO10879</t>
  </si>
  <si>
    <t xml:space="preserve">PO10880</t>
  </si>
  <si>
    <t xml:space="preserve">PO10881</t>
  </si>
  <si>
    <t xml:space="preserve">PO10882</t>
  </si>
  <si>
    <t xml:space="preserve">PO10883</t>
  </si>
  <si>
    <t xml:space="preserve">PO10884</t>
  </si>
  <si>
    <t xml:space="preserve">PO10885</t>
  </si>
  <si>
    <t xml:space="preserve">PO10886</t>
  </si>
  <si>
    <t xml:space="preserve">PO10887</t>
  </si>
  <si>
    <t xml:space="preserve">PO10888</t>
  </si>
  <si>
    <t xml:space="preserve">PO10889</t>
  </si>
  <si>
    <t xml:space="preserve">PO10890</t>
  </si>
  <si>
    <t xml:space="preserve">PO10891</t>
  </si>
  <si>
    <t xml:space="preserve">PO10892</t>
  </si>
  <si>
    <t xml:space="preserve">PO10893</t>
  </si>
  <si>
    <t xml:space="preserve">PO10894</t>
  </si>
  <si>
    <t xml:space="preserve">PO10895</t>
  </si>
  <si>
    <t xml:space="preserve">PO10896</t>
  </si>
  <si>
    <t xml:space="preserve">PO10897</t>
  </si>
  <si>
    <t xml:space="preserve">PO10898</t>
  </si>
  <si>
    <t xml:space="preserve">PO10899</t>
  </si>
  <si>
    <t xml:space="preserve">PO10900</t>
  </si>
  <si>
    <t xml:space="preserve">PO10901</t>
  </si>
  <si>
    <t xml:space="preserve">PO10902</t>
  </si>
  <si>
    <t xml:space="preserve">PO10903</t>
  </si>
  <si>
    <t xml:space="preserve">PO10904</t>
  </si>
  <si>
    <t xml:space="preserve">PO10905</t>
  </si>
  <si>
    <t xml:space="preserve">PO10906</t>
  </si>
  <si>
    <t xml:space="preserve">PO10907</t>
  </si>
  <si>
    <t xml:space="preserve">PO10908</t>
  </si>
  <si>
    <t xml:space="preserve">PO10909</t>
  </si>
  <si>
    <t xml:space="preserve">PO10910</t>
  </si>
  <si>
    <t xml:space="preserve">PO10911</t>
  </si>
  <si>
    <t xml:space="preserve">PO10912</t>
  </si>
  <si>
    <t xml:space="preserve">PO10913</t>
  </si>
  <si>
    <t xml:space="preserve">PO10914</t>
  </si>
  <si>
    <t xml:space="preserve">PO10915</t>
  </si>
  <si>
    <t xml:space="preserve">PO10916</t>
  </si>
  <si>
    <t xml:space="preserve">PO10917</t>
  </si>
  <si>
    <t xml:space="preserve">PO10918</t>
  </si>
  <si>
    <t xml:space="preserve">PO10919</t>
  </si>
  <si>
    <t xml:space="preserve">PO10920</t>
  </si>
  <si>
    <t xml:space="preserve">PO10921</t>
  </si>
  <si>
    <t xml:space="preserve">PO10922</t>
  </si>
  <si>
    <t xml:space="preserve">PO10923</t>
  </si>
  <si>
    <t xml:space="preserve">PO10924</t>
  </si>
  <si>
    <t xml:space="preserve">PO10925</t>
  </si>
  <si>
    <t xml:space="preserve">PO10926</t>
  </si>
  <si>
    <t xml:space="preserve">PO10927</t>
  </si>
  <si>
    <t xml:space="preserve">PO10928</t>
  </si>
  <si>
    <t xml:space="preserve">PO10929</t>
  </si>
  <si>
    <t xml:space="preserve">PO10930</t>
  </si>
  <si>
    <t xml:space="preserve">PO10931</t>
  </si>
  <si>
    <t xml:space="preserve">PO10932</t>
  </si>
  <si>
    <t xml:space="preserve">PO10933</t>
  </si>
  <si>
    <t xml:space="preserve">PO10934</t>
  </si>
  <si>
    <t xml:space="preserve">PO10935</t>
  </si>
  <si>
    <t xml:space="preserve">PO10936</t>
  </si>
  <si>
    <t xml:space="preserve">PO10937</t>
  </si>
  <si>
    <t xml:space="preserve">PO10938</t>
  </si>
  <si>
    <t xml:space="preserve">PO10939</t>
  </si>
  <si>
    <t xml:space="preserve">PO10940</t>
  </si>
  <si>
    <t xml:space="preserve">PO10941</t>
  </si>
  <si>
    <t xml:space="preserve">PO10942</t>
  </si>
  <si>
    <t xml:space="preserve">PO10943</t>
  </si>
  <si>
    <t xml:space="preserve">PO10944</t>
  </si>
  <si>
    <t xml:space="preserve">PO10945</t>
  </si>
  <si>
    <t xml:space="preserve">PO10946</t>
  </si>
  <si>
    <t xml:space="preserve">PO10947</t>
  </si>
  <si>
    <t xml:space="preserve">PO10948</t>
  </si>
  <si>
    <t xml:space="preserve">PO10949</t>
  </si>
  <si>
    <t xml:space="preserve">PO10950</t>
  </si>
  <si>
    <t xml:space="preserve">PO10951</t>
  </si>
  <si>
    <t xml:space="preserve">PO10952</t>
  </si>
  <si>
    <t xml:space="preserve">PO10953</t>
  </si>
  <si>
    <t xml:space="preserve">PO10954</t>
  </si>
  <si>
    <t xml:space="preserve">PO10955</t>
  </si>
  <si>
    <t xml:space="preserve">PO10956</t>
  </si>
  <si>
    <t xml:space="preserve">PO10957</t>
  </si>
  <si>
    <t xml:space="preserve">PO10958</t>
  </si>
  <si>
    <t xml:space="preserve">PO10959</t>
  </si>
  <si>
    <t xml:space="preserve">PO10960</t>
  </si>
  <si>
    <t xml:space="preserve">PO10961</t>
  </si>
  <si>
    <t xml:space="preserve">PO10962</t>
  </si>
  <si>
    <t xml:space="preserve">PO10963</t>
  </si>
  <si>
    <t xml:space="preserve">PO10964</t>
  </si>
  <si>
    <t xml:space="preserve">PO10965</t>
  </si>
  <si>
    <t xml:space="preserve">PO10966</t>
  </si>
  <si>
    <t xml:space="preserve">PO10967</t>
  </si>
  <si>
    <t xml:space="preserve">PO10968</t>
  </si>
  <si>
    <t xml:space="preserve">PO10969</t>
  </si>
  <si>
    <t xml:space="preserve">PO10970</t>
  </si>
  <si>
    <t xml:space="preserve">PO10971</t>
  </si>
  <si>
    <t xml:space="preserve">PO10972</t>
  </si>
  <si>
    <t xml:space="preserve">PO10973</t>
  </si>
  <si>
    <t xml:space="preserve">PO10974</t>
  </si>
  <si>
    <t xml:space="preserve">PO10975</t>
  </si>
  <si>
    <t xml:space="preserve">PO10976</t>
  </si>
  <si>
    <t xml:space="preserve">PO10977</t>
  </si>
  <si>
    <t xml:space="preserve">PO10978</t>
  </si>
  <si>
    <t xml:space="preserve">PO10979</t>
  </si>
  <si>
    <t xml:space="preserve">PO10980</t>
  </si>
  <si>
    <t xml:space="preserve">PO10981</t>
  </si>
  <si>
    <t xml:space="preserve">PO10982</t>
  </si>
  <si>
    <t xml:space="preserve">PO10983</t>
  </si>
  <si>
    <t xml:space="preserve">PO10984</t>
  </si>
  <si>
    <t xml:space="preserve">PO10985</t>
  </si>
  <si>
    <t xml:space="preserve">PO10986</t>
  </si>
  <si>
    <t xml:space="preserve">PO10987</t>
  </si>
  <si>
    <t xml:space="preserve">PO10988</t>
  </si>
  <si>
    <t xml:space="preserve">PO10989</t>
  </si>
  <si>
    <t xml:space="preserve">PO10990</t>
  </si>
  <si>
    <t xml:space="preserve">PO10991</t>
  </si>
  <si>
    <t xml:space="preserve">PO10992</t>
  </si>
  <si>
    <t xml:space="preserve">PO10993</t>
  </si>
  <si>
    <t xml:space="preserve">PO10994</t>
  </si>
  <si>
    <t xml:space="preserve">PO10995</t>
  </si>
  <si>
    <t xml:space="preserve">PO10996</t>
  </si>
  <si>
    <t xml:space="preserve">PO10997</t>
  </si>
  <si>
    <t xml:space="preserve">PO10998</t>
  </si>
  <si>
    <t xml:space="preserve">PO10999</t>
  </si>
  <si>
    <t xml:space="preserve">PO11000</t>
  </si>
  <si>
    <t xml:space="preserve">PO11001</t>
  </si>
  <si>
    <t xml:space="preserve">PO11002</t>
  </si>
  <si>
    <t xml:space="preserve">PO11003</t>
  </si>
  <si>
    <t xml:space="preserve">PO11004</t>
  </si>
  <si>
    <t xml:space="preserve">PO11005</t>
  </si>
  <si>
    <t xml:space="preserve">PO11006</t>
  </si>
  <si>
    <t xml:space="preserve">PO11007</t>
  </si>
  <si>
    <t xml:space="preserve">PO11008</t>
  </si>
  <si>
    <t xml:space="preserve">PO11009</t>
  </si>
  <si>
    <t xml:space="preserve">PO11010</t>
  </si>
  <si>
    <t xml:space="preserve">PO11011</t>
  </si>
  <si>
    <t xml:space="preserve">PO11012</t>
  </si>
  <si>
    <t xml:space="preserve">PO11013</t>
  </si>
  <si>
    <t xml:space="preserve">PO11014</t>
  </si>
  <si>
    <t xml:space="preserve">PO11015</t>
  </si>
  <si>
    <t xml:space="preserve">PO11016</t>
  </si>
  <si>
    <t xml:space="preserve">PO11017</t>
  </si>
  <si>
    <t xml:space="preserve">PO11018</t>
  </si>
  <si>
    <t xml:space="preserve">PO11019</t>
  </si>
  <si>
    <t xml:space="preserve">PO11020</t>
  </si>
  <si>
    <t xml:space="preserve">PO11021</t>
  </si>
  <si>
    <t xml:space="preserve">PO11022</t>
  </si>
  <si>
    <t xml:space="preserve">PO11023</t>
  </si>
  <si>
    <t xml:space="preserve">PO11024</t>
  </si>
  <si>
    <t xml:space="preserve">PO11025</t>
  </si>
  <si>
    <t xml:space="preserve">PO11026</t>
  </si>
  <si>
    <t xml:space="preserve">PO11027</t>
  </si>
  <si>
    <t xml:space="preserve">PO11028</t>
  </si>
  <si>
    <t xml:space="preserve">PO11029</t>
  </si>
  <si>
    <t xml:space="preserve">PO11030</t>
  </si>
  <si>
    <t xml:space="preserve">PO11031</t>
  </si>
  <si>
    <t xml:space="preserve">PO11032</t>
  </si>
  <si>
    <t xml:space="preserve">PO11033</t>
  </si>
  <si>
    <t xml:space="preserve">PO11034</t>
  </si>
  <si>
    <t xml:space="preserve">PO11035</t>
  </si>
  <si>
    <t xml:space="preserve">PO11036</t>
  </si>
  <si>
    <t xml:space="preserve">PO11037</t>
  </si>
  <si>
    <t xml:space="preserve">PO11038</t>
  </si>
  <si>
    <t xml:space="preserve">PO11039</t>
  </si>
  <si>
    <t xml:space="preserve">PO11040</t>
  </si>
  <si>
    <t xml:space="preserve">PO11041</t>
  </si>
  <si>
    <t xml:space="preserve">PO11042</t>
  </si>
  <si>
    <t xml:space="preserve">PO11043</t>
  </si>
  <si>
    <t xml:space="preserve">PO11044</t>
  </si>
  <si>
    <t xml:space="preserve">PO11045</t>
  </si>
  <si>
    <t xml:space="preserve">PO11046</t>
  </si>
  <si>
    <t xml:space="preserve">PO11047</t>
  </si>
  <si>
    <t xml:space="preserve">PO11048</t>
  </si>
  <si>
    <t xml:space="preserve">PO11049</t>
  </si>
  <si>
    <t xml:space="preserve">PO11050</t>
  </si>
  <si>
    <t xml:space="preserve">PO11051</t>
  </si>
  <si>
    <t xml:space="preserve">PO11052</t>
  </si>
  <si>
    <t xml:space="preserve">PO11053</t>
  </si>
  <si>
    <t xml:space="preserve">PO11054</t>
  </si>
  <si>
    <t xml:space="preserve">PO11055</t>
  </si>
  <si>
    <t xml:space="preserve">PO11056</t>
  </si>
  <si>
    <t xml:space="preserve">PO11057</t>
  </si>
  <si>
    <t xml:space="preserve">PO11058</t>
  </si>
  <si>
    <t xml:space="preserve">PO11059</t>
  </si>
  <si>
    <t xml:space="preserve">PO11060</t>
  </si>
  <si>
    <t xml:space="preserve">PO11061</t>
  </si>
  <si>
    <t xml:space="preserve">PO11062</t>
  </si>
  <si>
    <t xml:space="preserve">PO11063</t>
  </si>
  <si>
    <t xml:space="preserve">PO11064</t>
  </si>
  <si>
    <t xml:space="preserve">PO11065</t>
  </si>
  <si>
    <t xml:space="preserve">PO11066</t>
  </si>
  <si>
    <t xml:space="preserve">PO11067</t>
  </si>
  <si>
    <t xml:space="preserve">PO11068</t>
  </si>
  <si>
    <t xml:space="preserve">PO11069</t>
  </si>
  <si>
    <t xml:space="preserve">PO11070</t>
  </si>
  <si>
    <t xml:space="preserve">PO11071</t>
  </si>
  <si>
    <t xml:space="preserve">PO11072</t>
  </si>
  <si>
    <t xml:space="preserve">PO11073</t>
  </si>
  <si>
    <t xml:space="preserve">PO11074</t>
  </si>
  <si>
    <t xml:space="preserve">PO11075</t>
  </si>
  <si>
    <t xml:space="preserve">PO11076</t>
  </si>
  <si>
    <t xml:space="preserve">PO11077</t>
  </si>
  <si>
    <t xml:space="preserve">PO11078</t>
  </si>
  <si>
    <t xml:space="preserve">PO11079</t>
  </si>
  <si>
    <t xml:space="preserve">PO11080</t>
  </si>
  <si>
    <t xml:space="preserve">PO11081</t>
  </si>
  <si>
    <t xml:space="preserve">PO11082</t>
  </si>
  <si>
    <t xml:space="preserve">PO11083</t>
  </si>
  <si>
    <t xml:space="preserve">PO11084</t>
  </si>
  <si>
    <t xml:space="preserve">PO11085</t>
  </si>
  <si>
    <t xml:space="preserve">PO11086</t>
  </si>
  <si>
    <t xml:space="preserve">PO11087</t>
  </si>
  <si>
    <t xml:space="preserve">PO11088</t>
  </si>
  <si>
    <t xml:space="preserve">PO11089</t>
  </si>
  <si>
    <t xml:space="preserve">PO11090</t>
  </si>
  <si>
    <t xml:space="preserve">PO11091</t>
  </si>
  <si>
    <t xml:space="preserve">PO11092</t>
  </si>
  <si>
    <t xml:space="preserve">PO11093</t>
  </si>
  <si>
    <t xml:space="preserve">PO11094</t>
  </si>
  <si>
    <t xml:space="preserve">PO11095</t>
  </si>
  <si>
    <t xml:space="preserve">PO11096</t>
  </si>
  <si>
    <t xml:space="preserve">PO11097</t>
  </si>
  <si>
    <t xml:space="preserve">PO11098</t>
  </si>
  <si>
    <t xml:space="preserve">PO11099</t>
  </si>
  <si>
    <t xml:space="preserve">PO11100</t>
  </si>
  <si>
    <t xml:space="preserve">PO11101</t>
  </si>
  <si>
    <t xml:space="preserve">PO11102</t>
  </si>
  <si>
    <t xml:space="preserve">PO11103</t>
  </si>
  <si>
    <t xml:space="preserve">PO11104</t>
  </si>
  <si>
    <t xml:space="preserve">PO11105</t>
  </si>
  <si>
    <t xml:space="preserve">PO11106</t>
  </si>
  <si>
    <t xml:space="preserve">PO11107</t>
  </si>
  <si>
    <t xml:space="preserve">PO11108</t>
  </si>
  <si>
    <t xml:space="preserve">PO11109</t>
  </si>
  <si>
    <t xml:space="preserve">PO11110</t>
  </si>
  <si>
    <t xml:space="preserve">PO11111</t>
  </si>
  <si>
    <t xml:space="preserve">PO11112</t>
  </si>
  <si>
    <t xml:space="preserve">PO11113</t>
  </si>
  <si>
    <t xml:space="preserve">PO11114</t>
  </si>
  <si>
    <t xml:space="preserve">PO11115</t>
  </si>
  <si>
    <t xml:space="preserve">PO11116</t>
  </si>
  <si>
    <t xml:space="preserve">PO11117</t>
  </si>
  <si>
    <t xml:space="preserve">PO11118</t>
  </si>
  <si>
    <t xml:space="preserve">PO11119</t>
  </si>
  <si>
    <t xml:space="preserve">PO11120</t>
  </si>
  <si>
    <t xml:space="preserve">PO11121</t>
  </si>
  <si>
    <t xml:space="preserve">PO11122</t>
  </si>
  <si>
    <t xml:space="preserve">PO11123</t>
  </si>
  <si>
    <t xml:space="preserve">PO11124</t>
  </si>
  <si>
    <t xml:space="preserve">PO11125</t>
  </si>
  <si>
    <t xml:space="preserve">PO11126</t>
  </si>
  <si>
    <t xml:space="preserve">PO11127</t>
  </si>
  <si>
    <t xml:space="preserve">PO11128</t>
  </si>
  <si>
    <t xml:space="preserve">PO11129</t>
  </si>
  <si>
    <t xml:space="preserve">PO11130</t>
  </si>
  <si>
    <t xml:space="preserve">PO11131</t>
  </si>
  <si>
    <t xml:space="preserve">PO11132</t>
  </si>
  <si>
    <t xml:space="preserve">PO11133</t>
  </si>
  <si>
    <t xml:space="preserve">PO11134</t>
  </si>
  <si>
    <t xml:space="preserve">PO11135</t>
  </si>
  <si>
    <t xml:space="preserve">PO11136</t>
  </si>
  <si>
    <t xml:space="preserve">PO11137</t>
  </si>
  <si>
    <t xml:space="preserve">PO11138</t>
  </si>
  <si>
    <t xml:space="preserve">PO11139</t>
  </si>
  <si>
    <t xml:space="preserve">PO11140</t>
  </si>
  <si>
    <t xml:space="preserve">PO11141</t>
  </si>
  <si>
    <t xml:space="preserve">PO11142</t>
  </si>
  <si>
    <t xml:space="preserve">PO11143</t>
  </si>
  <si>
    <t xml:space="preserve">PO11144</t>
  </si>
  <si>
    <t xml:space="preserve">PO11145</t>
  </si>
  <si>
    <t xml:space="preserve">PO11146</t>
  </si>
  <si>
    <t xml:space="preserve">PO11147</t>
  </si>
  <si>
    <t xml:space="preserve">PO11148</t>
  </si>
  <si>
    <t xml:space="preserve">PO11149</t>
  </si>
  <si>
    <t xml:space="preserve">PO11150</t>
  </si>
  <si>
    <t xml:space="preserve">PO11151</t>
  </si>
  <si>
    <t xml:space="preserve">PO11152</t>
  </si>
  <si>
    <t xml:space="preserve">PO11153</t>
  </si>
  <si>
    <t xml:space="preserve">PO11154</t>
  </si>
  <si>
    <t xml:space="preserve">PO11155</t>
  </si>
  <si>
    <t xml:space="preserve">PO11156</t>
  </si>
  <si>
    <t xml:space="preserve">PO11157</t>
  </si>
  <si>
    <t xml:space="preserve">PO11158</t>
  </si>
  <si>
    <t xml:space="preserve">PO11159</t>
  </si>
  <si>
    <t xml:space="preserve">PO11160</t>
  </si>
  <si>
    <t xml:space="preserve">PO11161</t>
  </si>
  <si>
    <t xml:space="preserve">PO11162</t>
  </si>
  <si>
    <t xml:space="preserve">PO11163</t>
  </si>
  <si>
    <t xml:space="preserve">PO11164</t>
  </si>
  <si>
    <t xml:space="preserve">PO11165</t>
  </si>
  <si>
    <t xml:space="preserve">PO11166</t>
  </si>
  <si>
    <t xml:space="preserve">PO11167</t>
  </si>
  <si>
    <t xml:space="preserve">PO11168</t>
  </si>
  <si>
    <t xml:space="preserve">PO11169</t>
  </si>
  <si>
    <t xml:space="preserve">PO11170</t>
  </si>
  <si>
    <t xml:space="preserve">PO11171</t>
  </si>
  <si>
    <t xml:space="preserve">PO11172</t>
  </si>
  <si>
    <t xml:space="preserve">PO11173</t>
  </si>
  <si>
    <t xml:space="preserve">PO11174</t>
  </si>
  <si>
    <t xml:space="preserve">PO11175</t>
  </si>
  <si>
    <t xml:space="preserve">PO11176</t>
  </si>
  <si>
    <t xml:space="preserve">PO11177</t>
  </si>
  <si>
    <t xml:space="preserve">PO11178</t>
  </si>
  <si>
    <t xml:space="preserve">PO11179</t>
  </si>
  <si>
    <t xml:space="preserve">PO11180</t>
  </si>
  <si>
    <t xml:space="preserve">PO11181</t>
  </si>
  <si>
    <t xml:space="preserve">PO11182</t>
  </si>
  <si>
    <t xml:space="preserve">PO11183</t>
  </si>
  <si>
    <t xml:space="preserve">PO11184</t>
  </si>
  <si>
    <t xml:space="preserve">PO11185</t>
  </si>
  <si>
    <t xml:space="preserve">PO11186</t>
  </si>
  <si>
    <t xml:space="preserve">PO11187</t>
  </si>
  <si>
    <t xml:space="preserve">PO11188</t>
  </si>
  <si>
    <t xml:space="preserve">PO11189</t>
  </si>
  <si>
    <t xml:space="preserve">PO11190</t>
  </si>
  <si>
    <t xml:space="preserve">PO11191</t>
  </si>
  <si>
    <t xml:space="preserve">PO11192</t>
  </si>
  <si>
    <t xml:space="preserve">PO11193</t>
  </si>
  <si>
    <t xml:space="preserve">PO11194</t>
  </si>
  <si>
    <t xml:space="preserve">PO11195</t>
  </si>
  <si>
    <t xml:space="preserve">PO11196</t>
  </si>
  <si>
    <t xml:space="preserve">PO11197</t>
  </si>
  <si>
    <t xml:space="preserve">PO11198</t>
  </si>
  <si>
    <t xml:space="preserve">PO11199</t>
  </si>
  <si>
    <t xml:space="preserve">PO11200</t>
  </si>
  <si>
    <t xml:space="preserve">PO11201</t>
  </si>
  <si>
    <t xml:space="preserve">PO11202</t>
  </si>
  <si>
    <t xml:space="preserve">PO11203</t>
  </si>
  <si>
    <t xml:space="preserve">PO11204</t>
  </si>
  <si>
    <t xml:space="preserve">PO11205</t>
  </si>
  <si>
    <t xml:space="preserve">PO11206</t>
  </si>
  <si>
    <t xml:space="preserve">PO11207</t>
  </si>
  <si>
    <t xml:space="preserve">PO11208</t>
  </si>
  <si>
    <t xml:space="preserve">PO11209</t>
  </si>
  <si>
    <t xml:space="preserve">PO11210</t>
  </si>
  <si>
    <t xml:space="preserve">PO11211</t>
  </si>
  <si>
    <t xml:space="preserve">PO11212</t>
  </si>
  <si>
    <t xml:space="preserve">PO11213</t>
  </si>
  <si>
    <t xml:space="preserve">PO11214</t>
  </si>
  <si>
    <t xml:space="preserve">PO11215</t>
  </si>
  <si>
    <t xml:space="preserve">PO11216</t>
  </si>
  <si>
    <t xml:space="preserve">PO11217</t>
  </si>
  <si>
    <t xml:space="preserve">PO11218</t>
  </si>
  <si>
    <t xml:space="preserve">PO11219</t>
  </si>
  <si>
    <t xml:space="preserve">PO11220</t>
  </si>
  <si>
    <t xml:space="preserve">PO11221</t>
  </si>
  <si>
    <t xml:space="preserve">PO11222</t>
  </si>
  <si>
    <t xml:space="preserve">PO11223</t>
  </si>
  <si>
    <t xml:space="preserve">PO11224</t>
  </si>
  <si>
    <t xml:space="preserve">PO11225</t>
  </si>
  <si>
    <t xml:space="preserve">PO11226</t>
  </si>
  <si>
    <t xml:space="preserve">PO11227</t>
  </si>
  <si>
    <t xml:space="preserve">PO11228</t>
  </si>
  <si>
    <t xml:space="preserve">PO11229</t>
  </si>
  <si>
    <t xml:space="preserve">PO11230</t>
  </si>
  <si>
    <t xml:space="preserve">PO11231</t>
  </si>
  <si>
    <t xml:space="preserve">PO11232</t>
  </si>
  <si>
    <t xml:space="preserve">PO11233</t>
  </si>
  <si>
    <t xml:space="preserve">PO11234</t>
  </si>
  <si>
    <t xml:space="preserve">PO11235</t>
  </si>
  <si>
    <t xml:space="preserve">PO11236</t>
  </si>
  <si>
    <t xml:space="preserve">PO11237</t>
  </si>
  <si>
    <t xml:space="preserve">PO11238</t>
  </si>
  <si>
    <t xml:space="preserve">PO11239</t>
  </si>
  <si>
    <t xml:space="preserve">PO11240</t>
  </si>
  <si>
    <t xml:space="preserve">PO11241</t>
  </si>
  <si>
    <t xml:space="preserve">PO11242</t>
  </si>
  <si>
    <t xml:space="preserve">PO11243</t>
  </si>
  <si>
    <t xml:space="preserve">PO11244</t>
  </si>
  <si>
    <t xml:space="preserve">PO11245</t>
  </si>
  <si>
    <t xml:space="preserve">PO11246</t>
  </si>
  <si>
    <t xml:space="preserve">PO11247</t>
  </si>
  <si>
    <t xml:space="preserve">PO11248</t>
  </si>
  <si>
    <t xml:space="preserve">PO11249</t>
  </si>
  <si>
    <t xml:space="preserve">PO11250</t>
  </si>
  <si>
    <t xml:space="preserve">PO11251</t>
  </si>
  <si>
    <t xml:space="preserve">PO11252</t>
  </si>
  <si>
    <t xml:space="preserve">PO11253</t>
  </si>
  <si>
    <t xml:space="preserve">PO11254</t>
  </si>
  <si>
    <t xml:space="preserve">PO11255</t>
  </si>
  <si>
    <t xml:space="preserve">PO11256</t>
  </si>
  <si>
    <t xml:space="preserve">PO11257</t>
  </si>
  <si>
    <t xml:space="preserve">PO11258</t>
  </si>
  <si>
    <t xml:space="preserve">PO11259</t>
  </si>
  <si>
    <t xml:space="preserve">PO11260</t>
  </si>
  <si>
    <t xml:space="preserve">PO11261</t>
  </si>
  <si>
    <t xml:space="preserve">PO11262</t>
  </si>
  <si>
    <t xml:space="preserve">PO11263</t>
  </si>
  <si>
    <t xml:space="preserve">PO11264</t>
  </si>
  <si>
    <t xml:space="preserve">PO11265</t>
  </si>
  <si>
    <t xml:space="preserve">PO11266</t>
  </si>
  <si>
    <t xml:space="preserve">PO11267</t>
  </si>
  <si>
    <t xml:space="preserve">PO11268</t>
  </si>
  <si>
    <t xml:space="preserve">PO11269</t>
  </si>
  <si>
    <t xml:space="preserve">PO11270</t>
  </si>
  <si>
    <t xml:space="preserve">PO11271</t>
  </si>
  <si>
    <t xml:space="preserve">PO11272</t>
  </si>
  <si>
    <t xml:space="preserve">PO11273</t>
  </si>
  <si>
    <t xml:space="preserve">PO11274</t>
  </si>
  <si>
    <t xml:space="preserve">PO11275</t>
  </si>
  <si>
    <t xml:space="preserve">PO11276</t>
  </si>
  <si>
    <t xml:space="preserve">PO11277</t>
  </si>
  <si>
    <t xml:space="preserve">PO11278</t>
  </si>
  <si>
    <t xml:space="preserve">PO11279</t>
  </si>
  <si>
    <t xml:space="preserve">PO11280</t>
  </si>
  <si>
    <t xml:space="preserve">PO11281</t>
  </si>
  <si>
    <t xml:space="preserve">PO11282</t>
  </si>
  <si>
    <t xml:space="preserve">PO11283</t>
  </si>
  <si>
    <t xml:space="preserve">PO11284</t>
  </si>
  <si>
    <t xml:space="preserve">PO11285</t>
  </si>
  <si>
    <t xml:space="preserve">PO11286</t>
  </si>
  <si>
    <t xml:space="preserve">PO11287</t>
  </si>
  <si>
    <t xml:space="preserve">PO11288</t>
  </si>
  <si>
    <t xml:space="preserve">PO11289</t>
  </si>
  <si>
    <t xml:space="preserve">PO11290</t>
  </si>
  <si>
    <t xml:space="preserve">PO11291</t>
  </si>
  <si>
    <t xml:space="preserve">PO11292</t>
  </si>
  <si>
    <t xml:space="preserve">PO11293</t>
  </si>
  <si>
    <t xml:space="preserve">PO11294</t>
  </si>
  <si>
    <t xml:space="preserve">PO11295</t>
  </si>
  <si>
    <t xml:space="preserve">PO11296</t>
  </si>
  <si>
    <t xml:space="preserve">PO11297</t>
  </si>
  <si>
    <t xml:space="preserve">PO11298</t>
  </si>
  <si>
    <t xml:space="preserve">PO11299</t>
  </si>
  <si>
    <t xml:space="preserve">PO11300</t>
  </si>
  <si>
    <t xml:space="preserve">PO11301</t>
  </si>
  <si>
    <t xml:space="preserve">PO11302</t>
  </si>
  <si>
    <t xml:space="preserve">PO11303</t>
  </si>
  <si>
    <t xml:space="preserve">PO11304</t>
  </si>
  <si>
    <t xml:space="preserve">PO11305</t>
  </si>
  <si>
    <t xml:space="preserve">PO11306</t>
  </si>
  <si>
    <t xml:space="preserve">PO11307</t>
  </si>
  <si>
    <t xml:space="preserve">PO11308</t>
  </si>
  <si>
    <t xml:space="preserve">PO11309</t>
  </si>
  <si>
    <t xml:space="preserve">PO11310</t>
  </si>
  <si>
    <t xml:space="preserve">PO11311</t>
  </si>
  <si>
    <t xml:space="preserve">PO11312</t>
  </si>
  <si>
    <t xml:space="preserve">PO11313</t>
  </si>
  <si>
    <t xml:space="preserve">PO11314</t>
  </si>
  <si>
    <t xml:space="preserve">PO11315</t>
  </si>
  <si>
    <t xml:space="preserve">PO11316</t>
  </si>
  <si>
    <t xml:space="preserve">PO11317</t>
  </si>
  <si>
    <t xml:space="preserve">PO11318</t>
  </si>
  <si>
    <t xml:space="preserve">PO11319</t>
  </si>
  <si>
    <t xml:space="preserve">PO11320</t>
  </si>
  <si>
    <t xml:space="preserve">PO11321</t>
  </si>
  <si>
    <t xml:space="preserve">PO11322</t>
  </si>
  <si>
    <t xml:space="preserve">PO11323</t>
  </si>
  <si>
    <t xml:space="preserve">PO11324</t>
  </si>
  <si>
    <t xml:space="preserve">PO11325</t>
  </si>
  <si>
    <t xml:space="preserve">PO11326</t>
  </si>
  <si>
    <t xml:space="preserve">PO11327</t>
  </si>
  <si>
    <t xml:space="preserve">PO11328</t>
  </si>
  <si>
    <t xml:space="preserve">PO11329</t>
  </si>
  <si>
    <t xml:space="preserve">PO11330</t>
  </si>
  <si>
    <t xml:space="preserve">PO11331</t>
  </si>
  <si>
    <t xml:space="preserve">PO11332</t>
  </si>
  <si>
    <t xml:space="preserve">PO11333</t>
  </si>
  <si>
    <t xml:space="preserve">PO11334</t>
  </si>
  <si>
    <t xml:space="preserve">PO11335</t>
  </si>
  <si>
    <t xml:space="preserve">PO11336</t>
  </si>
  <si>
    <t xml:space="preserve">PO11337</t>
  </si>
  <si>
    <t xml:space="preserve">PO11338</t>
  </si>
  <si>
    <t xml:space="preserve">PO11339</t>
  </si>
  <si>
    <t xml:space="preserve">PO11340</t>
  </si>
  <si>
    <t xml:space="preserve">PO11341</t>
  </si>
  <si>
    <t xml:space="preserve">PO11342</t>
  </si>
  <si>
    <t xml:space="preserve">PO11343</t>
  </si>
  <si>
    <t xml:space="preserve">PO11344</t>
  </si>
  <si>
    <t xml:space="preserve">PO11345</t>
  </si>
  <si>
    <t xml:space="preserve">PO11346</t>
  </si>
  <si>
    <t xml:space="preserve">PO11347</t>
  </si>
  <si>
    <t xml:space="preserve">PO11348</t>
  </si>
  <si>
    <t xml:space="preserve">PO11349</t>
  </si>
  <si>
    <t xml:space="preserve">PO11350</t>
  </si>
  <si>
    <t xml:space="preserve">PO11351</t>
  </si>
  <si>
    <t xml:space="preserve">PO11352</t>
  </si>
  <si>
    <t xml:space="preserve">PO11353</t>
  </si>
  <si>
    <t xml:space="preserve">PO11354</t>
  </si>
  <si>
    <t xml:space="preserve">PO11355</t>
  </si>
  <si>
    <t xml:space="preserve">PO11356</t>
  </si>
  <si>
    <t xml:space="preserve">PO11357</t>
  </si>
  <si>
    <t xml:space="preserve">PO11358</t>
  </si>
  <si>
    <t xml:space="preserve">PO11359</t>
  </si>
  <si>
    <t xml:space="preserve">PO11360</t>
  </si>
  <si>
    <t xml:space="preserve">PO11361</t>
  </si>
  <si>
    <t xml:space="preserve">PO11362</t>
  </si>
  <si>
    <t xml:space="preserve">PO11363</t>
  </si>
  <si>
    <t xml:space="preserve">PO11364</t>
  </si>
  <si>
    <t xml:space="preserve">PO11365</t>
  </si>
  <si>
    <t xml:space="preserve">PO11366</t>
  </si>
  <si>
    <t xml:space="preserve">PO11367</t>
  </si>
  <si>
    <t xml:space="preserve">PO11368</t>
  </si>
  <si>
    <t xml:space="preserve">PO11369</t>
  </si>
  <si>
    <t xml:space="preserve">PO11370</t>
  </si>
  <si>
    <t xml:space="preserve">PO11371</t>
  </si>
  <si>
    <t xml:space="preserve">PO11372</t>
  </si>
  <si>
    <t xml:space="preserve">PO11373</t>
  </si>
  <si>
    <t xml:space="preserve">PO11374</t>
  </si>
  <si>
    <t xml:space="preserve">PO11375</t>
  </si>
  <si>
    <t xml:space="preserve">PO11376</t>
  </si>
  <si>
    <t xml:space="preserve">PO11377</t>
  </si>
  <si>
    <t xml:space="preserve">PO11378</t>
  </si>
  <si>
    <t xml:space="preserve">PO11379</t>
  </si>
  <si>
    <t xml:space="preserve">PO11380</t>
  </si>
  <si>
    <t xml:space="preserve">PO11381</t>
  </si>
  <si>
    <t xml:space="preserve">PO11382</t>
  </si>
  <si>
    <t xml:space="preserve">PO11383</t>
  </si>
  <si>
    <t xml:space="preserve">PO11384</t>
  </si>
  <si>
    <t xml:space="preserve">PO11385</t>
  </si>
  <si>
    <t xml:space="preserve">PO11386</t>
  </si>
  <si>
    <t xml:space="preserve">PO11387</t>
  </si>
  <si>
    <t xml:space="preserve">PO11388</t>
  </si>
  <si>
    <t xml:space="preserve">PO11389</t>
  </si>
  <si>
    <t xml:space="preserve">PO11390</t>
  </si>
  <si>
    <t xml:space="preserve">PO11391</t>
  </si>
  <si>
    <t xml:space="preserve">PO11392</t>
  </si>
  <si>
    <t xml:space="preserve">PO11393</t>
  </si>
  <si>
    <t xml:space="preserve">PO11394</t>
  </si>
  <si>
    <t xml:space="preserve">PO11395</t>
  </si>
  <si>
    <t xml:space="preserve">PO11396</t>
  </si>
  <si>
    <t xml:space="preserve">PO11397</t>
  </si>
  <si>
    <t xml:space="preserve">PO11398</t>
  </si>
  <si>
    <t xml:space="preserve">PO11399</t>
  </si>
  <si>
    <t xml:space="preserve">PO11400</t>
  </si>
  <si>
    <t xml:space="preserve">PO11401</t>
  </si>
  <si>
    <t xml:space="preserve">PO11402</t>
  </si>
  <si>
    <t xml:space="preserve">PO11403</t>
  </si>
  <si>
    <t xml:space="preserve">PO11404</t>
  </si>
  <si>
    <t xml:space="preserve">PO11405</t>
  </si>
  <si>
    <t xml:space="preserve">PO11406</t>
  </si>
  <si>
    <t xml:space="preserve">PO11407</t>
  </si>
  <si>
    <t xml:space="preserve">PO11408</t>
  </si>
  <si>
    <t xml:space="preserve">PO11409</t>
  </si>
  <si>
    <t xml:space="preserve">PO11410</t>
  </si>
  <si>
    <t xml:space="preserve">PO11411</t>
  </si>
  <si>
    <t xml:space="preserve">PO11412</t>
  </si>
  <si>
    <t xml:space="preserve">PO11413</t>
  </si>
  <si>
    <t xml:space="preserve">PO11414</t>
  </si>
  <si>
    <t xml:space="preserve">PO11415</t>
  </si>
  <si>
    <t xml:space="preserve">PO11416</t>
  </si>
  <si>
    <t xml:space="preserve">PO11417</t>
  </si>
  <si>
    <t xml:space="preserve">PO11418</t>
  </si>
  <si>
    <t xml:space="preserve">PO11419</t>
  </si>
  <si>
    <t xml:space="preserve">PO11420</t>
  </si>
  <si>
    <t xml:space="preserve">PO11421</t>
  </si>
  <si>
    <t xml:space="preserve">PO11422</t>
  </si>
  <si>
    <t xml:space="preserve">PO11423</t>
  </si>
  <si>
    <t xml:space="preserve">PO11424</t>
  </si>
  <si>
    <t xml:space="preserve">PO11425</t>
  </si>
  <si>
    <t xml:space="preserve">PO11426</t>
  </si>
  <si>
    <t xml:space="preserve">PO11427</t>
  </si>
  <si>
    <t xml:space="preserve">PO11428</t>
  </si>
  <si>
    <t xml:space="preserve">PO11429</t>
  </si>
  <si>
    <t xml:space="preserve">PO11430</t>
  </si>
  <si>
    <t xml:space="preserve">PO11431</t>
  </si>
  <si>
    <t xml:space="preserve">PO11432</t>
  </si>
  <si>
    <t xml:space="preserve">PO11433</t>
  </si>
  <si>
    <t xml:space="preserve">PO11434</t>
  </si>
  <si>
    <t xml:space="preserve">PO11435</t>
  </si>
  <si>
    <t xml:space="preserve">PO11436</t>
  </si>
  <si>
    <t xml:space="preserve">PO11437</t>
  </si>
  <si>
    <t xml:space="preserve">PO11438</t>
  </si>
  <si>
    <t xml:space="preserve">PO11439</t>
  </si>
  <si>
    <t xml:space="preserve">PO11440</t>
  </si>
  <si>
    <t xml:space="preserve">PO11441</t>
  </si>
  <si>
    <t xml:space="preserve">PO11442</t>
  </si>
  <si>
    <t xml:space="preserve">PO11443</t>
  </si>
  <si>
    <t xml:space="preserve">PO11444</t>
  </si>
  <si>
    <t xml:space="preserve">PO11445</t>
  </si>
  <si>
    <t xml:space="preserve">PO11446</t>
  </si>
  <si>
    <t xml:space="preserve">PO11447</t>
  </si>
  <si>
    <t xml:space="preserve">PO11448</t>
  </si>
  <si>
    <t xml:space="preserve">PO11449</t>
  </si>
  <si>
    <t xml:space="preserve">PO11450</t>
  </si>
  <si>
    <t xml:space="preserve">PO11451</t>
  </si>
  <si>
    <t xml:space="preserve">PO11452</t>
  </si>
  <si>
    <t xml:space="preserve">PO11453</t>
  </si>
  <si>
    <t xml:space="preserve">PO11454</t>
  </si>
  <si>
    <t xml:space="preserve">PO11455</t>
  </si>
  <si>
    <t xml:space="preserve">PO11456</t>
  </si>
  <si>
    <t xml:space="preserve">PO11457</t>
  </si>
  <si>
    <t xml:space="preserve">PO11458</t>
  </si>
  <si>
    <t xml:space="preserve">PO11459</t>
  </si>
  <si>
    <t xml:space="preserve">PO11460</t>
  </si>
  <si>
    <t xml:space="preserve">PO11461</t>
  </si>
  <si>
    <t xml:space="preserve">PO11462</t>
  </si>
  <si>
    <t xml:space="preserve">PO11463</t>
  </si>
  <si>
    <t xml:space="preserve">PO11464</t>
  </si>
  <si>
    <t xml:space="preserve">PO11465</t>
  </si>
  <si>
    <t xml:space="preserve">PO11466</t>
  </si>
  <si>
    <t xml:space="preserve">PO11467</t>
  </si>
  <si>
    <t xml:space="preserve">PO11468</t>
  </si>
  <si>
    <t xml:space="preserve">PO11469</t>
  </si>
  <si>
    <t xml:space="preserve">PO11470</t>
  </si>
  <si>
    <t xml:space="preserve">PO11471</t>
  </si>
  <si>
    <t xml:space="preserve">PO11472</t>
  </si>
  <si>
    <t xml:space="preserve">PO11473</t>
  </si>
  <si>
    <t xml:space="preserve">PO11474</t>
  </si>
  <si>
    <t xml:space="preserve">PO11475</t>
  </si>
  <si>
    <t xml:space="preserve">PO11476</t>
  </si>
  <si>
    <t xml:space="preserve">PO11477</t>
  </si>
  <si>
    <t xml:space="preserve">PO11478</t>
  </si>
  <si>
    <t xml:space="preserve">PO11479</t>
  </si>
  <si>
    <t xml:space="preserve">PO11480</t>
  </si>
  <si>
    <t xml:space="preserve">PO11481</t>
  </si>
  <si>
    <t xml:space="preserve">PO11482</t>
  </si>
  <si>
    <t xml:space="preserve">PO11483</t>
  </si>
  <si>
    <t xml:space="preserve">PO11484</t>
  </si>
  <si>
    <t xml:space="preserve">PO11485</t>
  </si>
  <si>
    <t xml:space="preserve">PO11486</t>
  </si>
  <si>
    <t xml:space="preserve">PO11487</t>
  </si>
  <si>
    <t xml:space="preserve">PO11488</t>
  </si>
  <si>
    <t xml:space="preserve">PO11489</t>
  </si>
  <si>
    <t xml:space="preserve">PO11490</t>
  </si>
  <si>
    <t xml:space="preserve">PO11491</t>
  </si>
  <si>
    <t xml:space="preserve">PO11492</t>
  </si>
  <si>
    <t xml:space="preserve">PO11493</t>
  </si>
  <si>
    <t xml:space="preserve">PO11494</t>
  </si>
  <si>
    <t xml:space="preserve">PO11495</t>
  </si>
  <si>
    <t xml:space="preserve">PO11496</t>
  </si>
  <si>
    <t xml:space="preserve">PO11497</t>
  </si>
  <si>
    <t xml:space="preserve">PO11498</t>
  </si>
  <si>
    <t xml:space="preserve">PO11499</t>
  </si>
  <si>
    <t xml:space="preserve">PO11500</t>
  </si>
  <si>
    <t xml:space="preserve">PO11501</t>
  </si>
  <si>
    <t xml:space="preserve">PO11502</t>
  </si>
  <si>
    <t xml:space="preserve">PO11503</t>
  </si>
  <si>
    <t xml:space="preserve">PO11504</t>
  </si>
  <si>
    <t xml:space="preserve">PO11505</t>
  </si>
  <si>
    <t xml:space="preserve">PO11506</t>
  </si>
  <si>
    <t xml:space="preserve">PO11507</t>
  </si>
  <si>
    <t xml:space="preserve">PO11508</t>
  </si>
  <si>
    <t xml:space="preserve">PO11509</t>
  </si>
  <si>
    <t xml:space="preserve">PO11510</t>
  </si>
  <si>
    <t xml:space="preserve">PO11511</t>
  </si>
  <si>
    <t xml:space="preserve">PO11512</t>
  </si>
  <si>
    <t xml:space="preserve">PO11513</t>
  </si>
  <si>
    <t xml:space="preserve">PO11514</t>
  </si>
  <si>
    <t xml:space="preserve">PO11515</t>
  </si>
  <si>
    <t xml:space="preserve">PO11516</t>
  </si>
  <si>
    <t xml:space="preserve">PO11517</t>
  </si>
  <si>
    <t xml:space="preserve">PO11518</t>
  </si>
  <si>
    <t xml:space="preserve">PO11519</t>
  </si>
  <si>
    <t xml:space="preserve">PO11520</t>
  </si>
  <si>
    <t xml:space="preserve">PO11521</t>
  </si>
  <si>
    <t xml:space="preserve">PO11522</t>
  </si>
  <si>
    <t xml:space="preserve">PO11523</t>
  </si>
  <si>
    <t xml:space="preserve">PO11524</t>
  </si>
  <si>
    <t xml:space="preserve">PO11525</t>
  </si>
  <si>
    <t xml:space="preserve">PO11526</t>
  </si>
  <si>
    <t xml:space="preserve">PO11527</t>
  </si>
  <si>
    <t xml:space="preserve">PO11528</t>
  </si>
  <si>
    <t xml:space="preserve">PO11529</t>
  </si>
  <si>
    <t xml:space="preserve">PO11530</t>
  </si>
  <si>
    <t xml:space="preserve">PO11531</t>
  </si>
  <si>
    <t xml:space="preserve">PO11532</t>
  </si>
  <si>
    <t xml:space="preserve">PO11533</t>
  </si>
  <si>
    <t xml:space="preserve">PO11534</t>
  </si>
  <si>
    <t xml:space="preserve">PO11535</t>
  </si>
  <si>
    <t xml:space="preserve">PO11536</t>
  </si>
  <si>
    <t xml:space="preserve">PO11537</t>
  </si>
  <si>
    <t xml:space="preserve">PO11538</t>
  </si>
  <si>
    <t xml:space="preserve">PO11539</t>
  </si>
  <si>
    <t xml:space="preserve">PO11540</t>
  </si>
  <si>
    <t xml:space="preserve">PO11541</t>
  </si>
  <si>
    <t xml:space="preserve">PO11542</t>
  </si>
  <si>
    <t xml:space="preserve">PO11543</t>
  </si>
  <si>
    <t xml:space="preserve">PO11544</t>
  </si>
  <si>
    <t xml:space="preserve">PO11545</t>
  </si>
  <si>
    <t xml:space="preserve">PO11546</t>
  </si>
  <si>
    <t xml:space="preserve">PO11547</t>
  </si>
  <si>
    <t xml:space="preserve">PO11548</t>
  </si>
  <si>
    <t xml:space="preserve">PO11549</t>
  </si>
  <si>
    <t xml:space="preserve">PO11550</t>
  </si>
  <si>
    <t xml:space="preserve">PO11551</t>
  </si>
  <si>
    <t xml:space="preserve">PO11552</t>
  </si>
  <si>
    <t xml:space="preserve">PO11553</t>
  </si>
  <si>
    <t xml:space="preserve">PO11554</t>
  </si>
  <si>
    <t xml:space="preserve">PO11555</t>
  </si>
  <si>
    <t xml:space="preserve">PO11556</t>
  </si>
  <si>
    <t xml:space="preserve">PO11557</t>
  </si>
  <si>
    <t xml:space="preserve">PO11558</t>
  </si>
  <si>
    <t xml:space="preserve">PO11559</t>
  </si>
  <si>
    <t xml:space="preserve">PO11560</t>
  </si>
  <si>
    <t xml:space="preserve">PO11561</t>
  </si>
  <si>
    <t xml:space="preserve">PO11562</t>
  </si>
  <si>
    <t xml:space="preserve">PO11563</t>
  </si>
  <si>
    <t xml:space="preserve">PO11564</t>
  </si>
  <si>
    <t xml:space="preserve">PO11565</t>
  </si>
  <si>
    <t xml:space="preserve">PO11566</t>
  </si>
  <si>
    <t xml:space="preserve">PO11567</t>
  </si>
  <si>
    <t xml:space="preserve">PO11568</t>
  </si>
  <si>
    <t xml:space="preserve">PO11569</t>
  </si>
  <si>
    <t xml:space="preserve">PO11570</t>
  </si>
  <si>
    <t xml:space="preserve">PO11571</t>
  </si>
  <si>
    <t xml:space="preserve">PO11572</t>
  </si>
  <si>
    <t xml:space="preserve">PO11573</t>
  </si>
  <si>
    <t xml:space="preserve">PO11574</t>
  </si>
  <si>
    <t xml:space="preserve">PO11575</t>
  </si>
  <si>
    <t xml:space="preserve">PO11576</t>
  </si>
  <si>
    <t xml:space="preserve">PO11577</t>
  </si>
  <si>
    <t xml:space="preserve">PO11578</t>
  </si>
  <si>
    <t xml:space="preserve">PO11579</t>
  </si>
  <si>
    <t xml:space="preserve">PO11580</t>
  </si>
  <si>
    <t xml:space="preserve">PO11581</t>
  </si>
  <si>
    <t xml:space="preserve">PO11582</t>
  </si>
  <si>
    <t xml:space="preserve">PO11583</t>
  </si>
  <si>
    <t xml:space="preserve">PO11584</t>
  </si>
  <si>
    <t xml:space="preserve">PO11585</t>
  </si>
  <si>
    <t xml:space="preserve">PO11586</t>
  </si>
  <si>
    <t xml:space="preserve">PO11587</t>
  </si>
  <si>
    <t xml:space="preserve">PO11588</t>
  </si>
  <si>
    <t xml:space="preserve">PO11589</t>
  </si>
  <si>
    <t xml:space="preserve">PO11590</t>
  </si>
  <si>
    <t xml:space="preserve">PO11591</t>
  </si>
  <si>
    <t xml:space="preserve">PO11592</t>
  </si>
  <si>
    <t xml:space="preserve">PO11593</t>
  </si>
  <si>
    <t xml:space="preserve">PO11594</t>
  </si>
  <si>
    <t xml:space="preserve">PO11595</t>
  </si>
  <si>
    <t xml:space="preserve">PO11596</t>
  </si>
  <si>
    <t xml:space="preserve">PO11597</t>
  </si>
  <si>
    <t xml:space="preserve">PO11598</t>
  </si>
  <si>
    <t xml:space="preserve">PO11599</t>
  </si>
  <si>
    <t xml:space="preserve">PO11600</t>
  </si>
  <si>
    <t xml:space="preserve">PO11601</t>
  </si>
  <si>
    <t xml:space="preserve">PO11602</t>
  </si>
  <si>
    <t xml:space="preserve">PO11603</t>
  </si>
  <si>
    <t xml:space="preserve">PO11604</t>
  </si>
  <si>
    <t xml:space="preserve">PO11605</t>
  </si>
  <si>
    <t xml:space="preserve">PO11606</t>
  </si>
  <si>
    <t xml:space="preserve">PO11607</t>
  </si>
  <si>
    <t xml:space="preserve">PO11608</t>
  </si>
  <si>
    <t xml:space="preserve">PO11609</t>
  </si>
  <si>
    <t xml:space="preserve">PO11610</t>
  </si>
  <si>
    <t xml:space="preserve">PO11611</t>
  </si>
  <si>
    <t xml:space="preserve">PO11612</t>
  </si>
  <si>
    <t xml:space="preserve">PO11613</t>
  </si>
  <si>
    <t xml:space="preserve">PO11614</t>
  </si>
  <si>
    <t xml:space="preserve">PO11615</t>
  </si>
  <si>
    <t xml:space="preserve">PO11616</t>
  </si>
  <si>
    <t xml:space="preserve">PO11617</t>
  </si>
  <si>
    <t xml:space="preserve">PO11618</t>
  </si>
  <si>
    <t xml:space="preserve">PO11619</t>
  </si>
  <si>
    <t xml:space="preserve">PO11620</t>
  </si>
  <si>
    <t xml:space="preserve">PO11621</t>
  </si>
  <si>
    <t xml:space="preserve">PO11622</t>
  </si>
  <si>
    <t xml:space="preserve">PO11623</t>
  </si>
  <si>
    <t xml:space="preserve">PO11624</t>
  </si>
  <si>
    <t xml:space="preserve">PO11625</t>
  </si>
  <si>
    <t xml:space="preserve">PO11626</t>
  </si>
  <si>
    <t xml:space="preserve">PO11627</t>
  </si>
  <si>
    <t xml:space="preserve">PO11628</t>
  </si>
  <si>
    <t xml:space="preserve">PO11629</t>
  </si>
  <si>
    <t xml:space="preserve">PO11630</t>
  </si>
  <si>
    <t xml:space="preserve">PO11631</t>
  </si>
  <si>
    <t xml:space="preserve">PO11632</t>
  </si>
  <si>
    <t xml:space="preserve">PO11633</t>
  </si>
  <si>
    <t xml:space="preserve">PO11634</t>
  </si>
  <si>
    <t xml:space="preserve">PO11635</t>
  </si>
  <si>
    <t xml:space="preserve">PO11636</t>
  </si>
  <si>
    <t xml:space="preserve">PO11637</t>
  </si>
  <si>
    <t xml:space="preserve">PO11638</t>
  </si>
  <si>
    <t xml:space="preserve">PO11639</t>
  </si>
  <si>
    <t xml:space="preserve">PO11640</t>
  </si>
  <si>
    <t xml:space="preserve">PO11641</t>
  </si>
  <si>
    <t xml:space="preserve">PO11642</t>
  </si>
  <si>
    <t xml:space="preserve">PO11643</t>
  </si>
  <si>
    <t xml:space="preserve">PO11644</t>
  </si>
  <si>
    <t xml:space="preserve">PO11645</t>
  </si>
  <si>
    <t xml:space="preserve">PO11646</t>
  </si>
  <si>
    <t xml:space="preserve">PO11647</t>
  </si>
  <si>
    <t xml:space="preserve">PO11648</t>
  </si>
  <si>
    <t xml:space="preserve">PO11649</t>
  </si>
  <si>
    <t xml:space="preserve">PO11650</t>
  </si>
  <si>
    <t xml:space="preserve">PO11651</t>
  </si>
  <si>
    <t xml:space="preserve">PO11652</t>
  </si>
  <si>
    <t xml:space="preserve">PO11653</t>
  </si>
  <si>
    <t xml:space="preserve">PO11654</t>
  </si>
  <si>
    <t xml:space="preserve">PO11655</t>
  </si>
  <si>
    <t xml:space="preserve">PO11656</t>
  </si>
  <si>
    <t xml:space="preserve">PO11657</t>
  </si>
  <si>
    <t xml:space="preserve">PO11658</t>
  </si>
  <si>
    <t xml:space="preserve">PO11659</t>
  </si>
  <si>
    <t xml:space="preserve">PO11660</t>
  </si>
  <si>
    <t xml:space="preserve">PO11661</t>
  </si>
  <si>
    <t xml:space="preserve">PO11662</t>
  </si>
  <si>
    <t xml:space="preserve">PO11663</t>
  </si>
  <si>
    <t xml:space="preserve">PO11664</t>
  </si>
  <si>
    <t xml:space="preserve">PO11665</t>
  </si>
  <si>
    <t xml:space="preserve">PO11666</t>
  </si>
  <si>
    <t xml:space="preserve">PO11667</t>
  </si>
  <si>
    <t xml:space="preserve">PO11668</t>
  </si>
  <si>
    <t xml:space="preserve">PO11669</t>
  </si>
  <si>
    <t xml:space="preserve">PO11670</t>
  </si>
  <si>
    <t xml:space="preserve">PO11671</t>
  </si>
  <si>
    <t xml:space="preserve">PO11672</t>
  </si>
  <si>
    <t xml:space="preserve">PO11673</t>
  </si>
  <si>
    <t xml:space="preserve">PO11674</t>
  </si>
  <si>
    <t xml:space="preserve">PO11675</t>
  </si>
  <si>
    <t xml:space="preserve">PO11676</t>
  </si>
  <si>
    <t xml:space="preserve">PO11677</t>
  </si>
  <si>
    <t xml:space="preserve">PO11678</t>
  </si>
  <si>
    <t xml:space="preserve">PO11679</t>
  </si>
  <si>
    <t xml:space="preserve">PO11680</t>
  </si>
  <si>
    <t xml:space="preserve">PO11681</t>
  </si>
  <si>
    <t xml:space="preserve">PO11682</t>
  </si>
  <si>
    <t xml:space="preserve">PO11683</t>
  </si>
  <si>
    <t xml:space="preserve">PO11684</t>
  </si>
  <si>
    <t xml:space="preserve">PO11685</t>
  </si>
  <si>
    <t xml:space="preserve">PO11686</t>
  </si>
  <si>
    <t xml:space="preserve">PO11687</t>
  </si>
  <si>
    <t xml:space="preserve">PO11688</t>
  </si>
  <si>
    <t xml:space="preserve">PO11689</t>
  </si>
  <si>
    <t xml:space="preserve">PO11690</t>
  </si>
  <si>
    <t xml:space="preserve">PO11691</t>
  </si>
  <si>
    <t xml:space="preserve">PO11692</t>
  </si>
  <si>
    <t xml:space="preserve">PO11693</t>
  </si>
  <si>
    <t xml:space="preserve">PO11694</t>
  </si>
  <si>
    <t xml:space="preserve">PO11695</t>
  </si>
  <si>
    <t xml:space="preserve">PO11696</t>
  </si>
  <si>
    <t xml:space="preserve">PO11697</t>
  </si>
  <si>
    <t xml:space="preserve">PO11698</t>
  </si>
  <si>
    <t xml:space="preserve">PO11699</t>
  </si>
  <si>
    <t xml:space="preserve">PO11700</t>
  </si>
  <si>
    <t xml:space="preserve">PO11701</t>
  </si>
  <si>
    <t xml:space="preserve">PO11702</t>
  </si>
  <si>
    <t xml:space="preserve">PO11703</t>
  </si>
  <si>
    <t xml:space="preserve">PO11704</t>
  </si>
  <si>
    <t xml:space="preserve">PO11705</t>
  </si>
  <si>
    <t xml:space="preserve">PO11706</t>
  </si>
  <si>
    <t xml:space="preserve">PO11707</t>
  </si>
  <si>
    <t xml:space="preserve">PO11708</t>
  </si>
  <si>
    <t xml:space="preserve">PO11709</t>
  </si>
  <si>
    <t xml:space="preserve">PO11710</t>
  </si>
  <si>
    <t xml:space="preserve">PO11711</t>
  </si>
  <si>
    <t xml:space="preserve">PO11712</t>
  </si>
  <si>
    <t xml:space="preserve">PO11713</t>
  </si>
  <si>
    <t xml:space="preserve">PO11714</t>
  </si>
  <si>
    <t xml:space="preserve">PO11715</t>
  </si>
  <si>
    <t xml:space="preserve">PO11716</t>
  </si>
  <si>
    <t xml:space="preserve">PO11717</t>
  </si>
  <si>
    <t xml:space="preserve">PO11718</t>
  </si>
  <si>
    <t xml:space="preserve">PO11719</t>
  </si>
  <si>
    <t xml:space="preserve">PO11720</t>
  </si>
  <si>
    <t xml:space="preserve">PO11721</t>
  </si>
  <si>
    <t xml:space="preserve">PO11722</t>
  </si>
  <si>
    <t xml:space="preserve">PO11723</t>
  </si>
  <si>
    <t xml:space="preserve">PO11724</t>
  </si>
  <si>
    <t xml:space="preserve">PO11725</t>
  </si>
  <si>
    <t xml:space="preserve">PO11726</t>
  </si>
  <si>
    <t xml:space="preserve">PO11727</t>
  </si>
  <si>
    <t xml:space="preserve">PO11728</t>
  </si>
  <si>
    <t xml:space="preserve">PO11729</t>
  </si>
  <si>
    <t xml:space="preserve">PO11730</t>
  </si>
  <si>
    <t xml:space="preserve">PO11731</t>
  </si>
  <si>
    <t xml:space="preserve">PO11732</t>
  </si>
  <si>
    <t xml:space="preserve">PO11733</t>
  </si>
  <si>
    <t xml:space="preserve">PO11734</t>
  </si>
  <si>
    <t xml:space="preserve">PO11735</t>
  </si>
  <si>
    <t xml:space="preserve">PO11736</t>
  </si>
  <si>
    <t xml:space="preserve">PO11737</t>
  </si>
  <si>
    <t xml:space="preserve">PO11738</t>
  </si>
  <si>
    <t xml:space="preserve">PO11739</t>
  </si>
  <si>
    <t xml:space="preserve">PO11740</t>
  </si>
  <si>
    <t xml:space="preserve">PO11741</t>
  </si>
  <si>
    <t xml:space="preserve">PO11742</t>
  </si>
  <si>
    <t xml:space="preserve">PO11743</t>
  </si>
  <si>
    <t xml:space="preserve">PO11744</t>
  </si>
  <si>
    <t xml:space="preserve">PO11745</t>
  </si>
  <si>
    <t xml:space="preserve">PO11746</t>
  </si>
  <si>
    <t xml:space="preserve">PO11747</t>
  </si>
  <si>
    <t xml:space="preserve">PO11748</t>
  </si>
  <si>
    <t xml:space="preserve">PO11749</t>
  </si>
  <si>
    <t xml:space="preserve">PO11750</t>
  </si>
  <si>
    <t xml:space="preserve">PO11751</t>
  </si>
  <si>
    <t xml:space="preserve">PO11752</t>
  </si>
  <si>
    <t xml:space="preserve">PO11753</t>
  </si>
  <si>
    <t xml:space="preserve">PO11754</t>
  </si>
  <si>
    <t xml:space="preserve">PO11755</t>
  </si>
  <si>
    <t xml:space="preserve">PO11756</t>
  </si>
  <si>
    <t xml:space="preserve">PO11757</t>
  </si>
  <si>
    <t xml:space="preserve">PO11758</t>
  </si>
  <si>
    <t xml:space="preserve">PO11759</t>
  </si>
  <si>
    <t xml:space="preserve">PO11760</t>
  </si>
  <si>
    <t xml:space="preserve">PO11761</t>
  </si>
  <si>
    <t xml:space="preserve">PO11762</t>
  </si>
  <si>
    <t xml:space="preserve">PO11763</t>
  </si>
  <si>
    <t xml:space="preserve">PO11764</t>
  </si>
  <si>
    <t xml:space="preserve">PO11765</t>
  </si>
  <si>
    <t xml:space="preserve">PO11766</t>
  </si>
  <si>
    <t xml:space="preserve">PO11767</t>
  </si>
  <si>
    <t xml:space="preserve">PO11768</t>
  </si>
  <si>
    <t xml:space="preserve">PO11769</t>
  </si>
  <si>
    <t xml:space="preserve">PO11770</t>
  </si>
  <si>
    <t xml:space="preserve">PO11771</t>
  </si>
  <si>
    <t xml:space="preserve">PO11772</t>
  </si>
  <si>
    <t xml:space="preserve">PO11773</t>
  </si>
  <si>
    <t xml:space="preserve">PO11774</t>
  </si>
  <si>
    <t xml:space="preserve">PO11775</t>
  </si>
  <si>
    <t xml:space="preserve">PO11776</t>
  </si>
  <si>
    <t xml:space="preserve">PO11777</t>
  </si>
  <si>
    <t xml:space="preserve">PO11778</t>
  </si>
  <si>
    <t xml:space="preserve">PO11779</t>
  </si>
  <si>
    <t xml:space="preserve">PO11780</t>
  </si>
  <si>
    <t xml:space="preserve">PO11781</t>
  </si>
  <si>
    <t xml:space="preserve">PO11782</t>
  </si>
  <si>
    <t xml:space="preserve">PO11783</t>
  </si>
  <si>
    <t xml:space="preserve">PO11784</t>
  </si>
  <si>
    <t xml:space="preserve">PO11785</t>
  </si>
  <si>
    <t xml:space="preserve">PO11786</t>
  </si>
  <si>
    <t xml:space="preserve">PO11787</t>
  </si>
  <si>
    <t xml:space="preserve">PO11788</t>
  </si>
  <si>
    <t xml:space="preserve">PO11789</t>
  </si>
  <si>
    <t xml:space="preserve">PO11790</t>
  </si>
  <si>
    <t xml:space="preserve">PO11791</t>
  </si>
  <si>
    <t xml:space="preserve">PO11792</t>
  </si>
  <si>
    <t xml:space="preserve">PO11793</t>
  </si>
  <si>
    <t xml:space="preserve">PO11794</t>
  </si>
  <si>
    <t xml:space="preserve">PO11795</t>
  </si>
  <si>
    <t xml:space="preserve">PO11796</t>
  </si>
  <si>
    <t xml:space="preserve">PO11797</t>
  </si>
  <si>
    <t xml:space="preserve">PO11798</t>
  </si>
  <si>
    <t xml:space="preserve">PO11799</t>
  </si>
  <si>
    <t xml:space="preserve">PO11800</t>
  </si>
  <si>
    <t xml:space="preserve">PO11801</t>
  </si>
  <si>
    <t xml:space="preserve">PO11802</t>
  </si>
  <si>
    <t xml:space="preserve">PO11803</t>
  </si>
  <si>
    <t xml:space="preserve">PO11804</t>
  </si>
  <si>
    <t xml:space="preserve">PO11805</t>
  </si>
  <si>
    <t xml:space="preserve">PO11806</t>
  </si>
  <si>
    <t xml:space="preserve">PO11807</t>
  </si>
  <si>
    <t xml:space="preserve">PO11808</t>
  </si>
  <si>
    <t xml:space="preserve">PO11809</t>
  </si>
  <si>
    <t xml:space="preserve">PO11810</t>
  </si>
  <si>
    <t xml:space="preserve">PO11811</t>
  </si>
  <si>
    <t xml:space="preserve">PO11812</t>
  </si>
  <si>
    <t xml:space="preserve">PO11813</t>
  </si>
  <si>
    <t xml:space="preserve">PO11814</t>
  </si>
  <si>
    <t xml:space="preserve">PO11815</t>
  </si>
  <si>
    <t xml:space="preserve">PO11816</t>
  </si>
  <si>
    <t xml:space="preserve">PO11817</t>
  </si>
  <si>
    <t xml:space="preserve">PO11818</t>
  </si>
  <si>
    <t xml:space="preserve">PO11819</t>
  </si>
  <si>
    <t xml:space="preserve">PO11820</t>
  </si>
  <si>
    <t xml:space="preserve">PO11821</t>
  </si>
  <si>
    <t xml:space="preserve">PO11822</t>
  </si>
  <si>
    <t xml:space="preserve">PO11823</t>
  </si>
  <si>
    <t xml:space="preserve">PO11824</t>
  </si>
  <si>
    <t xml:space="preserve">PO11825</t>
  </si>
  <si>
    <t xml:space="preserve">PO11826</t>
  </si>
  <si>
    <t xml:space="preserve">PO11827</t>
  </si>
  <si>
    <t xml:space="preserve">PO11828</t>
  </si>
  <si>
    <t xml:space="preserve">PO11829</t>
  </si>
  <si>
    <t xml:space="preserve">PO11830</t>
  </si>
  <si>
    <t xml:space="preserve">PO11831</t>
  </si>
  <si>
    <t xml:space="preserve">PO11832</t>
  </si>
  <si>
    <t xml:space="preserve">PO11833</t>
  </si>
  <si>
    <t xml:space="preserve">PO11834</t>
  </si>
  <si>
    <t xml:space="preserve">PO11835</t>
  </si>
  <si>
    <t xml:space="preserve">PO11836</t>
  </si>
  <si>
    <t xml:space="preserve">PO11837</t>
  </si>
  <si>
    <t xml:space="preserve">PO11838</t>
  </si>
  <si>
    <t xml:space="preserve">PO11839</t>
  </si>
  <si>
    <t xml:space="preserve">PO11840</t>
  </si>
  <si>
    <t xml:space="preserve">PO11841</t>
  </si>
  <si>
    <t xml:space="preserve">PO11842</t>
  </si>
  <si>
    <t xml:space="preserve">PO11843</t>
  </si>
  <si>
    <t xml:space="preserve">PO11844</t>
  </si>
  <si>
    <t xml:space="preserve">PO11845</t>
  </si>
  <si>
    <t xml:space="preserve">PO11846</t>
  </si>
  <si>
    <t xml:space="preserve">PO11847</t>
  </si>
  <si>
    <t xml:space="preserve">PO11848</t>
  </si>
  <si>
    <t xml:space="preserve">PO11849</t>
  </si>
  <si>
    <t xml:space="preserve">PO11850</t>
  </si>
  <si>
    <t xml:space="preserve">PO11851</t>
  </si>
  <si>
    <t xml:space="preserve">PO11852</t>
  </si>
  <si>
    <t xml:space="preserve">PO11853</t>
  </si>
  <si>
    <t xml:space="preserve">PO11854</t>
  </si>
  <si>
    <t xml:space="preserve">PO11855</t>
  </si>
  <si>
    <t xml:space="preserve">PO11856</t>
  </si>
  <si>
    <t xml:space="preserve">PO11857</t>
  </si>
  <si>
    <t xml:space="preserve">PO11858</t>
  </si>
  <si>
    <t xml:space="preserve">PO11859</t>
  </si>
  <si>
    <t xml:space="preserve">PO11860</t>
  </si>
  <si>
    <t xml:space="preserve">PO11861</t>
  </si>
  <si>
    <t xml:space="preserve">PO11862</t>
  </si>
  <si>
    <t xml:space="preserve">PO11863</t>
  </si>
  <si>
    <t xml:space="preserve">PO11864</t>
  </si>
  <si>
    <t xml:space="preserve">PO11865</t>
  </si>
  <si>
    <t xml:space="preserve">PO11866</t>
  </si>
  <si>
    <t xml:space="preserve">PO11867</t>
  </si>
  <si>
    <t xml:space="preserve">PO11868</t>
  </si>
  <si>
    <t xml:space="preserve">PO11869</t>
  </si>
  <si>
    <t xml:space="preserve">PO11870</t>
  </si>
  <si>
    <t xml:space="preserve">PO11871</t>
  </si>
  <si>
    <t xml:space="preserve">PO11872</t>
  </si>
  <si>
    <t xml:space="preserve">PO11873</t>
  </si>
  <si>
    <t xml:space="preserve">PO11874</t>
  </si>
  <si>
    <t xml:space="preserve">PO11875</t>
  </si>
  <si>
    <t xml:space="preserve">PO11876</t>
  </si>
  <si>
    <t xml:space="preserve">PO11877</t>
  </si>
  <si>
    <t xml:space="preserve">PO11878</t>
  </si>
  <si>
    <t xml:space="preserve">PO11879</t>
  </si>
  <si>
    <t xml:space="preserve">PO11880</t>
  </si>
  <si>
    <t xml:space="preserve">PO11881</t>
  </si>
  <si>
    <t xml:space="preserve">PO11882</t>
  </si>
  <si>
    <t xml:space="preserve">PO11883</t>
  </si>
  <si>
    <t xml:space="preserve">PO11884</t>
  </si>
  <si>
    <t xml:space="preserve">PO11885</t>
  </si>
  <si>
    <t xml:space="preserve">PO11886</t>
  </si>
  <si>
    <t xml:space="preserve">PO11887</t>
  </si>
  <si>
    <t xml:space="preserve">PO11888</t>
  </si>
  <si>
    <t xml:space="preserve">PO11889</t>
  </si>
  <si>
    <t xml:space="preserve">PO11890</t>
  </si>
  <si>
    <t xml:space="preserve">PO11891</t>
  </si>
  <si>
    <t xml:space="preserve">PO11892</t>
  </si>
  <si>
    <t xml:space="preserve">PO11893</t>
  </si>
  <si>
    <t xml:space="preserve">PO11894</t>
  </si>
  <si>
    <t xml:space="preserve">PO11895</t>
  </si>
  <si>
    <t xml:space="preserve">PO11896</t>
  </si>
  <si>
    <t xml:space="preserve">PO11897</t>
  </si>
  <si>
    <t xml:space="preserve">PO11898</t>
  </si>
  <si>
    <t xml:space="preserve">PO11899</t>
  </si>
  <si>
    <t xml:space="preserve">PO11900</t>
  </si>
  <si>
    <t xml:space="preserve">PO11901</t>
  </si>
  <si>
    <t xml:space="preserve">PO11902</t>
  </si>
  <si>
    <t xml:space="preserve">PO11903</t>
  </si>
  <si>
    <t xml:space="preserve">PO11904</t>
  </si>
  <si>
    <t xml:space="preserve">PO11905</t>
  </si>
  <si>
    <t xml:space="preserve">PO11906</t>
  </si>
  <si>
    <t xml:space="preserve">PO11907</t>
  </si>
  <si>
    <t xml:space="preserve">PO11908</t>
  </si>
  <si>
    <t xml:space="preserve">PO11909</t>
  </si>
  <si>
    <t xml:space="preserve">PO11910</t>
  </si>
  <si>
    <t xml:space="preserve">PO11911</t>
  </si>
  <si>
    <t xml:space="preserve">PO11912</t>
  </si>
  <si>
    <t xml:space="preserve">PO11913</t>
  </si>
  <si>
    <t xml:space="preserve">PO11914</t>
  </si>
  <si>
    <t xml:space="preserve">PO11915</t>
  </si>
  <si>
    <t xml:space="preserve">PO11916</t>
  </si>
  <si>
    <t xml:space="preserve">PO11917</t>
  </si>
  <si>
    <t xml:space="preserve">PO11918</t>
  </si>
  <si>
    <t xml:space="preserve">PO11919</t>
  </si>
  <si>
    <t xml:space="preserve">PO11920</t>
  </si>
  <si>
    <t xml:space="preserve">PO11921</t>
  </si>
  <si>
    <t xml:space="preserve">PO11922</t>
  </si>
  <si>
    <t xml:space="preserve">PO11923</t>
  </si>
  <si>
    <t xml:space="preserve">PO11924</t>
  </si>
  <si>
    <t xml:space="preserve">PO11925</t>
  </si>
  <si>
    <t xml:space="preserve">PO11926</t>
  </si>
  <si>
    <t xml:space="preserve">PO11927</t>
  </si>
  <si>
    <t xml:space="preserve">PO11928</t>
  </si>
  <si>
    <t xml:space="preserve">PO11929</t>
  </si>
  <si>
    <t xml:space="preserve">PO11930</t>
  </si>
  <si>
    <t xml:space="preserve">PO11931</t>
  </si>
  <si>
    <t xml:space="preserve">PO11932</t>
  </si>
  <si>
    <t xml:space="preserve">PO11933</t>
  </si>
  <si>
    <t xml:space="preserve">PO11934</t>
  </si>
  <si>
    <t xml:space="preserve">PO11935</t>
  </si>
  <si>
    <t xml:space="preserve">PO11936</t>
  </si>
  <si>
    <t xml:space="preserve">PO11937</t>
  </si>
  <si>
    <t xml:space="preserve">PO11938</t>
  </si>
  <si>
    <t xml:space="preserve">PO11939</t>
  </si>
  <si>
    <t xml:space="preserve">PO11940</t>
  </si>
  <si>
    <t xml:space="preserve">PO11941</t>
  </si>
  <si>
    <t xml:space="preserve">PO11942</t>
  </si>
  <si>
    <t xml:space="preserve">PO11943</t>
  </si>
  <si>
    <t xml:space="preserve">PO11944</t>
  </si>
  <si>
    <t xml:space="preserve">PO11945</t>
  </si>
  <si>
    <t xml:space="preserve">PO11946</t>
  </si>
  <si>
    <t xml:space="preserve">PO11947</t>
  </si>
  <si>
    <t xml:space="preserve">PO11948</t>
  </si>
  <si>
    <t xml:space="preserve">PO11949</t>
  </si>
  <si>
    <t xml:space="preserve">PO11950</t>
  </si>
  <si>
    <t xml:space="preserve">PO11951</t>
  </si>
  <si>
    <t xml:space="preserve">PO11952</t>
  </si>
  <si>
    <t xml:space="preserve">PO11953</t>
  </si>
  <si>
    <t xml:space="preserve">PO11954</t>
  </si>
  <si>
    <t xml:space="preserve">PO11955</t>
  </si>
  <si>
    <t xml:space="preserve">PO11956</t>
  </si>
  <si>
    <t xml:space="preserve">PO11957</t>
  </si>
  <si>
    <t xml:space="preserve">PO11958</t>
  </si>
  <si>
    <t xml:space="preserve">PO11959</t>
  </si>
  <si>
    <t xml:space="preserve">PO11960</t>
  </si>
  <si>
    <t xml:space="preserve">PO11961</t>
  </si>
  <si>
    <t xml:space="preserve">PO11962</t>
  </si>
  <si>
    <t xml:space="preserve">PO11963</t>
  </si>
  <si>
    <t xml:space="preserve">PO11964</t>
  </si>
  <si>
    <t xml:space="preserve">PO11965</t>
  </si>
  <si>
    <t xml:space="preserve">PO11966</t>
  </si>
  <si>
    <t xml:space="preserve">PO11967</t>
  </si>
  <si>
    <t xml:space="preserve">PO11968</t>
  </si>
  <si>
    <t xml:space="preserve">PO11969</t>
  </si>
  <si>
    <t xml:space="preserve">PO11970</t>
  </si>
  <si>
    <t xml:space="preserve">PO11971</t>
  </si>
  <si>
    <t xml:space="preserve">PO11972</t>
  </si>
  <si>
    <t xml:space="preserve">PO11973</t>
  </si>
  <si>
    <t xml:space="preserve">PO11974</t>
  </si>
  <si>
    <t xml:space="preserve">PO11975</t>
  </si>
  <si>
    <t xml:space="preserve">PO11976</t>
  </si>
  <si>
    <t xml:space="preserve">PO11977</t>
  </si>
  <si>
    <t xml:space="preserve">PO11978</t>
  </si>
  <si>
    <t xml:space="preserve">PO11979</t>
  </si>
  <si>
    <t xml:space="preserve">PO11980</t>
  </si>
  <si>
    <t xml:space="preserve">PO11981</t>
  </si>
  <si>
    <t xml:space="preserve">PO11982</t>
  </si>
  <si>
    <t xml:space="preserve">PO11983</t>
  </si>
  <si>
    <t xml:space="preserve">PO11984</t>
  </si>
  <si>
    <t xml:space="preserve">PO11985</t>
  </si>
  <si>
    <t xml:space="preserve">PO11986</t>
  </si>
  <si>
    <t xml:space="preserve">PO11987</t>
  </si>
  <si>
    <t xml:space="preserve">PO11988</t>
  </si>
  <si>
    <t xml:space="preserve">PO11989</t>
  </si>
  <si>
    <t xml:space="preserve">PO11990</t>
  </si>
  <si>
    <t xml:space="preserve">PO11991</t>
  </si>
  <si>
    <t xml:space="preserve">PO11992</t>
  </si>
  <si>
    <t xml:space="preserve">PO11993</t>
  </si>
  <si>
    <t xml:space="preserve">PO11994</t>
  </si>
  <si>
    <t xml:space="preserve">PO11995</t>
  </si>
  <si>
    <t xml:space="preserve">PO11996</t>
  </si>
  <si>
    <t xml:space="preserve">PO11997</t>
  </si>
  <si>
    <t xml:space="preserve">PO11998</t>
  </si>
  <si>
    <t xml:space="preserve">PO11999</t>
  </si>
  <si>
    <t xml:space="preserve">PO12000</t>
  </si>
  <si>
    <t xml:space="preserve">PO12001</t>
  </si>
  <si>
    <t xml:space="preserve">PO12002</t>
  </si>
  <si>
    <t xml:space="preserve">PO12003</t>
  </si>
  <si>
    <t xml:space="preserve">PO12004</t>
  </si>
  <si>
    <t xml:space="preserve">PO12005</t>
  </si>
  <si>
    <t xml:space="preserve">PO12006</t>
  </si>
  <si>
    <t xml:space="preserve">PO12007</t>
  </si>
  <si>
    <t xml:space="preserve">PO12008</t>
  </si>
  <si>
    <t xml:space="preserve">PO12009</t>
  </si>
  <si>
    <t xml:space="preserve">PO12010</t>
  </si>
  <si>
    <t xml:space="preserve">PO12011</t>
  </si>
  <si>
    <t xml:space="preserve">PO12012</t>
  </si>
  <si>
    <t xml:space="preserve">PO12013</t>
  </si>
  <si>
    <t xml:space="preserve">PO12014</t>
  </si>
  <si>
    <t xml:space="preserve">PO12015</t>
  </si>
  <si>
    <t xml:space="preserve">PO12016</t>
  </si>
  <si>
    <t xml:space="preserve">PO12017</t>
  </si>
  <si>
    <t xml:space="preserve">PO12018</t>
  </si>
  <si>
    <t xml:space="preserve">PO12019</t>
  </si>
  <si>
    <t xml:space="preserve">PO12020</t>
  </si>
  <si>
    <t xml:space="preserve">PO12021</t>
  </si>
  <si>
    <t xml:space="preserve">PO12022</t>
  </si>
  <si>
    <t xml:space="preserve">PO12023</t>
  </si>
  <si>
    <t xml:space="preserve">PO12024</t>
  </si>
  <si>
    <t xml:space="preserve">PO12025</t>
  </si>
  <si>
    <t xml:space="preserve">PO12026</t>
  </si>
  <si>
    <t xml:space="preserve">PO12027</t>
  </si>
  <si>
    <t xml:space="preserve">PO12028</t>
  </si>
  <si>
    <t xml:space="preserve">PO12029</t>
  </si>
  <si>
    <t xml:space="preserve">PO12030</t>
  </si>
  <si>
    <t xml:space="preserve">PO12031</t>
  </si>
  <si>
    <t xml:space="preserve">PO12032</t>
  </si>
  <si>
    <t xml:space="preserve">PO12033</t>
  </si>
  <si>
    <t xml:space="preserve">PO12034</t>
  </si>
  <si>
    <t xml:space="preserve">PO12035</t>
  </si>
  <si>
    <t xml:space="preserve">PO12036</t>
  </si>
  <si>
    <t xml:space="preserve">PO12037</t>
  </si>
  <si>
    <t xml:space="preserve">PO12038</t>
  </si>
  <si>
    <t xml:space="preserve">PO12039</t>
  </si>
  <si>
    <t xml:space="preserve">PO12040</t>
  </si>
  <si>
    <t xml:space="preserve">PO12041</t>
  </si>
  <si>
    <t xml:space="preserve">PO12042</t>
  </si>
  <si>
    <t xml:space="preserve">PO12043</t>
  </si>
  <si>
    <t xml:space="preserve">PO12044</t>
  </si>
  <si>
    <t xml:space="preserve">PO12045</t>
  </si>
  <si>
    <t xml:space="preserve">PO12046</t>
  </si>
  <si>
    <t xml:space="preserve">PO12047</t>
  </si>
  <si>
    <t xml:space="preserve">PO12048</t>
  </si>
  <si>
    <t xml:space="preserve">PO12049</t>
  </si>
  <si>
    <t xml:space="preserve">PO12050</t>
  </si>
  <si>
    <t xml:space="preserve">PO12051</t>
  </si>
  <si>
    <t xml:space="preserve">PO12052</t>
  </si>
  <si>
    <t xml:space="preserve">PO12053</t>
  </si>
  <si>
    <t xml:space="preserve">PO12054</t>
  </si>
  <si>
    <t xml:space="preserve">PO12055</t>
  </si>
  <si>
    <t xml:space="preserve">PO12056</t>
  </si>
  <si>
    <t xml:space="preserve">PO12057</t>
  </si>
  <si>
    <t xml:space="preserve">PO12058</t>
  </si>
  <si>
    <t xml:space="preserve">PO12059</t>
  </si>
  <si>
    <t xml:space="preserve">PO12060</t>
  </si>
  <si>
    <t xml:space="preserve">PO12061</t>
  </si>
  <si>
    <t xml:space="preserve">PO12062</t>
  </si>
  <si>
    <t xml:space="preserve">PO12063</t>
  </si>
  <si>
    <t xml:space="preserve">PO12064</t>
  </si>
  <si>
    <t xml:space="preserve">PO12065</t>
  </si>
  <si>
    <t xml:space="preserve">PO12066</t>
  </si>
  <si>
    <t xml:space="preserve">PO12067</t>
  </si>
  <si>
    <t xml:space="preserve">PO12068</t>
  </si>
  <si>
    <t xml:space="preserve">PO12069</t>
  </si>
  <si>
    <t xml:space="preserve">PO12070</t>
  </si>
  <si>
    <t xml:space="preserve">PO12071</t>
  </si>
  <si>
    <t xml:space="preserve">PO12072</t>
  </si>
  <si>
    <t xml:space="preserve">PO12073</t>
  </si>
  <si>
    <t xml:space="preserve">PO12074</t>
  </si>
  <si>
    <t xml:space="preserve">PO12075</t>
  </si>
  <si>
    <t xml:space="preserve">PO12076</t>
  </si>
  <si>
    <t xml:space="preserve">PO12077</t>
  </si>
  <si>
    <t xml:space="preserve">PO12078</t>
  </si>
  <si>
    <t xml:space="preserve">PO12079</t>
  </si>
  <si>
    <t xml:space="preserve">PO12080</t>
  </si>
  <si>
    <t xml:space="preserve">PO12081</t>
  </si>
  <si>
    <t xml:space="preserve">PO12082</t>
  </si>
  <si>
    <t xml:space="preserve">PO12083</t>
  </si>
  <si>
    <t xml:space="preserve">PO12084</t>
  </si>
  <si>
    <t xml:space="preserve">PO12085</t>
  </si>
  <si>
    <t xml:space="preserve">PO12086</t>
  </si>
  <si>
    <t xml:space="preserve">PO12087</t>
  </si>
  <si>
    <t xml:space="preserve">PO12088</t>
  </si>
  <si>
    <t xml:space="preserve">PO12089</t>
  </si>
  <si>
    <t xml:space="preserve">PO12090</t>
  </si>
  <si>
    <t xml:space="preserve">PO12091</t>
  </si>
  <si>
    <t xml:space="preserve">PO12092</t>
  </si>
  <si>
    <t xml:space="preserve">PO12093</t>
  </si>
  <si>
    <t xml:space="preserve">PO12094</t>
  </si>
  <si>
    <t xml:space="preserve">PO12095</t>
  </si>
  <si>
    <t xml:space="preserve">PO12096</t>
  </si>
  <si>
    <t xml:space="preserve">PO12097</t>
  </si>
  <si>
    <t xml:space="preserve">PO12098</t>
  </si>
  <si>
    <t xml:space="preserve">PO12099</t>
  </si>
  <si>
    <t xml:space="preserve">PO12100</t>
  </si>
  <si>
    <t xml:space="preserve">PO12101</t>
  </si>
  <si>
    <t xml:space="preserve">PO12102</t>
  </si>
  <si>
    <t xml:space="preserve">PO12103</t>
  </si>
  <si>
    <t xml:space="preserve">PO12104</t>
  </si>
  <si>
    <t xml:space="preserve">PO12105</t>
  </si>
  <si>
    <t xml:space="preserve">PO12106</t>
  </si>
  <si>
    <t xml:space="preserve">PO12107</t>
  </si>
  <si>
    <t xml:space="preserve">PO12108</t>
  </si>
  <si>
    <t xml:space="preserve">PO12109</t>
  </si>
  <si>
    <t xml:space="preserve">PO12110</t>
  </si>
  <si>
    <t xml:space="preserve">PO12111</t>
  </si>
  <si>
    <t xml:space="preserve">PO12112</t>
  </si>
  <si>
    <t xml:space="preserve">PO12113</t>
  </si>
  <si>
    <t xml:space="preserve">PO12114</t>
  </si>
  <si>
    <t xml:space="preserve">PO12115</t>
  </si>
  <si>
    <t xml:space="preserve">PO12116</t>
  </si>
  <si>
    <t xml:space="preserve">PO12117</t>
  </si>
  <si>
    <t xml:space="preserve">PO12118</t>
  </si>
  <si>
    <t xml:space="preserve">PO12119</t>
  </si>
  <si>
    <t xml:space="preserve">PO12120</t>
  </si>
  <si>
    <t xml:space="preserve">PO12121</t>
  </si>
  <si>
    <t xml:space="preserve">PO12122</t>
  </si>
  <si>
    <t xml:space="preserve">PO12123</t>
  </si>
  <si>
    <t xml:space="preserve">PO12124</t>
  </si>
  <si>
    <t xml:space="preserve">PO12125</t>
  </si>
  <si>
    <t xml:space="preserve">PO12126</t>
  </si>
  <si>
    <t xml:space="preserve">PO12127</t>
  </si>
  <si>
    <t xml:space="preserve">PO12128</t>
  </si>
  <si>
    <t xml:space="preserve">PO12129</t>
  </si>
  <si>
    <t xml:space="preserve">PO12130</t>
  </si>
  <si>
    <t xml:space="preserve">PO12131</t>
  </si>
  <si>
    <t xml:space="preserve">PO12132</t>
  </si>
  <si>
    <t xml:space="preserve">PO12133</t>
  </si>
  <si>
    <t xml:space="preserve">PO12134</t>
  </si>
  <si>
    <t xml:space="preserve">PO12135</t>
  </si>
  <si>
    <t xml:space="preserve">PO12136</t>
  </si>
  <si>
    <t xml:space="preserve">PO12137</t>
  </si>
  <si>
    <t xml:space="preserve">PO12138</t>
  </si>
  <si>
    <t xml:space="preserve">PO12139</t>
  </si>
  <si>
    <t xml:space="preserve">PO12140</t>
  </si>
  <si>
    <t xml:space="preserve">PO12141</t>
  </si>
  <si>
    <t xml:space="preserve">PO12142</t>
  </si>
  <si>
    <t xml:space="preserve">PO12143</t>
  </si>
  <si>
    <t xml:space="preserve">PO12144</t>
  </si>
  <si>
    <t xml:space="preserve">PO12145</t>
  </si>
  <si>
    <t xml:space="preserve">PO12146</t>
  </si>
  <si>
    <t xml:space="preserve">PO12147</t>
  </si>
  <si>
    <t xml:space="preserve">PO12148</t>
  </si>
  <si>
    <t xml:space="preserve">PO12149</t>
  </si>
  <si>
    <t xml:space="preserve">PO12150</t>
  </si>
  <si>
    <t xml:space="preserve">PO12151</t>
  </si>
  <si>
    <t xml:space="preserve">PO12152</t>
  </si>
  <si>
    <t xml:space="preserve">PO12153</t>
  </si>
  <si>
    <t xml:space="preserve">PO12154</t>
  </si>
  <si>
    <t xml:space="preserve">PO12155</t>
  </si>
  <si>
    <t xml:space="preserve">PO12156</t>
  </si>
  <si>
    <t xml:space="preserve">PO12157</t>
  </si>
  <si>
    <t xml:space="preserve">PO12158</t>
  </si>
  <si>
    <t xml:space="preserve">PO12159</t>
  </si>
  <si>
    <t xml:space="preserve">PO12160</t>
  </si>
  <si>
    <t xml:space="preserve">PO12161</t>
  </si>
  <si>
    <t xml:space="preserve">PO12162</t>
  </si>
  <si>
    <t xml:space="preserve">PO12163</t>
  </si>
  <si>
    <t xml:space="preserve">PO12164</t>
  </si>
  <si>
    <t xml:space="preserve">PO12165</t>
  </si>
  <si>
    <t xml:space="preserve">PO12166</t>
  </si>
  <si>
    <t xml:space="preserve">PO12167</t>
  </si>
  <si>
    <t xml:space="preserve">PO12168</t>
  </si>
  <si>
    <t xml:space="preserve">PO12169</t>
  </si>
  <si>
    <t xml:space="preserve">PO12170</t>
  </si>
  <si>
    <t xml:space="preserve">PO12171</t>
  </si>
  <si>
    <t xml:space="preserve">PO12172</t>
  </si>
  <si>
    <t xml:space="preserve">PO12173</t>
  </si>
  <si>
    <t xml:space="preserve">PO12174</t>
  </si>
  <si>
    <t xml:space="preserve">PO12175</t>
  </si>
  <si>
    <t xml:space="preserve">PO12176</t>
  </si>
  <si>
    <t xml:space="preserve">PO12177</t>
  </si>
  <si>
    <t xml:space="preserve">PO12178</t>
  </si>
  <si>
    <t xml:space="preserve">PO12179</t>
  </si>
  <si>
    <t xml:space="preserve">PO12180</t>
  </si>
  <si>
    <t xml:space="preserve">PO12181</t>
  </si>
  <si>
    <t xml:space="preserve">PO12182</t>
  </si>
  <si>
    <t xml:space="preserve">PO12183</t>
  </si>
  <si>
    <t xml:space="preserve">PO12184</t>
  </si>
  <si>
    <t xml:space="preserve">PO12185</t>
  </si>
  <si>
    <t xml:space="preserve">PO12186</t>
  </si>
  <si>
    <t xml:space="preserve">PO12187</t>
  </si>
  <si>
    <t xml:space="preserve">PO12188</t>
  </si>
  <si>
    <t xml:space="preserve">PO12189</t>
  </si>
  <si>
    <t xml:space="preserve">PO12190</t>
  </si>
  <si>
    <t xml:space="preserve">PO12191</t>
  </si>
  <si>
    <t xml:space="preserve">PO12192</t>
  </si>
  <si>
    <t xml:space="preserve">PO12193</t>
  </si>
  <si>
    <t xml:space="preserve">PO12194</t>
  </si>
  <si>
    <t xml:space="preserve">PO12195</t>
  </si>
  <si>
    <t xml:space="preserve">PO12196</t>
  </si>
  <si>
    <t xml:space="preserve">PO12197</t>
  </si>
  <si>
    <t xml:space="preserve">PO12198</t>
  </si>
  <si>
    <t xml:space="preserve">PO12199</t>
  </si>
  <si>
    <t xml:space="preserve">PO12200</t>
  </si>
  <si>
    <t xml:space="preserve">PO12201</t>
  </si>
  <si>
    <t xml:space="preserve">PO12202</t>
  </si>
  <si>
    <t xml:space="preserve">PO12203</t>
  </si>
  <si>
    <t xml:space="preserve">PO12204</t>
  </si>
  <si>
    <t xml:space="preserve">PO12205</t>
  </si>
  <si>
    <t xml:space="preserve">PO12206</t>
  </si>
  <si>
    <t xml:space="preserve">PO12207</t>
  </si>
  <si>
    <t xml:space="preserve">PO12208</t>
  </si>
  <si>
    <t xml:space="preserve">PO12209</t>
  </si>
  <si>
    <t xml:space="preserve">PO12210</t>
  </si>
  <si>
    <t xml:space="preserve">PO12211</t>
  </si>
  <si>
    <t xml:space="preserve">PO12212</t>
  </si>
  <si>
    <t xml:space="preserve">PO12213</t>
  </si>
  <si>
    <t xml:space="preserve">PO12214</t>
  </si>
  <si>
    <t xml:space="preserve">PO12215</t>
  </si>
  <si>
    <t xml:space="preserve">PO12216</t>
  </si>
  <si>
    <t xml:space="preserve">PO12217</t>
  </si>
  <si>
    <t xml:space="preserve">PO12218</t>
  </si>
  <si>
    <t xml:space="preserve">PO12219</t>
  </si>
  <si>
    <t xml:space="preserve">PO12220</t>
  </si>
  <si>
    <t xml:space="preserve">PO12221</t>
  </si>
  <si>
    <t xml:space="preserve">PO12222</t>
  </si>
  <si>
    <t xml:space="preserve">PO12223</t>
  </si>
  <si>
    <t xml:space="preserve">PO12224</t>
  </si>
  <si>
    <t xml:space="preserve">PO12225</t>
  </si>
  <si>
    <t xml:space="preserve">PO12226</t>
  </si>
  <si>
    <t xml:space="preserve">PO12227</t>
  </si>
  <si>
    <t xml:space="preserve">PO12228</t>
  </si>
  <si>
    <t xml:space="preserve">PO12229</t>
  </si>
  <si>
    <t xml:space="preserve">PO12230</t>
  </si>
  <si>
    <t xml:space="preserve">PO12231</t>
  </si>
  <si>
    <t xml:space="preserve">PO12232</t>
  </si>
  <si>
    <t xml:space="preserve">PO12233</t>
  </si>
  <si>
    <t xml:space="preserve">PO12234</t>
  </si>
  <si>
    <t xml:space="preserve">PO12235</t>
  </si>
  <si>
    <t xml:space="preserve">PO12236</t>
  </si>
  <si>
    <t xml:space="preserve">PO12237</t>
  </si>
  <si>
    <t xml:space="preserve">PO12238</t>
  </si>
  <si>
    <t xml:space="preserve">PO12239</t>
  </si>
  <si>
    <t xml:space="preserve">PO12240</t>
  </si>
  <si>
    <t xml:space="preserve">PO12241</t>
  </si>
  <si>
    <t xml:space="preserve">PO12242</t>
  </si>
  <si>
    <t xml:space="preserve">PO12243</t>
  </si>
  <si>
    <t xml:space="preserve">PO12244</t>
  </si>
  <si>
    <t xml:space="preserve">PO12245</t>
  </si>
  <si>
    <t xml:space="preserve">PO12246</t>
  </si>
  <si>
    <t xml:space="preserve">PO12247</t>
  </si>
  <si>
    <t xml:space="preserve">PO12248</t>
  </si>
  <si>
    <t xml:space="preserve">PO12249</t>
  </si>
  <si>
    <t xml:space="preserve">PO12250</t>
  </si>
  <si>
    <t xml:space="preserve">PO12251</t>
  </si>
  <si>
    <t xml:space="preserve">PO12252</t>
  </si>
  <si>
    <t xml:space="preserve">PO12253</t>
  </si>
  <si>
    <t xml:space="preserve">PO12254</t>
  </si>
  <si>
    <t xml:space="preserve">PO12255</t>
  </si>
  <si>
    <t xml:space="preserve">PO12256</t>
  </si>
  <si>
    <t xml:space="preserve">PO12257</t>
  </si>
  <si>
    <t xml:space="preserve">PO12258</t>
  </si>
  <si>
    <t xml:space="preserve">PO12259</t>
  </si>
  <si>
    <t xml:space="preserve">PO12260</t>
  </si>
  <si>
    <t xml:space="preserve">PO12261</t>
  </si>
  <si>
    <t xml:space="preserve">PO12262</t>
  </si>
  <si>
    <t xml:space="preserve">PO12263</t>
  </si>
  <si>
    <t xml:space="preserve">PO12264</t>
  </si>
  <si>
    <t xml:space="preserve">PO12265</t>
  </si>
  <si>
    <t xml:space="preserve">PO12266</t>
  </si>
  <si>
    <t xml:space="preserve">PO12267</t>
  </si>
  <si>
    <t xml:space="preserve">PO12268</t>
  </si>
  <si>
    <t xml:space="preserve">PO12269</t>
  </si>
  <si>
    <t xml:space="preserve">PO12270</t>
  </si>
  <si>
    <t xml:space="preserve">PO12271</t>
  </si>
  <si>
    <t xml:space="preserve">PO12272</t>
  </si>
  <si>
    <t xml:space="preserve">PO12273</t>
  </si>
  <si>
    <t xml:space="preserve">PO12274</t>
  </si>
  <si>
    <t xml:space="preserve">PO12275</t>
  </si>
  <si>
    <t xml:space="preserve">PO12276</t>
  </si>
  <si>
    <t xml:space="preserve">PO12277</t>
  </si>
  <si>
    <t xml:space="preserve">PO12278</t>
  </si>
  <si>
    <t xml:space="preserve">PO12279</t>
  </si>
  <si>
    <t xml:space="preserve">PO12280</t>
  </si>
  <si>
    <t xml:space="preserve">PO12281</t>
  </si>
  <si>
    <t xml:space="preserve">PO12282</t>
  </si>
  <si>
    <t xml:space="preserve">PO12283</t>
  </si>
  <si>
    <t xml:space="preserve">PO12284</t>
  </si>
  <si>
    <t xml:space="preserve">PO12285</t>
  </si>
  <si>
    <t xml:space="preserve">PO12286</t>
  </si>
  <si>
    <t xml:space="preserve">PO12287</t>
  </si>
  <si>
    <t xml:space="preserve">PO12288</t>
  </si>
  <si>
    <t xml:space="preserve">PO12289</t>
  </si>
  <si>
    <t xml:space="preserve">PO12290</t>
  </si>
  <si>
    <t xml:space="preserve">PO12291</t>
  </si>
  <si>
    <t xml:space="preserve">PO12292</t>
  </si>
  <si>
    <t xml:space="preserve">PO12293</t>
  </si>
  <si>
    <t xml:space="preserve">PO12294</t>
  </si>
  <si>
    <t xml:space="preserve">PO12295</t>
  </si>
  <si>
    <t xml:space="preserve">PO12296</t>
  </si>
  <si>
    <t xml:space="preserve">PO12297</t>
  </si>
  <si>
    <t xml:space="preserve">PO12298</t>
  </si>
  <si>
    <t xml:space="preserve">PO12299</t>
  </si>
  <si>
    <t xml:space="preserve">PO12300</t>
  </si>
  <si>
    <t xml:space="preserve">PO12301</t>
  </si>
  <si>
    <t xml:space="preserve">PO12302</t>
  </si>
  <si>
    <t xml:space="preserve">PO12303</t>
  </si>
  <si>
    <t xml:space="preserve">PO12304</t>
  </si>
  <si>
    <t xml:space="preserve">PO12305</t>
  </si>
  <si>
    <t xml:space="preserve">PO12306</t>
  </si>
  <si>
    <t xml:space="preserve">PO12307</t>
  </si>
  <si>
    <t xml:space="preserve">PO12308</t>
  </si>
  <si>
    <t xml:space="preserve">PO12309</t>
  </si>
  <si>
    <t xml:space="preserve">PO12310</t>
  </si>
  <si>
    <t xml:space="preserve">PO12311</t>
  </si>
  <si>
    <t xml:space="preserve">PO12312</t>
  </si>
  <si>
    <t xml:space="preserve">PO12313</t>
  </si>
  <si>
    <t xml:space="preserve">PO12314</t>
  </si>
  <si>
    <t xml:space="preserve">PO12315</t>
  </si>
  <si>
    <t xml:space="preserve">PO12316</t>
  </si>
  <si>
    <t xml:space="preserve">PO12317</t>
  </si>
  <si>
    <t xml:space="preserve">PO12318</t>
  </si>
  <si>
    <t xml:space="preserve">PO12319</t>
  </si>
  <si>
    <t xml:space="preserve">PO12320</t>
  </si>
  <si>
    <t xml:space="preserve">PO12321</t>
  </si>
  <si>
    <t xml:space="preserve">PO12322</t>
  </si>
  <si>
    <t xml:space="preserve">PO12323</t>
  </si>
  <si>
    <t xml:space="preserve">PO12324</t>
  </si>
  <si>
    <t xml:space="preserve">PO12325</t>
  </si>
  <si>
    <t xml:space="preserve">PO12326</t>
  </si>
  <si>
    <t xml:space="preserve">PO12327</t>
  </si>
  <si>
    <t xml:space="preserve">PO12328</t>
  </si>
  <si>
    <t xml:space="preserve">PO12329</t>
  </si>
  <si>
    <t xml:space="preserve">PO12330</t>
  </si>
  <si>
    <t xml:space="preserve">PO12331</t>
  </si>
  <si>
    <t xml:space="preserve">PO12332</t>
  </si>
  <si>
    <t xml:space="preserve">PO12333</t>
  </si>
  <si>
    <t xml:space="preserve">PO12334</t>
  </si>
  <si>
    <t xml:space="preserve">PO12335</t>
  </si>
  <si>
    <t xml:space="preserve">PO12336</t>
  </si>
  <si>
    <t xml:space="preserve">PO12337</t>
  </si>
  <si>
    <t xml:space="preserve">PO12338</t>
  </si>
  <si>
    <t xml:space="preserve">PO12339</t>
  </si>
  <si>
    <t xml:space="preserve">PO12340</t>
  </si>
  <si>
    <t xml:space="preserve">PO12341</t>
  </si>
  <si>
    <t xml:space="preserve">PO12342</t>
  </si>
  <si>
    <t xml:space="preserve">PO12343</t>
  </si>
  <si>
    <t xml:space="preserve">PO12344</t>
  </si>
  <si>
    <t xml:space="preserve">PO12345</t>
  </si>
  <si>
    <t xml:space="preserve">PO12346</t>
  </si>
  <si>
    <t xml:space="preserve">PO12347</t>
  </si>
  <si>
    <t xml:space="preserve">PO12348</t>
  </si>
  <si>
    <t xml:space="preserve">PO12349</t>
  </si>
  <si>
    <t xml:space="preserve">PO12350</t>
  </si>
  <si>
    <t xml:space="preserve">PO12351</t>
  </si>
  <si>
    <t xml:space="preserve">PO12352</t>
  </si>
  <si>
    <t xml:space="preserve">PO12353</t>
  </si>
  <si>
    <t xml:space="preserve">PO12354</t>
  </si>
  <si>
    <t xml:space="preserve">PO12355</t>
  </si>
  <si>
    <t xml:space="preserve">PO12356</t>
  </si>
  <si>
    <t xml:space="preserve">PO12357</t>
  </si>
  <si>
    <t xml:space="preserve">PO12358</t>
  </si>
  <si>
    <t xml:space="preserve">PO12359</t>
  </si>
  <si>
    <t xml:space="preserve">PO12360</t>
  </si>
  <si>
    <t xml:space="preserve">PO12361</t>
  </si>
  <si>
    <t xml:space="preserve">PO12362</t>
  </si>
  <si>
    <t xml:space="preserve">PO12363</t>
  </si>
  <si>
    <t xml:space="preserve">PO12364</t>
  </si>
  <si>
    <t xml:space="preserve">PO12365</t>
  </si>
  <si>
    <t xml:space="preserve">PO12366</t>
  </si>
  <si>
    <t xml:space="preserve">PO12367</t>
  </si>
  <si>
    <t xml:space="preserve">PO12368</t>
  </si>
  <si>
    <t xml:space="preserve">PO12369</t>
  </si>
  <si>
    <t xml:space="preserve">PO12370</t>
  </si>
  <si>
    <t xml:space="preserve">PO12371</t>
  </si>
  <si>
    <t xml:space="preserve">PO12372</t>
  </si>
  <si>
    <t xml:space="preserve">PO12373</t>
  </si>
  <si>
    <t xml:space="preserve">PO12374</t>
  </si>
  <si>
    <t xml:space="preserve">PO12375</t>
  </si>
  <si>
    <t xml:space="preserve">PO12376</t>
  </si>
  <si>
    <t xml:space="preserve">PO12377</t>
  </si>
  <si>
    <t xml:space="preserve">PO12378</t>
  </si>
  <si>
    <t xml:space="preserve">PO12379</t>
  </si>
  <si>
    <t xml:space="preserve">PO12380</t>
  </si>
  <si>
    <t xml:space="preserve">PO12381</t>
  </si>
  <si>
    <t xml:space="preserve">PO12382</t>
  </si>
  <si>
    <t xml:space="preserve">PO12383</t>
  </si>
  <si>
    <t xml:space="preserve">PO12384</t>
  </si>
  <si>
    <t xml:space="preserve">PO12385</t>
  </si>
  <si>
    <t xml:space="preserve">PO12386</t>
  </si>
  <si>
    <t xml:space="preserve">PO12387</t>
  </si>
  <si>
    <t xml:space="preserve">PO12388</t>
  </si>
  <si>
    <t xml:space="preserve">PO12389</t>
  </si>
  <si>
    <t xml:space="preserve">PO12390</t>
  </si>
  <si>
    <t xml:space="preserve">PO12391</t>
  </si>
  <si>
    <t xml:space="preserve">PO12392</t>
  </si>
  <si>
    <t xml:space="preserve">PO12393</t>
  </si>
  <si>
    <t xml:space="preserve">PO12394</t>
  </si>
  <si>
    <t xml:space="preserve">PO12395</t>
  </si>
  <si>
    <t xml:space="preserve">PO12396</t>
  </si>
  <si>
    <t xml:space="preserve">PO12397</t>
  </si>
  <si>
    <t xml:space="preserve">PO12398</t>
  </si>
  <si>
    <t xml:space="preserve">PO12399</t>
  </si>
  <si>
    <t xml:space="preserve">PO12400</t>
  </si>
  <si>
    <t xml:space="preserve">PO12401</t>
  </si>
  <si>
    <t xml:space="preserve">PO12402</t>
  </si>
  <si>
    <t xml:space="preserve">PO12403</t>
  </si>
  <si>
    <t xml:space="preserve">PO12404</t>
  </si>
  <si>
    <t xml:space="preserve">PO12405</t>
  </si>
  <si>
    <t xml:space="preserve">PO12406</t>
  </si>
  <si>
    <t xml:space="preserve">PO12407</t>
  </si>
  <si>
    <t xml:space="preserve">PO12408</t>
  </si>
  <si>
    <t xml:space="preserve">PO12409</t>
  </si>
  <si>
    <t xml:space="preserve">PO12410</t>
  </si>
  <si>
    <t xml:space="preserve">PO12411</t>
  </si>
  <si>
    <t xml:space="preserve">PO12412</t>
  </si>
  <si>
    <t xml:space="preserve">PO12413</t>
  </si>
  <si>
    <t xml:space="preserve">PO12414</t>
  </si>
  <si>
    <t xml:space="preserve">PO12415</t>
  </si>
  <si>
    <t xml:space="preserve">PO12416</t>
  </si>
  <si>
    <t xml:space="preserve">PO12417</t>
  </si>
  <si>
    <t xml:space="preserve">PO12418</t>
  </si>
  <si>
    <t xml:space="preserve">PO12419</t>
  </si>
  <si>
    <t xml:space="preserve">PO12420</t>
  </si>
  <si>
    <t xml:space="preserve">PO12421</t>
  </si>
  <si>
    <t xml:space="preserve">PO12422</t>
  </si>
  <si>
    <t xml:space="preserve">PO12423</t>
  </si>
  <si>
    <t xml:space="preserve">PO12424</t>
  </si>
  <si>
    <t xml:space="preserve">PO12425</t>
  </si>
  <si>
    <t xml:space="preserve">PO12426</t>
  </si>
  <si>
    <t xml:space="preserve">PO12427</t>
  </si>
  <si>
    <t xml:space="preserve">PO12428</t>
  </si>
  <si>
    <t xml:space="preserve">PO12429</t>
  </si>
  <si>
    <t xml:space="preserve">PO12430</t>
  </si>
  <si>
    <t xml:space="preserve">PO12431</t>
  </si>
  <si>
    <t xml:space="preserve">PO12432</t>
  </si>
  <si>
    <t xml:space="preserve">PO12433</t>
  </si>
  <si>
    <t xml:space="preserve">PO12434</t>
  </si>
  <si>
    <t xml:space="preserve">PO12435</t>
  </si>
  <si>
    <t xml:space="preserve">PO12436</t>
  </si>
  <si>
    <t xml:space="preserve">PO12437</t>
  </si>
  <si>
    <t xml:space="preserve">PO12438</t>
  </si>
  <si>
    <t xml:space="preserve">PO12439</t>
  </si>
  <si>
    <t xml:space="preserve">PO12440</t>
  </si>
  <si>
    <t xml:space="preserve">PO12441</t>
  </si>
  <si>
    <t xml:space="preserve">PO12442</t>
  </si>
  <si>
    <t xml:space="preserve">PO12443</t>
  </si>
  <si>
    <t xml:space="preserve">PO12444</t>
  </si>
  <si>
    <t xml:space="preserve">PO12445</t>
  </si>
  <si>
    <t xml:space="preserve">PO12446</t>
  </si>
  <si>
    <t xml:space="preserve">PO12447</t>
  </si>
  <si>
    <t xml:space="preserve">PO12448</t>
  </si>
  <si>
    <t xml:space="preserve">PO12449</t>
  </si>
  <si>
    <t xml:space="preserve">PO12450</t>
  </si>
  <si>
    <t xml:space="preserve">PO12451</t>
  </si>
  <si>
    <t xml:space="preserve">PO12452</t>
  </si>
  <si>
    <t xml:space="preserve">PO12453</t>
  </si>
  <si>
    <t xml:space="preserve">PO12454</t>
  </si>
  <si>
    <t xml:space="preserve">PO12455</t>
  </si>
  <si>
    <t xml:space="preserve">PO12456</t>
  </si>
  <si>
    <t xml:space="preserve">PO12457</t>
  </si>
  <si>
    <t xml:space="preserve">PO12458</t>
  </si>
  <si>
    <t xml:space="preserve">PO12459</t>
  </si>
  <si>
    <t xml:space="preserve">PO12460</t>
  </si>
  <si>
    <t xml:space="preserve">PO12461</t>
  </si>
  <si>
    <t xml:space="preserve">PO12462</t>
  </si>
  <si>
    <t xml:space="preserve">PO12463</t>
  </si>
  <si>
    <t xml:space="preserve">PO12464</t>
  </si>
  <si>
    <t xml:space="preserve">PO12465</t>
  </si>
  <si>
    <t xml:space="preserve">PO12466</t>
  </si>
  <si>
    <t xml:space="preserve">PO12467</t>
  </si>
  <si>
    <t xml:space="preserve">PO12468</t>
  </si>
  <si>
    <t xml:space="preserve">PO12469</t>
  </si>
  <si>
    <t xml:space="preserve">PO12470</t>
  </si>
  <si>
    <t xml:space="preserve">PO12471</t>
  </si>
  <si>
    <t xml:space="preserve">PO12472</t>
  </si>
  <si>
    <t xml:space="preserve">PO12473</t>
  </si>
  <si>
    <t xml:space="preserve">PO12474</t>
  </si>
  <si>
    <t xml:space="preserve">PO12475</t>
  </si>
  <si>
    <t xml:space="preserve">PO12476</t>
  </si>
  <si>
    <t xml:space="preserve">PO12477</t>
  </si>
  <si>
    <t xml:space="preserve">PO12478</t>
  </si>
  <si>
    <t xml:space="preserve">PO12479</t>
  </si>
  <si>
    <t xml:space="preserve">PO12480</t>
  </si>
  <si>
    <t xml:space="preserve">PO12481</t>
  </si>
  <si>
    <t xml:space="preserve">PO12482</t>
  </si>
  <si>
    <t xml:space="preserve">PO12483</t>
  </si>
  <si>
    <t xml:space="preserve">PO12484</t>
  </si>
  <si>
    <t xml:space="preserve">PO12485</t>
  </si>
  <si>
    <t xml:space="preserve">PO12486</t>
  </si>
  <si>
    <t xml:space="preserve">PO12487</t>
  </si>
  <si>
    <t xml:space="preserve">PO12488</t>
  </si>
  <si>
    <t xml:space="preserve">PO12489</t>
  </si>
  <si>
    <t xml:space="preserve">PO12490</t>
  </si>
  <si>
    <t xml:space="preserve">PO12491</t>
  </si>
  <si>
    <t xml:space="preserve">PO12492</t>
  </si>
  <si>
    <t xml:space="preserve">PO12493</t>
  </si>
  <si>
    <t xml:space="preserve">PO12494</t>
  </si>
  <si>
    <t xml:space="preserve">PO12495</t>
  </si>
  <si>
    <t xml:space="preserve">PO12496</t>
  </si>
  <si>
    <t xml:space="preserve">PO12497</t>
  </si>
  <si>
    <t xml:space="preserve">PO12498</t>
  </si>
  <si>
    <t xml:space="preserve">PO12499</t>
  </si>
  <si>
    <t xml:space="preserve">PO12500</t>
  </si>
  <si>
    <t xml:space="preserve">PO12501</t>
  </si>
  <si>
    <t xml:space="preserve">PO12502</t>
  </si>
  <si>
    <t xml:space="preserve">PO12503</t>
  </si>
  <si>
    <t xml:space="preserve">PO12504</t>
  </si>
  <si>
    <t xml:space="preserve">PO12505</t>
  </si>
  <si>
    <t xml:space="preserve">PO12506</t>
  </si>
  <si>
    <t xml:space="preserve">PO12507</t>
  </si>
  <si>
    <t xml:space="preserve">PO12508</t>
  </si>
  <si>
    <t xml:space="preserve">PO12509</t>
  </si>
  <si>
    <t xml:space="preserve">PO12510</t>
  </si>
  <si>
    <t xml:space="preserve">PO12511</t>
  </si>
  <si>
    <t xml:space="preserve">PO12512</t>
  </si>
  <si>
    <t xml:space="preserve">PO12513</t>
  </si>
  <si>
    <t xml:space="preserve">PO12514</t>
  </si>
  <si>
    <t xml:space="preserve">PO12515</t>
  </si>
  <si>
    <t xml:space="preserve">PO12516</t>
  </si>
  <si>
    <t xml:space="preserve">PO12517</t>
  </si>
  <si>
    <t xml:space="preserve">PO12518</t>
  </si>
  <si>
    <t xml:space="preserve">PO12519</t>
  </si>
  <si>
    <t xml:space="preserve">PO12520</t>
  </si>
  <si>
    <t xml:space="preserve">PO12521</t>
  </si>
  <si>
    <t xml:space="preserve">PO12522</t>
  </si>
  <si>
    <t xml:space="preserve">PO12523</t>
  </si>
  <si>
    <t xml:space="preserve">PO12524</t>
  </si>
  <si>
    <t xml:space="preserve">PO12525</t>
  </si>
  <si>
    <t xml:space="preserve">PO12526</t>
  </si>
  <si>
    <t xml:space="preserve">PO12527</t>
  </si>
  <si>
    <t xml:space="preserve">PO12528</t>
  </si>
  <si>
    <t xml:space="preserve">PO12529</t>
  </si>
  <si>
    <t xml:space="preserve">PO12530</t>
  </si>
  <si>
    <t xml:space="preserve">PO12531</t>
  </si>
  <si>
    <t xml:space="preserve">PO12532</t>
  </si>
  <si>
    <t xml:space="preserve">PO12533</t>
  </si>
  <si>
    <t xml:space="preserve">PO12534</t>
  </si>
  <si>
    <t xml:space="preserve">PO12535</t>
  </si>
  <si>
    <t xml:space="preserve">PO12536</t>
  </si>
  <si>
    <t xml:space="preserve">PO12537</t>
  </si>
  <si>
    <t xml:space="preserve">PO12538</t>
  </si>
  <si>
    <t xml:space="preserve">PO12539</t>
  </si>
  <si>
    <t xml:space="preserve">PO12540</t>
  </si>
  <si>
    <t xml:space="preserve">PO12541</t>
  </si>
  <si>
    <t xml:space="preserve">PO12542</t>
  </si>
  <si>
    <t xml:space="preserve">PO12543</t>
  </si>
  <si>
    <t xml:space="preserve">PO12544</t>
  </si>
  <si>
    <t xml:space="preserve">PO12545</t>
  </si>
  <si>
    <t xml:space="preserve">PO12546</t>
  </si>
  <si>
    <t xml:space="preserve">PO12547</t>
  </si>
  <si>
    <t xml:space="preserve">PO12548</t>
  </si>
  <si>
    <t xml:space="preserve">PO12549</t>
  </si>
  <si>
    <t xml:space="preserve">PO12550</t>
  </si>
  <si>
    <t xml:space="preserve">PO12551</t>
  </si>
  <si>
    <t xml:space="preserve">PO12552</t>
  </si>
  <si>
    <t xml:space="preserve">PO12553</t>
  </si>
  <si>
    <t xml:space="preserve">PO12554</t>
  </si>
  <si>
    <t xml:space="preserve">PO12555</t>
  </si>
  <si>
    <t xml:space="preserve">PO12556</t>
  </si>
  <si>
    <t xml:space="preserve">PO12557</t>
  </si>
  <si>
    <t xml:space="preserve">PO12558</t>
  </si>
  <si>
    <t xml:space="preserve">PO12559</t>
  </si>
  <si>
    <t xml:space="preserve">PO12560</t>
  </si>
  <si>
    <t xml:space="preserve">PO12561</t>
  </si>
  <si>
    <t xml:space="preserve">PO12562</t>
  </si>
  <si>
    <t xml:space="preserve">PO12563</t>
  </si>
  <si>
    <t xml:space="preserve">PO12564</t>
  </si>
  <si>
    <t xml:space="preserve">PO12565</t>
  </si>
  <si>
    <t xml:space="preserve">PO12566</t>
  </si>
  <si>
    <t xml:space="preserve">PO12567</t>
  </si>
  <si>
    <t xml:space="preserve">PO12568</t>
  </si>
  <si>
    <t xml:space="preserve">PO12569</t>
  </si>
  <si>
    <t xml:space="preserve">PO12570</t>
  </si>
  <si>
    <t xml:space="preserve">PO12571</t>
  </si>
  <si>
    <t xml:space="preserve">PO12572</t>
  </si>
  <si>
    <t xml:space="preserve">PO12573</t>
  </si>
  <si>
    <t xml:space="preserve">PO12574</t>
  </si>
  <si>
    <t xml:space="preserve">PO12575</t>
  </si>
  <si>
    <t xml:space="preserve">PO12576</t>
  </si>
  <si>
    <t xml:space="preserve">PO12577</t>
  </si>
  <si>
    <t xml:space="preserve">PO12578</t>
  </si>
  <si>
    <t xml:space="preserve">PO12579</t>
  </si>
  <si>
    <t xml:space="preserve">PO12580</t>
  </si>
  <si>
    <t xml:space="preserve">PO12581</t>
  </si>
  <si>
    <t xml:space="preserve">PO12582</t>
  </si>
  <si>
    <t xml:space="preserve">PO12583</t>
  </si>
  <si>
    <t xml:space="preserve">PO12584</t>
  </si>
  <si>
    <t xml:space="preserve">PO12585</t>
  </si>
  <si>
    <t xml:space="preserve">PO12586</t>
  </si>
  <si>
    <t xml:space="preserve">PO12587</t>
  </si>
  <si>
    <t xml:space="preserve">PO12588</t>
  </si>
  <si>
    <t xml:space="preserve">PO12589</t>
  </si>
  <si>
    <t xml:space="preserve">PO12590</t>
  </si>
  <si>
    <t xml:space="preserve">PO12591</t>
  </si>
  <si>
    <t xml:space="preserve">PO12592</t>
  </si>
  <si>
    <t xml:space="preserve">PO12593</t>
  </si>
  <si>
    <t xml:space="preserve">PO12594</t>
  </si>
  <si>
    <t xml:space="preserve">PO12595</t>
  </si>
  <si>
    <t xml:space="preserve">PO12596</t>
  </si>
  <si>
    <t xml:space="preserve">PO12597</t>
  </si>
  <si>
    <t xml:space="preserve">PO12598</t>
  </si>
  <si>
    <t xml:space="preserve">PO12599</t>
  </si>
  <si>
    <t xml:space="preserve">PO12600</t>
  </si>
  <si>
    <t xml:space="preserve">PO12601</t>
  </si>
  <si>
    <t xml:space="preserve">PO12602</t>
  </si>
  <si>
    <t xml:space="preserve">PO12603</t>
  </si>
  <si>
    <t xml:space="preserve">PO12604</t>
  </si>
  <si>
    <t xml:space="preserve">PO12605</t>
  </si>
  <si>
    <t xml:space="preserve">PO12606</t>
  </si>
  <si>
    <t xml:space="preserve">PO12607</t>
  </si>
  <si>
    <t xml:space="preserve">PO12608</t>
  </si>
  <si>
    <t xml:space="preserve">PO12609</t>
  </si>
  <si>
    <t xml:space="preserve">PO12610</t>
  </si>
  <si>
    <t xml:space="preserve">PO12611</t>
  </si>
  <si>
    <t xml:space="preserve">PO12612</t>
  </si>
  <si>
    <t xml:space="preserve">PO12613</t>
  </si>
  <si>
    <t xml:space="preserve">PO12614</t>
  </si>
  <si>
    <t xml:space="preserve">PO12615</t>
  </si>
  <si>
    <t xml:space="preserve">PO12616</t>
  </si>
  <si>
    <t xml:space="preserve">PO12617</t>
  </si>
  <si>
    <t xml:space="preserve">PO12618</t>
  </si>
  <si>
    <t xml:space="preserve">PO12619</t>
  </si>
  <si>
    <t xml:space="preserve">PO12620</t>
  </si>
  <si>
    <t xml:space="preserve">PO12621</t>
  </si>
  <si>
    <t xml:space="preserve">PO12622</t>
  </si>
  <si>
    <t xml:space="preserve">PO12623</t>
  </si>
  <si>
    <t xml:space="preserve">PO12624</t>
  </si>
  <si>
    <t xml:space="preserve">PO12625</t>
  </si>
  <si>
    <t xml:space="preserve">PO12626</t>
  </si>
  <si>
    <t xml:space="preserve">PO12627</t>
  </si>
  <si>
    <t xml:space="preserve">PO12628</t>
  </si>
  <si>
    <t xml:space="preserve">PO12629</t>
  </si>
  <si>
    <t xml:space="preserve">PO12630</t>
  </si>
  <si>
    <t xml:space="preserve">PO12631</t>
  </si>
  <si>
    <t xml:space="preserve">PO12632</t>
  </si>
  <si>
    <t xml:space="preserve">PO12633</t>
  </si>
  <si>
    <t xml:space="preserve">PO12634</t>
  </si>
  <si>
    <t xml:space="preserve">PO12635</t>
  </si>
  <si>
    <t xml:space="preserve">PO12636</t>
  </si>
  <si>
    <t xml:space="preserve">PO12637</t>
  </si>
  <si>
    <t xml:space="preserve">PO12638</t>
  </si>
  <si>
    <t xml:space="preserve">PO12639</t>
  </si>
  <si>
    <t xml:space="preserve">PO12640</t>
  </si>
  <si>
    <t xml:space="preserve">PO12641</t>
  </si>
  <si>
    <t xml:space="preserve">PO12642</t>
  </si>
  <si>
    <t xml:space="preserve">PO12643</t>
  </si>
  <si>
    <t xml:space="preserve">PO12644</t>
  </si>
  <si>
    <t xml:space="preserve">PO12645</t>
  </si>
  <si>
    <t xml:space="preserve">PO12646</t>
  </si>
  <si>
    <t xml:space="preserve">PO12647</t>
  </si>
  <si>
    <t xml:space="preserve">PO12648</t>
  </si>
  <si>
    <t xml:space="preserve">PO12649</t>
  </si>
  <si>
    <t xml:space="preserve">PO12650</t>
  </si>
  <si>
    <t xml:space="preserve">PO12651</t>
  </si>
  <si>
    <t xml:space="preserve">PO12652</t>
  </si>
  <si>
    <t xml:space="preserve">PO12653</t>
  </si>
  <si>
    <t xml:space="preserve">PO12654</t>
  </si>
  <si>
    <t xml:space="preserve">PO12655</t>
  </si>
  <si>
    <t xml:space="preserve">PO12656</t>
  </si>
  <si>
    <t xml:space="preserve">PO12657</t>
  </si>
  <si>
    <t xml:space="preserve">PO12658</t>
  </si>
  <si>
    <t xml:space="preserve">PO12659</t>
  </si>
  <si>
    <t xml:space="preserve">PO12660</t>
  </si>
  <si>
    <t xml:space="preserve">PO12661</t>
  </si>
  <si>
    <t xml:space="preserve">PO12662</t>
  </si>
  <si>
    <t xml:space="preserve">PO12663</t>
  </si>
  <si>
    <t xml:space="preserve">PO12664</t>
  </si>
  <si>
    <t xml:space="preserve">PO12665</t>
  </si>
  <si>
    <t xml:space="preserve">PO12666</t>
  </si>
  <si>
    <t xml:space="preserve">PO12667</t>
  </si>
  <si>
    <t xml:space="preserve">PO12668</t>
  </si>
  <si>
    <t xml:space="preserve">PO12669</t>
  </si>
  <si>
    <t xml:space="preserve">PO12670</t>
  </si>
  <si>
    <t xml:space="preserve">PO12671</t>
  </si>
  <si>
    <t xml:space="preserve">PO12672</t>
  </si>
  <si>
    <t xml:space="preserve">PO12673</t>
  </si>
  <si>
    <t xml:space="preserve">PO12674</t>
  </si>
  <si>
    <t xml:space="preserve">PO12675</t>
  </si>
  <si>
    <t xml:space="preserve">PO12676</t>
  </si>
  <si>
    <t xml:space="preserve">PO12677</t>
  </si>
  <si>
    <t xml:space="preserve">PO12678</t>
  </si>
  <si>
    <t xml:space="preserve">PO12679</t>
  </si>
  <si>
    <t xml:space="preserve">PO12680</t>
  </si>
  <si>
    <t xml:space="preserve">PO12681</t>
  </si>
  <si>
    <t xml:space="preserve">PO12682</t>
  </si>
  <si>
    <t xml:space="preserve">PO12683</t>
  </si>
  <si>
    <t xml:space="preserve">PO12684</t>
  </si>
  <si>
    <t xml:space="preserve">PO12685</t>
  </si>
  <si>
    <t xml:space="preserve">PO12686</t>
  </si>
  <si>
    <t xml:space="preserve">PO12687</t>
  </si>
  <si>
    <t xml:space="preserve">PO12688</t>
  </si>
  <si>
    <t xml:space="preserve">PO12689</t>
  </si>
  <si>
    <t xml:space="preserve">PO12690</t>
  </si>
  <si>
    <t xml:space="preserve">PO12691</t>
  </si>
  <si>
    <t xml:space="preserve">PO12692</t>
  </si>
  <si>
    <t xml:space="preserve">PO12693</t>
  </si>
  <si>
    <t xml:space="preserve">PO12694</t>
  </si>
  <si>
    <t xml:space="preserve">PO12695</t>
  </si>
  <si>
    <t xml:space="preserve">PO12696</t>
  </si>
  <si>
    <t xml:space="preserve">PO12697</t>
  </si>
  <si>
    <t xml:space="preserve">PO12698</t>
  </si>
  <si>
    <t xml:space="preserve">PO12699</t>
  </si>
  <si>
    <t xml:space="preserve">PO12700</t>
  </si>
  <si>
    <t xml:space="preserve">PO12701</t>
  </si>
  <si>
    <t xml:space="preserve">PO12702</t>
  </si>
  <si>
    <t xml:space="preserve">PO12703</t>
  </si>
  <si>
    <t xml:space="preserve">PO12704</t>
  </si>
  <si>
    <t xml:space="preserve">PO12705</t>
  </si>
  <si>
    <t xml:space="preserve">PO12706</t>
  </si>
  <si>
    <t xml:space="preserve">PO12707</t>
  </si>
  <si>
    <t xml:space="preserve">PO12708</t>
  </si>
  <si>
    <t xml:space="preserve">PO12709</t>
  </si>
  <si>
    <t xml:space="preserve">PO12710</t>
  </si>
  <si>
    <t xml:space="preserve">PO12711</t>
  </si>
  <si>
    <t xml:space="preserve">PO12712</t>
  </si>
  <si>
    <t xml:space="preserve">PO12713</t>
  </si>
  <si>
    <t xml:space="preserve">PO12714</t>
  </si>
  <si>
    <t xml:space="preserve">PO12715</t>
  </si>
  <si>
    <t xml:space="preserve">PO12716</t>
  </si>
  <si>
    <t xml:space="preserve">PO12717</t>
  </si>
  <si>
    <t xml:space="preserve">PO12718</t>
  </si>
  <si>
    <t xml:space="preserve">PO12719</t>
  </si>
  <si>
    <t xml:space="preserve">PO12720</t>
  </si>
  <si>
    <t xml:space="preserve">PO12721</t>
  </si>
  <si>
    <t xml:space="preserve">PO12722</t>
  </si>
  <si>
    <t xml:space="preserve">PO12723</t>
  </si>
  <si>
    <t xml:space="preserve">PO12724</t>
  </si>
  <si>
    <t xml:space="preserve">PO12725</t>
  </si>
  <si>
    <t xml:space="preserve">PO12726</t>
  </si>
  <si>
    <t xml:space="preserve">PO12727</t>
  </si>
  <si>
    <t xml:space="preserve">PO12728</t>
  </si>
  <si>
    <t xml:space="preserve">PO12729</t>
  </si>
  <si>
    <t xml:space="preserve">PO12730</t>
  </si>
  <si>
    <t xml:space="preserve">PO12731</t>
  </si>
  <si>
    <t xml:space="preserve">PO12732</t>
  </si>
  <si>
    <t xml:space="preserve">PO12733</t>
  </si>
  <si>
    <t xml:space="preserve">PO12734</t>
  </si>
  <si>
    <t xml:space="preserve">PO12735</t>
  </si>
  <si>
    <t xml:space="preserve">PO12736</t>
  </si>
  <si>
    <t xml:space="preserve">PO12737</t>
  </si>
  <si>
    <t xml:space="preserve">PO12738</t>
  </si>
  <si>
    <t xml:space="preserve">PO12739</t>
  </si>
  <si>
    <t xml:space="preserve">PO12740</t>
  </si>
  <si>
    <t xml:space="preserve">PO12741</t>
  </si>
  <si>
    <t xml:space="preserve">PO12742</t>
  </si>
  <si>
    <t xml:space="preserve">PO12743</t>
  </si>
  <si>
    <t xml:space="preserve">PO12744</t>
  </si>
  <si>
    <t xml:space="preserve">PO12745</t>
  </si>
  <si>
    <t xml:space="preserve">PO12746</t>
  </si>
  <si>
    <t xml:space="preserve">PO12747</t>
  </si>
  <si>
    <t xml:space="preserve">PO12748</t>
  </si>
  <si>
    <t xml:space="preserve">PO12749</t>
  </si>
  <si>
    <t xml:space="preserve">PO12750</t>
  </si>
  <si>
    <t xml:space="preserve">PO12751</t>
  </si>
  <si>
    <t xml:space="preserve">PO12752</t>
  </si>
  <si>
    <t xml:space="preserve">PO12753</t>
  </si>
  <si>
    <t xml:space="preserve">PO12754</t>
  </si>
  <si>
    <t xml:space="preserve">PO12755</t>
  </si>
  <si>
    <t xml:space="preserve">PO12756</t>
  </si>
  <si>
    <t xml:space="preserve">PO12757</t>
  </si>
  <si>
    <t xml:space="preserve">PO12758</t>
  </si>
  <si>
    <t xml:space="preserve">PO12759</t>
  </si>
  <si>
    <t xml:space="preserve">PO12760</t>
  </si>
  <si>
    <t xml:space="preserve">PO12761</t>
  </si>
  <si>
    <t xml:space="preserve">PO12762</t>
  </si>
  <si>
    <t xml:space="preserve">PO12763</t>
  </si>
  <si>
    <t xml:space="preserve">PO12764</t>
  </si>
  <si>
    <t xml:space="preserve">PO12765</t>
  </si>
  <si>
    <t xml:space="preserve">PO12766</t>
  </si>
  <si>
    <t xml:space="preserve">PO12767</t>
  </si>
  <si>
    <t xml:space="preserve">PO12768</t>
  </si>
  <si>
    <t xml:space="preserve">PO12769</t>
  </si>
  <si>
    <t xml:space="preserve">PO12770</t>
  </si>
  <si>
    <t xml:space="preserve">PO12771</t>
  </si>
  <si>
    <t xml:space="preserve">PO12772</t>
  </si>
  <si>
    <t xml:space="preserve">PO12773</t>
  </si>
  <si>
    <t xml:space="preserve">PO12774</t>
  </si>
  <si>
    <t xml:space="preserve">PO12775</t>
  </si>
  <si>
    <t xml:space="preserve">PO12776</t>
  </si>
  <si>
    <t xml:space="preserve">PO12777</t>
  </si>
  <si>
    <t xml:space="preserve">PO12778</t>
  </si>
  <si>
    <t xml:space="preserve">PO12779</t>
  </si>
  <si>
    <t xml:space="preserve">PO12780</t>
  </si>
  <si>
    <t xml:space="preserve">PO12781</t>
  </si>
  <si>
    <t xml:space="preserve">PO12782</t>
  </si>
  <si>
    <t xml:space="preserve">PO12783</t>
  </si>
  <si>
    <t xml:space="preserve">PO12784</t>
  </si>
  <si>
    <t xml:space="preserve">PO12785</t>
  </si>
  <si>
    <t xml:space="preserve">PO12786</t>
  </si>
  <si>
    <t xml:space="preserve">PO12787</t>
  </si>
  <si>
    <t xml:space="preserve">PO12788</t>
  </si>
  <si>
    <t xml:space="preserve">PO12789</t>
  </si>
  <si>
    <t xml:space="preserve">PO12790</t>
  </si>
  <si>
    <t xml:space="preserve">PO12791</t>
  </si>
  <si>
    <t xml:space="preserve">PO12792</t>
  </si>
  <si>
    <t xml:space="preserve">PO12793</t>
  </si>
  <si>
    <t xml:space="preserve">PO12794</t>
  </si>
  <si>
    <t xml:space="preserve">PO12795</t>
  </si>
  <si>
    <t xml:space="preserve">PO12796</t>
  </si>
  <si>
    <t xml:space="preserve">PO12797</t>
  </si>
  <si>
    <t xml:space="preserve">PO12798</t>
  </si>
  <si>
    <t xml:space="preserve">PO12799</t>
  </si>
  <si>
    <t xml:space="preserve">PO12800</t>
  </si>
  <si>
    <t xml:space="preserve">PO12801</t>
  </si>
  <si>
    <t xml:space="preserve">PO12802</t>
  </si>
  <si>
    <t xml:space="preserve">PO12803</t>
  </si>
  <si>
    <t xml:space="preserve">PO12804</t>
  </si>
  <si>
    <t xml:space="preserve">PO12805</t>
  </si>
  <si>
    <t xml:space="preserve">PO12806</t>
  </si>
  <si>
    <t xml:space="preserve">PO12807</t>
  </si>
  <si>
    <t xml:space="preserve">PO12808</t>
  </si>
  <si>
    <t xml:space="preserve">PO12809</t>
  </si>
  <si>
    <t xml:space="preserve">PO12810</t>
  </si>
  <si>
    <t xml:space="preserve">PO12811</t>
  </si>
  <si>
    <t xml:space="preserve">PO12812</t>
  </si>
  <si>
    <t xml:space="preserve">PO12813</t>
  </si>
  <si>
    <t xml:space="preserve">PO12814</t>
  </si>
  <si>
    <t xml:space="preserve">PO12815</t>
  </si>
  <si>
    <t xml:space="preserve">PO12816</t>
  </si>
  <si>
    <t xml:space="preserve">PO12817</t>
  </si>
  <si>
    <t xml:space="preserve">PO12818</t>
  </si>
  <si>
    <t xml:space="preserve">PO12819</t>
  </si>
  <si>
    <t xml:space="preserve">PO12820</t>
  </si>
  <si>
    <t xml:space="preserve">PO12821</t>
  </si>
  <si>
    <t xml:space="preserve">PO12822</t>
  </si>
  <si>
    <t xml:space="preserve">PO12823</t>
  </si>
  <si>
    <t xml:space="preserve">PO12824</t>
  </si>
  <si>
    <t xml:space="preserve">PO12825</t>
  </si>
  <si>
    <t xml:space="preserve">PO12826</t>
  </si>
  <si>
    <t xml:space="preserve">PO12827</t>
  </si>
  <si>
    <t xml:space="preserve">PO12828</t>
  </si>
  <si>
    <t xml:space="preserve">PO12829</t>
  </si>
  <si>
    <t xml:space="preserve">PO12830</t>
  </si>
  <si>
    <t xml:space="preserve">PO12831</t>
  </si>
  <si>
    <t xml:space="preserve">PO12832</t>
  </si>
  <si>
    <t xml:space="preserve">PO12833</t>
  </si>
  <si>
    <t xml:space="preserve">PO12834</t>
  </si>
  <si>
    <t xml:space="preserve">PO12835</t>
  </si>
  <si>
    <t xml:space="preserve">PO12836</t>
  </si>
  <si>
    <t xml:space="preserve">PO12837</t>
  </si>
  <si>
    <t xml:space="preserve">PO12838</t>
  </si>
  <si>
    <t xml:space="preserve">PO12839</t>
  </si>
  <si>
    <t xml:space="preserve">PO12840</t>
  </si>
  <si>
    <t xml:space="preserve">PO12841</t>
  </si>
  <si>
    <t xml:space="preserve">PO12842</t>
  </si>
  <si>
    <t xml:space="preserve">PO12843</t>
  </si>
  <si>
    <t xml:space="preserve">PO12844</t>
  </si>
  <si>
    <t xml:space="preserve">PO12845</t>
  </si>
  <si>
    <t xml:space="preserve">PO12846</t>
  </si>
  <si>
    <t xml:space="preserve">PO12847</t>
  </si>
  <si>
    <t xml:space="preserve">PO12848</t>
  </si>
  <si>
    <t xml:space="preserve">PO12849</t>
  </si>
  <si>
    <t xml:space="preserve">PO12850</t>
  </si>
  <si>
    <t xml:space="preserve">PO12851</t>
  </si>
  <si>
    <t xml:space="preserve">PO12852</t>
  </si>
  <si>
    <t xml:space="preserve">PO12853</t>
  </si>
  <si>
    <t xml:space="preserve">PO12854</t>
  </si>
  <si>
    <t xml:space="preserve">PO12855</t>
  </si>
  <si>
    <t xml:space="preserve">PO12856</t>
  </si>
  <si>
    <t xml:space="preserve">PO12857</t>
  </si>
  <si>
    <t xml:space="preserve">PO12858</t>
  </si>
  <si>
    <t xml:space="preserve">PO12859</t>
  </si>
  <si>
    <t xml:space="preserve">PO12860</t>
  </si>
  <si>
    <t xml:space="preserve">PO12861</t>
  </si>
  <si>
    <t xml:space="preserve">PO12862</t>
  </si>
  <si>
    <t xml:space="preserve">PO12863</t>
  </si>
  <si>
    <t xml:space="preserve">PO12864</t>
  </si>
  <si>
    <t xml:space="preserve">PO12865</t>
  </si>
  <si>
    <t xml:space="preserve">PO12866</t>
  </si>
  <si>
    <t xml:space="preserve">PO12867</t>
  </si>
  <si>
    <t xml:space="preserve">PO12868</t>
  </si>
  <si>
    <t xml:space="preserve">PO12869</t>
  </si>
  <si>
    <t xml:space="preserve">PO12870</t>
  </si>
  <si>
    <t xml:space="preserve">PO12871</t>
  </si>
  <si>
    <t xml:space="preserve">PO12872</t>
  </si>
  <si>
    <t xml:space="preserve">PO12873</t>
  </si>
  <si>
    <t xml:space="preserve">PO12874</t>
  </si>
  <si>
    <t xml:space="preserve">PO12875</t>
  </si>
  <si>
    <t xml:space="preserve">PO12876</t>
  </si>
  <si>
    <t xml:space="preserve">PO12877</t>
  </si>
  <si>
    <t xml:space="preserve">PO12878</t>
  </si>
  <si>
    <t xml:space="preserve">PO12879</t>
  </si>
  <si>
    <t xml:space="preserve">PO12880</t>
  </si>
  <si>
    <t xml:space="preserve">PO12881</t>
  </si>
  <si>
    <t xml:space="preserve">PO12882</t>
  </si>
  <si>
    <t xml:space="preserve">PO12883</t>
  </si>
  <si>
    <t xml:space="preserve">PO12884</t>
  </si>
  <si>
    <t xml:space="preserve">PO12885</t>
  </si>
  <si>
    <t xml:space="preserve">PO12886</t>
  </si>
  <si>
    <t xml:space="preserve">PO12887</t>
  </si>
  <si>
    <t xml:space="preserve">PO12888</t>
  </si>
  <si>
    <t xml:space="preserve">PO12889</t>
  </si>
  <si>
    <t xml:space="preserve">PO12890</t>
  </si>
  <si>
    <t xml:space="preserve">PO12891</t>
  </si>
  <si>
    <t xml:space="preserve">PO12892</t>
  </si>
  <si>
    <t xml:space="preserve">PO12893</t>
  </si>
  <si>
    <t xml:space="preserve">PO12894</t>
  </si>
  <si>
    <t xml:space="preserve">PO12895</t>
  </si>
  <si>
    <t xml:space="preserve">PO12896</t>
  </si>
  <si>
    <t xml:space="preserve">PO12897</t>
  </si>
  <si>
    <t xml:space="preserve">PO12898</t>
  </si>
  <si>
    <t xml:space="preserve">PO12899</t>
  </si>
  <si>
    <t xml:space="preserve">PO12900</t>
  </si>
  <si>
    <t xml:space="preserve">PO12901</t>
  </si>
  <si>
    <t xml:space="preserve">PO12902</t>
  </si>
  <si>
    <t xml:space="preserve">PO12903</t>
  </si>
  <si>
    <t xml:space="preserve">PO12904</t>
  </si>
  <si>
    <t xml:space="preserve">PO12905</t>
  </si>
  <si>
    <t xml:space="preserve">PO12906</t>
  </si>
  <si>
    <t xml:space="preserve">PO12907</t>
  </si>
  <si>
    <t xml:space="preserve">PO12908</t>
  </si>
  <si>
    <t xml:space="preserve">PO12909</t>
  </si>
  <si>
    <t xml:space="preserve">PO12910</t>
  </si>
  <si>
    <t xml:space="preserve">PO12911</t>
  </si>
  <si>
    <t xml:space="preserve">PO12912</t>
  </si>
  <si>
    <t xml:space="preserve">PO12913</t>
  </si>
  <si>
    <t xml:space="preserve">PO12914</t>
  </si>
  <si>
    <t xml:space="preserve">PO12915</t>
  </si>
  <si>
    <t xml:space="preserve">PO12916</t>
  </si>
  <si>
    <t xml:space="preserve">PO12917</t>
  </si>
  <si>
    <t xml:space="preserve">PO12918</t>
  </si>
  <si>
    <t xml:space="preserve">PO12919</t>
  </si>
  <si>
    <t xml:space="preserve">PO12920</t>
  </si>
  <si>
    <t xml:space="preserve">PO12921</t>
  </si>
  <si>
    <t xml:space="preserve">PO12922</t>
  </si>
  <si>
    <t xml:space="preserve">PO12923</t>
  </si>
  <si>
    <t xml:space="preserve">PO12924</t>
  </si>
  <si>
    <t xml:space="preserve">PO12925</t>
  </si>
  <si>
    <t xml:space="preserve">PO12926</t>
  </si>
  <si>
    <t xml:space="preserve">PO12927</t>
  </si>
  <si>
    <t xml:space="preserve">PO12928</t>
  </si>
  <si>
    <t xml:space="preserve">PO12929</t>
  </si>
  <si>
    <t xml:space="preserve">PO12930</t>
  </si>
  <si>
    <t xml:space="preserve">PO12931</t>
  </si>
  <si>
    <t xml:space="preserve">PO12932</t>
  </si>
  <si>
    <t xml:space="preserve">PO12933</t>
  </si>
  <si>
    <t xml:space="preserve">PO12934</t>
  </si>
  <si>
    <t xml:space="preserve">PO12935</t>
  </si>
  <si>
    <t xml:space="preserve">PO12936</t>
  </si>
  <si>
    <t xml:space="preserve">PO12937</t>
  </si>
  <si>
    <t xml:space="preserve">PO12938</t>
  </si>
  <si>
    <t xml:space="preserve">PO12939</t>
  </si>
  <si>
    <t xml:space="preserve">PO12940</t>
  </si>
  <si>
    <t xml:space="preserve">PO12941</t>
  </si>
  <si>
    <t xml:space="preserve">PO12942</t>
  </si>
  <si>
    <t xml:space="preserve">PO12943</t>
  </si>
  <si>
    <t xml:space="preserve">PO12944</t>
  </si>
  <si>
    <t xml:space="preserve">PO12945</t>
  </si>
  <si>
    <t xml:space="preserve">PO12946</t>
  </si>
  <si>
    <t xml:space="preserve">PO12947</t>
  </si>
  <si>
    <t xml:space="preserve">PO12948</t>
  </si>
  <si>
    <t xml:space="preserve">PO12949</t>
  </si>
  <si>
    <t xml:space="preserve">PO12950</t>
  </si>
  <si>
    <t xml:space="preserve">PO12951</t>
  </si>
  <si>
    <t xml:space="preserve">PO12952</t>
  </si>
  <si>
    <t xml:space="preserve">PO12953</t>
  </si>
  <si>
    <t xml:space="preserve">PO12954</t>
  </si>
  <si>
    <t xml:space="preserve">PO12955</t>
  </si>
  <si>
    <t xml:space="preserve">PO12956</t>
  </si>
  <si>
    <t xml:space="preserve">PO12957</t>
  </si>
  <si>
    <t xml:space="preserve">PO12958</t>
  </si>
  <si>
    <t xml:space="preserve">PO12959</t>
  </si>
  <si>
    <t xml:space="preserve">PO12960</t>
  </si>
  <si>
    <t xml:space="preserve">PO12961</t>
  </si>
  <si>
    <t xml:space="preserve">PO12962</t>
  </si>
  <si>
    <t xml:space="preserve">PO12963</t>
  </si>
  <si>
    <t xml:space="preserve">PO12964</t>
  </si>
  <si>
    <t xml:space="preserve">PO12965</t>
  </si>
  <si>
    <t xml:space="preserve">PO12966</t>
  </si>
  <si>
    <t xml:space="preserve">PO12967</t>
  </si>
  <si>
    <t xml:space="preserve">PO12968</t>
  </si>
  <si>
    <t xml:space="preserve">PO12969</t>
  </si>
  <si>
    <t xml:space="preserve">PO12970</t>
  </si>
  <si>
    <t xml:space="preserve">PO12971</t>
  </si>
  <si>
    <t xml:space="preserve">PO12972</t>
  </si>
  <si>
    <t xml:space="preserve">PO12973</t>
  </si>
  <si>
    <t xml:space="preserve">PO12974</t>
  </si>
  <si>
    <t xml:space="preserve">PO12975</t>
  </si>
  <si>
    <t xml:space="preserve">PO12976</t>
  </si>
  <si>
    <t xml:space="preserve">PO12977</t>
  </si>
  <si>
    <t xml:space="preserve">PO12978</t>
  </si>
  <si>
    <t xml:space="preserve">PO12979</t>
  </si>
  <si>
    <t xml:space="preserve">PO12980</t>
  </si>
  <si>
    <t xml:space="preserve">PO12981</t>
  </si>
  <si>
    <t xml:space="preserve">PO12982</t>
  </si>
  <si>
    <t xml:space="preserve">PO12983</t>
  </si>
  <si>
    <t xml:space="preserve">PO12984</t>
  </si>
  <si>
    <t xml:space="preserve">PO12985</t>
  </si>
  <si>
    <t xml:space="preserve">PO12986</t>
  </si>
  <si>
    <t xml:space="preserve">PO12987</t>
  </si>
  <si>
    <t xml:space="preserve">PO12988</t>
  </si>
  <si>
    <t xml:space="preserve">PO12989</t>
  </si>
  <si>
    <t xml:space="preserve">PO12990</t>
  </si>
  <si>
    <t xml:space="preserve">PO12991</t>
  </si>
  <si>
    <t xml:space="preserve">PO12992</t>
  </si>
  <si>
    <t xml:space="preserve">PO12993</t>
  </si>
  <si>
    <t xml:space="preserve">PO12994</t>
  </si>
  <si>
    <t xml:space="preserve">PO12995</t>
  </si>
  <si>
    <t xml:space="preserve">PO12996</t>
  </si>
  <si>
    <t xml:space="preserve">PO12997</t>
  </si>
  <si>
    <t xml:space="preserve">PO12998</t>
  </si>
  <si>
    <t xml:space="preserve">PO12999</t>
  </si>
  <si>
    <t xml:space="preserve">PO13000</t>
  </si>
  <si>
    <t xml:space="preserve">InspectionID</t>
  </si>
  <si>
    <t xml:space="preserve">InspectedQty</t>
  </si>
  <si>
    <t xml:space="preserve">DefectiveQty</t>
  </si>
  <si>
    <t xml:space="preserve">InspectionDate</t>
  </si>
  <si>
    <t xml:space="preserve">DefectReason</t>
  </si>
  <si>
    <t xml:space="preserve">Q50001</t>
  </si>
  <si>
    <t xml:space="preserve">Material defect</t>
  </si>
  <si>
    <t xml:space="preserve">Q50002</t>
  </si>
  <si>
    <t xml:space="preserve">Surface finish issue</t>
  </si>
  <si>
    <t xml:space="preserve">Q50003</t>
  </si>
  <si>
    <t xml:space="preserve">Missing components</t>
  </si>
  <si>
    <t xml:space="preserve">Q50004</t>
  </si>
  <si>
    <t xml:space="preserve">Wrong specification</t>
  </si>
  <si>
    <t xml:space="preserve">Q50005</t>
  </si>
  <si>
    <t xml:space="preserve">Dimension mismatch</t>
  </si>
  <si>
    <t xml:space="preserve">Q50006</t>
  </si>
  <si>
    <t xml:space="preserve">Q50007</t>
  </si>
  <si>
    <t xml:space="preserve">Q50008</t>
  </si>
  <si>
    <t xml:space="preserve">Q50009</t>
  </si>
  <si>
    <t xml:space="preserve">Q50010</t>
  </si>
  <si>
    <t xml:space="preserve">Q50011</t>
  </si>
  <si>
    <t xml:space="preserve">Q50012</t>
  </si>
  <si>
    <t xml:space="preserve">Q50013</t>
  </si>
  <si>
    <t xml:space="preserve">Q50014</t>
  </si>
  <si>
    <t xml:space="preserve">Packaging damage</t>
  </si>
  <si>
    <t xml:space="preserve">Q50015</t>
  </si>
  <si>
    <t xml:space="preserve">Q50016</t>
  </si>
  <si>
    <t xml:space="preserve">Q50017</t>
  </si>
  <si>
    <t xml:space="preserve">Q50018</t>
  </si>
  <si>
    <t xml:space="preserve">Q50019</t>
  </si>
  <si>
    <t xml:space="preserve">Q50020</t>
  </si>
  <si>
    <t xml:space="preserve">Q50021</t>
  </si>
  <si>
    <t xml:space="preserve">Q50022</t>
  </si>
  <si>
    <t xml:space="preserve">Q50023</t>
  </si>
  <si>
    <t xml:space="preserve">Q50024</t>
  </si>
  <si>
    <t xml:space="preserve">Q50025</t>
  </si>
  <si>
    <t xml:space="preserve">Q50026</t>
  </si>
  <si>
    <t xml:space="preserve">Q50027</t>
  </si>
  <si>
    <t xml:space="preserve">Q50028</t>
  </si>
  <si>
    <t xml:space="preserve">Q50029</t>
  </si>
  <si>
    <t xml:space="preserve">Q50030</t>
  </si>
  <si>
    <t xml:space="preserve">Q50031</t>
  </si>
  <si>
    <t xml:space="preserve">Q50032</t>
  </si>
  <si>
    <t xml:space="preserve">Q50033</t>
  </si>
  <si>
    <t xml:space="preserve">Q50034</t>
  </si>
  <si>
    <t xml:space="preserve">Q50035</t>
  </si>
  <si>
    <t xml:space="preserve">Q50036</t>
  </si>
  <si>
    <t xml:space="preserve">Q50037</t>
  </si>
  <si>
    <t xml:space="preserve">Q50038</t>
  </si>
  <si>
    <t xml:space="preserve">Q50039</t>
  </si>
  <si>
    <t xml:space="preserve">Q50040</t>
  </si>
  <si>
    <t xml:space="preserve">Q50041</t>
  </si>
  <si>
    <t xml:space="preserve">Q50042</t>
  </si>
  <si>
    <t xml:space="preserve">Q50043</t>
  </si>
  <si>
    <t xml:space="preserve">Q50044</t>
  </si>
  <si>
    <t xml:space="preserve">Q50045</t>
  </si>
  <si>
    <t xml:space="preserve">Q50046</t>
  </si>
  <si>
    <t xml:space="preserve">Q50047</t>
  </si>
  <si>
    <t xml:space="preserve">Q50048</t>
  </si>
  <si>
    <t xml:space="preserve">Q50049</t>
  </si>
  <si>
    <t xml:space="preserve">Q50050</t>
  </si>
  <si>
    <t xml:space="preserve">Q50051</t>
  </si>
  <si>
    <t xml:space="preserve">Q50052</t>
  </si>
  <si>
    <t xml:space="preserve">Q50053</t>
  </si>
  <si>
    <t xml:space="preserve">Q50054</t>
  </si>
  <si>
    <t xml:space="preserve">Q50055</t>
  </si>
  <si>
    <t xml:space="preserve">Q50056</t>
  </si>
  <si>
    <t xml:space="preserve">Q50057</t>
  </si>
  <si>
    <t xml:space="preserve">Q50058</t>
  </si>
  <si>
    <t xml:space="preserve">Q50059</t>
  </si>
  <si>
    <t xml:space="preserve">Q50060</t>
  </si>
  <si>
    <t xml:space="preserve">Q50061</t>
  </si>
  <si>
    <t xml:space="preserve">Q50062</t>
  </si>
  <si>
    <t xml:space="preserve">Q50063</t>
  </si>
  <si>
    <t xml:space="preserve">Q50064</t>
  </si>
  <si>
    <t xml:space="preserve">Q50065</t>
  </si>
  <si>
    <t xml:space="preserve">Q50066</t>
  </si>
  <si>
    <t xml:space="preserve">Q50067</t>
  </si>
  <si>
    <t xml:space="preserve">Q50068</t>
  </si>
  <si>
    <t xml:space="preserve">Q50069</t>
  </si>
  <si>
    <t xml:space="preserve">Q50070</t>
  </si>
  <si>
    <t xml:space="preserve">Q50071</t>
  </si>
  <si>
    <t xml:space="preserve">Q50072</t>
  </si>
  <si>
    <t xml:space="preserve">Q50073</t>
  </si>
  <si>
    <t xml:space="preserve">Q50074</t>
  </si>
  <si>
    <t xml:space="preserve">Q50075</t>
  </si>
  <si>
    <t xml:space="preserve">Q50076</t>
  </si>
  <si>
    <t xml:space="preserve">Q50077</t>
  </si>
  <si>
    <t xml:space="preserve">Q50078</t>
  </si>
  <si>
    <t xml:space="preserve">Q50079</t>
  </si>
  <si>
    <t xml:space="preserve">Q50080</t>
  </si>
  <si>
    <t xml:space="preserve">Q50081</t>
  </si>
  <si>
    <t xml:space="preserve">Q50082</t>
  </si>
  <si>
    <t xml:space="preserve">Q50083</t>
  </si>
  <si>
    <t xml:space="preserve">Q50084</t>
  </si>
  <si>
    <t xml:space="preserve">Q50085</t>
  </si>
  <si>
    <t xml:space="preserve">Q50086</t>
  </si>
  <si>
    <t xml:space="preserve">Q50087</t>
  </si>
  <si>
    <t xml:space="preserve">Q50088</t>
  </si>
  <si>
    <t xml:space="preserve">Q50089</t>
  </si>
  <si>
    <t xml:space="preserve">Q50090</t>
  </si>
  <si>
    <t xml:space="preserve">Q50091</t>
  </si>
  <si>
    <t xml:space="preserve">Q50092</t>
  </si>
  <si>
    <t xml:space="preserve">Q50093</t>
  </si>
  <si>
    <t xml:space="preserve">Q50094</t>
  </si>
  <si>
    <t xml:space="preserve">Q50095</t>
  </si>
  <si>
    <t xml:space="preserve">Q50096</t>
  </si>
  <si>
    <t xml:space="preserve">Q50097</t>
  </si>
  <si>
    <t xml:space="preserve">Q50098</t>
  </si>
  <si>
    <t xml:space="preserve">Q50099</t>
  </si>
  <si>
    <t xml:space="preserve">Q50100</t>
  </si>
  <si>
    <t xml:space="preserve">Q50101</t>
  </si>
  <si>
    <t xml:space="preserve">Q50102</t>
  </si>
  <si>
    <t xml:space="preserve">Q50103</t>
  </si>
  <si>
    <t xml:space="preserve">Q50104</t>
  </si>
  <si>
    <t xml:space="preserve">Q50105</t>
  </si>
  <si>
    <t xml:space="preserve">Q50106</t>
  </si>
  <si>
    <t xml:space="preserve">Q50107</t>
  </si>
  <si>
    <t xml:space="preserve">Q50108</t>
  </si>
  <si>
    <t xml:space="preserve">Q50109</t>
  </si>
  <si>
    <t xml:space="preserve">Q50110</t>
  </si>
  <si>
    <t xml:space="preserve">Q50111</t>
  </si>
  <si>
    <t xml:space="preserve">Q50112</t>
  </si>
  <si>
    <t xml:space="preserve">Q50113</t>
  </si>
  <si>
    <t xml:space="preserve">Q50114</t>
  </si>
  <si>
    <t xml:space="preserve">Q50115</t>
  </si>
  <si>
    <t xml:space="preserve">Q50116</t>
  </si>
  <si>
    <t xml:space="preserve">Q50117</t>
  </si>
  <si>
    <t xml:space="preserve">Q50118</t>
  </si>
  <si>
    <t xml:space="preserve">Q50119</t>
  </si>
  <si>
    <t xml:space="preserve">Q50120</t>
  </si>
  <si>
    <t xml:space="preserve">Q50121</t>
  </si>
  <si>
    <t xml:space="preserve">Q50122</t>
  </si>
  <si>
    <t xml:space="preserve">Q50123</t>
  </si>
  <si>
    <t xml:space="preserve">Q50124</t>
  </si>
  <si>
    <t xml:space="preserve">Q50125</t>
  </si>
  <si>
    <t xml:space="preserve">Q50126</t>
  </si>
  <si>
    <t xml:space="preserve">Q50127</t>
  </si>
  <si>
    <t xml:space="preserve">Q50128</t>
  </si>
  <si>
    <t xml:space="preserve">Q50129</t>
  </si>
  <si>
    <t xml:space="preserve">Q50130</t>
  </si>
  <si>
    <t xml:space="preserve">Q50131</t>
  </si>
  <si>
    <t xml:space="preserve">Q50132</t>
  </si>
  <si>
    <t xml:space="preserve">Q50133</t>
  </si>
  <si>
    <t xml:space="preserve">Q50134</t>
  </si>
  <si>
    <t xml:space="preserve">Q50135</t>
  </si>
  <si>
    <t xml:space="preserve">Q50136</t>
  </si>
  <si>
    <t xml:space="preserve">Q50137</t>
  </si>
  <si>
    <t xml:space="preserve">Q50138</t>
  </si>
  <si>
    <t xml:space="preserve">Q50139</t>
  </si>
  <si>
    <t xml:space="preserve">Q50140</t>
  </si>
  <si>
    <t xml:space="preserve">Q50141</t>
  </si>
  <si>
    <t xml:space="preserve">Q50142</t>
  </si>
  <si>
    <t xml:space="preserve">Q50143</t>
  </si>
  <si>
    <t xml:space="preserve">Q50144</t>
  </si>
  <si>
    <t xml:space="preserve">Q50145</t>
  </si>
  <si>
    <t xml:space="preserve">Q50146</t>
  </si>
  <si>
    <t xml:space="preserve">Q50147</t>
  </si>
  <si>
    <t xml:space="preserve">Q50148</t>
  </si>
  <si>
    <t xml:space="preserve">Q50149</t>
  </si>
  <si>
    <t xml:space="preserve">Q50150</t>
  </si>
  <si>
    <t xml:space="preserve">Q50151</t>
  </si>
  <si>
    <t xml:space="preserve">Q50152</t>
  </si>
  <si>
    <t xml:space="preserve">Q50153</t>
  </si>
  <si>
    <t xml:space="preserve">Q50154</t>
  </si>
  <si>
    <t xml:space="preserve">Q50155</t>
  </si>
  <si>
    <t xml:space="preserve">Q50156</t>
  </si>
  <si>
    <t xml:space="preserve">Q50157</t>
  </si>
  <si>
    <t xml:space="preserve">Q50158</t>
  </si>
  <si>
    <t xml:space="preserve">Q50159</t>
  </si>
  <si>
    <t xml:space="preserve">Q50160</t>
  </si>
  <si>
    <t xml:space="preserve">Q50161</t>
  </si>
  <si>
    <t xml:space="preserve">Q50162</t>
  </si>
  <si>
    <t xml:space="preserve">Q50163</t>
  </si>
  <si>
    <t xml:space="preserve">Q50164</t>
  </si>
  <si>
    <t xml:space="preserve">Q50165</t>
  </si>
  <si>
    <t xml:space="preserve">Q50166</t>
  </si>
  <si>
    <t xml:space="preserve">Q50167</t>
  </si>
  <si>
    <t xml:space="preserve">Q50168</t>
  </si>
  <si>
    <t xml:space="preserve">Q50169</t>
  </si>
  <si>
    <t xml:space="preserve">Q50170</t>
  </si>
  <si>
    <t xml:space="preserve">Q50171</t>
  </si>
  <si>
    <t xml:space="preserve">Q50172</t>
  </si>
  <si>
    <t xml:space="preserve">Q50173</t>
  </si>
  <si>
    <t xml:space="preserve">Q50174</t>
  </si>
  <si>
    <t xml:space="preserve">Q50175</t>
  </si>
  <si>
    <t xml:space="preserve">Q50176</t>
  </si>
  <si>
    <t xml:space="preserve">Q50177</t>
  </si>
  <si>
    <t xml:space="preserve">Q50178</t>
  </si>
  <si>
    <t xml:space="preserve">Q50179</t>
  </si>
  <si>
    <t xml:space="preserve">Q50180</t>
  </si>
  <si>
    <t xml:space="preserve">Q50181</t>
  </si>
  <si>
    <t xml:space="preserve">Q50182</t>
  </si>
  <si>
    <t xml:space="preserve">Q50183</t>
  </si>
  <si>
    <t xml:space="preserve">Q50184</t>
  </si>
  <si>
    <t xml:space="preserve">Q50185</t>
  </si>
  <si>
    <t xml:space="preserve">Q50186</t>
  </si>
  <si>
    <t xml:space="preserve">Q50187</t>
  </si>
  <si>
    <t xml:space="preserve">Q50188</t>
  </si>
  <si>
    <t xml:space="preserve">Q50189</t>
  </si>
  <si>
    <t xml:space="preserve">Q50190</t>
  </si>
  <si>
    <t xml:space="preserve">Q50191</t>
  </si>
  <si>
    <t xml:space="preserve">Q50192</t>
  </si>
  <si>
    <t xml:space="preserve">Q50193</t>
  </si>
  <si>
    <t xml:space="preserve">Q50194</t>
  </si>
  <si>
    <t xml:space="preserve">Q50195</t>
  </si>
  <si>
    <t xml:space="preserve">Q50196</t>
  </si>
  <si>
    <t xml:space="preserve">Q50197</t>
  </si>
  <si>
    <t xml:space="preserve">Q50198</t>
  </si>
  <si>
    <t xml:space="preserve">Q50199</t>
  </si>
  <si>
    <t xml:space="preserve">Q50200</t>
  </si>
  <si>
    <t xml:space="preserve">Q50201</t>
  </si>
  <si>
    <t xml:space="preserve">Q50202</t>
  </si>
  <si>
    <t xml:space="preserve">Q50203</t>
  </si>
  <si>
    <t xml:space="preserve">Q50204</t>
  </si>
  <si>
    <t xml:space="preserve">Q50205</t>
  </si>
  <si>
    <t xml:space="preserve">Q50206</t>
  </si>
  <si>
    <t xml:space="preserve">Q50207</t>
  </si>
  <si>
    <t xml:space="preserve">Q50208</t>
  </si>
  <si>
    <t xml:space="preserve">Q50209</t>
  </si>
  <si>
    <t xml:space="preserve">Q50210</t>
  </si>
  <si>
    <t xml:space="preserve">Q50211</t>
  </si>
  <si>
    <t xml:space="preserve">Q50212</t>
  </si>
  <si>
    <t xml:space="preserve">Q50213</t>
  </si>
  <si>
    <t xml:space="preserve">Q50214</t>
  </si>
  <si>
    <t xml:space="preserve">Q50215</t>
  </si>
  <si>
    <t xml:space="preserve">Q50216</t>
  </si>
  <si>
    <t xml:space="preserve">Q50217</t>
  </si>
  <si>
    <t xml:space="preserve">Q50218</t>
  </si>
  <si>
    <t xml:space="preserve">Q50219</t>
  </si>
  <si>
    <t xml:space="preserve">Q50220</t>
  </si>
  <si>
    <t xml:space="preserve">Q50221</t>
  </si>
  <si>
    <t xml:space="preserve">Q50222</t>
  </si>
  <si>
    <t xml:space="preserve">Q50223</t>
  </si>
  <si>
    <t xml:space="preserve">Q50224</t>
  </si>
  <si>
    <t xml:space="preserve">Q50225</t>
  </si>
  <si>
    <t xml:space="preserve">Q50226</t>
  </si>
  <si>
    <t xml:space="preserve">Q50227</t>
  </si>
  <si>
    <t xml:space="preserve">Q50228</t>
  </si>
  <si>
    <t xml:space="preserve">Q50229</t>
  </si>
  <si>
    <t xml:space="preserve">Q50230</t>
  </si>
  <si>
    <t xml:space="preserve">Q50231</t>
  </si>
  <si>
    <t xml:space="preserve">Q50232</t>
  </si>
  <si>
    <t xml:space="preserve">Q50233</t>
  </si>
  <si>
    <t xml:space="preserve">Q50234</t>
  </si>
  <si>
    <t xml:space="preserve">Q50235</t>
  </si>
  <si>
    <t xml:space="preserve">Q50236</t>
  </si>
  <si>
    <t xml:space="preserve">Q50237</t>
  </si>
  <si>
    <t xml:space="preserve">Q50238</t>
  </si>
  <si>
    <t xml:space="preserve">Q50239</t>
  </si>
  <si>
    <t xml:space="preserve">Q50240</t>
  </si>
  <si>
    <t xml:space="preserve">Q50241</t>
  </si>
  <si>
    <t xml:space="preserve">Q50242</t>
  </si>
  <si>
    <t xml:space="preserve">Q50243</t>
  </si>
  <si>
    <t xml:space="preserve">Q50244</t>
  </si>
  <si>
    <t xml:space="preserve">Q50245</t>
  </si>
  <si>
    <t xml:space="preserve">Q50246</t>
  </si>
  <si>
    <t xml:space="preserve">Q50247</t>
  </si>
  <si>
    <t xml:space="preserve">Q50248</t>
  </si>
  <si>
    <t xml:space="preserve">Q50249</t>
  </si>
  <si>
    <t xml:space="preserve">Q50250</t>
  </si>
  <si>
    <t xml:space="preserve">Q50251</t>
  </si>
  <si>
    <t xml:space="preserve">Q50252</t>
  </si>
  <si>
    <t xml:space="preserve">Q50253</t>
  </si>
  <si>
    <t xml:space="preserve">Q50254</t>
  </si>
  <si>
    <t xml:space="preserve">Q50255</t>
  </si>
  <si>
    <t xml:space="preserve">Q50256</t>
  </si>
  <si>
    <t xml:space="preserve">Q50257</t>
  </si>
  <si>
    <t xml:space="preserve">Q50258</t>
  </si>
  <si>
    <t xml:space="preserve">Q50259</t>
  </si>
  <si>
    <t xml:space="preserve">Q50260</t>
  </si>
  <si>
    <t xml:space="preserve">Q50261</t>
  </si>
  <si>
    <t xml:space="preserve">Q50262</t>
  </si>
  <si>
    <t xml:space="preserve">Q50263</t>
  </si>
  <si>
    <t xml:space="preserve">Q50264</t>
  </si>
  <si>
    <t xml:space="preserve">Q50265</t>
  </si>
  <si>
    <t xml:space="preserve">Q50266</t>
  </si>
  <si>
    <t xml:space="preserve">Q50267</t>
  </si>
  <si>
    <t xml:space="preserve">Q50268</t>
  </si>
  <si>
    <t xml:space="preserve">Q50269</t>
  </si>
  <si>
    <t xml:space="preserve">Q50270</t>
  </si>
  <si>
    <t xml:space="preserve">Q50271</t>
  </si>
  <si>
    <t xml:space="preserve">Q50272</t>
  </si>
  <si>
    <t xml:space="preserve">Q50273</t>
  </si>
  <si>
    <t xml:space="preserve">Q50274</t>
  </si>
  <si>
    <t xml:space="preserve">Q50275</t>
  </si>
  <si>
    <t xml:space="preserve">Q50276</t>
  </si>
  <si>
    <t xml:space="preserve">Q50277</t>
  </si>
  <si>
    <t xml:space="preserve">Q50278</t>
  </si>
  <si>
    <t xml:space="preserve">Q50279</t>
  </si>
  <si>
    <t xml:space="preserve">Q50280</t>
  </si>
  <si>
    <t xml:space="preserve">Q50281</t>
  </si>
  <si>
    <t xml:space="preserve">Q50282</t>
  </si>
  <si>
    <t xml:space="preserve">Q50283</t>
  </si>
  <si>
    <t xml:space="preserve">Q50284</t>
  </si>
  <si>
    <t xml:space="preserve">Q50285</t>
  </si>
  <si>
    <t xml:space="preserve">Q50286</t>
  </si>
  <si>
    <t xml:space="preserve">Q50287</t>
  </si>
  <si>
    <t xml:space="preserve">Q50288</t>
  </si>
  <si>
    <t xml:space="preserve">Q50289</t>
  </si>
  <si>
    <t xml:space="preserve">Q50290</t>
  </si>
  <si>
    <t xml:space="preserve">Q50291</t>
  </si>
  <si>
    <t xml:space="preserve">Q50292</t>
  </si>
  <si>
    <t xml:space="preserve">Q50293</t>
  </si>
  <si>
    <t xml:space="preserve">Q50294</t>
  </si>
  <si>
    <t xml:space="preserve">Q50295</t>
  </si>
  <si>
    <t xml:space="preserve">Q50296</t>
  </si>
  <si>
    <t xml:space="preserve">Q50297</t>
  </si>
  <si>
    <t xml:space="preserve">Q50298</t>
  </si>
  <si>
    <t xml:space="preserve">Q50299</t>
  </si>
  <si>
    <t xml:space="preserve">Q50300</t>
  </si>
  <si>
    <t xml:space="preserve">Q50301</t>
  </si>
  <si>
    <t xml:space="preserve">Q50302</t>
  </si>
  <si>
    <t xml:space="preserve">Q50303</t>
  </si>
  <si>
    <t xml:space="preserve">Q50304</t>
  </si>
  <si>
    <t xml:space="preserve">Q50305</t>
  </si>
  <si>
    <t xml:space="preserve">Q50306</t>
  </si>
  <si>
    <t xml:space="preserve">Q50307</t>
  </si>
  <si>
    <t xml:space="preserve">Q50308</t>
  </si>
  <si>
    <t xml:space="preserve">Q50309</t>
  </si>
  <si>
    <t xml:space="preserve">Q50310</t>
  </si>
  <si>
    <t xml:space="preserve">Q50311</t>
  </si>
  <si>
    <t xml:space="preserve">Q50312</t>
  </si>
  <si>
    <t xml:space="preserve">Q50313</t>
  </si>
  <si>
    <t xml:space="preserve">Q50314</t>
  </si>
  <si>
    <t xml:space="preserve">Q50315</t>
  </si>
  <si>
    <t xml:space="preserve">Q50316</t>
  </si>
  <si>
    <t xml:space="preserve">Q50317</t>
  </si>
  <si>
    <t xml:space="preserve">Q50318</t>
  </si>
  <si>
    <t xml:space="preserve">Q50319</t>
  </si>
  <si>
    <t xml:space="preserve">Q50320</t>
  </si>
  <si>
    <t xml:space="preserve">Q50321</t>
  </si>
  <si>
    <t xml:space="preserve">Q50322</t>
  </si>
  <si>
    <t xml:space="preserve">Q50323</t>
  </si>
  <si>
    <t xml:space="preserve">Q50324</t>
  </si>
  <si>
    <t xml:space="preserve">Q50325</t>
  </si>
  <si>
    <t xml:space="preserve">Q50326</t>
  </si>
  <si>
    <t xml:space="preserve">Q50327</t>
  </si>
  <si>
    <t xml:space="preserve">Q50328</t>
  </si>
  <si>
    <t xml:space="preserve">Q50329</t>
  </si>
  <si>
    <t xml:space="preserve">Q50330</t>
  </si>
  <si>
    <t xml:space="preserve">Q50331</t>
  </si>
  <si>
    <t xml:space="preserve">Q50332</t>
  </si>
  <si>
    <t xml:space="preserve">Q50333</t>
  </si>
  <si>
    <t xml:space="preserve">Q50334</t>
  </si>
  <si>
    <t xml:space="preserve">Q50335</t>
  </si>
  <si>
    <t xml:space="preserve">Q50336</t>
  </si>
  <si>
    <t xml:space="preserve">Q50337</t>
  </si>
  <si>
    <t xml:space="preserve">Q50338</t>
  </si>
  <si>
    <t xml:space="preserve">Q50339</t>
  </si>
  <si>
    <t xml:space="preserve">Q50340</t>
  </si>
  <si>
    <t xml:space="preserve">Q50341</t>
  </si>
  <si>
    <t xml:space="preserve">Q50342</t>
  </si>
  <si>
    <t xml:space="preserve">Q50343</t>
  </si>
  <si>
    <t xml:space="preserve">Q50344</t>
  </si>
  <si>
    <t xml:space="preserve">Q50345</t>
  </si>
  <si>
    <t xml:space="preserve">Q50346</t>
  </si>
  <si>
    <t xml:space="preserve">Q50347</t>
  </si>
  <si>
    <t xml:space="preserve">Q50348</t>
  </si>
  <si>
    <t xml:space="preserve">Q50349</t>
  </si>
  <si>
    <t xml:space="preserve">Q50350</t>
  </si>
  <si>
    <t xml:space="preserve">Q50351</t>
  </si>
  <si>
    <t xml:space="preserve">Q50352</t>
  </si>
  <si>
    <t xml:space="preserve">Q50353</t>
  </si>
  <si>
    <t xml:space="preserve">Q50354</t>
  </si>
  <si>
    <t xml:space="preserve">Q50355</t>
  </si>
  <si>
    <t xml:space="preserve">Q50356</t>
  </si>
  <si>
    <t xml:space="preserve">Q50357</t>
  </si>
  <si>
    <t xml:space="preserve">Q50358</t>
  </si>
  <si>
    <t xml:space="preserve">Q50359</t>
  </si>
  <si>
    <t xml:space="preserve">Q50360</t>
  </si>
  <si>
    <t xml:space="preserve">Q50361</t>
  </si>
  <si>
    <t xml:space="preserve">Q50362</t>
  </si>
  <si>
    <t xml:space="preserve">Q50363</t>
  </si>
  <si>
    <t xml:space="preserve">Q50364</t>
  </si>
  <si>
    <t xml:space="preserve">Q50365</t>
  </si>
  <si>
    <t xml:space="preserve">Q50366</t>
  </si>
  <si>
    <t xml:space="preserve">Q50367</t>
  </si>
  <si>
    <t xml:space="preserve">Q50368</t>
  </si>
  <si>
    <t xml:space="preserve">Q50369</t>
  </si>
  <si>
    <t xml:space="preserve">Q50370</t>
  </si>
  <si>
    <t xml:space="preserve">Q50371</t>
  </si>
  <si>
    <t xml:space="preserve">Q50372</t>
  </si>
  <si>
    <t xml:space="preserve">Q50373</t>
  </si>
  <si>
    <t xml:space="preserve">Q50374</t>
  </si>
  <si>
    <t xml:space="preserve">Q50375</t>
  </si>
  <si>
    <t xml:space="preserve">Q50376</t>
  </si>
  <si>
    <t xml:space="preserve">Q50377</t>
  </si>
  <si>
    <t xml:space="preserve">Q50378</t>
  </si>
  <si>
    <t xml:space="preserve">Q50379</t>
  </si>
  <si>
    <t xml:space="preserve">Q50380</t>
  </si>
  <si>
    <t xml:space="preserve">Q50381</t>
  </si>
  <si>
    <t xml:space="preserve">Q50382</t>
  </si>
  <si>
    <t xml:space="preserve">Q50383</t>
  </si>
  <si>
    <t xml:space="preserve">Q50384</t>
  </si>
  <si>
    <t xml:space="preserve">Q50385</t>
  </si>
  <si>
    <t xml:space="preserve">Q50386</t>
  </si>
  <si>
    <t xml:space="preserve">Q50387</t>
  </si>
  <si>
    <t xml:space="preserve">Q50388</t>
  </si>
  <si>
    <t xml:space="preserve">Q50389</t>
  </si>
  <si>
    <t xml:space="preserve">Q50390</t>
  </si>
  <si>
    <t xml:space="preserve">Q50391</t>
  </si>
  <si>
    <t xml:space="preserve">Q50392</t>
  </si>
  <si>
    <t xml:space="preserve">Q50393</t>
  </si>
  <si>
    <t xml:space="preserve">Q50394</t>
  </si>
  <si>
    <t xml:space="preserve">Q50395</t>
  </si>
  <si>
    <t xml:space="preserve">Q50396</t>
  </si>
  <si>
    <t xml:space="preserve">Q50397</t>
  </si>
  <si>
    <t xml:space="preserve">Q50398</t>
  </si>
  <si>
    <t xml:space="preserve">Q50399</t>
  </si>
  <si>
    <t xml:space="preserve">Q50400</t>
  </si>
  <si>
    <t xml:space="preserve">Q50401</t>
  </si>
  <si>
    <t xml:space="preserve">Q50402</t>
  </si>
  <si>
    <t xml:space="preserve">Q50403</t>
  </si>
  <si>
    <t xml:space="preserve">Q50404</t>
  </si>
  <si>
    <t xml:space="preserve">Q50405</t>
  </si>
  <si>
    <t xml:space="preserve">Q50406</t>
  </si>
  <si>
    <t xml:space="preserve">Q50407</t>
  </si>
  <si>
    <t xml:space="preserve">Q50408</t>
  </si>
  <si>
    <t xml:space="preserve">Q50409</t>
  </si>
  <si>
    <t xml:space="preserve">Q50410</t>
  </si>
  <si>
    <t xml:space="preserve">Q50411</t>
  </si>
  <si>
    <t xml:space="preserve">Q50412</t>
  </si>
  <si>
    <t xml:space="preserve">Q50413</t>
  </si>
  <si>
    <t xml:space="preserve">Q50414</t>
  </si>
  <si>
    <t xml:space="preserve">Q50415</t>
  </si>
  <si>
    <t xml:space="preserve">Q50416</t>
  </si>
  <si>
    <t xml:space="preserve">Q50417</t>
  </si>
  <si>
    <t xml:space="preserve">Q50418</t>
  </si>
  <si>
    <t xml:space="preserve">Q50419</t>
  </si>
  <si>
    <t xml:space="preserve">Q50420</t>
  </si>
  <si>
    <t xml:space="preserve">Q50421</t>
  </si>
  <si>
    <t xml:space="preserve">Q50422</t>
  </si>
  <si>
    <t xml:space="preserve">Q50423</t>
  </si>
  <si>
    <t xml:space="preserve">Q50424</t>
  </si>
  <si>
    <t xml:space="preserve">Q50425</t>
  </si>
  <si>
    <t xml:space="preserve">Q50426</t>
  </si>
  <si>
    <t xml:space="preserve">Q50427</t>
  </si>
  <si>
    <t xml:space="preserve">Q50428</t>
  </si>
  <si>
    <t xml:space="preserve">Q50429</t>
  </si>
  <si>
    <t xml:space="preserve">Q50430</t>
  </si>
  <si>
    <t xml:space="preserve">Q50431</t>
  </si>
  <si>
    <t xml:space="preserve">Q50432</t>
  </si>
  <si>
    <t xml:space="preserve">Q50433</t>
  </si>
  <si>
    <t xml:space="preserve">Q50434</t>
  </si>
  <si>
    <t xml:space="preserve">Q50435</t>
  </si>
  <si>
    <t xml:space="preserve">Q50436</t>
  </si>
  <si>
    <t xml:space="preserve">Q50437</t>
  </si>
  <si>
    <t xml:space="preserve">Q50438</t>
  </si>
  <si>
    <t xml:space="preserve">Q50439</t>
  </si>
  <si>
    <t xml:space="preserve">Q50440</t>
  </si>
  <si>
    <t xml:space="preserve">Q50441</t>
  </si>
  <si>
    <t xml:space="preserve">Q50442</t>
  </si>
  <si>
    <t xml:space="preserve">Q50443</t>
  </si>
  <si>
    <t xml:space="preserve">Q50444</t>
  </si>
  <si>
    <t xml:space="preserve">Q50445</t>
  </si>
  <si>
    <t xml:space="preserve">Q50446</t>
  </si>
  <si>
    <t xml:space="preserve">Q50447</t>
  </si>
  <si>
    <t xml:space="preserve">Q50448</t>
  </si>
  <si>
    <t xml:space="preserve">Q50449</t>
  </si>
  <si>
    <t xml:space="preserve">Q50450</t>
  </si>
  <si>
    <t xml:space="preserve">Q50451</t>
  </si>
  <si>
    <t xml:space="preserve">Q50452</t>
  </si>
  <si>
    <t xml:space="preserve">Q50453</t>
  </si>
  <si>
    <t xml:space="preserve">Q50454</t>
  </si>
  <si>
    <t xml:space="preserve">Q50455</t>
  </si>
  <si>
    <t xml:space="preserve">Q50456</t>
  </si>
  <si>
    <t xml:space="preserve">Q50457</t>
  </si>
  <si>
    <t xml:space="preserve">Q50458</t>
  </si>
  <si>
    <t xml:space="preserve">Q50459</t>
  </si>
  <si>
    <t xml:space="preserve">Q50460</t>
  </si>
  <si>
    <t xml:space="preserve">Q50461</t>
  </si>
  <si>
    <t xml:space="preserve">Q50462</t>
  </si>
  <si>
    <t xml:space="preserve">Q50463</t>
  </si>
  <si>
    <t xml:space="preserve">Q50464</t>
  </si>
  <si>
    <t xml:space="preserve">Q50465</t>
  </si>
  <si>
    <t xml:space="preserve">Q50466</t>
  </si>
  <si>
    <t xml:space="preserve">Q50467</t>
  </si>
  <si>
    <t xml:space="preserve">Q50468</t>
  </si>
  <si>
    <t xml:space="preserve">Q50469</t>
  </si>
  <si>
    <t xml:space="preserve">Q50470</t>
  </si>
  <si>
    <t xml:space="preserve">Q50471</t>
  </si>
  <si>
    <t xml:space="preserve">Q50472</t>
  </si>
  <si>
    <t xml:space="preserve">Q50473</t>
  </si>
  <si>
    <t xml:space="preserve">Q50474</t>
  </si>
  <si>
    <t xml:space="preserve">Q50475</t>
  </si>
  <si>
    <t xml:space="preserve">Q50476</t>
  </si>
  <si>
    <t xml:space="preserve">Q50477</t>
  </si>
  <si>
    <t xml:space="preserve">Q50478</t>
  </si>
  <si>
    <t xml:space="preserve">Q50479</t>
  </si>
  <si>
    <t xml:space="preserve">Q50480</t>
  </si>
  <si>
    <t xml:space="preserve">Q50481</t>
  </si>
  <si>
    <t xml:space="preserve">Q50482</t>
  </si>
  <si>
    <t xml:space="preserve">Q50483</t>
  </si>
  <si>
    <t xml:space="preserve">Q50484</t>
  </si>
  <si>
    <t xml:space="preserve">Q50485</t>
  </si>
  <si>
    <t xml:space="preserve">Q50486</t>
  </si>
  <si>
    <t xml:space="preserve">Q50487</t>
  </si>
  <si>
    <t xml:space="preserve">Q50488</t>
  </si>
  <si>
    <t xml:space="preserve">Q50489</t>
  </si>
  <si>
    <t xml:space="preserve">Q50490</t>
  </si>
  <si>
    <t xml:space="preserve">Q50491</t>
  </si>
  <si>
    <t xml:space="preserve">Q50492</t>
  </si>
  <si>
    <t xml:space="preserve">Q50493</t>
  </si>
  <si>
    <t xml:space="preserve">Q50494</t>
  </si>
  <si>
    <t xml:space="preserve">Q50495</t>
  </si>
  <si>
    <t xml:space="preserve">Q50496</t>
  </si>
  <si>
    <t xml:space="preserve">Q50497</t>
  </si>
  <si>
    <t xml:space="preserve">Q50498</t>
  </si>
  <si>
    <t xml:space="preserve">Q50499</t>
  </si>
  <si>
    <t xml:space="preserve">Q50500</t>
  </si>
  <si>
    <t xml:space="preserve">Q50501</t>
  </si>
  <si>
    <t xml:space="preserve">Q50502</t>
  </si>
  <si>
    <t xml:space="preserve">Q50503</t>
  </si>
  <si>
    <t xml:space="preserve">Q50504</t>
  </si>
  <si>
    <t xml:space="preserve">Q50505</t>
  </si>
  <si>
    <t xml:space="preserve">Q50506</t>
  </si>
  <si>
    <t xml:space="preserve">Q50507</t>
  </si>
  <si>
    <t xml:space="preserve">Q50508</t>
  </si>
  <si>
    <t xml:space="preserve">Q50509</t>
  </si>
  <si>
    <t xml:space="preserve">Q50510</t>
  </si>
  <si>
    <t xml:space="preserve">Q50511</t>
  </si>
  <si>
    <t xml:space="preserve">Q50512</t>
  </si>
  <si>
    <t xml:space="preserve">Q50513</t>
  </si>
  <si>
    <t xml:space="preserve">Q50514</t>
  </si>
  <si>
    <t xml:space="preserve">Q50515</t>
  </si>
  <si>
    <t xml:space="preserve">Q50516</t>
  </si>
  <si>
    <t xml:space="preserve">Q50517</t>
  </si>
  <si>
    <t xml:space="preserve">Q50518</t>
  </si>
  <si>
    <t xml:space="preserve">Q50519</t>
  </si>
  <si>
    <t xml:space="preserve">Q50520</t>
  </si>
  <si>
    <t xml:space="preserve">Q50521</t>
  </si>
  <si>
    <t xml:space="preserve">Q50522</t>
  </si>
  <si>
    <t xml:space="preserve">Q50523</t>
  </si>
  <si>
    <t xml:space="preserve">Q50524</t>
  </si>
  <si>
    <t xml:space="preserve">Q50525</t>
  </si>
  <si>
    <t xml:space="preserve">Q50526</t>
  </si>
  <si>
    <t xml:space="preserve">Q50527</t>
  </si>
  <si>
    <t xml:space="preserve">Q50528</t>
  </si>
  <si>
    <t xml:space="preserve">Q50529</t>
  </si>
  <si>
    <t xml:space="preserve">Q50530</t>
  </si>
  <si>
    <t xml:space="preserve">Q50531</t>
  </si>
  <si>
    <t xml:space="preserve">Q50532</t>
  </si>
  <si>
    <t xml:space="preserve">Q50533</t>
  </si>
  <si>
    <t xml:space="preserve">Q50534</t>
  </si>
  <si>
    <t xml:space="preserve">Q50535</t>
  </si>
  <si>
    <t xml:space="preserve">Q50536</t>
  </si>
  <si>
    <t xml:space="preserve">Q50537</t>
  </si>
  <si>
    <t xml:space="preserve">Q50538</t>
  </si>
  <si>
    <t xml:space="preserve">Q50539</t>
  </si>
  <si>
    <t xml:space="preserve">Q50540</t>
  </si>
  <si>
    <t xml:space="preserve">Q50541</t>
  </si>
  <si>
    <t xml:space="preserve">Q50542</t>
  </si>
  <si>
    <t xml:space="preserve">Q50543</t>
  </si>
  <si>
    <t xml:space="preserve">Q50544</t>
  </si>
  <si>
    <t xml:space="preserve">Q50545</t>
  </si>
  <si>
    <t xml:space="preserve">Q50546</t>
  </si>
  <si>
    <t xml:space="preserve">Q50547</t>
  </si>
  <si>
    <t xml:space="preserve">Q50548</t>
  </si>
  <si>
    <t xml:space="preserve">Q50549</t>
  </si>
  <si>
    <t xml:space="preserve">Q50550</t>
  </si>
  <si>
    <t xml:space="preserve">Q50551</t>
  </si>
  <si>
    <t xml:space="preserve">Q50552</t>
  </si>
  <si>
    <t xml:space="preserve">Q50553</t>
  </si>
  <si>
    <t xml:space="preserve">Q50554</t>
  </si>
  <si>
    <t xml:space="preserve">Q50555</t>
  </si>
  <si>
    <t xml:space="preserve">Q50556</t>
  </si>
  <si>
    <t xml:space="preserve">Q50557</t>
  </si>
  <si>
    <t xml:space="preserve">Q50558</t>
  </si>
  <si>
    <t xml:space="preserve">Q50559</t>
  </si>
  <si>
    <t xml:space="preserve">Q50560</t>
  </si>
  <si>
    <t xml:space="preserve">Q50561</t>
  </si>
  <si>
    <t xml:space="preserve">Q50562</t>
  </si>
  <si>
    <t xml:space="preserve">Q50563</t>
  </si>
  <si>
    <t xml:space="preserve">Q50564</t>
  </si>
  <si>
    <t xml:space="preserve">Q50565</t>
  </si>
  <si>
    <t xml:space="preserve">Q50566</t>
  </si>
  <si>
    <t xml:space="preserve">Q50567</t>
  </si>
  <si>
    <t xml:space="preserve">Q50568</t>
  </si>
  <si>
    <t xml:space="preserve">Q50569</t>
  </si>
  <si>
    <t xml:space="preserve">Q50570</t>
  </si>
  <si>
    <t xml:space="preserve">Q50571</t>
  </si>
  <si>
    <t xml:space="preserve">Q50572</t>
  </si>
  <si>
    <t xml:space="preserve">Q50573</t>
  </si>
  <si>
    <t xml:space="preserve">Q50574</t>
  </si>
  <si>
    <t xml:space="preserve">Q50575</t>
  </si>
  <si>
    <t xml:space="preserve">Q50576</t>
  </si>
  <si>
    <t xml:space="preserve">Q50577</t>
  </si>
  <si>
    <t xml:space="preserve">Q50578</t>
  </si>
  <si>
    <t xml:space="preserve">Q50579</t>
  </si>
  <si>
    <t xml:space="preserve">Q50580</t>
  </si>
  <si>
    <t xml:space="preserve">Q50581</t>
  </si>
  <si>
    <t xml:space="preserve">Q50582</t>
  </si>
  <si>
    <t xml:space="preserve">Q50583</t>
  </si>
  <si>
    <t xml:space="preserve">Q50584</t>
  </si>
  <si>
    <t xml:space="preserve">Q50585</t>
  </si>
  <si>
    <t xml:space="preserve">Q50586</t>
  </si>
  <si>
    <t xml:space="preserve">Q50587</t>
  </si>
  <si>
    <t xml:space="preserve">Q50588</t>
  </si>
  <si>
    <t xml:space="preserve">Q50589</t>
  </si>
  <si>
    <t xml:space="preserve">Q50590</t>
  </si>
  <si>
    <t xml:space="preserve">Q50591</t>
  </si>
  <si>
    <t xml:space="preserve">Q50592</t>
  </si>
  <si>
    <t xml:space="preserve">Q50593</t>
  </si>
  <si>
    <t xml:space="preserve">Q50594</t>
  </si>
  <si>
    <t xml:space="preserve">Q50595</t>
  </si>
  <si>
    <t xml:space="preserve">Q50596</t>
  </si>
  <si>
    <t xml:space="preserve">Q50597</t>
  </si>
  <si>
    <t xml:space="preserve">Q50598</t>
  </si>
  <si>
    <t xml:space="preserve">Q50599</t>
  </si>
  <si>
    <t xml:space="preserve">Q50600</t>
  </si>
  <si>
    <t xml:space="preserve">Q50601</t>
  </si>
  <si>
    <t xml:space="preserve">Q50602</t>
  </si>
  <si>
    <t xml:space="preserve">Q50603</t>
  </si>
  <si>
    <t xml:space="preserve">Q50604</t>
  </si>
  <si>
    <t xml:space="preserve">Q50605</t>
  </si>
  <si>
    <t xml:space="preserve">Q50606</t>
  </si>
  <si>
    <t xml:space="preserve">Q50607</t>
  </si>
  <si>
    <t xml:space="preserve">Q50608</t>
  </si>
  <si>
    <t xml:space="preserve">Q50609</t>
  </si>
  <si>
    <t xml:space="preserve">Q50610</t>
  </si>
  <si>
    <t xml:space="preserve">Q50611</t>
  </si>
  <si>
    <t xml:space="preserve">Q50612</t>
  </si>
  <si>
    <t xml:space="preserve">Q50613</t>
  </si>
  <si>
    <t xml:space="preserve">Q50614</t>
  </si>
  <si>
    <t xml:space="preserve">Q50615</t>
  </si>
  <si>
    <t xml:space="preserve">Q50616</t>
  </si>
  <si>
    <t xml:space="preserve">Q50617</t>
  </si>
  <si>
    <t xml:space="preserve">Q50618</t>
  </si>
  <si>
    <t xml:space="preserve">Q50619</t>
  </si>
  <si>
    <t xml:space="preserve">Q50620</t>
  </si>
  <si>
    <t xml:space="preserve">Q50621</t>
  </si>
  <si>
    <t xml:space="preserve">Q50622</t>
  </si>
  <si>
    <t xml:space="preserve">Q50623</t>
  </si>
  <si>
    <t xml:space="preserve">Q50624</t>
  </si>
  <si>
    <t xml:space="preserve">Q50625</t>
  </si>
  <si>
    <t xml:space="preserve">Q50626</t>
  </si>
  <si>
    <t xml:space="preserve">Q50627</t>
  </si>
  <si>
    <t xml:space="preserve">Q50628</t>
  </si>
  <si>
    <t xml:space="preserve">Q50629</t>
  </si>
  <si>
    <t xml:space="preserve">Q50630</t>
  </si>
  <si>
    <t xml:space="preserve">Q50631</t>
  </si>
  <si>
    <t xml:space="preserve">Q50632</t>
  </si>
  <si>
    <t xml:space="preserve">Q50633</t>
  </si>
  <si>
    <t xml:space="preserve">Q50634</t>
  </si>
  <si>
    <t xml:space="preserve">Q50635</t>
  </si>
  <si>
    <t xml:space="preserve">Q50636</t>
  </si>
  <si>
    <t xml:space="preserve">Q50637</t>
  </si>
  <si>
    <t xml:space="preserve">Q50638</t>
  </si>
  <si>
    <t xml:space="preserve">Q50639</t>
  </si>
  <si>
    <t xml:space="preserve">Q50640</t>
  </si>
  <si>
    <t xml:space="preserve">Q50641</t>
  </si>
  <si>
    <t xml:space="preserve">Q50642</t>
  </si>
  <si>
    <t xml:space="preserve">Q50643</t>
  </si>
  <si>
    <t xml:space="preserve">Q50644</t>
  </si>
  <si>
    <t xml:space="preserve">Q50645</t>
  </si>
  <si>
    <t xml:space="preserve">Q50646</t>
  </si>
  <si>
    <t xml:space="preserve">Q50647</t>
  </si>
  <si>
    <t xml:space="preserve">Q50648</t>
  </si>
  <si>
    <t xml:space="preserve">Q50649</t>
  </si>
  <si>
    <t xml:space="preserve">Q50650</t>
  </si>
  <si>
    <t xml:space="preserve">Q50651</t>
  </si>
  <si>
    <t xml:space="preserve">Q50652</t>
  </si>
  <si>
    <t xml:space="preserve">Q50653</t>
  </si>
  <si>
    <t xml:space="preserve">Q50654</t>
  </si>
  <si>
    <t xml:space="preserve">Q50655</t>
  </si>
  <si>
    <t xml:space="preserve">Q50656</t>
  </si>
  <si>
    <t xml:space="preserve">Q50657</t>
  </si>
  <si>
    <t xml:space="preserve">Q50658</t>
  </si>
  <si>
    <t xml:space="preserve">Q50659</t>
  </si>
  <si>
    <t xml:space="preserve">Q50660</t>
  </si>
  <si>
    <t xml:space="preserve">Q50661</t>
  </si>
  <si>
    <t xml:space="preserve">Q50662</t>
  </si>
  <si>
    <t xml:space="preserve">Q50663</t>
  </si>
  <si>
    <t xml:space="preserve">Q50664</t>
  </si>
  <si>
    <t xml:space="preserve">Q50665</t>
  </si>
  <si>
    <t xml:space="preserve">Q50666</t>
  </si>
  <si>
    <t xml:space="preserve">Q50667</t>
  </si>
  <si>
    <t xml:space="preserve">Q50668</t>
  </si>
  <si>
    <t xml:space="preserve">Q50669</t>
  </si>
  <si>
    <t xml:space="preserve">Q50670</t>
  </si>
  <si>
    <t xml:space="preserve">Q50671</t>
  </si>
  <si>
    <t xml:space="preserve">Q50672</t>
  </si>
  <si>
    <t xml:space="preserve">Q50673</t>
  </si>
  <si>
    <t xml:space="preserve">Q50674</t>
  </si>
  <si>
    <t xml:space="preserve">Q50675</t>
  </si>
  <si>
    <t xml:space="preserve">Q50676</t>
  </si>
  <si>
    <t xml:space="preserve">Q50677</t>
  </si>
  <si>
    <t xml:space="preserve">Q50678</t>
  </si>
  <si>
    <t xml:space="preserve">Q50679</t>
  </si>
  <si>
    <t xml:space="preserve">Q50680</t>
  </si>
  <si>
    <t xml:space="preserve">Q50681</t>
  </si>
  <si>
    <t xml:space="preserve">Q50682</t>
  </si>
  <si>
    <t xml:space="preserve">Q50683</t>
  </si>
  <si>
    <t xml:space="preserve">Q50684</t>
  </si>
  <si>
    <t xml:space="preserve">Q50685</t>
  </si>
  <si>
    <t xml:space="preserve">Q50686</t>
  </si>
  <si>
    <t xml:space="preserve">Q50687</t>
  </si>
  <si>
    <t xml:space="preserve">Q50688</t>
  </si>
  <si>
    <t xml:space="preserve">Q50689</t>
  </si>
  <si>
    <t xml:space="preserve">Q50690</t>
  </si>
  <si>
    <t xml:space="preserve">Q50691</t>
  </si>
  <si>
    <t xml:space="preserve">Q50692</t>
  </si>
  <si>
    <t xml:space="preserve">Q50693</t>
  </si>
  <si>
    <t xml:space="preserve">Q50694</t>
  </si>
  <si>
    <t xml:space="preserve">Q50695</t>
  </si>
  <si>
    <t xml:space="preserve">Q50696</t>
  </si>
  <si>
    <t xml:space="preserve">Q50697</t>
  </si>
  <si>
    <t xml:space="preserve">Q50698</t>
  </si>
  <si>
    <t xml:space="preserve">Q50699</t>
  </si>
  <si>
    <t xml:space="preserve">Q50700</t>
  </si>
  <si>
    <t xml:space="preserve">Q50701</t>
  </si>
  <si>
    <t xml:space="preserve">Q50702</t>
  </si>
  <si>
    <t xml:space="preserve">Q50703</t>
  </si>
  <si>
    <t xml:space="preserve">Q50704</t>
  </si>
  <si>
    <t xml:space="preserve">Q50705</t>
  </si>
  <si>
    <t xml:space="preserve">Q50706</t>
  </si>
  <si>
    <t xml:space="preserve">Q50707</t>
  </si>
  <si>
    <t xml:space="preserve">Q50708</t>
  </si>
  <si>
    <t xml:space="preserve">Q50709</t>
  </si>
  <si>
    <t xml:space="preserve">Q50710</t>
  </si>
  <si>
    <t xml:space="preserve">Q50711</t>
  </si>
  <si>
    <t xml:space="preserve">Q50712</t>
  </si>
  <si>
    <t xml:space="preserve">Q50713</t>
  </si>
  <si>
    <t xml:space="preserve">Q50714</t>
  </si>
  <si>
    <t xml:space="preserve">Q50715</t>
  </si>
  <si>
    <t xml:space="preserve">Q50716</t>
  </si>
  <si>
    <t xml:space="preserve">Q50717</t>
  </si>
  <si>
    <t xml:space="preserve">Q50718</t>
  </si>
  <si>
    <t xml:space="preserve">Q50719</t>
  </si>
  <si>
    <t xml:space="preserve">Q50720</t>
  </si>
  <si>
    <t xml:space="preserve">Q50721</t>
  </si>
  <si>
    <t xml:space="preserve">Q50722</t>
  </si>
  <si>
    <t xml:space="preserve">Q50723</t>
  </si>
  <si>
    <t xml:space="preserve">Q50724</t>
  </si>
  <si>
    <t xml:space="preserve">Q50725</t>
  </si>
  <si>
    <t xml:space="preserve">Q50726</t>
  </si>
  <si>
    <t xml:space="preserve">Q50727</t>
  </si>
  <si>
    <t xml:space="preserve">Q50728</t>
  </si>
  <si>
    <t xml:space="preserve">Q50729</t>
  </si>
  <si>
    <t xml:space="preserve">Q50730</t>
  </si>
  <si>
    <t xml:space="preserve">Q50731</t>
  </si>
  <si>
    <t xml:space="preserve">Q50732</t>
  </si>
  <si>
    <t xml:space="preserve">Q50733</t>
  </si>
  <si>
    <t xml:space="preserve">Q50734</t>
  </si>
  <si>
    <t xml:space="preserve">Q50735</t>
  </si>
  <si>
    <t xml:space="preserve">Q50736</t>
  </si>
  <si>
    <t xml:space="preserve">Q50737</t>
  </si>
  <si>
    <t xml:space="preserve">Q50738</t>
  </si>
  <si>
    <t xml:space="preserve">Q50739</t>
  </si>
  <si>
    <t xml:space="preserve">Q50740</t>
  </si>
  <si>
    <t xml:space="preserve">Q50741</t>
  </si>
  <si>
    <t xml:space="preserve">Q50742</t>
  </si>
  <si>
    <t xml:space="preserve">Q50743</t>
  </si>
  <si>
    <t xml:space="preserve">Q50744</t>
  </si>
  <si>
    <t xml:space="preserve">Q50745</t>
  </si>
  <si>
    <t xml:space="preserve">Q50746</t>
  </si>
  <si>
    <t xml:space="preserve">Q50747</t>
  </si>
  <si>
    <t xml:space="preserve">Q50748</t>
  </si>
  <si>
    <t xml:space="preserve">Q50749</t>
  </si>
  <si>
    <t xml:space="preserve">Q50750</t>
  </si>
  <si>
    <t xml:space="preserve">Q50751</t>
  </si>
  <si>
    <t xml:space="preserve">Q50752</t>
  </si>
  <si>
    <t xml:space="preserve">Q50753</t>
  </si>
  <si>
    <t xml:space="preserve">Q50754</t>
  </si>
  <si>
    <t xml:space="preserve">Q50755</t>
  </si>
  <si>
    <t xml:space="preserve">Q50756</t>
  </si>
  <si>
    <t xml:space="preserve">Q50757</t>
  </si>
  <si>
    <t xml:space="preserve">Q50758</t>
  </si>
  <si>
    <t xml:space="preserve">Q50759</t>
  </si>
  <si>
    <t xml:space="preserve">Q50760</t>
  </si>
  <si>
    <t xml:space="preserve">Q50761</t>
  </si>
  <si>
    <t xml:space="preserve">Q50762</t>
  </si>
  <si>
    <t xml:space="preserve">Q50763</t>
  </si>
  <si>
    <t xml:space="preserve">Q50764</t>
  </si>
  <si>
    <t xml:space="preserve">Q50765</t>
  </si>
  <si>
    <t xml:space="preserve">Q50766</t>
  </si>
  <si>
    <t xml:space="preserve">Q50767</t>
  </si>
  <si>
    <t xml:space="preserve">Q50768</t>
  </si>
  <si>
    <t xml:space="preserve">Q50769</t>
  </si>
  <si>
    <t xml:space="preserve">Q50770</t>
  </si>
  <si>
    <t xml:space="preserve">Q50771</t>
  </si>
  <si>
    <t xml:space="preserve">Q50772</t>
  </si>
  <si>
    <t xml:space="preserve">Q50773</t>
  </si>
  <si>
    <t xml:space="preserve">Q50774</t>
  </si>
  <si>
    <t xml:space="preserve">Q50775</t>
  </si>
  <si>
    <t xml:space="preserve">Q50776</t>
  </si>
  <si>
    <t xml:space="preserve">Q50777</t>
  </si>
  <si>
    <t xml:space="preserve">Q50778</t>
  </si>
  <si>
    <t xml:space="preserve">Q50779</t>
  </si>
  <si>
    <t xml:space="preserve">Q50780</t>
  </si>
  <si>
    <t xml:space="preserve">Q50781</t>
  </si>
  <si>
    <t xml:space="preserve">Q50782</t>
  </si>
  <si>
    <t xml:space="preserve">Q50783</t>
  </si>
  <si>
    <t xml:space="preserve">Q50784</t>
  </si>
  <si>
    <t xml:space="preserve">Q50785</t>
  </si>
  <si>
    <t xml:space="preserve">Q50786</t>
  </si>
  <si>
    <t xml:space="preserve">Q50787</t>
  </si>
  <si>
    <t xml:space="preserve">Q50788</t>
  </si>
  <si>
    <t xml:space="preserve">Q50789</t>
  </si>
  <si>
    <t xml:space="preserve">Q50790</t>
  </si>
  <si>
    <t xml:space="preserve">Q50791</t>
  </si>
  <si>
    <t xml:space="preserve">Q50792</t>
  </si>
  <si>
    <t xml:space="preserve">Q50793</t>
  </si>
  <si>
    <t xml:space="preserve">Q50794</t>
  </si>
  <si>
    <t xml:space="preserve">Q50795</t>
  </si>
  <si>
    <t xml:space="preserve">Q50796</t>
  </si>
  <si>
    <t xml:space="preserve">Q50797</t>
  </si>
  <si>
    <t xml:space="preserve">Q50798</t>
  </si>
  <si>
    <t xml:space="preserve">Q50799</t>
  </si>
  <si>
    <t xml:space="preserve">Q50800</t>
  </si>
  <si>
    <t xml:space="preserve">Q50801</t>
  </si>
  <si>
    <t xml:space="preserve">Q50802</t>
  </si>
  <si>
    <t xml:space="preserve">Q50803</t>
  </si>
  <si>
    <t xml:space="preserve">Q50804</t>
  </si>
  <si>
    <t xml:space="preserve">Q50805</t>
  </si>
  <si>
    <t xml:space="preserve">Q50806</t>
  </si>
  <si>
    <t xml:space="preserve">Q50807</t>
  </si>
  <si>
    <t xml:space="preserve">Q50808</t>
  </si>
  <si>
    <t xml:space="preserve">Q50809</t>
  </si>
  <si>
    <t xml:space="preserve">Q50810</t>
  </si>
  <si>
    <t xml:space="preserve">Q50811</t>
  </si>
  <si>
    <t xml:space="preserve">Q50812</t>
  </si>
  <si>
    <t xml:space="preserve">Q50813</t>
  </si>
  <si>
    <t xml:space="preserve">Q50814</t>
  </si>
  <si>
    <t xml:space="preserve">Q50815</t>
  </si>
  <si>
    <t xml:space="preserve">Q50816</t>
  </si>
  <si>
    <t xml:space="preserve">Q50817</t>
  </si>
  <si>
    <t xml:space="preserve">Q50818</t>
  </si>
  <si>
    <t xml:space="preserve">Q50819</t>
  </si>
  <si>
    <t xml:space="preserve">Q50820</t>
  </si>
  <si>
    <t xml:space="preserve">Q50821</t>
  </si>
  <si>
    <t xml:space="preserve">Q50822</t>
  </si>
  <si>
    <t xml:space="preserve">Q50823</t>
  </si>
  <si>
    <t xml:space="preserve">Q50824</t>
  </si>
  <si>
    <t xml:space="preserve">Q50825</t>
  </si>
  <si>
    <t xml:space="preserve">Q50826</t>
  </si>
  <si>
    <t xml:space="preserve">Q50827</t>
  </si>
  <si>
    <t xml:space="preserve">Q50828</t>
  </si>
  <si>
    <t xml:space="preserve">Q50829</t>
  </si>
  <si>
    <t xml:space="preserve">Q50830</t>
  </si>
  <si>
    <t xml:space="preserve">Q50831</t>
  </si>
  <si>
    <t xml:space="preserve">Q50832</t>
  </si>
  <si>
    <t xml:space="preserve">Q50833</t>
  </si>
  <si>
    <t xml:space="preserve">Q50834</t>
  </si>
  <si>
    <t xml:space="preserve">Q50835</t>
  </si>
  <si>
    <t xml:space="preserve">Q50836</t>
  </si>
  <si>
    <t xml:space="preserve">Q50837</t>
  </si>
  <si>
    <t xml:space="preserve">Q50838</t>
  </si>
  <si>
    <t xml:space="preserve">Q50839</t>
  </si>
  <si>
    <t xml:space="preserve">Q50840</t>
  </si>
  <si>
    <t xml:space="preserve">Q50841</t>
  </si>
  <si>
    <t xml:space="preserve">Q50842</t>
  </si>
  <si>
    <t xml:space="preserve">Q50843</t>
  </si>
  <si>
    <t xml:space="preserve">Q50844</t>
  </si>
  <si>
    <t xml:space="preserve">Q50845</t>
  </si>
  <si>
    <t xml:space="preserve">Q50846</t>
  </si>
  <si>
    <t xml:space="preserve">Q50847</t>
  </si>
  <si>
    <t xml:space="preserve">Q50848</t>
  </si>
  <si>
    <t xml:space="preserve">Q50849</t>
  </si>
  <si>
    <t xml:space="preserve">Q50850</t>
  </si>
  <si>
    <t xml:space="preserve">Q50851</t>
  </si>
  <si>
    <t xml:space="preserve">Q50852</t>
  </si>
  <si>
    <t xml:space="preserve">Q50853</t>
  </si>
  <si>
    <t xml:space="preserve">Q50854</t>
  </si>
  <si>
    <t xml:space="preserve">Q50855</t>
  </si>
  <si>
    <t xml:space="preserve">Q50856</t>
  </si>
  <si>
    <t xml:space="preserve">Q50857</t>
  </si>
  <si>
    <t xml:space="preserve">Q50858</t>
  </si>
  <si>
    <t xml:space="preserve">Q50859</t>
  </si>
  <si>
    <t xml:space="preserve">Q50860</t>
  </si>
  <si>
    <t xml:space="preserve">Q50861</t>
  </si>
  <si>
    <t xml:space="preserve">Q50862</t>
  </si>
  <si>
    <t xml:space="preserve">Q50863</t>
  </si>
  <si>
    <t xml:space="preserve">Q50864</t>
  </si>
  <si>
    <t xml:space="preserve">Q50865</t>
  </si>
  <si>
    <t xml:space="preserve">Q50866</t>
  </si>
  <si>
    <t xml:space="preserve">Q50867</t>
  </si>
  <si>
    <t xml:space="preserve">Q50868</t>
  </si>
  <si>
    <t xml:space="preserve">Q50869</t>
  </si>
  <si>
    <t xml:space="preserve">Q50870</t>
  </si>
  <si>
    <t xml:space="preserve">Q50871</t>
  </si>
  <si>
    <t xml:space="preserve">Q50872</t>
  </si>
  <si>
    <t xml:space="preserve">Q50873</t>
  </si>
  <si>
    <t xml:space="preserve">Q50874</t>
  </si>
  <si>
    <t xml:space="preserve">Q50875</t>
  </si>
  <si>
    <t xml:space="preserve">Q50876</t>
  </si>
  <si>
    <t xml:space="preserve">Q50877</t>
  </si>
  <si>
    <t xml:space="preserve">Q50878</t>
  </si>
  <si>
    <t xml:space="preserve">Q50879</t>
  </si>
  <si>
    <t xml:space="preserve">Q50880</t>
  </si>
  <si>
    <t xml:space="preserve">Q50881</t>
  </si>
  <si>
    <t xml:space="preserve">Q50882</t>
  </si>
  <si>
    <t xml:space="preserve">Q50883</t>
  </si>
  <si>
    <t xml:space="preserve">Q50884</t>
  </si>
  <si>
    <t xml:space="preserve">Q50885</t>
  </si>
  <si>
    <t xml:space="preserve">Q50886</t>
  </si>
  <si>
    <t xml:space="preserve">Q50887</t>
  </si>
  <si>
    <t xml:space="preserve">Q50888</t>
  </si>
  <si>
    <t xml:space="preserve">Q50889</t>
  </si>
  <si>
    <t xml:space="preserve">Q50890</t>
  </si>
  <si>
    <t xml:space="preserve">Q50891</t>
  </si>
  <si>
    <t xml:space="preserve">Q50892</t>
  </si>
  <si>
    <t xml:space="preserve">Q50893</t>
  </si>
  <si>
    <t xml:space="preserve">Q50894</t>
  </si>
  <si>
    <t xml:space="preserve">Q50895</t>
  </si>
  <si>
    <t xml:space="preserve">Q50896</t>
  </si>
  <si>
    <t xml:space="preserve">Q50897</t>
  </si>
  <si>
    <t xml:space="preserve">Q50898</t>
  </si>
  <si>
    <t xml:space="preserve">Q50899</t>
  </si>
  <si>
    <t xml:space="preserve">Q50900</t>
  </si>
  <si>
    <t xml:space="preserve">Q50901</t>
  </si>
  <si>
    <t xml:space="preserve">Q50902</t>
  </si>
  <si>
    <t xml:space="preserve">Q50903</t>
  </si>
  <si>
    <t xml:space="preserve">Q50904</t>
  </si>
  <si>
    <t xml:space="preserve">Q50905</t>
  </si>
  <si>
    <t xml:space="preserve">Q50906</t>
  </si>
  <si>
    <t xml:space="preserve">Q50907</t>
  </si>
  <si>
    <t xml:space="preserve">Q50908</t>
  </si>
  <si>
    <t xml:space="preserve">Q50909</t>
  </si>
  <si>
    <t xml:space="preserve">Q50910</t>
  </si>
  <si>
    <t xml:space="preserve">Q50911</t>
  </si>
  <si>
    <t xml:space="preserve">Q50912</t>
  </si>
  <si>
    <t xml:space="preserve">Q50913</t>
  </si>
  <si>
    <t xml:space="preserve">Q50914</t>
  </si>
  <si>
    <t xml:space="preserve">Q50915</t>
  </si>
  <si>
    <t xml:space="preserve">Q50916</t>
  </si>
  <si>
    <t xml:space="preserve">Q50917</t>
  </si>
  <si>
    <t xml:space="preserve">Q50918</t>
  </si>
  <si>
    <t xml:space="preserve">Q50919</t>
  </si>
  <si>
    <t xml:space="preserve">Q50920</t>
  </si>
  <si>
    <t xml:space="preserve">Q50921</t>
  </si>
  <si>
    <t xml:space="preserve">Q50922</t>
  </si>
  <si>
    <t xml:space="preserve">Q50923</t>
  </si>
  <si>
    <t xml:space="preserve">Q50924</t>
  </si>
  <si>
    <t xml:space="preserve">Q50925</t>
  </si>
  <si>
    <t xml:space="preserve">Q50926</t>
  </si>
  <si>
    <t xml:space="preserve">Q50927</t>
  </si>
  <si>
    <t xml:space="preserve">Q50928</t>
  </si>
  <si>
    <t xml:space="preserve">Q50929</t>
  </si>
  <si>
    <t xml:space="preserve">Q50930</t>
  </si>
  <si>
    <t xml:space="preserve">Q50931</t>
  </si>
  <si>
    <t xml:space="preserve">Q50932</t>
  </si>
  <si>
    <t xml:space="preserve">Q50933</t>
  </si>
  <si>
    <t xml:space="preserve">Q50934</t>
  </si>
  <si>
    <t xml:space="preserve">Q50935</t>
  </si>
  <si>
    <t xml:space="preserve">Q50936</t>
  </si>
  <si>
    <t xml:space="preserve">Q50937</t>
  </si>
  <si>
    <t xml:space="preserve">Q50938</t>
  </si>
  <si>
    <t xml:space="preserve">Q50939</t>
  </si>
  <si>
    <t xml:space="preserve">Q50940</t>
  </si>
  <si>
    <t xml:space="preserve">Q50941</t>
  </si>
  <si>
    <t xml:space="preserve">Q50942</t>
  </si>
  <si>
    <t xml:space="preserve">Q50943</t>
  </si>
  <si>
    <t xml:space="preserve">Q50944</t>
  </si>
  <si>
    <t xml:space="preserve">Q50945</t>
  </si>
  <si>
    <t xml:space="preserve">Q50946</t>
  </si>
  <si>
    <t xml:space="preserve">Q50947</t>
  </si>
  <si>
    <t xml:space="preserve">Q50948</t>
  </si>
  <si>
    <t xml:space="preserve">Q50949</t>
  </si>
  <si>
    <t xml:space="preserve">Q50950</t>
  </si>
  <si>
    <t xml:space="preserve">Q50951</t>
  </si>
  <si>
    <t xml:space="preserve">Q50952</t>
  </si>
  <si>
    <t xml:space="preserve">Q50953</t>
  </si>
  <si>
    <t xml:space="preserve">Q50954</t>
  </si>
  <si>
    <t xml:space="preserve">Q50955</t>
  </si>
  <si>
    <t xml:space="preserve">Q50956</t>
  </si>
  <si>
    <t xml:space="preserve">Q50957</t>
  </si>
  <si>
    <t xml:space="preserve">Q50958</t>
  </si>
  <si>
    <t xml:space="preserve">Q50959</t>
  </si>
  <si>
    <t xml:space="preserve">Q50960</t>
  </si>
  <si>
    <t xml:space="preserve">Q50961</t>
  </si>
  <si>
    <t xml:space="preserve">Q50962</t>
  </si>
  <si>
    <t xml:space="preserve">Q50963</t>
  </si>
  <si>
    <t xml:space="preserve">Q50964</t>
  </si>
  <si>
    <t xml:space="preserve">Q50965</t>
  </si>
  <si>
    <t xml:space="preserve">Q50966</t>
  </si>
  <si>
    <t xml:space="preserve">Q50967</t>
  </si>
  <si>
    <t xml:space="preserve">Q50968</t>
  </si>
  <si>
    <t xml:space="preserve">Q50969</t>
  </si>
  <si>
    <t xml:space="preserve">Q50970</t>
  </si>
  <si>
    <t xml:space="preserve">Q50971</t>
  </si>
  <si>
    <t xml:space="preserve">Q50972</t>
  </si>
  <si>
    <t xml:space="preserve">Q50973</t>
  </si>
  <si>
    <t xml:space="preserve">Q50974</t>
  </si>
  <si>
    <t xml:space="preserve">Q50975</t>
  </si>
  <si>
    <t xml:space="preserve">Q50976</t>
  </si>
  <si>
    <t xml:space="preserve">Q50977</t>
  </si>
  <si>
    <t xml:space="preserve">Q50978</t>
  </si>
  <si>
    <t xml:space="preserve">Q50979</t>
  </si>
  <si>
    <t xml:space="preserve">Q50980</t>
  </si>
  <si>
    <t xml:space="preserve">Q50981</t>
  </si>
  <si>
    <t xml:space="preserve">Q50982</t>
  </si>
  <si>
    <t xml:space="preserve">Q50983</t>
  </si>
  <si>
    <t xml:space="preserve">Q50984</t>
  </si>
  <si>
    <t xml:space="preserve">Q50985</t>
  </si>
  <si>
    <t xml:space="preserve">Q50986</t>
  </si>
  <si>
    <t xml:space="preserve">Q50987</t>
  </si>
  <si>
    <t xml:space="preserve">Q50988</t>
  </si>
  <si>
    <t xml:space="preserve">Q50989</t>
  </si>
  <si>
    <t xml:space="preserve">Q50990</t>
  </si>
  <si>
    <t xml:space="preserve">Q50991</t>
  </si>
  <si>
    <t xml:space="preserve">Q50992</t>
  </si>
  <si>
    <t xml:space="preserve">Q50993</t>
  </si>
  <si>
    <t xml:space="preserve">Q50994</t>
  </si>
  <si>
    <t xml:space="preserve">Q50995</t>
  </si>
  <si>
    <t xml:space="preserve">Q50996</t>
  </si>
  <si>
    <t xml:space="preserve">Q50997</t>
  </si>
  <si>
    <t xml:space="preserve">Q50998</t>
  </si>
  <si>
    <t xml:space="preserve">Q50999</t>
  </si>
  <si>
    <t xml:space="preserve">Q51000</t>
  </si>
  <si>
    <t xml:space="preserve">Q51001</t>
  </si>
  <si>
    <t xml:space="preserve">Q51002</t>
  </si>
  <si>
    <t xml:space="preserve">Q51003</t>
  </si>
  <si>
    <t xml:space="preserve">Q51004</t>
  </si>
  <si>
    <t xml:space="preserve">Q51005</t>
  </si>
  <si>
    <t xml:space="preserve">Q51006</t>
  </si>
  <si>
    <t xml:space="preserve">Q51007</t>
  </si>
  <si>
    <t xml:space="preserve">Q51008</t>
  </si>
  <si>
    <t xml:space="preserve">Q51009</t>
  </si>
  <si>
    <t xml:space="preserve">Q51010</t>
  </si>
  <si>
    <t xml:space="preserve">Q51011</t>
  </si>
  <si>
    <t xml:space="preserve">Q51012</t>
  </si>
  <si>
    <t xml:space="preserve">Q51013</t>
  </si>
  <si>
    <t xml:space="preserve">Q51014</t>
  </si>
  <si>
    <t xml:space="preserve">Q51015</t>
  </si>
  <si>
    <t xml:space="preserve">Q51016</t>
  </si>
  <si>
    <t xml:space="preserve">Q51017</t>
  </si>
  <si>
    <t xml:space="preserve">Q51018</t>
  </si>
  <si>
    <t xml:space="preserve">Q51019</t>
  </si>
  <si>
    <t xml:space="preserve">Q51020</t>
  </si>
  <si>
    <t xml:space="preserve">Q51021</t>
  </si>
  <si>
    <t xml:space="preserve">Q51022</t>
  </si>
  <si>
    <t xml:space="preserve">Q51023</t>
  </si>
  <si>
    <t xml:space="preserve">Q51024</t>
  </si>
  <si>
    <t xml:space="preserve">Q51025</t>
  </si>
  <si>
    <t xml:space="preserve">Q51026</t>
  </si>
  <si>
    <t xml:space="preserve">Q51027</t>
  </si>
  <si>
    <t xml:space="preserve">Q51028</t>
  </si>
  <si>
    <t xml:space="preserve">Q51029</t>
  </si>
  <si>
    <t xml:space="preserve">Q51030</t>
  </si>
  <si>
    <t xml:space="preserve">Q51031</t>
  </si>
  <si>
    <t xml:space="preserve">Q51032</t>
  </si>
  <si>
    <t xml:space="preserve">Q51033</t>
  </si>
  <si>
    <t xml:space="preserve">Q51034</t>
  </si>
  <si>
    <t xml:space="preserve">Q51035</t>
  </si>
  <si>
    <t xml:space="preserve">Q51036</t>
  </si>
  <si>
    <t xml:space="preserve">Q51037</t>
  </si>
  <si>
    <t xml:space="preserve">Q51038</t>
  </si>
  <si>
    <t xml:space="preserve">Q51039</t>
  </si>
  <si>
    <t xml:space="preserve">Q51040</t>
  </si>
  <si>
    <t xml:space="preserve">Q51041</t>
  </si>
  <si>
    <t xml:space="preserve">Q51042</t>
  </si>
  <si>
    <t xml:space="preserve">Q51043</t>
  </si>
  <si>
    <t xml:space="preserve">Q51044</t>
  </si>
  <si>
    <t xml:space="preserve">Q51045</t>
  </si>
  <si>
    <t xml:space="preserve">Q51046</t>
  </si>
  <si>
    <t xml:space="preserve">Q51047</t>
  </si>
  <si>
    <t xml:space="preserve">Q51048</t>
  </si>
  <si>
    <t xml:space="preserve">Q51049</t>
  </si>
  <si>
    <t xml:space="preserve">Q51050</t>
  </si>
  <si>
    <t xml:space="preserve">Q51051</t>
  </si>
  <si>
    <t xml:space="preserve">Q51052</t>
  </si>
  <si>
    <t xml:space="preserve">Q51053</t>
  </si>
  <si>
    <t xml:space="preserve">Q51054</t>
  </si>
  <si>
    <t xml:space="preserve">Q51055</t>
  </si>
  <si>
    <t xml:space="preserve">Q51056</t>
  </si>
  <si>
    <t xml:space="preserve">Q51057</t>
  </si>
  <si>
    <t xml:space="preserve">Q51058</t>
  </si>
  <si>
    <t xml:space="preserve">Q51059</t>
  </si>
  <si>
    <t xml:space="preserve">Q51060</t>
  </si>
  <si>
    <t xml:space="preserve">Q51061</t>
  </si>
  <si>
    <t xml:space="preserve">Q51062</t>
  </si>
  <si>
    <t xml:space="preserve">Q51063</t>
  </si>
  <si>
    <t xml:space="preserve">Q51064</t>
  </si>
  <si>
    <t xml:space="preserve">Q51065</t>
  </si>
  <si>
    <t xml:space="preserve">Q51066</t>
  </si>
  <si>
    <t xml:space="preserve">Q51067</t>
  </si>
  <si>
    <t xml:space="preserve">Q51068</t>
  </si>
  <si>
    <t xml:space="preserve">Q51069</t>
  </si>
  <si>
    <t xml:space="preserve">Q51070</t>
  </si>
  <si>
    <t xml:space="preserve">Q51071</t>
  </si>
  <si>
    <t xml:space="preserve">Q51072</t>
  </si>
  <si>
    <t xml:space="preserve">Q51073</t>
  </si>
  <si>
    <t xml:space="preserve">Q51074</t>
  </si>
  <si>
    <t xml:space="preserve">Q51075</t>
  </si>
  <si>
    <t xml:space="preserve">Q51076</t>
  </si>
  <si>
    <t xml:space="preserve">Q51077</t>
  </si>
  <si>
    <t xml:space="preserve">Q51078</t>
  </si>
  <si>
    <t xml:space="preserve">Q51079</t>
  </si>
  <si>
    <t xml:space="preserve">Q51080</t>
  </si>
  <si>
    <t xml:space="preserve">Q51081</t>
  </si>
  <si>
    <t xml:space="preserve">Q51082</t>
  </si>
  <si>
    <t xml:space="preserve">Q51083</t>
  </si>
  <si>
    <t xml:space="preserve">Q51084</t>
  </si>
  <si>
    <t xml:space="preserve">Q51085</t>
  </si>
  <si>
    <t xml:space="preserve">Q51086</t>
  </si>
  <si>
    <t xml:space="preserve">Q51087</t>
  </si>
  <si>
    <t xml:space="preserve">Q51088</t>
  </si>
  <si>
    <t xml:space="preserve">Q51089</t>
  </si>
  <si>
    <t xml:space="preserve">Q51090</t>
  </si>
  <si>
    <t xml:space="preserve">Q51091</t>
  </si>
  <si>
    <t xml:space="preserve">Q51092</t>
  </si>
  <si>
    <t xml:space="preserve">Q51093</t>
  </si>
  <si>
    <t xml:space="preserve">Q51094</t>
  </si>
  <si>
    <t xml:space="preserve">Q51095</t>
  </si>
  <si>
    <t xml:space="preserve">Q51096</t>
  </si>
  <si>
    <t xml:space="preserve">Q51097</t>
  </si>
  <si>
    <t xml:space="preserve">Q51098</t>
  </si>
  <si>
    <t xml:space="preserve">Q51099</t>
  </si>
  <si>
    <t xml:space="preserve">Q51100</t>
  </si>
  <si>
    <t xml:space="preserve">Q51101</t>
  </si>
  <si>
    <t xml:space="preserve">Q51102</t>
  </si>
  <si>
    <t xml:space="preserve">Q51103</t>
  </si>
  <si>
    <t xml:space="preserve">Q51104</t>
  </si>
  <si>
    <t xml:space="preserve">Q51105</t>
  </si>
  <si>
    <t xml:space="preserve">Q51106</t>
  </si>
  <si>
    <t xml:space="preserve">Q51107</t>
  </si>
  <si>
    <t xml:space="preserve">Q51108</t>
  </si>
  <si>
    <t xml:space="preserve">Q51109</t>
  </si>
  <si>
    <t xml:space="preserve">Q51110</t>
  </si>
  <si>
    <t xml:space="preserve">Q51111</t>
  </si>
  <si>
    <t xml:space="preserve">Q51112</t>
  </si>
  <si>
    <t xml:space="preserve">Q51113</t>
  </si>
  <si>
    <t xml:space="preserve">Q51114</t>
  </si>
  <si>
    <t xml:space="preserve">Q51115</t>
  </si>
  <si>
    <t xml:space="preserve">Q51116</t>
  </si>
  <si>
    <t xml:space="preserve">Q51117</t>
  </si>
  <si>
    <t xml:space="preserve">Q51118</t>
  </si>
  <si>
    <t xml:space="preserve">Q51119</t>
  </si>
  <si>
    <t xml:space="preserve">Q51120</t>
  </si>
  <si>
    <t xml:space="preserve">Q51121</t>
  </si>
  <si>
    <t xml:space="preserve">Q51122</t>
  </si>
  <si>
    <t xml:space="preserve">Q51123</t>
  </si>
  <si>
    <t xml:space="preserve">Q51124</t>
  </si>
  <si>
    <t xml:space="preserve">Q51125</t>
  </si>
  <si>
    <t xml:space="preserve">Q51126</t>
  </si>
  <si>
    <t xml:space="preserve">Q51127</t>
  </si>
  <si>
    <t xml:space="preserve">Q51128</t>
  </si>
  <si>
    <t xml:space="preserve">Q51129</t>
  </si>
  <si>
    <t xml:space="preserve">Q51130</t>
  </si>
  <si>
    <t xml:space="preserve">Q51131</t>
  </si>
  <si>
    <t xml:space="preserve">Q51132</t>
  </si>
  <si>
    <t xml:space="preserve">Q51133</t>
  </si>
  <si>
    <t xml:space="preserve">Q51134</t>
  </si>
  <si>
    <t xml:space="preserve">Q51135</t>
  </si>
  <si>
    <t xml:space="preserve">Q51136</t>
  </si>
  <si>
    <t xml:space="preserve">Q51137</t>
  </si>
  <si>
    <t xml:space="preserve">Q51138</t>
  </si>
  <si>
    <t xml:space="preserve">Q51139</t>
  </si>
  <si>
    <t xml:space="preserve">Q51140</t>
  </si>
  <si>
    <t xml:space="preserve">Q51141</t>
  </si>
  <si>
    <t xml:space="preserve">Q51142</t>
  </si>
  <si>
    <t xml:space="preserve">Q51143</t>
  </si>
  <si>
    <t xml:space="preserve">Q51144</t>
  </si>
  <si>
    <t xml:space="preserve">Q51145</t>
  </si>
  <si>
    <t xml:space="preserve">Q51146</t>
  </si>
  <si>
    <t xml:space="preserve">Q51147</t>
  </si>
  <si>
    <t xml:space="preserve">Q51148</t>
  </si>
  <si>
    <t xml:space="preserve">Q51149</t>
  </si>
  <si>
    <t xml:space="preserve">Q51150</t>
  </si>
  <si>
    <t xml:space="preserve">Q51151</t>
  </si>
  <si>
    <t xml:space="preserve">Q51152</t>
  </si>
  <si>
    <t xml:space="preserve">Q51153</t>
  </si>
  <si>
    <t xml:space="preserve">Q51154</t>
  </si>
  <si>
    <t xml:space="preserve">Q51155</t>
  </si>
  <si>
    <t xml:space="preserve">Q51156</t>
  </si>
  <si>
    <t xml:space="preserve">Q51157</t>
  </si>
  <si>
    <t xml:space="preserve">Q51158</t>
  </si>
  <si>
    <t xml:space="preserve">Q51159</t>
  </si>
  <si>
    <t xml:space="preserve">Q51160</t>
  </si>
  <si>
    <t xml:space="preserve">Q51161</t>
  </si>
  <si>
    <t xml:space="preserve">Q51162</t>
  </si>
  <si>
    <t xml:space="preserve">Q51163</t>
  </si>
  <si>
    <t xml:space="preserve">Q51164</t>
  </si>
  <si>
    <t xml:space="preserve">Q51165</t>
  </si>
  <si>
    <t xml:space="preserve">Q51166</t>
  </si>
  <si>
    <t xml:space="preserve">Q51167</t>
  </si>
  <si>
    <t xml:space="preserve">Q51168</t>
  </si>
  <si>
    <t xml:space="preserve">Q51169</t>
  </si>
  <si>
    <t xml:space="preserve">Q51170</t>
  </si>
  <si>
    <t xml:space="preserve">Q51171</t>
  </si>
  <si>
    <t xml:space="preserve">Q51172</t>
  </si>
  <si>
    <t xml:space="preserve">Q51173</t>
  </si>
  <si>
    <t xml:space="preserve">Q51174</t>
  </si>
  <si>
    <t xml:space="preserve">Q51175</t>
  </si>
  <si>
    <t xml:space="preserve">Q51176</t>
  </si>
  <si>
    <t xml:space="preserve">Q51177</t>
  </si>
  <si>
    <t xml:space="preserve">Q51178</t>
  </si>
  <si>
    <t xml:space="preserve">Q51179</t>
  </si>
  <si>
    <t xml:space="preserve">Q51180</t>
  </si>
  <si>
    <t xml:space="preserve">Q51181</t>
  </si>
  <si>
    <t xml:space="preserve">Q51182</t>
  </si>
  <si>
    <t xml:space="preserve">Q51183</t>
  </si>
  <si>
    <t xml:space="preserve">Q51184</t>
  </si>
  <si>
    <t xml:space="preserve">Q51185</t>
  </si>
  <si>
    <t xml:space="preserve">Q51186</t>
  </si>
  <si>
    <t xml:space="preserve">Q51187</t>
  </si>
  <si>
    <t xml:space="preserve">Q51188</t>
  </si>
  <si>
    <t xml:space="preserve">Q51189</t>
  </si>
  <si>
    <t xml:space="preserve">Q51190</t>
  </si>
  <si>
    <t xml:space="preserve">Q51191</t>
  </si>
  <si>
    <t xml:space="preserve">Q51192</t>
  </si>
  <si>
    <t xml:space="preserve">Q51193</t>
  </si>
  <si>
    <t xml:space="preserve">Q51194</t>
  </si>
  <si>
    <t xml:space="preserve">Q51195</t>
  </si>
  <si>
    <t xml:space="preserve">Q51196</t>
  </si>
  <si>
    <t xml:space="preserve">Q51197</t>
  </si>
  <si>
    <t xml:space="preserve">Q51198</t>
  </si>
  <si>
    <t xml:space="preserve">Q51199</t>
  </si>
  <si>
    <t xml:space="preserve">Q51200</t>
  </si>
  <si>
    <t xml:space="preserve">Q51201</t>
  </si>
  <si>
    <t xml:space="preserve">Q51202</t>
  </si>
  <si>
    <t xml:space="preserve">Q51203</t>
  </si>
  <si>
    <t xml:space="preserve">Q51204</t>
  </si>
  <si>
    <t xml:space="preserve">Q51205</t>
  </si>
  <si>
    <t xml:space="preserve">Q51206</t>
  </si>
  <si>
    <t xml:space="preserve">Q51207</t>
  </si>
  <si>
    <t xml:space="preserve">Q51208</t>
  </si>
  <si>
    <t xml:space="preserve">Q51209</t>
  </si>
  <si>
    <t xml:space="preserve">Q51210</t>
  </si>
  <si>
    <t xml:space="preserve">Q51211</t>
  </si>
  <si>
    <t xml:space="preserve">Q51212</t>
  </si>
  <si>
    <t xml:space="preserve">Q51213</t>
  </si>
  <si>
    <t xml:space="preserve">Q51214</t>
  </si>
  <si>
    <t xml:space="preserve">Q51215</t>
  </si>
  <si>
    <t xml:space="preserve">Q51216</t>
  </si>
  <si>
    <t xml:space="preserve">Q51217</t>
  </si>
  <si>
    <t xml:space="preserve">Q51218</t>
  </si>
  <si>
    <t xml:space="preserve">Q51219</t>
  </si>
  <si>
    <t xml:space="preserve">Q51220</t>
  </si>
  <si>
    <t xml:space="preserve">Q51221</t>
  </si>
  <si>
    <t xml:space="preserve">Q51222</t>
  </si>
  <si>
    <t xml:space="preserve">Q51223</t>
  </si>
  <si>
    <t xml:space="preserve">Q51224</t>
  </si>
  <si>
    <t xml:space="preserve">Q51225</t>
  </si>
  <si>
    <t xml:space="preserve">Q51226</t>
  </si>
  <si>
    <t xml:space="preserve">Q51227</t>
  </si>
  <si>
    <t xml:space="preserve">Q51228</t>
  </si>
  <si>
    <t xml:space="preserve">Q51229</t>
  </si>
  <si>
    <t xml:space="preserve">Q51230</t>
  </si>
  <si>
    <t xml:space="preserve">Q51231</t>
  </si>
  <si>
    <t xml:space="preserve">Q51232</t>
  </si>
  <si>
    <t xml:space="preserve">Q51233</t>
  </si>
  <si>
    <t xml:space="preserve">Q51234</t>
  </si>
  <si>
    <t xml:space="preserve">Q51235</t>
  </si>
  <si>
    <t xml:space="preserve">Q51236</t>
  </si>
  <si>
    <t xml:space="preserve">Q51237</t>
  </si>
  <si>
    <t xml:space="preserve">Q51238</t>
  </si>
  <si>
    <t xml:space="preserve">Q51239</t>
  </si>
  <si>
    <t xml:space="preserve">Q51240</t>
  </si>
  <si>
    <t xml:space="preserve">Q51241</t>
  </si>
  <si>
    <t xml:space="preserve">Q51242</t>
  </si>
  <si>
    <t xml:space="preserve">Q51243</t>
  </si>
  <si>
    <t xml:space="preserve">Q51244</t>
  </si>
  <si>
    <t xml:space="preserve">Q51245</t>
  </si>
  <si>
    <t xml:space="preserve">Q51246</t>
  </si>
  <si>
    <t xml:space="preserve">Q51247</t>
  </si>
  <si>
    <t xml:space="preserve">Q51248</t>
  </si>
  <si>
    <t xml:space="preserve">Q51249</t>
  </si>
  <si>
    <t xml:space="preserve">Q51250</t>
  </si>
  <si>
    <t xml:space="preserve">Q51251</t>
  </si>
  <si>
    <t xml:space="preserve">Q51252</t>
  </si>
  <si>
    <t xml:space="preserve">Q51253</t>
  </si>
  <si>
    <t xml:space="preserve">Q51254</t>
  </si>
  <si>
    <t xml:space="preserve">Q51255</t>
  </si>
  <si>
    <t xml:space="preserve">Q51256</t>
  </si>
  <si>
    <t xml:space="preserve">Q51257</t>
  </si>
  <si>
    <t xml:space="preserve">Q51258</t>
  </si>
  <si>
    <t xml:space="preserve">Q51259</t>
  </si>
  <si>
    <t xml:space="preserve">Q51260</t>
  </si>
  <si>
    <t xml:space="preserve">Q51261</t>
  </si>
  <si>
    <t xml:space="preserve">Q51262</t>
  </si>
  <si>
    <t xml:space="preserve">Q51263</t>
  </si>
  <si>
    <t xml:space="preserve">Q51264</t>
  </si>
  <si>
    <t xml:space="preserve">Q51265</t>
  </si>
  <si>
    <t xml:space="preserve">Q51266</t>
  </si>
  <si>
    <t xml:space="preserve">Q51267</t>
  </si>
  <si>
    <t xml:space="preserve">Q51268</t>
  </si>
  <si>
    <t xml:space="preserve">Q51269</t>
  </si>
  <si>
    <t xml:space="preserve">Q51270</t>
  </si>
  <si>
    <t xml:space="preserve">Q51271</t>
  </si>
  <si>
    <t xml:space="preserve">Q51272</t>
  </si>
  <si>
    <t xml:space="preserve">Q51273</t>
  </si>
  <si>
    <t xml:space="preserve">Q51274</t>
  </si>
  <si>
    <t xml:space="preserve">Q51275</t>
  </si>
  <si>
    <t xml:space="preserve">Q51276</t>
  </si>
  <si>
    <t xml:space="preserve">Q51277</t>
  </si>
  <si>
    <t xml:space="preserve">Q51278</t>
  </si>
  <si>
    <t xml:space="preserve">Q51279</t>
  </si>
  <si>
    <t xml:space="preserve">Q51280</t>
  </si>
  <si>
    <t xml:space="preserve">Q51281</t>
  </si>
  <si>
    <t xml:space="preserve">Q51282</t>
  </si>
  <si>
    <t xml:space="preserve">Q51283</t>
  </si>
  <si>
    <t xml:space="preserve">Q51284</t>
  </si>
  <si>
    <t xml:space="preserve">Q51285</t>
  </si>
  <si>
    <t xml:space="preserve">Q51286</t>
  </si>
  <si>
    <t xml:space="preserve">Q51287</t>
  </si>
  <si>
    <t xml:space="preserve">Q51288</t>
  </si>
  <si>
    <t xml:space="preserve">Q51289</t>
  </si>
  <si>
    <t xml:space="preserve">Q51290</t>
  </si>
  <si>
    <t xml:space="preserve">Q51291</t>
  </si>
  <si>
    <t xml:space="preserve">Q51292</t>
  </si>
  <si>
    <t xml:space="preserve">Q51293</t>
  </si>
  <si>
    <t xml:space="preserve">Q51294</t>
  </si>
  <si>
    <t xml:space="preserve">Q51295</t>
  </si>
  <si>
    <t xml:space="preserve">Q51296</t>
  </si>
  <si>
    <t xml:space="preserve">Q51297</t>
  </si>
  <si>
    <t xml:space="preserve">Q51298</t>
  </si>
  <si>
    <t xml:space="preserve">Q51299</t>
  </si>
  <si>
    <t xml:space="preserve">Q51300</t>
  </si>
  <si>
    <t xml:space="preserve">Q51301</t>
  </si>
  <si>
    <t xml:space="preserve">Q51302</t>
  </si>
  <si>
    <t xml:space="preserve">Q51303</t>
  </si>
  <si>
    <t xml:space="preserve">Q51304</t>
  </si>
  <si>
    <t xml:space="preserve">Q51305</t>
  </si>
  <si>
    <t xml:space="preserve">Q51306</t>
  </si>
  <si>
    <t xml:space="preserve">Q51307</t>
  </si>
  <si>
    <t xml:space="preserve">Q51308</t>
  </si>
  <si>
    <t xml:space="preserve">Q51309</t>
  </si>
  <si>
    <t xml:space="preserve">Q51310</t>
  </si>
  <si>
    <t xml:space="preserve">Q51311</t>
  </si>
  <si>
    <t xml:space="preserve">Q51312</t>
  </si>
  <si>
    <t xml:space="preserve">Q51313</t>
  </si>
  <si>
    <t xml:space="preserve">Q51314</t>
  </si>
  <si>
    <t xml:space="preserve">Q51315</t>
  </si>
  <si>
    <t xml:space="preserve">Q51316</t>
  </si>
  <si>
    <t xml:space="preserve">Q51317</t>
  </si>
  <si>
    <t xml:space="preserve">Q51318</t>
  </si>
  <si>
    <t xml:space="preserve">Q51319</t>
  </si>
  <si>
    <t xml:space="preserve">Q51320</t>
  </si>
  <si>
    <t xml:space="preserve">Q51321</t>
  </si>
  <si>
    <t xml:space="preserve">Q51322</t>
  </si>
  <si>
    <t xml:space="preserve">Q51323</t>
  </si>
  <si>
    <t xml:space="preserve">Q51324</t>
  </si>
  <si>
    <t xml:space="preserve">Q51325</t>
  </si>
  <si>
    <t xml:space="preserve">Q51326</t>
  </si>
  <si>
    <t xml:space="preserve">Q51327</t>
  </si>
  <si>
    <t xml:space="preserve">Q51328</t>
  </si>
  <si>
    <t xml:space="preserve">Q51329</t>
  </si>
  <si>
    <t xml:space="preserve">Q51330</t>
  </si>
  <si>
    <t xml:space="preserve">Q51331</t>
  </si>
  <si>
    <t xml:space="preserve">Q51332</t>
  </si>
  <si>
    <t xml:space="preserve">Q51333</t>
  </si>
  <si>
    <t xml:space="preserve">Q51334</t>
  </si>
  <si>
    <t xml:space="preserve">Q51335</t>
  </si>
  <si>
    <t xml:space="preserve">Q51336</t>
  </si>
  <si>
    <t xml:space="preserve">Q51337</t>
  </si>
  <si>
    <t xml:space="preserve">Q51338</t>
  </si>
  <si>
    <t xml:space="preserve">Q51339</t>
  </si>
  <si>
    <t xml:space="preserve">Q51340</t>
  </si>
  <si>
    <t xml:space="preserve">Q51341</t>
  </si>
  <si>
    <t xml:space="preserve">Q51342</t>
  </si>
  <si>
    <t xml:space="preserve">Q51343</t>
  </si>
  <si>
    <t xml:space="preserve">Q51344</t>
  </si>
  <si>
    <t xml:space="preserve">Q51345</t>
  </si>
  <si>
    <t xml:space="preserve">Q51346</t>
  </si>
  <si>
    <t xml:space="preserve">Q51347</t>
  </si>
  <si>
    <t xml:space="preserve">Q51348</t>
  </si>
  <si>
    <t xml:space="preserve">Q51349</t>
  </si>
  <si>
    <t xml:space="preserve">Q51350</t>
  </si>
  <si>
    <t xml:space="preserve">Q51351</t>
  </si>
  <si>
    <t xml:space="preserve">Q51352</t>
  </si>
  <si>
    <t xml:space="preserve">Q51353</t>
  </si>
  <si>
    <t xml:space="preserve">Q51354</t>
  </si>
  <si>
    <t xml:space="preserve">Q51355</t>
  </si>
  <si>
    <t xml:space="preserve">Q51356</t>
  </si>
  <si>
    <t xml:space="preserve">Q51357</t>
  </si>
  <si>
    <t xml:space="preserve">Q51358</t>
  </si>
  <si>
    <t xml:space="preserve">Q51359</t>
  </si>
  <si>
    <t xml:space="preserve">Q51360</t>
  </si>
  <si>
    <t xml:space="preserve">Q51361</t>
  </si>
  <si>
    <t xml:space="preserve">Q51362</t>
  </si>
  <si>
    <t xml:space="preserve">Q51363</t>
  </si>
  <si>
    <t xml:space="preserve">Q51364</t>
  </si>
  <si>
    <t xml:space="preserve">Q51365</t>
  </si>
  <si>
    <t xml:space="preserve">Q51366</t>
  </si>
  <si>
    <t xml:space="preserve">Q51367</t>
  </si>
  <si>
    <t xml:space="preserve">Q51368</t>
  </si>
  <si>
    <t xml:space="preserve">Q51369</t>
  </si>
  <si>
    <t xml:space="preserve">Q51370</t>
  </si>
  <si>
    <t xml:space="preserve">Q51371</t>
  </si>
  <si>
    <t xml:space="preserve">Q51372</t>
  </si>
  <si>
    <t xml:space="preserve">Q51373</t>
  </si>
  <si>
    <t xml:space="preserve">Q51374</t>
  </si>
  <si>
    <t xml:space="preserve">Q51375</t>
  </si>
  <si>
    <t xml:space="preserve">Q51376</t>
  </si>
  <si>
    <t xml:space="preserve">Q51377</t>
  </si>
  <si>
    <t xml:space="preserve">Q51378</t>
  </si>
  <si>
    <t xml:space="preserve">Q51379</t>
  </si>
  <si>
    <t xml:space="preserve">Q51380</t>
  </si>
  <si>
    <t xml:space="preserve">Q51381</t>
  </si>
  <si>
    <t xml:space="preserve">Q51382</t>
  </si>
  <si>
    <t xml:space="preserve">Q51383</t>
  </si>
  <si>
    <t xml:space="preserve">Q51384</t>
  </si>
  <si>
    <t xml:space="preserve">Q51385</t>
  </si>
  <si>
    <t xml:space="preserve">Q51386</t>
  </si>
  <si>
    <t xml:space="preserve">Q51387</t>
  </si>
  <si>
    <t xml:space="preserve">Q51388</t>
  </si>
  <si>
    <t xml:space="preserve">Q51389</t>
  </si>
  <si>
    <t xml:space="preserve">Q51390</t>
  </si>
  <si>
    <t xml:space="preserve">Q51391</t>
  </si>
  <si>
    <t xml:space="preserve">Q51392</t>
  </si>
  <si>
    <t xml:space="preserve">Q51393</t>
  </si>
  <si>
    <t xml:space="preserve">Q51394</t>
  </si>
  <si>
    <t xml:space="preserve">Q51395</t>
  </si>
  <si>
    <t xml:space="preserve">Q51396</t>
  </si>
  <si>
    <t xml:space="preserve">Q51397</t>
  </si>
  <si>
    <t xml:space="preserve">Q51398</t>
  </si>
  <si>
    <t xml:space="preserve">Q51399</t>
  </si>
  <si>
    <t xml:space="preserve">Q51400</t>
  </si>
  <si>
    <t xml:space="preserve">Q51401</t>
  </si>
  <si>
    <t xml:space="preserve">Q51402</t>
  </si>
  <si>
    <t xml:space="preserve">Q51403</t>
  </si>
  <si>
    <t xml:space="preserve">Q51404</t>
  </si>
  <si>
    <t xml:space="preserve">Q51405</t>
  </si>
  <si>
    <t xml:space="preserve">Q51406</t>
  </si>
  <si>
    <t xml:space="preserve">Q51407</t>
  </si>
  <si>
    <t xml:space="preserve">Q51408</t>
  </si>
  <si>
    <t xml:space="preserve">Q51409</t>
  </si>
  <si>
    <t xml:space="preserve">Q51410</t>
  </si>
  <si>
    <t xml:space="preserve">Q51411</t>
  </si>
  <si>
    <t xml:space="preserve">Q51412</t>
  </si>
  <si>
    <t xml:space="preserve">Q51413</t>
  </si>
  <si>
    <t xml:space="preserve">Q51414</t>
  </si>
  <si>
    <t xml:space="preserve">Q51415</t>
  </si>
  <si>
    <t xml:space="preserve">Q51416</t>
  </si>
  <si>
    <t xml:space="preserve">Q51417</t>
  </si>
  <si>
    <t xml:space="preserve">Q51418</t>
  </si>
  <si>
    <t xml:space="preserve">Q51419</t>
  </si>
  <si>
    <t xml:space="preserve">Q51420</t>
  </si>
  <si>
    <t xml:space="preserve">Q51421</t>
  </si>
  <si>
    <t xml:space="preserve">Q51422</t>
  </si>
  <si>
    <t xml:space="preserve">Q51423</t>
  </si>
  <si>
    <t xml:space="preserve">Q51424</t>
  </si>
  <si>
    <t xml:space="preserve">Q51425</t>
  </si>
  <si>
    <t xml:space="preserve">Q51426</t>
  </si>
  <si>
    <t xml:space="preserve">Q51427</t>
  </si>
  <si>
    <t xml:space="preserve">Q51428</t>
  </si>
  <si>
    <t xml:space="preserve">Q51429</t>
  </si>
  <si>
    <t xml:space="preserve">Q51430</t>
  </si>
  <si>
    <t xml:space="preserve">Q51431</t>
  </si>
  <si>
    <t xml:space="preserve">Q51432</t>
  </si>
  <si>
    <t xml:space="preserve">Q51433</t>
  </si>
  <si>
    <t xml:space="preserve">Q51434</t>
  </si>
  <si>
    <t xml:space="preserve">Q51435</t>
  </si>
  <si>
    <t xml:space="preserve">Q51436</t>
  </si>
  <si>
    <t xml:space="preserve">Q51437</t>
  </si>
  <si>
    <t xml:space="preserve">Q51438</t>
  </si>
  <si>
    <t xml:space="preserve">Q51439</t>
  </si>
  <si>
    <t xml:space="preserve">Q51440</t>
  </si>
  <si>
    <t xml:space="preserve">Q51441</t>
  </si>
  <si>
    <t xml:space="preserve">Q51442</t>
  </si>
  <si>
    <t xml:space="preserve">Q51443</t>
  </si>
  <si>
    <t xml:space="preserve">Q51444</t>
  </si>
  <si>
    <t xml:space="preserve">Q51445</t>
  </si>
  <si>
    <t xml:space="preserve">Q51446</t>
  </si>
  <si>
    <t xml:space="preserve">Q51447</t>
  </si>
  <si>
    <t xml:space="preserve">Q51448</t>
  </si>
  <si>
    <t xml:space="preserve">Q51449</t>
  </si>
  <si>
    <t xml:space="preserve">Q51450</t>
  </si>
  <si>
    <t xml:space="preserve">Q51451</t>
  </si>
  <si>
    <t xml:space="preserve">Q51452</t>
  </si>
  <si>
    <t xml:space="preserve">Q51453</t>
  </si>
  <si>
    <t xml:space="preserve">Q51454</t>
  </si>
  <si>
    <t xml:space="preserve">Q51455</t>
  </si>
  <si>
    <t xml:space="preserve">Q51456</t>
  </si>
  <si>
    <t xml:space="preserve">Q51457</t>
  </si>
  <si>
    <t xml:space="preserve">Q51458</t>
  </si>
  <si>
    <t xml:space="preserve">Q51459</t>
  </si>
  <si>
    <t xml:space="preserve">Q51460</t>
  </si>
  <si>
    <t xml:space="preserve">Q51461</t>
  </si>
  <si>
    <t xml:space="preserve">Q51462</t>
  </si>
  <si>
    <t xml:space="preserve">Q51463</t>
  </si>
  <si>
    <t xml:space="preserve">Q51464</t>
  </si>
  <si>
    <t xml:space="preserve">Q51465</t>
  </si>
  <si>
    <t xml:space="preserve">Q51466</t>
  </si>
  <si>
    <t xml:space="preserve">Q51467</t>
  </si>
  <si>
    <t xml:space="preserve">Q51468</t>
  </si>
  <si>
    <t xml:space="preserve">Q51469</t>
  </si>
  <si>
    <t xml:space="preserve">Q51470</t>
  </si>
  <si>
    <t xml:space="preserve">Q51471</t>
  </si>
  <si>
    <t xml:space="preserve">Q51472</t>
  </si>
  <si>
    <t xml:space="preserve">Q51473</t>
  </si>
  <si>
    <t xml:space="preserve">Q51474</t>
  </si>
  <si>
    <t xml:space="preserve">Q51475</t>
  </si>
  <si>
    <t xml:space="preserve">Q51476</t>
  </si>
  <si>
    <t xml:space="preserve">Q51477</t>
  </si>
  <si>
    <t xml:space="preserve">Q51478</t>
  </si>
  <si>
    <t xml:space="preserve">Q51479</t>
  </si>
  <si>
    <t xml:space="preserve">Q51480</t>
  </si>
  <si>
    <t xml:space="preserve">Q51481</t>
  </si>
  <si>
    <t xml:space="preserve">Q51482</t>
  </si>
  <si>
    <t xml:space="preserve">Q51483</t>
  </si>
  <si>
    <t xml:space="preserve">Q51484</t>
  </si>
  <si>
    <t xml:space="preserve">Q51485</t>
  </si>
  <si>
    <t xml:space="preserve">Q51486</t>
  </si>
  <si>
    <t xml:space="preserve">Q51487</t>
  </si>
  <si>
    <t xml:space="preserve">Q51488</t>
  </si>
  <si>
    <t xml:space="preserve">Q51489</t>
  </si>
  <si>
    <t xml:space="preserve">Q51490</t>
  </si>
  <si>
    <t xml:space="preserve">Q51491</t>
  </si>
  <si>
    <t xml:space="preserve">Q51492</t>
  </si>
  <si>
    <t xml:space="preserve">Q51493</t>
  </si>
  <si>
    <t xml:space="preserve">Q51494</t>
  </si>
  <si>
    <t xml:space="preserve">Q51495</t>
  </si>
  <si>
    <t xml:space="preserve">Q51496</t>
  </si>
  <si>
    <t xml:space="preserve">Q51497</t>
  </si>
  <si>
    <t xml:space="preserve">Q51498</t>
  </si>
  <si>
    <t xml:space="preserve">Q51499</t>
  </si>
  <si>
    <t xml:space="preserve">Q51500</t>
  </si>
  <si>
    <t xml:space="preserve">Q51501</t>
  </si>
  <si>
    <t xml:space="preserve">Q51502</t>
  </si>
  <si>
    <t xml:space="preserve">Q51503</t>
  </si>
  <si>
    <t xml:space="preserve">Q51504</t>
  </si>
  <si>
    <t xml:space="preserve">Q51505</t>
  </si>
  <si>
    <t xml:space="preserve">Q51506</t>
  </si>
  <si>
    <t xml:space="preserve">Q51507</t>
  </si>
  <si>
    <t xml:space="preserve">Q51508</t>
  </si>
  <si>
    <t xml:space="preserve">Q51509</t>
  </si>
  <si>
    <t xml:space="preserve">Q51510</t>
  </si>
  <si>
    <t xml:space="preserve">Q51511</t>
  </si>
  <si>
    <t xml:space="preserve">Q51512</t>
  </si>
  <si>
    <t xml:space="preserve">Q51513</t>
  </si>
  <si>
    <t xml:space="preserve">Q51514</t>
  </si>
  <si>
    <t xml:space="preserve">Q51515</t>
  </si>
  <si>
    <t xml:space="preserve">Q51516</t>
  </si>
  <si>
    <t xml:space="preserve">Q51517</t>
  </si>
  <si>
    <t xml:space="preserve">Q51518</t>
  </si>
  <si>
    <t xml:space="preserve">Q51519</t>
  </si>
  <si>
    <t xml:space="preserve">Q51520</t>
  </si>
  <si>
    <t xml:space="preserve">Q51521</t>
  </si>
  <si>
    <t xml:space="preserve">Q51522</t>
  </si>
  <si>
    <t xml:space="preserve">Q51523</t>
  </si>
  <si>
    <t xml:space="preserve">Q51524</t>
  </si>
  <si>
    <t xml:space="preserve">Q51525</t>
  </si>
  <si>
    <t xml:space="preserve">Q51526</t>
  </si>
  <si>
    <t xml:space="preserve">Q51527</t>
  </si>
  <si>
    <t xml:space="preserve">Q51528</t>
  </si>
  <si>
    <t xml:space="preserve">Q51529</t>
  </si>
  <si>
    <t xml:space="preserve">Q51530</t>
  </si>
  <si>
    <t xml:space="preserve">Q51531</t>
  </si>
  <si>
    <t xml:space="preserve">Q51532</t>
  </si>
  <si>
    <t xml:space="preserve">Q51533</t>
  </si>
  <si>
    <t xml:space="preserve">Q51534</t>
  </si>
  <si>
    <t xml:space="preserve">Q51535</t>
  </si>
  <si>
    <t xml:space="preserve">Q51536</t>
  </si>
  <si>
    <t xml:space="preserve">Q51537</t>
  </si>
  <si>
    <t xml:space="preserve">Q51538</t>
  </si>
  <si>
    <t xml:space="preserve">Q51539</t>
  </si>
  <si>
    <t xml:space="preserve">Q51540</t>
  </si>
  <si>
    <t xml:space="preserve">Q51541</t>
  </si>
  <si>
    <t xml:space="preserve">Q51542</t>
  </si>
  <si>
    <t xml:space="preserve">Q51543</t>
  </si>
  <si>
    <t xml:space="preserve">Q51544</t>
  </si>
  <si>
    <t xml:space="preserve">Q51545</t>
  </si>
  <si>
    <t xml:space="preserve">Q51546</t>
  </si>
  <si>
    <t xml:space="preserve">Q51547</t>
  </si>
  <si>
    <t xml:space="preserve">Q51548</t>
  </si>
  <si>
    <t xml:space="preserve">Q51549</t>
  </si>
  <si>
    <t xml:space="preserve">Q51550</t>
  </si>
  <si>
    <t xml:space="preserve">Q51551</t>
  </si>
  <si>
    <t xml:space="preserve">Q51552</t>
  </si>
  <si>
    <t xml:space="preserve">Q51553</t>
  </si>
  <si>
    <t xml:space="preserve">Q51554</t>
  </si>
  <si>
    <t xml:space="preserve">Q51555</t>
  </si>
  <si>
    <t xml:space="preserve">Q51556</t>
  </si>
  <si>
    <t xml:space="preserve">Q51557</t>
  </si>
  <si>
    <t xml:space="preserve">Q51558</t>
  </si>
  <si>
    <t xml:space="preserve">Q51559</t>
  </si>
  <si>
    <t xml:space="preserve">Q51560</t>
  </si>
  <si>
    <t xml:space="preserve">Q51561</t>
  </si>
  <si>
    <t xml:space="preserve">Q51562</t>
  </si>
  <si>
    <t xml:space="preserve">Q51563</t>
  </si>
  <si>
    <t xml:space="preserve">Q51564</t>
  </si>
  <si>
    <t xml:space="preserve">Q51565</t>
  </si>
  <si>
    <t xml:space="preserve">Q51566</t>
  </si>
  <si>
    <t xml:space="preserve">Q51567</t>
  </si>
  <si>
    <t xml:space="preserve">Q51568</t>
  </si>
  <si>
    <t xml:space="preserve">Q51569</t>
  </si>
  <si>
    <t xml:space="preserve">Q51570</t>
  </si>
  <si>
    <t xml:space="preserve">Q51571</t>
  </si>
  <si>
    <t xml:space="preserve">Q51572</t>
  </si>
  <si>
    <t xml:space="preserve">Q51573</t>
  </si>
  <si>
    <t xml:space="preserve">Q51574</t>
  </si>
  <si>
    <t xml:space="preserve">Q51575</t>
  </si>
  <si>
    <t xml:space="preserve">Q51576</t>
  </si>
  <si>
    <t xml:space="preserve">Q51577</t>
  </si>
  <si>
    <t xml:space="preserve">Q51578</t>
  </si>
  <si>
    <t xml:space="preserve">Q51579</t>
  </si>
  <si>
    <t xml:space="preserve">Q51580</t>
  </si>
  <si>
    <t xml:space="preserve">Q51581</t>
  </si>
  <si>
    <t xml:space="preserve">Q51582</t>
  </si>
  <si>
    <t xml:space="preserve">Q51583</t>
  </si>
  <si>
    <t xml:space="preserve">Q51584</t>
  </si>
  <si>
    <t xml:space="preserve">Q51585</t>
  </si>
  <si>
    <t xml:space="preserve">Q51586</t>
  </si>
  <si>
    <t xml:space="preserve">Q51587</t>
  </si>
  <si>
    <t xml:space="preserve">Q51588</t>
  </si>
  <si>
    <t xml:space="preserve">Q51589</t>
  </si>
  <si>
    <t xml:space="preserve">Q51590</t>
  </si>
  <si>
    <t xml:space="preserve">Q51591</t>
  </si>
  <si>
    <t xml:space="preserve">Q51592</t>
  </si>
  <si>
    <t xml:space="preserve">Q51593</t>
  </si>
  <si>
    <t xml:space="preserve">Q51594</t>
  </si>
  <si>
    <t xml:space="preserve">Q51595</t>
  </si>
  <si>
    <t xml:space="preserve">Q51596</t>
  </si>
  <si>
    <t xml:space="preserve">Q51597</t>
  </si>
  <si>
    <t xml:space="preserve">Q51598</t>
  </si>
  <si>
    <t xml:space="preserve">Q51599</t>
  </si>
  <si>
    <t xml:space="preserve">Q51600</t>
  </si>
  <si>
    <t xml:space="preserve">Q51601</t>
  </si>
  <si>
    <t xml:space="preserve">Q51602</t>
  </si>
  <si>
    <t xml:space="preserve">Q51603</t>
  </si>
  <si>
    <t xml:space="preserve">Q51604</t>
  </si>
  <si>
    <t xml:space="preserve">Q51605</t>
  </si>
  <si>
    <t xml:space="preserve">Q51606</t>
  </si>
  <si>
    <t xml:space="preserve">Q51607</t>
  </si>
  <si>
    <t xml:space="preserve">Q51608</t>
  </si>
  <si>
    <t xml:space="preserve">Q51609</t>
  </si>
  <si>
    <t xml:space="preserve">Q51610</t>
  </si>
  <si>
    <t xml:space="preserve">Q51611</t>
  </si>
  <si>
    <t xml:space="preserve">Q51612</t>
  </si>
  <si>
    <t xml:space="preserve">Q51613</t>
  </si>
  <si>
    <t xml:space="preserve">Q51614</t>
  </si>
  <si>
    <t xml:space="preserve">Q51615</t>
  </si>
  <si>
    <t xml:space="preserve">Q51616</t>
  </si>
  <si>
    <t xml:space="preserve">Q51617</t>
  </si>
  <si>
    <t xml:space="preserve">Q51618</t>
  </si>
  <si>
    <t xml:space="preserve">Q51619</t>
  </si>
  <si>
    <t xml:space="preserve">Q51620</t>
  </si>
  <si>
    <t xml:space="preserve">Q51621</t>
  </si>
  <si>
    <t xml:space="preserve">Q51622</t>
  </si>
  <si>
    <t xml:space="preserve">Q51623</t>
  </si>
  <si>
    <t xml:space="preserve">Q51624</t>
  </si>
  <si>
    <t xml:space="preserve">Q51625</t>
  </si>
  <si>
    <t xml:space="preserve">Q51626</t>
  </si>
  <si>
    <t xml:space="preserve">Q51627</t>
  </si>
  <si>
    <t xml:space="preserve">Q51628</t>
  </si>
  <si>
    <t xml:space="preserve">Q51629</t>
  </si>
  <si>
    <t xml:space="preserve">Q51630</t>
  </si>
  <si>
    <t xml:space="preserve">Q51631</t>
  </si>
  <si>
    <t xml:space="preserve">Q51632</t>
  </si>
  <si>
    <t xml:space="preserve">Q51633</t>
  </si>
  <si>
    <t xml:space="preserve">Q51634</t>
  </si>
  <si>
    <t xml:space="preserve">Q51635</t>
  </si>
  <si>
    <t xml:space="preserve">Q51636</t>
  </si>
  <si>
    <t xml:space="preserve">Q51637</t>
  </si>
  <si>
    <t xml:space="preserve">Q51638</t>
  </si>
  <si>
    <t xml:space="preserve">Q51639</t>
  </si>
  <si>
    <t xml:space="preserve">Q51640</t>
  </si>
  <si>
    <t xml:space="preserve">Q51641</t>
  </si>
  <si>
    <t xml:space="preserve">Q51642</t>
  </si>
  <si>
    <t xml:space="preserve">Q51643</t>
  </si>
  <si>
    <t xml:space="preserve">Q51644</t>
  </si>
  <si>
    <t xml:space="preserve">Q51645</t>
  </si>
  <si>
    <t xml:space="preserve">Q51646</t>
  </si>
  <si>
    <t xml:space="preserve">Q51647</t>
  </si>
  <si>
    <t xml:space="preserve">Q51648</t>
  </si>
  <si>
    <t xml:space="preserve">Q51649</t>
  </si>
  <si>
    <t xml:space="preserve">Q51650</t>
  </si>
  <si>
    <t xml:space="preserve">Q51651</t>
  </si>
  <si>
    <t xml:space="preserve">Q51652</t>
  </si>
  <si>
    <t xml:space="preserve">Q51653</t>
  </si>
  <si>
    <t xml:space="preserve">Q51654</t>
  </si>
  <si>
    <t xml:space="preserve">Q51655</t>
  </si>
  <si>
    <t xml:space="preserve">Q51656</t>
  </si>
  <si>
    <t xml:space="preserve">Q51657</t>
  </si>
  <si>
    <t xml:space="preserve">Q51658</t>
  </si>
  <si>
    <t xml:space="preserve">Q51659</t>
  </si>
  <si>
    <t xml:space="preserve">Q51660</t>
  </si>
  <si>
    <t xml:space="preserve">Q51661</t>
  </si>
  <si>
    <t xml:space="preserve">Q51662</t>
  </si>
  <si>
    <t xml:space="preserve">Q51663</t>
  </si>
  <si>
    <t xml:space="preserve">Q51664</t>
  </si>
  <si>
    <t xml:space="preserve">Q51665</t>
  </si>
  <si>
    <t xml:space="preserve">Q51666</t>
  </si>
  <si>
    <t xml:space="preserve">Q51667</t>
  </si>
  <si>
    <t xml:space="preserve">Q51668</t>
  </si>
  <si>
    <t xml:space="preserve">Q51669</t>
  </si>
  <si>
    <t xml:space="preserve">Q51670</t>
  </si>
  <si>
    <t xml:space="preserve">Q51671</t>
  </si>
  <si>
    <t xml:space="preserve">Q51672</t>
  </si>
  <si>
    <t xml:space="preserve">Q51673</t>
  </si>
  <si>
    <t xml:space="preserve">Q51674</t>
  </si>
  <si>
    <t xml:space="preserve">Q51675</t>
  </si>
  <si>
    <t xml:space="preserve">Q51676</t>
  </si>
  <si>
    <t xml:space="preserve">Q51677</t>
  </si>
  <si>
    <t xml:space="preserve">Q51678</t>
  </si>
  <si>
    <t xml:space="preserve">Q51679</t>
  </si>
  <si>
    <t xml:space="preserve">Q51680</t>
  </si>
  <si>
    <t xml:space="preserve">Q51681</t>
  </si>
  <si>
    <t xml:space="preserve">Q51682</t>
  </si>
  <si>
    <t xml:space="preserve">Q51683</t>
  </si>
  <si>
    <t xml:space="preserve">Q51684</t>
  </si>
  <si>
    <t xml:space="preserve">Q51685</t>
  </si>
  <si>
    <t xml:space="preserve">Q51686</t>
  </si>
  <si>
    <t xml:space="preserve">Q51687</t>
  </si>
  <si>
    <t xml:space="preserve">Q51688</t>
  </si>
  <si>
    <t xml:space="preserve">Q51689</t>
  </si>
  <si>
    <t xml:space="preserve">Q51690</t>
  </si>
  <si>
    <t xml:space="preserve">Q51691</t>
  </si>
  <si>
    <t xml:space="preserve">Q51692</t>
  </si>
  <si>
    <t xml:space="preserve">Q51693</t>
  </si>
  <si>
    <t xml:space="preserve">Q51694</t>
  </si>
  <si>
    <t xml:space="preserve">Q51695</t>
  </si>
  <si>
    <t xml:space="preserve">Q51696</t>
  </si>
  <si>
    <t xml:space="preserve">Q51697</t>
  </si>
  <si>
    <t xml:space="preserve">Q51698</t>
  </si>
  <si>
    <t xml:space="preserve">Q51699</t>
  </si>
  <si>
    <t xml:space="preserve">Q51700</t>
  </si>
  <si>
    <t xml:space="preserve">Q51701</t>
  </si>
  <si>
    <t xml:space="preserve">Q51702</t>
  </si>
  <si>
    <t xml:space="preserve">Q51703</t>
  </si>
  <si>
    <t xml:space="preserve">Q51704</t>
  </si>
  <si>
    <t xml:space="preserve">Q51705</t>
  </si>
  <si>
    <t xml:space="preserve">Q51706</t>
  </si>
  <si>
    <t xml:space="preserve">Q51707</t>
  </si>
  <si>
    <t xml:space="preserve">Q51708</t>
  </si>
  <si>
    <t xml:space="preserve">Q51709</t>
  </si>
  <si>
    <t xml:space="preserve">Q51710</t>
  </si>
  <si>
    <t xml:space="preserve">Q51711</t>
  </si>
  <si>
    <t xml:space="preserve">Q51712</t>
  </si>
  <si>
    <t xml:space="preserve">Q51713</t>
  </si>
  <si>
    <t xml:space="preserve">Q51714</t>
  </si>
  <si>
    <t xml:space="preserve">Q51715</t>
  </si>
  <si>
    <t xml:space="preserve">Q51716</t>
  </si>
  <si>
    <t xml:space="preserve">Q51717</t>
  </si>
  <si>
    <t xml:space="preserve">Q51718</t>
  </si>
  <si>
    <t xml:space="preserve">Q51719</t>
  </si>
  <si>
    <t xml:space="preserve">Q51720</t>
  </si>
  <si>
    <t xml:space="preserve">Q51721</t>
  </si>
  <si>
    <t xml:space="preserve">Q51722</t>
  </si>
  <si>
    <t xml:space="preserve">Q51723</t>
  </si>
  <si>
    <t xml:space="preserve">Q51724</t>
  </si>
  <si>
    <t xml:space="preserve">Q51725</t>
  </si>
  <si>
    <t xml:space="preserve">Q51726</t>
  </si>
  <si>
    <t xml:space="preserve">Q51727</t>
  </si>
  <si>
    <t xml:space="preserve">Q51728</t>
  </si>
  <si>
    <t xml:space="preserve">Q51729</t>
  </si>
  <si>
    <t xml:space="preserve">Q51730</t>
  </si>
  <si>
    <t xml:space="preserve">Q51731</t>
  </si>
  <si>
    <t xml:space="preserve">Q51732</t>
  </si>
  <si>
    <t xml:space="preserve">Q51733</t>
  </si>
  <si>
    <t xml:space="preserve">Q51734</t>
  </si>
  <si>
    <t xml:space="preserve">Q51735</t>
  </si>
  <si>
    <t xml:space="preserve">Q51736</t>
  </si>
  <si>
    <t xml:space="preserve">Q51737</t>
  </si>
  <si>
    <t xml:space="preserve">Q51738</t>
  </si>
  <si>
    <t xml:space="preserve">Q51739</t>
  </si>
  <si>
    <t xml:space="preserve">Q51740</t>
  </si>
  <si>
    <t xml:space="preserve">Q51741</t>
  </si>
  <si>
    <t xml:space="preserve">Q51742</t>
  </si>
  <si>
    <t xml:space="preserve">Q51743</t>
  </si>
  <si>
    <t xml:space="preserve">Q51744</t>
  </si>
  <si>
    <t xml:space="preserve">Q51745</t>
  </si>
  <si>
    <t xml:space="preserve">Q51746</t>
  </si>
  <si>
    <t xml:space="preserve">Q51747</t>
  </si>
  <si>
    <t xml:space="preserve">Q51748</t>
  </si>
  <si>
    <t xml:space="preserve">Q51749</t>
  </si>
  <si>
    <t xml:space="preserve">Q51750</t>
  </si>
  <si>
    <t xml:space="preserve">Q51751</t>
  </si>
  <si>
    <t xml:space="preserve">Q51752</t>
  </si>
  <si>
    <t xml:space="preserve">Q51753</t>
  </si>
  <si>
    <t xml:space="preserve">Q51754</t>
  </si>
  <si>
    <t xml:space="preserve">Q51755</t>
  </si>
  <si>
    <t xml:space="preserve">Q51756</t>
  </si>
  <si>
    <t xml:space="preserve">Q51757</t>
  </si>
  <si>
    <t xml:space="preserve">Q51758</t>
  </si>
  <si>
    <t xml:space="preserve">Q51759</t>
  </si>
  <si>
    <t xml:space="preserve">Q51760</t>
  </si>
  <si>
    <t xml:space="preserve">Q51761</t>
  </si>
  <si>
    <t xml:space="preserve">Q51762</t>
  </si>
  <si>
    <t xml:space="preserve">Q51763</t>
  </si>
  <si>
    <t xml:space="preserve">Q51764</t>
  </si>
  <si>
    <t xml:space="preserve">Q51765</t>
  </si>
  <si>
    <t xml:space="preserve">Q51766</t>
  </si>
  <si>
    <t xml:space="preserve">Q51767</t>
  </si>
  <si>
    <t xml:space="preserve">Q51768</t>
  </si>
  <si>
    <t xml:space="preserve">Q51769</t>
  </si>
  <si>
    <t xml:space="preserve">Q51770</t>
  </si>
  <si>
    <t xml:space="preserve">Q51771</t>
  </si>
  <si>
    <t xml:space="preserve">Q51772</t>
  </si>
  <si>
    <t xml:space="preserve">Q51773</t>
  </si>
  <si>
    <t xml:space="preserve">Q51774</t>
  </si>
  <si>
    <t xml:space="preserve">Q51775</t>
  </si>
  <si>
    <t xml:space="preserve">Q51776</t>
  </si>
  <si>
    <t xml:space="preserve">Q51777</t>
  </si>
  <si>
    <t xml:space="preserve">Q51778</t>
  </si>
  <si>
    <t xml:space="preserve">Q51779</t>
  </si>
  <si>
    <t xml:space="preserve">Q51780</t>
  </si>
  <si>
    <t xml:space="preserve">Q51781</t>
  </si>
  <si>
    <t xml:space="preserve">Q51782</t>
  </si>
  <si>
    <t xml:space="preserve">Q51783</t>
  </si>
  <si>
    <t xml:space="preserve">Q51784</t>
  </si>
  <si>
    <t xml:space="preserve">Q51785</t>
  </si>
  <si>
    <t xml:space="preserve">Q51786</t>
  </si>
  <si>
    <t xml:space="preserve">Q51787</t>
  </si>
  <si>
    <t xml:space="preserve">Q51788</t>
  </si>
  <si>
    <t xml:space="preserve">Q51789</t>
  </si>
  <si>
    <t xml:space="preserve">Q51790</t>
  </si>
  <si>
    <t xml:space="preserve">Q51791</t>
  </si>
  <si>
    <t xml:space="preserve">Q51792</t>
  </si>
  <si>
    <t xml:space="preserve">Q51793</t>
  </si>
  <si>
    <t xml:space="preserve">Q51794</t>
  </si>
  <si>
    <t xml:space="preserve">Q51795</t>
  </si>
  <si>
    <t xml:space="preserve">Q51796</t>
  </si>
  <si>
    <t xml:space="preserve">Q51797</t>
  </si>
  <si>
    <t xml:space="preserve">Q51798</t>
  </si>
  <si>
    <t xml:space="preserve">Q51799</t>
  </si>
  <si>
    <t xml:space="preserve">Q51800</t>
  </si>
  <si>
    <t xml:space="preserve">Q51801</t>
  </si>
  <si>
    <t xml:space="preserve">Q51802</t>
  </si>
  <si>
    <t xml:space="preserve">Q51803</t>
  </si>
  <si>
    <t xml:space="preserve">Q51804</t>
  </si>
  <si>
    <t xml:space="preserve">Q51805</t>
  </si>
  <si>
    <t xml:space="preserve">Q51806</t>
  </si>
  <si>
    <t xml:space="preserve">Q51807</t>
  </si>
  <si>
    <t xml:space="preserve">Q51808</t>
  </si>
  <si>
    <t xml:space="preserve">Q51809</t>
  </si>
  <si>
    <t xml:space="preserve">Q51810</t>
  </si>
  <si>
    <t xml:space="preserve">Q51811</t>
  </si>
  <si>
    <t xml:space="preserve">Q51812</t>
  </si>
  <si>
    <t xml:space="preserve">Q51813</t>
  </si>
  <si>
    <t xml:space="preserve">Q51814</t>
  </si>
  <si>
    <t xml:space="preserve">Q51815</t>
  </si>
  <si>
    <t xml:space="preserve">Q51816</t>
  </si>
  <si>
    <t xml:space="preserve">Q51817</t>
  </si>
  <si>
    <t xml:space="preserve">Q51818</t>
  </si>
  <si>
    <t xml:space="preserve">Q51819</t>
  </si>
  <si>
    <t xml:space="preserve">Q51820</t>
  </si>
  <si>
    <t xml:space="preserve">Q51821</t>
  </si>
  <si>
    <t xml:space="preserve">Q51822</t>
  </si>
  <si>
    <t xml:space="preserve">Q51823</t>
  </si>
  <si>
    <t xml:space="preserve">Q51824</t>
  </si>
  <si>
    <t xml:space="preserve">Q51825</t>
  </si>
  <si>
    <t xml:space="preserve">Q51826</t>
  </si>
  <si>
    <t xml:space="preserve">Q51827</t>
  </si>
  <si>
    <t xml:space="preserve">Q51828</t>
  </si>
  <si>
    <t xml:space="preserve">Q51829</t>
  </si>
  <si>
    <t xml:space="preserve">Q51830</t>
  </si>
  <si>
    <t xml:space="preserve">Q51831</t>
  </si>
  <si>
    <t xml:space="preserve">Q51832</t>
  </si>
  <si>
    <t xml:space="preserve">Q51833</t>
  </si>
  <si>
    <t xml:space="preserve">Q51834</t>
  </si>
  <si>
    <t xml:space="preserve">Q51835</t>
  </si>
  <si>
    <t xml:space="preserve">Q51836</t>
  </si>
  <si>
    <t xml:space="preserve">Q51837</t>
  </si>
  <si>
    <t xml:space="preserve">Q51838</t>
  </si>
  <si>
    <t xml:space="preserve">Q51839</t>
  </si>
  <si>
    <t xml:space="preserve">Q51840</t>
  </si>
  <si>
    <t xml:space="preserve">Q51841</t>
  </si>
  <si>
    <t xml:space="preserve">Q51842</t>
  </si>
  <si>
    <t xml:space="preserve">Q51843</t>
  </si>
  <si>
    <t xml:space="preserve">Q51844</t>
  </si>
  <si>
    <t xml:space="preserve">Q51845</t>
  </si>
  <si>
    <t xml:space="preserve">Q51846</t>
  </si>
  <si>
    <t xml:space="preserve">Q51847</t>
  </si>
  <si>
    <t xml:space="preserve">Q51848</t>
  </si>
  <si>
    <t xml:space="preserve">Q51849</t>
  </si>
  <si>
    <t xml:space="preserve">Q51850</t>
  </si>
  <si>
    <t xml:space="preserve">Q51851</t>
  </si>
  <si>
    <t xml:space="preserve">Q51852</t>
  </si>
  <si>
    <t xml:space="preserve">Q51853</t>
  </si>
  <si>
    <t xml:space="preserve">Q51854</t>
  </si>
  <si>
    <t xml:space="preserve">Q51855</t>
  </si>
  <si>
    <t xml:space="preserve">Q51856</t>
  </si>
  <si>
    <t xml:space="preserve">Q51857</t>
  </si>
  <si>
    <t xml:space="preserve">Q51858</t>
  </si>
  <si>
    <t xml:space="preserve">Q51859</t>
  </si>
  <si>
    <t xml:space="preserve">Q51860</t>
  </si>
  <si>
    <t xml:space="preserve">Q51861</t>
  </si>
  <si>
    <t xml:space="preserve">Q51862</t>
  </si>
  <si>
    <t xml:space="preserve">Q51863</t>
  </si>
  <si>
    <t xml:space="preserve">Q51864</t>
  </si>
  <si>
    <t xml:space="preserve">Q51865</t>
  </si>
  <si>
    <t xml:space="preserve">Q51866</t>
  </si>
  <si>
    <t xml:space="preserve">Q51867</t>
  </si>
  <si>
    <t xml:space="preserve">Q51868</t>
  </si>
  <si>
    <t xml:space="preserve">Q51869</t>
  </si>
  <si>
    <t xml:space="preserve">Q51870</t>
  </si>
  <si>
    <t xml:space="preserve">Q51871</t>
  </si>
  <si>
    <t xml:space="preserve">Q51872</t>
  </si>
  <si>
    <t xml:space="preserve">Q51873</t>
  </si>
  <si>
    <t xml:space="preserve">Q51874</t>
  </si>
  <si>
    <t xml:space="preserve">Q51875</t>
  </si>
  <si>
    <t xml:space="preserve">Q51876</t>
  </si>
  <si>
    <t xml:space="preserve">Q51877</t>
  </si>
  <si>
    <t xml:space="preserve">Q51878</t>
  </si>
  <si>
    <t xml:space="preserve">Q51879</t>
  </si>
  <si>
    <t xml:space="preserve">Q51880</t>
  </si>
  <si>
    <t xml:space="preserve">Q51881</t>
  </si>
  <si>
    <t xml:space="preserve">Q51882</t>
  </si>
  <si>
    <t xml:space="preserve">Q51883</t>
  </si>
  <si>
    <t xml:space="preserve">Q51884</t>
  </si>
  <si>
    <t xml:space="preserve">Q51885</t>
  </si>
  <si>
    <t xml:space="preserve">Q51886</t>
  </si>
  <si>
    <t xml:space="preserve">Q51887</t>
  </si>
  <si>
    <t xml:space="preserve">Q51888</t>
  </si>
  <si>
    <t xml:space="preserve">Q51889</t>
  </si>
  <si>
    <t xml:space="preserve">Q51890</t>
  </si>
  <si>
    <t xml:space="preserve">Q51891</t>
  </si>
  <si>
    <t xml:space="preserve">Q51892</t>
  </si>
  <si>
    <t xml:space="preserve">Q51893</t>
  </si>
  <si>
    <t xml:space="preserve">Q51894</t>
  </si>
  <si>
    <t xml:space="preserve">Q51895</t>
  </si>
  <si>
    <t xml:space="preserve">Q51896</t>
  </si>
  <si>
    <t xml:space="preserve">Q51897</t>
  </si>
  <si>
    <t xml:space="preserve">Q51898</t>
  </si>
  <si>
    <t xml:space="preserve">Q51899</t>
  </si>
  <si>
    <t xml:space="preserve">Q51900</t>
  </si>
  <si>
    <t xml:space="preserve">Q51901</t>
  </si>
  <si>
    <t xml:space="preserve">Q51902</t>
  </si>
  <si>
    <t xml:space="preserve">Q51903</t>
  </si>
  <si>
    <t xml:space="preserve">Q51904</t>
  </si>
  <si>
    <t xml:space="preserve">Q51905</t>
  </si>
  <si>
    <t xml:space="preserve">Q51906</t>
  </si>
  <si>
    <t xml:space="preserve">Q51907</t>
  </si>
  <si>
    <t xml:space="preserve">Q51908</t>
  </si>
  <si>
    <t xml:space="preserve">Q51909</t>
  </si>
  <si>
    <t xml:space="preserve">Q51910</t>
  </si>
  <si>
    <t xml:space="preserve">Q51911</t>
  </si>
  <si>
    <t xml:space="preserve">Q51912</t>
  </si>
  <si>
    <t xml:space="preserve">Q51913</t>
  </si>
  <si>
    <t xml:space="preserve">Q51914</t>
  </si>
  <si>
    <t xml:space="preserve">Q51915</t>
  </si>
  <si>
    <t xml:space="preserve">Q51916</t>
  </si>
  <si>
    <t xml:space="preserve">Q51917</t>
  </si>
  <si>
    <t xml:space="preserve">Q51918</t>
  </si>
  <si>
    <t xml:space="preserve">Q51919</t>
  </si>
  <si>
    <t xml:space="preserve">Q51920</t>
  </si>
  <si>
    <t xml:space="preserve">Q51921</t>
  </si>
  <si>
    <t xml:space="preserve">Q51922</t>
  </si>
  <si>
    <t xml:space="preserve">Q51923</t>
  </si>
  <si>
    <t xml:space="preserve">Q51924</t>
  </si>
  <si>
    <t xml:space="preserve">Q51925</t>
  </si>
  <si>
    <t xml:space="preserve">Q51926</t>
  </si>
  <si>
    <t xml:space="preserve">Q51927</t>
  </si>
  <si>
    <t xml:space="preserve">Q51928</t>
  </si>
  <si>
    <t xml:space="preserve">Q51929</t>
  </si>
  <si>
    <t xml:space="preserve">Q51930</t>
  </si>
  <si>
    <t xml:space="preserve">Q51931</t>
  </si>
  <si>
    <t xml:space="preserve">Q51932</t>
  </si>
  <si>
    <t xml:space="preserve">Q51933</t>
  </si>
  <si>
    <t xml:space="preserve">Q51934</t>
  </si>
  <si>
    <t xml:space="preserve">Q51935</t>
  </si>
  <si>
    <t xml:space="preserve">Q51936</t>
  </si>
  <si>
    <t xml:space="preserve">Q51937</t>
  </si>
  <si>
    <t xml:space="preserve">Q51938</t>
  </si>
  <si>
    <t xml:space="preserve">Q51939</t>
  </si>
  <si>
    <t xml:space="preserve">Q51940</t>
  </si>
  <si>
    <t xml:space="preserve">Q51941</t>
  </si>
  <si>
    <t xml:space="preserve">Q51942</t>
  </si>
  <si>
    <t xml:space="preserve">Q51943</t>
  </si>
  <si>
    <t xml:space="preserve">Q51944</t>
  </si>
  <si>
    <t xml:space="preserve">Q51945</t>
  </si>
  <si>
    <t xml:space="preserve">Q51946</t>
  </si>
  <si>
    <t xml:space="preserve">Q51947</t>
  </si>
  <si>
    <t xml:space="preserve">Q51948</t>
  </si>
  <si>
    <t xml:space="preserve">Q51949</t>
  </si>
  <si>
    <t xml:space="preserve">Q51950</t>
  </si>
  <si>
    <t xml:space="preserve">Q51951</t>
  </si>
  <si>
    <t xml:space="preserve">Q51952</t>
  </si>
  <si>
    <t xml:space="preserve">Q51953</t>
  </si>
  <si>
    <t xml:space="preserve">Q51954</t>
  </si>
  <si>
    <t xml:space="preserve">Q51955</t>
  </si>
  <si>
    <t xml:space="preserve">Q51956</t>
  </si>
  <si>
    <t xml:space="preserve">Q51957</t>
  </si>
  <si>
    <t xml:space="preserve">Q51958</t>
  </si>
  <si>
    <t xml:space="preserve">Q51959</t>
  </si>
  <si>
    <t xml:space="preserve">Q51960</t>
  </si>
  <si>
    <t xml:space="preserve">Q51961</t>
  </si>
  <si>
    <t xml:space="preserve">Q51962</t>
  </si>
  <si>
    <t xml:space="preserve">Q51963</t>
  </si>
  <si>
    <t xml:space="preserve">Q51964</t>
  </si>
  <si>
    <t xml:space="preserve">Q51965</t>
  </si>
  <si>
    <t xml:space="preserve">Q51966</t>
  </si>
  <si>
    <t xml:space="preserve">Q51967</t>
  </si>
  <si>
    <t xml:space="preserve">Q51968</t>
  </si>
  <si>
    <t xml:space="preserve">Q51969</t>
  </si>
  <si>
    <t xml:space="preserve">Q51970</t>
  </si>
  <si>
    <t xml:space="preserve">Q51971</t>
  </si>
  <si>
    <t xml:space="preserve">Q51972</t>
  </si>
  <si>
    <t xml:space="preserve">Q51973</t>
  </si>
  <si>
    <t xml:space="preserve">Q51974</t>
  </si>
  <si>
    <t xml:space="preserve">Q51975</t>
  </si>
  <si>
    <t xml:space="preserve">Q51976</t>
  </si>
  <si>
    <t xml:space="preserve">Q51977</t>
  </si>
  <si>
    <t xml:space="preserve">Q51978</t>
  </si>
  <si>
    <t xml:space="preserve">Q51979</t>
  </si>
  <si>
    <t xml:space="preserve">Q51980</t>
  </si>
  <si>
    <t xml:space="preserve">Q51981</t>
  </si>
  <si>
    <t xml:space="preserve">Q51982</t>
  </si>
  <si>
    <t xml:space="preserve">Q51983</t>
  </si>
  <si>
    <t xml:space="preserve">Q51984</t>
  </si>
  <si>
    <t xml:space="preserve">Q51985</t>
  </si>
  <si>
    <t xml:space="preserve">Q51986</t>
  </si>
  <si>
    <t xml:space="preserve">Q51987</t>
  </si>
  <si>
    <t xml:space="preserve">Q51988</t>
  </si>
  <si>
    <t xml:space="preserve">Q51989</t>
  </si>
  <si>
    <t xml:space="preserve">Q51990</t>
  </si>
  <si>
    <t xml:space="preserve">Q51991</t>
  </si>
  <si>
    <t xml:space="preserve">Q51992</t>
  </si>
  <si>
    <t xml:space="preserve">Q51993</t>
  </si>
  <si>
    <t xml:space="preserve">Q51994</t>
  </si>
  <si>
    <t xml:space="preserve">Q51995</t>
  </si>
  <si>
    <t xml:space="preserve">Q51996</t>
  </si>
  <si>
    <t xml:space="preserve">Q51997</t>
  </si>
  <si>
    <t xml:space="preserve">Q51998</t>
  </si>
  <si>
    <t xml:space="preserve">Q51999</t>
  </si>
  <si>
    <t xml:space="preserve">Q52000</t>
  </si>
  <si>
    <t xml:space="preserve">Q52001</t>
  </si>
  <si>
    <t xml:space="preserve">Q52002</t>
  </si>
  <si>
    <t xml:space="preserve">Q52003</t>
  </si>
  <si>
    <t xml:space="preserve">Q52004</t>
  </si>
  <si>
    <t xml:space="preserve">Q52005</t>
  </si>
  <si>
    <t xml:space="preserve">Q52006</t>
  </si>
  <si>
    <t xml:space="preserve">Q52007</t>
  </si>
  <si>
    <t xml:space="preserve">Q52008</t>
  </si>
  <si>
    <t xml:space="preserve">Q52009</t>
  </si>
  <si>
    <t xml:space="preserve">Q52010</t>
  </si>
  <si>
    <t xml:space="preserve">Q52011</t>
  </si>
  <si>
    <t xml:space="preserve">Q52012</t>
  </si>
  <si>
    <t xml:space="preserve">Q52013</t>
  </si>
  <si>
    <t xml:space="preserve">Q52014</t>
  </si>
  <si>
    <t xml:space="preserve">Q52015</t>
  </si>
  <si>
    <t xml:space="preserve">Q52016</t>
  </si>
  <si>
    <t xml:space="preserve">Q52017</t>
  </si>
  <si>
    <t xml:space="preserve">Q52018</t>
  </si>
  <si>
    <t xml:space="preserve">Q52019</t>
  </si>
  <si>
    <t xml:space="preserve">Q52020</t>
  </si>
  <si>
    <t xml:space="preserve">Q52021</t>
  </si>
  <si>
    <t xml:space="preserve">Q52022</t>
  </si>
  <si>
    <t xml:space="preserve">Q52023</t>
  </si>
  <si>
    <t xml:space="preserve">Q52024</t>
  </si>
  <si>
    <t xml:space="preserve">Q52025</t>
  </si>
  <si>
    <t xml:space="preserve">Q52026</t>
  </si>
  <si>
    <t xml:space="preserve">Q52027</t>
  </si>
  <si>
    <t xml:space="preserve">Q52028</t>
  </si>
  <si>
    <t xml:space="preserve">Q52029</t>
  </si>
  <si>
    <t xml:space="preserve">Q52030</t>
  </si>
  <si>
    <t xml:space="preserve">Q52031</t>
  </si>
  <si>
    <t xml:space="preserve">Q52032</t>
  </si>
  <si>
    <t xml:space="preserve">Q52033</t>
  </si>
  <si>
    <t xml:space="preserve">Q52034</t>
  </si>
  <si>
    <t xml:space="preserve">Q52035</t>
  </si>
  <si>
    <t xml:space="preserve">Q52036</t>
  </si>
  <si>
    <t xml:space="preserve">Q52037</t>
  </si>
  <si>
    <t xml:space="preserve">Q52038</t>
  </si>
  <si>
    <t xml:space="preserve">Q52039</t>
  </si>
  <si>
    <t xml:space="preserve">Q52040</t>
  </si>
  <si>
    <t xml:space="preserve">Q52041</t>
  </si>
  <si>
    <t xml:space="preserve">Q52042</t>
  </si>
  <si>
    <t xml:space="preserve">Q52043</t>
  </si>
  <si>
    <t xml:space="preserve">Q52044</t>
  </si>
  <si>
    <t xml:space="preserve">Q52045</t>
  </si>
  <si>
    <t xml:space="preserve">Q52046</t>
  </si>
  <si>
    <t xml:space="preserve">Q52047</t>
  </si>
  <si>
    <t xml:space="preserve">Q52048</t>
  </si>
  <si>
    <t xml:space="preserve">Q52049</t>
  </si>
  <si>
    <t xml:space="preserve">Q52050</t>
  </si>
  <si>
    <t xml:space="preserve">Q52051</t>
  </si>
  <si>
    <t xml:space="preserve">Q52052</t>
  </si>
  <si>
    <t xml:space="preserve">Q52053</t>
  </si>
  <si>
    <t xml:space="preserve">Q52054</t>
  </si>
  <si>
    <t xml:space="preserve">Q52055</t>
  </si>
  <si>
    <t xml:space="preserve">Q52056</t>
  </si>
  <si>
    <t xml:space="preserve">Q52057</t>
  </si>
  <si>
    <t xml:space="preserve">Q52058</t>
  </si>
  <si>
    <t xml:space="preserve">Q52059</t>
  </si>
  <si>
    <t xml:space="preserve">Q52060</t>
  </si>
  <si>
    <t xml:space="preserve">Q52061</t>
  </si>
  <si>
    <t xml:space="preserve">Q52062</t>
  </si>
  <si>
    <t xml:space="preserve">Q52063</t>
  </si>
  <si>
    <t xml:space="preserve">Q52064</t>
  </si>
  <si>
    <t xml:space="preserve">Q52065</t>
  </si>
  <si>
    <t xml:space="preserve">Q52066</t>
  </si>
  <si>
    <t xml:space="preserve">Q52067</t>
  </si>
  <si>
    <t xml:space="preserve">Q52068</t>
  </si>
  <si>
    <t xml:space="preserve">Q52069</t>
  </si>
  <si>
    <t xml:space="preserve">Q52070</t>
  </si>
  <si>
    <t xml:space="preserve">Q52071</t>
  </si>
  <si>
    <t xml:space="preserve">Q52072</t>
  </si>
  <si>
    <t xml:space="preserve">Q52073</t>
  </si>
  <si>
    <t xml:space="preserve">Q52074</t>
  </si>
  <si>
    <t xml:space="preserve">Q52075</t>
  </si>
  <si>
    <t xml:space="preserve">Q52076</t>
  </si>
  <si>
    <t xml:space="preserve">Q52077</t>
  </si>
  <si>
    <t xml:space="preserve">Q52078</t>
  </si>
  <si>
    <t xml:space="preserve">Q52079</t>
  </si>
  <si>
    <t xml:space="preserve">Q52080</t>
  </si>
  <si>
    <t xml:space="preserve">Q52081</t>
  </si>
  <si>
    <t xml:space="preserve">Q52082</t>
  </si>
  <si>
    <t xml:space="preserve">Q52083</t>
  </si>
  <si>
    <t xml:space="preserve">Q52084</t>
  </si>
  <si>
    <t xml:space="preserve">Q52085</t>
  </si>
  <si>
    <t xml:space="preserve">Q52086</t>
  </si>
  <si>
    <t xml:space="preserve">Q52087</t>
  </si>
  <si>
    <t xml:space="preserve">Q52088</t>
  </si>
  <si>
    <t xml:space="preserve">Q52089</t>
  </si>
  <si>
    <t xml:space="preserve">Q52090</t>
  </si>
  <si>
    <t xml:space="preserve">Q52091</t>
  </si>
  <si>
    <t xml:space="preserve">Q52092</t>
  </si>
  <si>
    <t xml:space="preserve">Q52093</t>
  </si>
  <si>
    <t xml:space="preserve">Q52094</t>
  </si>
  <si>
    <t xml:space="preserve">Q52095</t>
  </si>
  <si>
    <t xml:space="preserve">Q52096</t>
  </si>
  <si>
    <t xml:space="preserve">Q52097</t>
  </si>
  <si>
    <t xml:space="preserve">Q52098</t>
  </si>
  <si>
    <t xml:space="preserve">Q52099</t>
  </si>
  <si>
    <t xml:space="preserve">Q52100</t>
  </si>
  <si>
    <t xml:space="preserve">Q52101</t>
  </si>
  <si>
    <t xml:space="preserve">Q52102</t>
  </si>
  <si>
    <t xml:space="preserve">Q52103</t>
  </si>
  <si>
    <t xml:space="preserve">Q52104</t>
  </si>
  <si>
    <t xml:space="preserve">Q52105</t>
  </si>
  <si>
    <t xml:space="preserve">Q52106</t>
  </si>
  <si>
    <t xml:space="preserve">Q52107</t>
  </si>
  <si>
    <t xml:space="preserve">Q52108</t>
  </si>
  <si>
    <t xml:space="preserve">Q52109</t>
  </si>
  <si>
    <t xml:space="preserve">Q52110</t>
  </si>
  <si>
    <t xml:space="preserve">Q52111</t>
  </si>
  <si>
    <t xml:space="preserve">Q52112</t>
  </si>
  <si>
    <t xml:space="preserve">Q52113</t>
  </si>
  <si>
    <t xml:space="preserve">Q52114</t>
  </si>
  <si>
    <t xml:space="preserve">Q52115</t>
  </si>
  <si>
    <t xml:space="preserve">Q52116</t>
  </si>
  <si>
    <t xml:space="preserve">Q52117</t>
  </si>
  <si>
    <t xml:space="preserve">Q52118</t>
  </si>
  <si>
    <t xml:space="preserve">Q52119</t>
  </si>
  <si>
    <t xml:space="preserve">Q52120</t>
  </si>
  <si>
    <t xml:space="preserve">Q52121</t>
  </si>
  <si>
    <t xml:space="preserve">Q52122</t>
  </si>
  <si>
    <t xml:space="preserve">Q52123</t>
  </si>
  <si>
    <t xml:space="preserve">Q52124</t>
  </si>
  <si>
    <t xml:space="preserve">Q52125</t>
  </si>
  <si>
    <t xml:space="preserve">Q52126</t>
  </si>
  <si>
    <t xml:space="preserve">Q52127</t>
  </si>
  <si>
    <t xml:space="preserve">Q52128</t>
  </si>
  <si>
    <t xml:space="preserve">Q52129</t>
  </si>
  <si>
    <t xml:space="preserve">Q52130</t>
  </si>
  <si>
    <t xml:space="preserve">Q52131</t>
  </si>
  <si>
    <t xml:space="preserve">Q52132</t>
  </si>
  <si>
    <t xml:space="preserve">Q52133</t>
  </si>
  <si>
    <t xml:space="preserve">Q52134</t>
  </si>
  <si>
    <t xml:space="preserve">Q52135</t>
  </si>
  <si>
    <t xml:space="preserve">Q52136</t>
  </si>
  <si>
    <t xml:space="preserve">Q52137</t>
  </si>
  <si>
    <t xml:space="preserve">Q52138</t>
  </si>
  <si>
    <t xml:space="preserve">Q52139</t>
  </si>
  <si>
    <t xml:space="preserve">Q52140</t>
  </si>
  <si>
    <t xml:space="preserve">Q52141</t>
  </si>
  <si>
    <t xml:space="preserve">Q52142</t>
  </si>
  <si>
    <t xml:space="preserve">Q52143</t>
  </si>
  <si>
    <t xml:space="preserve">Q52144</t>
  </si>
  <si>
    <t xml:space="preserve">Q52145</t>
  </si>
  <si>
    <t xml:space="preserve">Q52146</t>
  </si>
  <si>
    <t xml:space="preserve">Q52147</t>
  </si>
  <si>
    <t xml:space="preserve">Q52148</t>
  </si>
  <si>
    <t xml:space="preserve">Q52149</t>
  </si>
  <si>
    <t xml:space="preserve">Q52150</t>
  </si>
  <si>
    <t xml:space="preserve">Q52151</t>
  </si>
  <si>
    <t xml:space="preserve">Q52152</t>
  </si>
  <si>
    <t xml:space="preserve">Q52153</t>
  </si>
  <si>
    <t xml:space="preserve">Q52154</t>
  </si>
  <si>
    <t xml:space="preserve">Q52155</t>
  </si>
  <si>
    <t xml:space="preserve">Q52156</t>
  </si>
  <si>
    <t xml:space="preserve">Q52157</t>
  </si>
  <si>
    <t xml:space="preserve">Q52158</t>
  </si>
  <si>
    <t xml:space="preserve">Q52159</t>
  </si>
  <si>
    <t xml:space="preserve">Q52160</t>
  </si>
  <si>
    <t xml:space="preserve">Q52161</t>
  </si>
  <si>
    <t xml:space="preserve">Q52162</t>
  </si>
  <si>
    <t xml:space="preserve">Q52163</t>
  </si>
  <si>
    <t xml:space="preserve">Q52164</t>
  </si>
  <si>
    <t xml:space="preserve">Q52165</t>
  </si>
  <si>
    <t xml:space="preserve">Q52166</t>
  </si>
  <si>
    <t xml:space="preserve">Q52167</t>
  </si>
  <si>
    <t xml:space="preserve">Q52168</t>
  </si>
  <si>
    <t xml:space="preserve">Q52169</t>
  </si>
  <si>
    <t xml:space="preserve">Q52170</t>
  </si>
  <si>
    <t xml:space="preserve">Q52171</t>
  </si>
  <si>
    <t xml:space="preserve">Q52172</t>
  </si>
  <si>
    <t xml:space="preserve">Q52173</t>
  </si>
  <si>
    <t xml:space="preserve">Q52174</t>
  </si>
  <si>
    <t xml:space="preserve">Q52175</t>
  </si>
  <si>
    <t xml:space="preserve">Q52176</t>
  </si>
  <si>
    <t xml:space="preserve">Q52177</t>
  </si>
  <si>
    <t xml:space="preserve">Q52178</t>
  </si>
  <si>
    <t xml:space="preserve">Q52179</t>
  </si>
  <si>
    <t xml:space="preserve">Q52180</t>
  </si>
  <si>
    <t xml:space="preserve">Q52181</t>
  </si>
  <si>
    <t xml:space="preserve">Q52182</t>
  </si>
  <si>
    <t xml:space="preserve">Q52183</t>
  </si>
  <si>
    <t xml:space="preserve">Q52184</t>
  </si>
  <si>
    <t xml:space="preserve">Q52185</t>
  </si>
  <si>
    <t xml:space="preserve">Q52186</t>
  </si>
  <si>
    <t xml:space="preserve">Q52187</t>
  </si>
  <si>
    <t xml:space="preserve">Q52188</t>
  </si>
  <si>
    <t xml:space="preserve">Q52189</t>
  </si>
  <si>
    <t xml:space="preserve">Q52190</t>
  </si>
  <si>
    <t xml:space="preserve">Q52191</t>
  </si>
  <si>
    <t xml:space="preserve">Q52192</t>
  </si>
  <si>
    <t xml:space="preserve">Q52193</t>
  </si>
  <si>
    <t xml:space="preserve">Q52194</t>
  </si>
  <si>
    <t xml:space="preserve">Q52195</t>
  </si>
  <si>
    <t xml:space="preserve">Q52196</t>
  </si>
  <si>
    <t xml:space="preserve">Q52197</t>
  </si>
  <si>
    <t xml:space="preserve">Q52198</t>
  </si>
  <si>
    <t xml:space="preserve">Q52199</t>
  </si>
  <si>
    <t xml:space="preserve">Q52200</t>
  </si>
  <si>
    <t xml:space="preserve">Q52201</t>
  </si>
  <si>
    <t xml:space="preserve">Q52202</t>
  </si>
  <si>
    <t xml:space="preserve">Q52203</t>
  </si>
  <si>
    <t xml:space="preserve">Q52204</t>
  </si>
  <si>
    <t xml:space="preserve">Q52205</t>
  </si>
  <si>
    <t xml:space="preserve">Q52206</t>
  </si>
  <si>
    <t xml:space="preserve">Q52207</t>
  </si>
  <si>
    <t xml:space="preserve">Q52208</t>
  </si>
  <si>
    <t xml:space="preserve">Q52209</t>
  </si>
  <si>
    <t xml:space="preserve">Q52210</t>
  </si>
  <si>
    <t xml:space="preserve">Q52211</t>
  </si>
  <si>
    <t xml:space="preserve">Q52212</t>
  </si>
  <si>
    <t xml:space="preserve">Q52213</t>
  </si>
  <si>
    <t xml:space="preserve">Q52214</t>
  </si>
  <si>
    <t xml:space="preserve">Q52215</t>
  </si>
  <si>
    <t xml:space="preserve">Q52216</t>
  </si>
  <si>
    <t xml:space="preserve">Q52217</t>
  </si>
  <si>
    <t xml:space="preserve">Q52218</t>
  </si>
  <si>
    <t xml:space="preserve">Q52219</t>
  </si>
  <si>
    <t xml:space="preserve">Q52220</t>
  </si>
  <si>
    <t xml:space="preserve">Q52221</t>
  </si>
  <si>
    <t xml:space="preserve">Q52222</t>
  </si>
  <si>
    <t xml:space="preserve">Q52223</t>
  </si>
  <si>
    <t xml:space="preserve">Q52224</t>
  </si>
  <si>
    <t xml:space="preserve">Q52225</t>
  </si>
  <si>
    <t xml:space="preserve">Q52226</t>
  </si>
  <si>
    <t xml:space="preserve">Q52227</t>
  </si>
  <si>
    <t xml:space="preserve">Q52228</t>
  </si>
  <si>
    <t xml:space="preserve">Q52229</t>
  </si>
  <si>
    <t xml:space="preserve">Q52230</t>
  </si>
  <si>
    <t xml:space="preserve">Q52231</t>
  </si>
  <si>
    <t xml:space="preserve">Q52232</t>
  </si>
  <si>
    <t xml:space="preserve">Q52233</t>
  </si>
  <si>
    <t xml:space="preserve">Q52234</t>
  </si>
  <si>
    <t xml:space="preserve">Q52235</t>
  </si>
  <si>
    <t xml:space="preserve">Q52236</t>
  </si>
  <si>
    <t xml:space="preserve">Q52237</t>
  </si>
  <si>
    <t xml:space="preserve">Q52238</t>
  </si>
  <si>
    <t xml:space="preserve">Q52239</t>
  </si>
  <si>
    <t xml:space="preserve">Q52240</t>
  </si>
  <si>
    <t xml:space="preserve">Q52241</t>
  </si>
  <si>
    <t xml:space="preserve">Q52242</t>
  </si>
  <si>
    <t xml:space="preserve">Q52243</t>
  </si>
  <si>
    <t xml:space="preserve">Q52244</t>
  </si>
  <si>
    <t xml:space="preserve">Q52245</t>
  </si>
  <si>
    <t xml:space="preserve">Q52246</t>
  </si>
  <si>
    <t xml:space="preserve">Q52247</t>
  </si>
  <si>
    <t xml:space="preserve">Q52248</t>
  </si>
  <si>
    <t xml:space="preserve">Q52249</t>
  </si>
  <si>
    <t xml:space="preserve">Q52250</t>
  </si>
  <si>
    <t xml:space="preserve">Q52251</t>
  </si>
  <si>
    <t xml:space="preserve">Q52252</t>
  </si>
  <si>
    <t xml:space="preserve">Q52253</t>
  </si>
  <si>
    <t xml:space="preserve">Q52254</t>
  </si>
  <si>
    <t xml:space="preserve">Q52255</t>
  </si>
  <si>
    <t xml:space="preserve">Q52256</t>
  </si>
  <si>
    <t xml:space="preserve">Q52257</t>
  </si>
  <si>
    <t xml:space="preserve">Q52258</t>
  </si>
  <si>
    <t xml:space="preserve">Q52259</t>
  </si>
  <si>
    <t xml:space="preserve">Q52260</t>
  </si>
  <si>
    <t xml:space="preserve">Q52261</t>
  </si>
  <si>
    <t xml:space="preserve">Q52262</t>
  </si>
  <si>
    <t xml:space="preserve">Q52263</t>
  </si>
  <si>
    <t xml:space="preserve">Q52264</t>
  </si>
  <si>
    <t xml:space="preserve">Q52265</t>
  </si>
  <si>
    <t xml:space="preserve">Q52266</t>
  </si>
  <si>
    <t xml:space="preserve">Q52267</t>
  </si>
  <si>
    <t xml:space="preserve">Q52268</t>
  </si>
  <si>
    <t xml:space="preserve">Q52269</t>
  </si>
  <si>
    <t xml:space="preserve">Q52270</t>
  </si>
  <si>
    <t xml:space="preserve">Q52271</t>
  </si>
  <si>
    <t xml:space="preserve">Q52272</t>
  </si>
  <si>
    <t xml:space="preserve">Q52273</t>
  </si>
  <si>
    <t xml:space="preserve">Q52274</t>
  </si>
  <si>
    <t xml:space="preserve">Q52275</t>
  </si>
  <si>
    <t xml:space="preserve">Q52276</t>
  </si>
  <si>
    <t xml:space="preserve">Q52277</t>
  </si>
  <si>
    <t xml:space="preserve">Q52278</t>
  </si>
  <si>
    <t xml:space="preserve">Q52279</t>
  </si>
  <si>
    <t xml:space="preserve">Q52280</t>
  </si>
  <si>
    <t xml:space="preserve">Q52281</t>
  </si>
  <si>
    <t xml:space="preserve">Q52282</t>
  </si>
  <si>
    <t xml:space="preserve">Q52283</t>
  </si>
  <si>
    <t xml:space="preserve">Q52284</t>
  </si>
  <si>
    <t xml:space="preserve">Q52285</t>
  </si>
  <si>
    <t xml:space="preserve">Q52286</t>
  </si>
  <si>
    <t xml:space="preserve">Q52287</t>
  </si>
  <si>
    <t xml:space="preserve">Q52288</t>
  </si>
  <si>
    <t xml:space="preserve">Q52289</t>
  </si>
  <si>
    <t xml:space="preserve">Q52290</t>
  </si>
  <si>
    <t xml:space="preserve">Q52291</t>
  </si>
  <si>
    <t xml:space="preserve">Q52292</t>
  </si>
  <si>
    <t xml:space="preserve">Q52293</t>
  </si>
  <si>
    <t xml:space="preserve">Q52294</t>
  </si>
  <si>
    <t xml:space="preserve">Q52295</t>
  </si>
  <si>
    <t xml:space="preserve">Q52296</t>
  </si>
  <si>
    <t xml:space="preserve">Q52297</t>
  </si>
  <si>
    <t xml:space="preserve">Q52298</t>
  </si>
  <si>
    <t xml:space="preserve">Q52299</t>
  </si>
  <si>
    <t xml:space="preserve">Q52300</t>
  </si>
  <si>
    <t xml:space="preserve">Q52301</t>
  </si>
  <si>
    <t xml:space="preserve">Q52302</t>
  </si>
  <si>
    <t xml:space="preserve">Q52303</t>
  </si>
  <si>
    <t xml:space="preserve">Q52304</t>
  </si>
  <si>
    <t xml:space="preserve">Q52305</t>
  </si>
  <si>
    <t xml:space="preserve">Q52306</t>
  </si>
  <si>
    <t xml:space="preserve">Q52307</t>
  </si>
  <si>
    <t xml:space="preserve">Q52308</t>
  </si>
  <si>
    <t xml:space="preserve">Q52309</t>
  </si>
  <si>
    <t xml:space="preserve">Q52310</t>
  </si>
  <si>
    <t xml:space="preserve">Q52311</t>
  </si>
  <si>
    <t xml:space="preserve">Q52312</t>
  </si>
  <si>
    <t xml:space="preserve">Q52313</t>
  </si>
  <si>
    <t xml:space="preserve">Q52314</t>
  </si>
  <si>
    <t xml:space="preserve">Q52315</t>
  </si>
  <si>
    <t xml:space="preserve">Q52316</t>
  </si>
  <si>
    <t xml:space="preserve">Q52317</t>
  </si>
  <si>
    <t xml:space="preserve">Q52318</t>
  </si>
  <si>
    <t xml:space="preserve">Q52319</t>
  </si>
  <si>
    <t xml:space="preserve">Q52320</t>
  </si>
  <si>
    <t xml:space="preserve">Q52321</t>
  </si>
  <si>
    <t xml:space="preserve">Q52322</t>
  </si>
  <si>
    <t xml:space="preserve">Q52323</t>
  </si>
  <si>
    <t xml:space="preserve">Q52324</t>
  </si>
  <si>
    <t xml:space="preserve">Q52325</t>
  </si>
  <si>
    <t xml:space="preserve">Q52326</t>
  </si>
  <si>
    <t xml:space="preserve">Q52327</t>
  </si>
  <si>
    <t xml:space="preserve">Q52328</t>
  </si>
  <si>
    <t xml:space="preserve">Q52329</t>
  </si>
  <si>
    <t xml:space="preserve">Q52330</t>
  </si>
  <si>
    <t xml:space="preserve">Q52331</t>
  </si>
  <si>
    <t xml:space="preserve">Q52332</t>
  </si>
  <si>
    <t xml:space="preserve">Q52333</t>
  </si>
  <si>
    <t xml:space="preserve">Q52334</t>
  </si>
  <si>
    <t xml:space="preserve">Q52335</t>
  </si>
  <si>
    <t xml:space="preserve">Q52336</t>
  </si>
  <si>
    <t xml:space="preserve">Q52337</t>
  </si>
  <si>
    <t xml:space="preserve">Q52338</t>
  </si>
  <si>
    <t xml:space="preserve">Q52339</t>
  </si>
  <si>
    <t xml:space="preserve">Q52340</t>
  </si>
  <si>
    <t xml:space="preserve">Q52341</t>
  </si>
  <si>
    <t xml:space="preserve">Q52342</t>
  </si>
  <si>
    <t xml:space="preserve">Q52343</t>
  </si>
  <si>
    <t xml:space="preserve">Q52344</t>
  </si>
  <si>
    <t xml:space="preserve">Q52345</t>
  </si>
  <si>
    <t xml:space="preserve">Q52346</t>
  </si>
  <si>
    <t xml:space="preserve">Q52347</t>
  </si>
  <si>
    <t xml:space="preserve">Q52348</t>
  </si>
  <si>
    <t xml:space="preserve">Q52349</t>
  </si>
  <si>
    <t xml:space="preserve">Q52350</t>
  </si>
  <si>
    <t xml:space="preserve">Q52351</t>
  </si>
  <si>
    <t xml:space="preserve">Q52352</t>
  </si>
  <si>
    <t xml:space="preserve">Q52353</t>
  </si>
  <si>
    <t xml:space="preserve">Q52354</t>
  </si>
  <si>
    <t xml:space="preserve">Q52355</t>
  </si>
  <si>
    <t xml:space="preserve">Q52356</t>
  </si>
  <si>
    <t xml:space="preserve">Q52357</t>
  </si>
  <si>
    <t xml:space="preserve">Q52358</t>
  </si>
  <si>
    <t xml:space="preserve">Q52359</t>
  </si>
  <si>
    <t xml:space="preserve">Q52360</t>
  </si>
  <si>
    <t xml:space="preserve">Q52361</t>
  </si>
  <si>
    <t xml:space="preserve">Q52362</t>
  </si>
  <si>
    <t xml:space="preserve">Q52363</t>
  </si>
  <si>
    <t xml:space="preserve">Q52364</t>
  </si>
  <si>
    <t xml:space="preserve">Q52365</t>
  </si>
  <si>
    <t xml:space="preserve">Q52366</t>
  </si>
  <si>
    <t xml:space="preserve">Q52367</t>
  </si>
  <si>
    <t xml:space="preserve">Q52368</t>
  </si>
  <si>
    <t xml:space="preserve">Q52369</t>
  </si>
  <si>
    <t xml:space="preserve">Q52370</t>
  </si>
  <si>
    <t xml:space="preserve">Q52371</t>
  </si>
  <si>
    <t xml:space="preserve">Q52372</t>
  </si>
  <si>
    <t xml:space="preserve">Q52373</t>
  </si>
  <si>
    <t xml:space="preserve">Q52374</t>
  </si>
  <si>
    <t xml:space="preserve">Q52375</t>
  </si>
  <si>
    <t xml:space="preserve">Q52376</t>
  </si>
  <si>
    <t xml:space="preserve">Q52377</t>
  </si>
  <si>
    <t xml:space="preserve">Q52378</t>
  </si>
  <si>
    <t xml:space="preserve">Q52379</t>
  </si>
  <si>
    <t xml:space="preserve">Q52380</t>
  </si>
  <si>
    <t xml:space="preserve">Q52381</t>
  </si>
  <si>
    <t xml:space="preserve">Q52382</t>
  </si>
  <si>
    <t xml:space="preserve">Q52383</t>
  </si>
  <si>
    <t xml:space="preserve">Q52384</t>
  </si>
  <si>
    <t xml:space="preserve">Q52385</t>
  </si>
  <si>
    <t xml:space="preserve">Q52386</t>
  </si>
  <si>
    <t xml:space="preserve">Q52387</t>
  </si>
  <si>
    <t xml:space="preserve">Q52388</t>
  </si>
  <si>
    <t xml:space="preserve">Q52389</t>
  </si>
  <si>
    <t xml:space="preserve">Q52390</t>
  </si>
  <si>
    <t xml:space="preserve">Q52391</t>
  </si>
  <si>
    <t xml:space="preserve">Q52392</t>
  </si>
  <si>
    <t xml:space="preserve">Q52393</t>
  </si>
  <si>
    <t xml:space="preserve">Q52394</t>
  </si>
  <si>
    <t xml:space="preserve">Q52395</t>
  </si>
  <si>
    <t xml:space="preserve">Q52396</t>
  </si>
  <si>
    <t xml:space="preserve">Q52397</t>
  </si>
  <si>
    <t xml:space="preserve">Q52398</t>
  </si>
  <si>
    <t xml:space="preserve">Q52399</t>
  </si>
  <si>
    <t xml:space="preserve">Q52400</t>
  </si>
  <si>
    <t xml:space="preserve">Q52401</t>
  </si>
  <si>
    <t xml:space="preserve">Q52402</t>
  </si>
  <si>
    <t xml:space="preserve">Q52403</t>
  </si>
  <si>
    <t xml:space="preserve">Q52404</t>
  </si>
  <si>
    <t xml:space="preserve">Q52405</t>
  </si>
  <si>
    <t xml:space="preserve">Q52406</t>
  </si>
  <si>
    <t xml:space="preserve">Q52407</t>
  </si>
  <si>
    <t xml:space="preserve">Q52408</t>
  </si>
  <si>
    <t xml:space="preserve">Q52409</t>
  </si>
  <si>
    <t xml:space="preserve">Q52410</t>
  </si>
  <si>
    <t xml:space="preserve">Q52411</t>
  </si>
  <si>
    <t xml:space="preserve">Q52412</t>
  </si>
  <si>
    <t xml:space="preserve">Q52413</t>
  </si>
  <si>
    <t xml:space="preserve">Q52414</t>
  </si>
  <si>
    <t xml:space="preserve">Q52415</t>
  </si>
  <si>
    <t xml:space="preserve">Q52416</t>
  </si>
  <si>
    <t xml:space="preserve">Q52417</t>
  </si>
  <si>
    <t xml:space="preserve">Q52418</t>
  </si>
  <si>
    <t xml:space="preserve">Q52419</t>
  </si>
  <si>
    <t xml:space="preserve">Q52420</t>
  </si>
  <si>
    <t xml:space="preserve">Q52421</t>
  </si>
  <si>
    <t xml:space="preserve">Q52422</t>
  </si>
  <si>
    <t xml:space="preserve">Q52423</t>
  </si>
  <si>
    <t xml:space="preserve">Q52424</t>
  </si>
  <si>
    <t xml:space="preserve">Q52425</t>
  </si>
  <si>
    <t xml:space="preserve">Q52426</t>
  </si>
  <si>
    <t xml:space="preserve">Q52427</t>
  </si>
  <si>
    <t xml:space="preserve">Q52428</t>
  </si>
  <si>
    <t xml:space="preserve">Q52429</t>
  </si>
  <si>
    <t xml:space="preserve">Q52430</t>
  </si>
  <si>
    <t xml:space="preserve">Q52431</t>
  </si>
  <si>
    <t xml:space="preserve">Q52432</t>
  </si>
  <si>
    <t xml:space="preserve">Q52433</t>
  </si>
  <si>
    <t xml:space="preserve">Q52434</t>
  </si>
  <si>
    <t xml:space="preserve">Q52435</t>
  </si>
  <si>
    <t xml:space="preserve">Q52436</t>
  </si>
  <si>
    <t xml:space="preserve">Q52437</t>
  </si>
  <si>
    <t xml:space="preserve">Q52438</t>
  </si>
  <si>
    <t xml:space="preserve">Q52439</t>
  </si>
  <si>
    <t xml:space="preserve">Q52440</t>
  </si>
  <si>
    <t xml:space="preserve">Q52441</t>
  </si>
  <si>
    <t xml:space="preserve">Q52442</t>
  </si>
  <si>
    <t xml:space="preserve">Q52443</t>
  </si>
  <si>
    <t xml:space="preserve">Q52444</t>
  </si>
  <si>
    <t xml:space="preserve">Q52445</t>
  </si>
  <si>
    <t xml:space="preserve">Q52446</t>
  </si>
  <si>
    <t xml:space="preserve">Q52447</t>
  </si>
  <si>
    <t xml:space="preserve">Q52448</t>
  </si>
  <si>
    <t xml:space="preserve">Q52449</t>
  </si>
  <si>
    <t xml:space="preserve">Q52450</t>
  </si>
  <si>
    <t xml:space="preserve">Q52451</t>
  </si>
  <si>
    <t xml:space="preserve">Q52452</t>
  </si>
  <si>
    <t xml:space="preserve">Q52453</t>
  </si>
  <si>
    <t xml:space="preserve">Q52454</t>
  </si>
  <si>
    <t xml:space="preserve">Q52455</t>
  </si>
  <si>
    <t xml:space="preserve">Q52456</t>
  </si>
  <si>
    <t xml:space="preserve">Q52457</t>
  </si>
  <si>
    <t xml:space="preserve">Q52458</t>
  </si>
  <si>
    <t xml:space="preserve">Q52459</t>
  </si>
  <si>
    <t xml:space="preserve">Q52460</t>
  </si>
  <si>
    <t xml:space="preserve">Q52461</t>
  </si>
  <si>
    <t xml:space="preserve">Q52462</t>
  </si>
  <si>
    <t xml:space="preserve">Q52463</t>
  </si>
  <si>
    <t xml:space="preserve">Q52464</t>
  </si>
  <si>
    <t xml:space="preserve">Q52465</t>
  </si>
  <si>
    <t xml:space="preserve">Q52466</t>
  </si>
  <si>
    <t xml:space="preserve">Q52467</t>
  </si>
  <si>
    <t xml:space="preserve">Q52468</t>
  </si>
  <si>
    <t xml:space="preserve">Q52469</t>
  </si>
  <si>
    <t xml:space="preserve">Q52470</t>
  </si>
  <si>
    <t xml:space="preserve">Q52471</t>
  </si>
  <si>
    <t xml:space="preserve">Q52472</t>
  </si>
  <si>
    <t xml:space="preserve">Q52473</t>
  </si>
  <si>
    <t xml:space="preserve">Q52474</t>
  </si>
  <si>
    <t xml:space="preserve">Q52475</t>
  </si>
  <si>
    <t xml:space="preserve">Q52476</t>
  </si>
  <si>
    <t xml:space="preserve">Q52477</t>
  </si>
  <si>
    <t xml:space="preserve">Q52478</t>
  </si>
  <si>
    <t xml:space="preserve">Q52479</t>
  </si>
  <si>
    <t xml:space="preserve">Q52480</t>
  </si>
  <si>
    <t xml:space="preserve">Q52481</t>
  </si>
  <si>
    <t xml:space="preserve">Q52482</t>
  </si>
  <si>
    <t xml:space="preserve">Q52483</t>
  </si>
  <si>
    <t xml:space="preserve">Q52484</t>
  </si>
  <si>
    <t xml:space="preserve">Q52485</t>
  </si>
  <si>
    <t xml:space="preserve">Q52486</t>
  </si>
  <si>
    <t xml:space="preserve">Q52487</t>
  </si>
  <si>
    <t xml:space="preserve">Q52488</t>
  </si>
  <si>
    <t xml:space="preserve">Q52489</t>
  </si>
  <si>
    <t xml:space="preserve">Q52490</t>
  </si>
  <si>
    <t xml:space="preserve">Q52491</t>
  </si>
  <si>
    <t xml:space="preserve">Q52492</t>
  </si>
  <si>
    <t xml:space="preserve">Q52493</t>
  </si>
  <si>
    <t xml:space="preserve">Q52494</t>
  </si>
  <si>
    <t xml:space="preserve">Q52495</t>
  </si>
  <si>
    <t xml:space="preserve">Q52496</t>
  </si>
  <si>
    <t xml:space="preserve">Q52497</t>
  </si>
  <si>
    <t xml:space="preserve">Q52498</t>
  </si>
  <si>
    <t xml:space="preserve">Q52499</t>
  </si>
  <si>
    <t xml:space="preserve">Q52500</t>
  </si>
  <si>
    <t xml:space="preserve">Q52501</t>
  </si>
  <si>
    <t xml:space="preserve">Q52502</t>
  </si>
  <si>
    <t xml:space="preserve">Q52503</t>
  </si>
  <si>
    <t xml:space="preserve">Q52504</t>
  </si>
  <si>
    <t xml:space="preserve">Q52505</t>
  </si>
  <si>
    <t xml:space="preserve">Q52506</t>
  </si>
  <si>
    <t xml:space="preserve">Q52507</t>
  </si>
  <si>
    <t xml:space="preserve">Q52508</t>
  </si>
  <si>
    <t xml:space="preserve">Q52509</t>
  </si>
  <si>
    <t xml:space="preserve">Q52510</t>
  </si>
  <si>
    <t xml:space="preserve">Q52511</t>
  </si>
  <si>
    <t xml:space="preserve">Q52512</t>
  </si>
  <si>
    <t xml:space="preserve">Q52513</t>
  </si>
  <si>
    <t xml:space="preserve">Q52514</t>
  </si>
  <si>
    <t xml:space="preserve">Q52515</t>
  </si>
  <si>
    <t xml:space="preserve">Q52516</t>
  </si>
  <si>
    <t xml:space="preserve">Q52517</t>
  </si>
  <si>
    <t xml:space="preserve">Q52518</t>
  </si>
  <si>
    <t xml:space="preserve">Q52519</t>
  </si>
  <si>
    <t xml:space="preserve">Q52520</t>
  </si>
  <si>
    <t xml:space="preserve">Q52521</t>
  </si>
  <si>
    <t xml:space="preserve">Q52522</t>
  </si>
  <si>
    <t xml:space="preserve">Q52523</t>
  </si>
  <si>
    <t xml:space="preserve">Q52524</t>
  </si>
  <si>
    <t xml:space="preserve">Q52525</t>
  </si>
  <si>
    <t xml:space="preserve">Q52526</t>
  </si>
  <si>
    <t xml:space="preserve">Q52527</t>
  </si>
  <si>
    <t xml:space="preserve">Q52528</t>
  </si>
  <si>
    <t xml:space="preserve">Q52529</t>
  </si>
  <si>
    <t xml:space="preserve">Q52530</t>
  </si>
  <si>
    <t xml:space="preserve">Q52531</t>
  </si>
  <si>
    <t xml:space="preserve">Q52532</t>
  </si>
  <si>
    <t xml:space="preserve">Q52533</t>
  </si>
  <si>
    <t xml:space="preserve">Q52534</t>
  </si>
  <si>
    <t xml:space="preserve">Q52535</t>
  </si>
  <si>
    <t xml:space="preserve">Q52536</t>
  </si>
  <si>
    <t xml:space="preserve">Q52537</t>
  </si>
  <si>
    <t xml:space="preserve">Q52538</t>
  </si>
  <si>
    <t xml:space="preserve">Q52539</t>
  </si>
  <si>
    <t xml:space="preserve">Q52540</t>
  </si>
  <si>
    <t xml:space="preserve">Q52541</t>
  </si>
  <si>
    <t xml:space="preserve">Q52542</t>
  </si>
  <si>
    <t xml:space="preserve">Q52543</t>
  </si>
  <si>
    <t xml:space="preserve">Q52544</t>
  </si>
  <si>
    <t xml:space="preserve">Q52545</t>
  </si>
  <si>
    <t xml:space="preserve">Q52546</t>
  </si>
  <si>
    <t xml:space="preserve">Q52547</t>
  </si>
  <si>
    <t xml:space="preserve">Q52548</t>
  </si>
  <si>
    <t xml:space="preserve">Q52549</t>
  </si>
  <si>
    <t xml:space="preserve">Q52550</t>
  </si>
  <si>
    <t xml:space="preserve">Q52551</t>
  </si>
  <si>
    <t xml:space="preserve">Q52552</t>
  </si>
  <si>
    <t xml:space="preserve">Q52553</t>
  </si>
  <si>
    <t xml:space="preserve">Q52554</t>
  </si>
  <si>
    <t xml:space="preserve">Q52555</t>
  </si>
  <si>
    <t xml:space="preserve">Q52556</t>
  </si>
  <si>
    <t xml:space="preserve">Q52557</t>
  </si>
  <si>
    <t xml:space="preserve">Q52558</t>
  </si>
  <si>
    <t xml:space="preserve">Q52559</t>
  </si>
  <si>
    <t xml:space="preserve">Q52560</t>
  </si>
  <si>
    <t xml:space="preserve">Q52561</t>
  </si>
  <si>
    <t xml:space="preserve">Q52562</t>
  </si>
  <si>
    <t xml:space="preserve">Q52563</t>
  </si>
  <si>
    <t xml:space="preserve">Q52564</t>
  </si>
  <si>
    <t xml:space="preserve">Q52565</t>
  </si>
  <si>
    <t xml:space="preserve">Q52566</t>
  </si>
  <si>
    <t xml:space="preserve">Q52567</t>
  </si>
  <si>
    <t xml:space="preserve">Q52568</t>
  </si>
  <si>
    <t xml:space="preserve">Q52569</t>
  </si>
  <si>
    <t xml:space="preserve">Q52570</t>
  </si>
  <si>
    <t xml:space="preserve">Q52571</t>
  </si>
  <si>
    <t xml:space="preserve">Q52572</t>
  </si>
  <si>
    <t xml:space="preserve">Q52573</t>
  </si>
  <si>
    <t xml:space="preserve">Q52574</t>
  </si>
  <si>
    <t xml:space="preserve">Q52575</t>
  </si>
  <si>
    <t xml:space="preserve">Q52576</t>
  </si>
  <si>
    <t xml:space="preserve">Q52577</t>
  </si>
  <si>
    <t xml:space="preserve">Q52578</t>
  </si>
  <si>
    <t xml:space="preserve">Q52579</t>
  </si>
  <si>
    <t xml:space="preserve">Q52580</t>
  </si>
  <si>
    <t xml:space="preserve">Q52581</t>
  </si>
  <si>
    <t xml:space="preserve">Q52582</t>
  </si>
  <si>
    <t xml:space="preserve">Q52583</t>
  </si>
  <si>
    <t xml:space="preserve">Q52584</t>
  </si>
  <si>
    <t xml:space="preserve">Q52585</t>
  </si>
  <si>
    <t xml:space="preserve">Q52586</t>
  </si>
  <si>
    <t xml:space="preserve">Q52587</t>
  </si>
  <si>
    <t xml:space="preserve">Q52588</t>
  </si>
  <si>
    <t xml:space="preserve">Q52589</t>
  </si>
  <si>
    <t xml:space="preserve">Q52590</t>
  </si>
  <si>
    <t xml:space="preserve">Q52591</t>
  </si>
  <si>
    <t xml:space="preserve">Q52592</t>
  </si>
  <si>
    <t xml:space="preserve">Q52593</t>
  </si>
  <si>
    <t xml:space="preserve">Q52594</t>
  </si>
  <si>
    <t xml:space="preserve">Q52595</t>
  </si>
  <si>
    <t xml:space="preserve">Q52596</t>
  </si>
  <si>
    <t xml:space="preserve">Q52597</t>
  </si>
  <si>
    <t xml:space="preserve">Q52598</t>
  </si>
  <si>
    <t xml:space="preserve">Q52599</t>
  </si>
  <si>
    <t xml:space="preserve">Q52600</t>
  </si>
  <si>
    <t xml:space="preserve">Q52601</t>
  </si>
  <si>
    <t xml:space="preserve">Q52602</t>
  </si>
  <si>
    <t xml:space="preserve">Q52603</t>
  </si>
  <si>
    <t xml:space="preserve">Q52604</t>
  </si>
  <si>
    <t xml:space="preserve">Q52605</t>
  </si>
  <si>
    <t xml:space="preserve">Q52606</t>
  </si>
  <si>
    <t xml:space="preserve">Q52607</t>
  </si>
  <si>
    <t xml:space="preserve">Q52608</t>
  </si>
  <si>
    <t xml:space="preserve">Q52609</t>
  </si>
  <si>
    <t xml:space="preserve">Q52610</t>
  </si>
  <si>
    <t xml:space="preserve">Q52611</t>
  </si>
  <si>
    <t xml:space="preserve">Q52612</t>
  </si>
  <si>
    <t xml:space="preserve">Q52613</t>
  </si>
  <si>
    <t xml:space="preserve">Q52614</t>
  </si>
  <si>
    <t xml:space="preserve">Q52615</t>
  </si>
  <si>
    <t xml:space="preserve">Q52616</t>
  </si>
  <si>
    <t xml:space="preserve">Q52617</t>
  </si>
  <si>
    <t xml:space="preserve">Q52618</t>
  </si>
  <si>
    <t xml:space="preserve">Q52619</t>
  </si>
  <si>
    <t xml:space="preserve">Q52620</t>
  </si>
  <si>
    <t xml:space="preserve">Q52621</t>
  </si>
  <si>
    <t xml:space="preserve">Q52622</t>
  </si>
  <si>
    <t xml:space="preserve">Q52623</t>
  </si>
  <si>
    <t xml:space="preserve">Q52624</t>
  </si>
  <si>
    <t xml:space="preserve">Q52625</t>
  </si>
  <si>
    <t xml:space="preserve">Q52626</t>
  </si>
  <si>
    <t xml:space="preserve">Q52627</t>
  </si>
  <si>
    <t xml:space="preserve">Q52628</t>
  </si>
  <si>
    <t xml:space="preserve">Q52629</t>
  </si>
  <si>
    <t xml:space="preserve">Q52630</t>
  </si>
  <si>
    <t xml:space="preserve">Q52631</t>
  </si>
  <si>
    <t xml:space="preserve">Q52632</t>
  </si>
  <si>
    <t xml:space="preserve">Q52633</t>
  </si>
  <si>
    <t xml:space="preserve">Q52634</t>
  </si>
  <si>
    <t xml:space="preserve">Q52635</t>
  </si>
  <si>
    <t xml:space="preserve">Q52636</t>
  </si>
  <si>
    <t xml:space="preserve">Q52637</t>
  </si>
  <si>
    <t xml:space="preserve">Q52638</t>
  </si>
  <si>
    <t xml:space="preserve">Q52639</t>
  </si>
  <si>
    <t xml:space="preserve">Q52640</t>
  </si>
  <si>
    <t xml:space="preserve">Q52641</t>
  </si>
  <si>
    <t xml:space="preserve">Q52642</t>
  </si>
  <si>
    <t xml:space="preserve">Q52643</t>
  </si>
  <si>
    <t xml:space="preserve">Q52644</t>
  </si>
  <si>
    <t xml:space="preserve">Q52645</t>
  </si>
  <si>
    <t xml:space="preserve">Q52646</t>
  </si>
  <si>
    <t xml:space="preserve">Q52647</t>
  </si>
  <si>
    <t xml:space="preserve">Q52648</t>
  </si>
  <si>
    <t xml:space="preserve">Q52649</t>
  </si>
  <si>
    <t xml:space="preserve">Q52650</t>
  </si>
  <si>
    <t xml:space="preserve">Q52651</t>
  </si>
  <si>
    <t xml:space="preserve">Q52652</t>
  </si>
  <si>
    <t xml:space="preserve">Q52653</t>
  </si>
  <si>
    <t xml:space="preserve">Q52654</t>
  </si>
  <si>
    <t xml:space="preserve">Q52655</t>
  </si>
  <si>
    <t xml:space="preserve">Q52656</t>
  </si>
  <si>
    <t xml:space="preserve">Q52657</t>
  </si>
  <si>
    <t xml:space="preserve">Q52658</t>
  </si>
  <si>
    <t xml:space="preserve">Q52659</t>
  </si>
  <si>
    <t xml:space="preserve">Q52660</t>
  </si>
  <si>
    <t xml:space="preserve">Q52661</t>
  </si>
  <si>
    <t xml:space="preserve">Q52662</t>
  </si>
  <si>
    <t xml:space="preserve">Q52663</t>
  </si>
  <si>
    <t xml:space="preserve">Q52664</t>
  </si>
  <si>
    <t xml:space="preserve">Q52665</t>
  </si>
  <si>
    <t xml:space="preserve">Q52666</t>
  </si>
  <si>
    <t xml:space="preserve">Q52667</t>
  </si>
  <si>
    <t xml:space="preserve">Q52668</t>
  </si>
  <si>
    <t xml:space="preserve">Q52669</t>
  </si>
  <si>
    <t xml:space="preserve">Q52670</t>
  </si>
  <si>
    <t xml:space="preserve">Q52671</t>
  </si>
  <si>
    <t xml:space="preserve">Q52672</t>
  </si>
  <si>
    <t xml:space="preserve">Q52673</t>
  </si>
  <si>
    <t xml:space="preserve">Q52674</t>
  </si>
  <si>
    <t xml:space="preserve">Q52675</t>
  </si>
  <si>
    <t xml:space="preserve">Q52676</t>
  </si>
  <si>
    <t xml:space="preserve">Q52677</t>
  </si>
  <si>
    <t xml:space="preserve">Q52678</t>
  </si>
  <si>
    <t xml:space="preserve">Q52679</t>
  </si>
  <si>
    <t xml:space="preserve">Q52680</t>
  </si>
  <si>
    <t xml:space="preserve">Q52681</t>
  </si>
  <si>
    <t xml:space="preserve">Q52682</t>
  </si>
  <si>
    <t xml:space="preserve">Q52683</t>
  </si>
  <si>
    <t xml:space="preserve">Q52684</t>
  </si>
  <si>
    <t xml:space="preserve">Q52685</t>
  </si>
  <si>
    <t xml:space="preserve">Q52686</t>
  </si>
  <si>
    <t xml:space="preserve">Q52687</t>
  </si>
  <si>
    <t xml:space="preserve">Q52688</t>
  </si>
  <si>
    <t xml:space="preserve">Q52689</t>
  </si>
  <si>
    <t xml:space="preserve">Q52690</t>
  </si>
  <si>
    <t xml:space="preserve">Q52691</t>
  </si>
  <si>
    <t xml:space="preserve">Q52692</t>
  </si>
  <si>
    <t xml:space="preserve">Q52693</t>
  </si>
  <si>
    <t xml:space="preserve">Q52694</t>
  </si>
  <si>
    <t xml:space="preserve">Q52695</t>
  </si>
  <si>
    <t xml:space="preserve">Q52696</t>
  </si>
  <si>
    <t xml:space="preserve">Q52697</t>
  </si>
  <si>
    <t xml:space="preserve">Q52698</t>
  </si>
  <si>
    <t xml:space="preserve">Q52699</t>
  </si>
  <si>
    <t xml:space="preserve">Q52700</t>
  </si>
  <si>
    <t xml:space="preserve">Q52701</t>
  </si>
  <si>
    <t xml:space="preserve">Q52702</t>
  </si>
  <si>
    <t xml:space="preserve">Q52703</t>
  </si>
  <si>
    <t xml:space="preserve">Q52704</t>
  </si>
  <si>
    <t xml:space="preserve">Q52705</t>
  </si>
  <si>
    <t xml:space="preserve">Q52706</t>
  </si>
  <si>
    <t xml:space="preserve">Q52707</t>
  </si>
  <si>
    <t xml:space="preserve">Q52708</t>
  </si>
  <si>
    <t xml:space="preserve">Q52709</t>
  </si>
  <si>
    <t xml:space="preserve">Q52710</t>
  </si>
  <si>
    <t xml:space="preserve">Q52711</t>
  </si>
  <si>
    <t xml:space="preserve">Q52712</t>
  </si>
  <si>
    <t xml:space="preserve">Q52713</t>
  </si>
  <si>
    <t xml:space="preserve">Q52714</t>
  </si>
  <si>
    <t xml:space="preserve">Q52715</t>
  </si>
  <si>
    <t xml:space="preserve">Q52716</t>
  </si>
  <si>
    <t xml:space="preserve">Q52717</t>
  </si>
  <si>
    <t xml:space="preserve">Q52718</t>
  </si>
  <si>
    <t xml:space="preserve">Q52719</t>
  </si>
  <si>
    <t xml:space="preserve">Q52720</t>
  </si>
  <si>
    <t xml:space="preserve">Q52721</t>
  </si>
  <si>
    <t xml:space="preserve">Q52722</t>
  </si>
  <si>
    <t xml:space="preserve">Q52723</t>
  </si>
  <si>
    <t xml:space="preserve">Q52724</t>
  </si>
  <si>
    <t xml:space="preserve">Q52725</t>
  </si>
  <si>
    <t xml:space="preserve">Q52726</t>
  </si>
  <si>
    <t xml:space="preserve">Q52727</t>
  </si>
  <si>
    <t xml:space="preserve">Q52728</t>
  </si>
  <si>
    <t xml:space="preserve">Q52729</t>
  </si>
  <si>
    <t xml:space="preserve">Q52730</t>
  </si>
  <si>
    <t xml:space="preserve">Q52731</t>
  </si>
  <si>
    <t xml:space="preserve">Q52732</t>
  </si>
  <si>
    <t xml:space="preserve">Q52733</t>
  </si>
  <si>
    <t xml:space="preserve">Q52734</t>
  </si>
  <si>
    <t xml:space="preserve">Q52735</t>
  </si>
  <si>
    <t xml:space="preserve">Q52736</t>
  </si>
  <si>
    <t xml:space="preserve">Q52737</t>
  </si>
  <si>
    <t xml:space="preserve">Q52738</t>
  </si>
  <si>
    <t xml:space="preserve">Q52739</t>
  </si>
  <si>
    <t xml:space="preserve">Q52740</t>
  </si>
  <si>
    <t xml:space="preserve">Q52741</t>
  </si>
  <si>
    <t xml:space="preserve">Q52742</t>
  </si>
  <si>
    <t xml:space="preserve">Q52743</t>
  </si>
  <si>
    <t xml:space="preserve">Q52744</t>
  </si>
  <si>
    <t xml:space="preserve">Q52745</t>
  </si>
  <si>
    <t xml:space="preserve">Q52746</t>
  </si>
  <si>
    <t xml:space="preserve">Q52747</t>
  </si>
  <si>
    <t xml:space="preserve">Q52748</t>
  </si>
  <si>
    <t xml:space="preserve">Q52749</t>
  </si>
  <si>
    <t xml:space="preserve">Q52750</t>
  </si>
  <si>
    <t xml:space="preserve">Q52751</t>
  </si>
  <si>
    <t xml:space="preserve">Q52752</t>
  </si>
  <si>
    <t xml:space="preserve">Q52753</t>
  </si>
  <si>
    <t xml:space="preserve">Q52754</t>
  </si>
  <si>
    <t xml:space="preserve">Q52755</t>
  </si>
  <si>
    <t xml:space="preserve">Q52756</t>
  </si>
  <si>
    <t xml:space="preserve">Q52757</t>
  </si>
  <si>
    <t xml:space="preserve">Q52758</t>
  </si>
  <si>
    <t xml:space="preserve">Q52759</t>
  </si>
  <si>
    <t xml:space="preserve">Q52760</t>
  </si>
  <si>
    <t xml:space="preserve">Q52761</t>
  </si>
  <si>
    <t xml:space="preserve">Q52762</t>
  </si>
  <si>
    <t xml:space="preserve">Q52763</t>
  </si>
  <si>
    <t xml:space="preserve">Q52764</t>
  </si>
  <si>
    <t xml:space="preserve">Q52765</t>
  </si>
  <si>
    <t xml:space="preserve">Q52766</t>
  </si>
  <si>
    <t xml:space="preserve">Q52767</t>
  </si>
  <si>
    <t xml:space="preserve">Q52768</t>
  </si>
  <si>
    <t xml:space="preserve">Q52769</t>
  </si>
  <si>
    <t xml:space="preserve">Q52770</t>
  </si>
  <si>
    <t xml:space="preserve">Q52771</t>
  </si>
  <si>
    <t xml:space="preserve">Q52772</t>
  </si>
  <si>
    <t xml:space="preserve">Q52773</t>
  </si>
  <si>
    <t xml:space="preserve">Q52774</t>
  </si>
  <si>
    <t xml:space="preserve">Q52775</t>
  </si>
  <si>
    <t xml:space="preserve">Q52776</t>
  </si>
  <si>
    <t xml:space="preserve">Q52777</t>
  </si>
  <si>
    <t xml:space="preserve">Q52778</t>
  </si>
  <si>
    <t xml:space="preserve">Q52779</t>
  </si>
  <si>
    <t xml:space="preserve">Q52780</t>
  </si>
  <si>
    <t xml:space="preserve">Q52781</t>
  </si>
  <si>
    <t xml:space="preserve">Q52782</t>
  </si>
  <si>
    <t xml:space="preserve">Q52783</t>
  </si>
  <si>
    <t xml:space="preserve">Q52784</t>
  </si>
  <si>
    <t xml:space="preserve">Q52785</t>
  </si>
  <si>
    <t xml:space="preserve">Q52786</t>
  </si>
  <si>
    <t xml:space="preserve">Q52787</t>
  </si>
  <si>
    <t xml:space="preserve">Q52788</t>
  </si>
  <si>
    <t xml:space="preserve">Q52789</t>
  </si>
  <si>
    <t xml:space="preserve">Q52790</t>
  </si>
  <si>
    <t xml:space="preserve">Q52791</t>
  </si>
  <si>
    <t xml:space="preserve">Q52792</t>
  </si>
  <si>
    <t xml:space="preserve">Q52793</t>
  </si>
  <si>
    <t xml:space="preserve">Q52794</t>
  </si>
  <si>
    <t xml:space="preserve">Q52795</t>
  </si>
  <si>
    <t xml:space="preserve">Q52796</t>
  </si>
  <si>
    <t xml:space="preserve">Q52797</t>
  </si>
  <si>
    <t xml:space="preserve">Q52798</t>
  </si>
  <si>
    <t xml:space="preserve">Q52799</t>
  </si>
  <si>
    <t xml:space="preserve">Q52800</t>
  </si>
  <si>
    <t xml:space="preserve">Q52801</t>
  </si>
  <si>
    <t xml:space="preserve">Q52802</t>
  </si>
  <si>
    <t xml:space="preserve">Q52803</t>
  </si>
  <si>
    <t xml:space="preserve">Q52804</t>
  </si>
  <si>
    <t xml:space="preserve">Q52805</t>
  </si>
  <si>
    <t xml:space="preserve">Q52806</t>
  </si>
  <si>
    <t xml:space="preserve">Q52807</t>
  </si>
  <si>
    <t xml:space="preserve">Q52808</t>
  </si>
  <si>
    <t xml:space="preserve">Q52809</t>
  </si>
  <si>
    <t xml:space="preserve">Q52810</t>
  </si>
  <si>
    <t xml:space="preserve">Q52811</t>
  </si>
  <si>
    <t xml:space="preserve">Q52812</t>
  </si>
  <si>
    <t xml:space="preserve">Q52813</t>
  </si>
  <si>
    <t xml:space="preserve">Q52814</t>
  </si>
  <si>
    <t xml:space="preserve">Q52815</t>
  </si>
  <si>
    <t xml:space="preserve">Q52816</t>
  </si>
  <si>
    <t xml:space="preserve">Q52817</t>
  </si>
  <si>
    <t xml:space="preserve">Q52818</t>
  </si>
  <si>
    <t xml:space="preserve">Q52819</t>
  </si>
  <si>
    <t xml:space="preserve">Q52820</t>
  </si>
  <si>
    <t xml:space="preserve">Q52821</t>
  </si>
  <si>
    <t xml:space="preserve">Q52822</t>
  </si>
  <si>
    <t xml:space="preserve">Q52823</t>
  </si>
  <si>
    <t xml:space="preserve">Q52824</t>
  </si>
  <si>
    <t xml:space="preserve">Q52825</t>
  </si>
  <si>
    <t xml:space="preserve">Q52826</t>
  </si>
  <si>
    <t xml:space="preserve">Q52827</t>
  </si>
  <si>
    <t xml:space="preserve">Q52828</t>
  </si>
  <si>
    <t xml:space="preserve">Q52829</t>
  </si>
  <si>
    <t xml:space="preserve">Q52830</t>
  </si>
  <si>
    <t xml:space="preserve">Q52831</t>
  </si>
  <si>
    <t xml:space="preserve">Q52832</t>
  </si>
  <si>
    <t xml:space="preserve">Q52833</t>
  </si>
  <si>
    <t xml:space="preserve">Q52834</t>
  </si>
  <si>
    <t xml:space="preserve">Q52835</t>
  </si>
  <si>
    <t xml:space="preserve">Q52836</t>
  </si>
  <si>
    <t xml:space="preserve">Q52837</t>
  </si>
  <si>
    <t xml:space="preserve">Q52838</t>
  </si>
  <si>
    <t xml:space="preserve">Q52839</t>
  </si>
  <si>
    <t xml:space="preserve">Q52840</t>
  </si>
  <si>
    <t xml:space="preserve">Q52841</t>
  </si>
  <si>
    <t xml:space="preserve">Q52842</t>
  </si>
  <si>
    <t xml:space="preserve">Q52843</t>
  </si>
  <si>
    <t xml:space="preserve">Q52844</t>
  </si>
  <si>
    <t xml:space="preserve">Q52845</t>
  </si>
  <si>
    <t xml:space="preserve">Q52846</t>
  </si>
  <si>
    <t xml:space="preserve">Q52847</t>
  </si>
  <si>
    <t xml:space="preserve">Q52848</t>
  </si>
  <si>
    <t xml:space="preserve">Q52849</t>
  </si>
  <si>
    <t xml:space="preserve">Q52850</t>
  </si>
  <si>
    <t xml:space="preserve">Q52851</t>
  </si>
  <si>
    <t xml:space="preserve">Q52852</t>
  </si>
  <si>
    <t xml:space="preserve">Q52853</t>
  </si>
  <si>
    <t xml:space="preserve">Q52854</t>
  </si>
  <si>
    <t xml:space="preserve">Q52855</t>
  </si>
  <si>
    <t xml:space="preserve">Q52856</t>
  </si>
  <si>
    <t xml:space="preserve">Q52857</t>
  </si>
  <si>
    <t xml:space="preserve">Q52858</t>
  </si>
  <si>
    <t xml:space="preserve">Q52859</t>
  </si>
  <si>
    <t xml:space="preserve">Q52860</t>
  </si>
  <si>
    <t xml:space="preserve">Q52861</t>
  </si>
  <si>
    <t xml:space="preserve">Q52862</t>
  </si>
  <si>
    <t xml:space="preserve">Q52863</t>
  </si>
  <si>
    <t xml:space="preserve">Q52864</t>
  </si>
  <si>
    <t xml:space="preserve">Q52865</t>
  </si>
  <si>
    <t xml:space="preserve">Q52866</t>
  </si>
  <si>
    <t xml:space="preserve">Q52867</t>
  </si>
  <si>
    <t xml:space="preserve">Q52868</t>
  </si>
  <si>
    <t xml:space="preserve">Q52869</t>
  </si>
  <si>
    <t xml:space="preserve">Q52870</t>
  </si>
  <si>
    <t xml:space="preserve">Q52871</t>
  </si>
  <si>
    <t xml:space="preserve">Q52872</t>
  </si>
  <si>
    <t xml:space="preserve">Q52873</t>
  </si>
  <si>
    <t xml:space="preserve">Q52874</t>
  </si>
  <si>
    <t xml:space="preserve">Q52875</t>
  </si>
  <si>
    <t xml:space="preserve">Q52876</t>
  </si>
  <si>
    <t xml:space="preserve">Q52877</t>
  </si>
  <si>
    <t xml:space="preserve">Q52878</t>
  </si>
  <si>
    <t xml:space="preserve">Q52879</t>
  </si>
  <si>
    <t xml:space="preserve">Q52880</t>
  </si>
  <si>
    <t xml:space="preserve">Q52881</t>
  </si>
  <si>
    <t xml:space="preserve">Q52882</t>
  </si>
  <si>
    <t xml:space="preserve">Q52883</t>
  </si>
  <si>
    <t xml:space="preserve">Q52884</t>
  </si>
  <si>
    <t xml:space="preserve">Q52885</t>
  </si>
  <si>
    <t xml:space="preserve">Q52886</t>
  </si>
  <si>
    <t xml:space="preserve">Q52887</t>
  </si>
  <si>
    <t xml:space="preserve">Q52888</t>
  </si>
  <si>
    <t xml:space="preserve">Q52889</t>
  </si>
  <si>
    <t xml:space="preserve">Q52890</t>
  </si>
  <si>
    <t xml:space="preserve">Q52891</t>
  </si>
  <si>
    <t xml:space="preserve">Q52892</t>
  </si>
  <si>
    <t xml:space="preserve">Q52893</t>
  </si>
  <si>
    <t xml:space="preserve">Q52894</t>
  </si>
  <si>
    <t xml:space="preserve">Q52895</t>
  </si>
  <si>
    <t xml:space="preserve">Q52896</t>
  </si>
  <si>
    <t xml:space="preserve">Q52897</t>
  </si>
  <si>
    <t xml:space="preserve">Q52898</t>
  </si>
  <si>
    <t xml:space="preserve">Q52899</t>
  </si>
  <si>
    <t xml:space="preserve">Q52900</t>
  </si>
  <si>
    <t xml:space="preserve">Q52901</t>
  </si>
  <si>
    <t xml:space="preserve">Q52902</t>
  </si>
  <si>
    <t xml:space="preserve">Q52903</t>
  </si>
  <si>
    <t xml:space="preserve">Q52904</t>
  </si>
  <si>
    <t xml:space="preserve">Q52905</t>
  </si>
  <si>
    <t xml:space="preserve">Q52906</t>
  </si>
  <si>
    <t xml:space="preserve">Q52907</t>
  </si>
  <si>
    <t xml:space="preserve">Q52908</t>
  </si>
  <si>
    <t xml:space="preserve">Q52909</t>
  </si>
  <si>
    <t xml:space="preserve">Q52910</t>
  </si>
  <si>
    <t xml:space="preserve">Q52911</t>
  </si>
  <si>
    <t xml:space="preserve">Q52912</t>
  </si>
  <si>
    <t xml:space="preserve">Q52913</t>
  </si>
  <si>
    <t xml:space="preserve">Q52914</t>
  </si>
  <si>
    <t xml:space="preserve">Q52915</t>
  </si>
  <si>
    <t xml:space="preserve">Q52916</t>
  </si>
  <si>
    <t xml:space="preserve">Q52917</t>
  </si>
  <si>
    <t xml:space="preserve">Q52918</t>
  </si>
  <si>
    <t xml:space="preserve">Q52919</t>
  </si>
  <si>
    <t xml:space="preserve">Q52920</t>
  </si>
  <si>
    <t xml:space="preserve">Q52921</t>
  </si>
  <si>
    <t xml:space="preserve">Q52922</t>
  </si>
  <si>
    <t xml:space="preserve">Q52923</t>
  </si>
  <si>
    <t xml:space="preserve">Q52924</t>
  </si>
  <si>
    <t xml:space="preserve">Q52925</t>
  </si>
  <si>
    <t xml:space="preserve">Q52926</t>
  </si>
  <si>
    <t xml:space="preserve">Q52927</t>
  </si>
  <si>
    <t xml:space="preserve">Q52928</t>
  </si>
  <si>
    <t xml:space="preserve">Q52929</t>
  </si>
  <si>
    <t xml:space="preserve">Q52930</t>
  </si>
  <si>
    <t xml:space="preserve">Q52931</t>
  </si>
  <si>
    <t xml:space="preserve">Q52932</t>
  </si>
  <si>
    <t xml:space="preserve">Q52933</t>
  </si>
  <si>
    <t xml:space="preserve">Q52934</t>
  </si>
  <si>
    <t xml:space="preserve">Q52935</t>
  </si>
  <si>
    <t xml:space="preserve">Q52936</t>
  </si>
  <si>
    <t xml:space="preserve">Q52937</t>
  </si>
  <si>
    <t xml:space="preserve">Q52938</t>
  </si>
  <si>
    <t xml:space="preserve">Q52939</t>
  </si>
  <si>
    <t xml:space="preserve">Q52940</t>
  </si>
  <si>
    <t xml:space="preserve">Q52941</t>
  </si>
  <si>
    <t xml:space="preserve">Q52942</t>
  </si>
  <si>
    <t xml:space="preserve">Q52943</t>
  </si>
  <si>
    <t xml:space="preserve">Q52944</t>
  </si>
  <si>
    <t xml:space="preserve">Q52945</t>
  </si>
  <si>
    <t xml:space="preserve">Q52946</t>
  </si>
  <si>
    <t xml:space="preserve">Q52947</t>
  </si>
  <si>
    <t xml:space="preserve">Q52948</t>
  </si>
  <si>
    <t xml:space="preserve">Q52949</t>
  </si>
  <si>
    <t xml:space="preserve">Q52950</t>
  </si>
  <si>
    <t xml:space="preserve">Q52951</t>
  </si>
  <si>
    <t xml:space="preserve">Q52952</t>
  </si>
  <si>
    <t xml:space="preserve">Q52953</t>
  </si>
  <si>
    <t xml:space="preserve">Q52954</t>
  </si>
  <si>
    <t xml:space="preserve">Q52955</t>
  </si>
  <si>
    <t xml:space="preserve">Q52956</t>
  </si>
  <si>
    <t xml:space="preserve">Q52957</t>
  </si>
  <si>
    <t xml:space="preserve">Q52958</t>
  </si>
  <si>
    <t xml:space="preserve">Q52959</t>
  </si>
  <si>
    <t xml:space="preserve">Q52960</t>
  </si>
  <si>
    <t xml:space="preserve">Q52961</t>
  </si>
  <si>
    <t xml:space="preserve">Q52962</t>
  </si>
  <si>
    <t xml:space="preserve">Q52963</t>
  </si>
  <si>
    <t xml:space="preserve">Q52964</t>
  </si>
  <si>
    <t xml:space="preserve">Q52965</t>
  </si>
  <si>
    <t xml:space="preserve">Q52966</t>
  </si>
  <si>
    <t xml:space="preserve">Q52967</t>
  </si>
  <si>
    <t xml:space="preserve">Q52968</t>
  </si>
  <si>
    <t xml:space="preserve">Q52969</t>
  </si>
  <si>
    <t xml:space="preserve">Q52970</t>
  </si>
  <si>
    <t xml:space="preserve">Q52971</t>
  </si>
  <si>
    <t xml:space="preserve">Q52972</t>
  </si>
  <si>
    <t xml:space="preserve">Q52973</t>
  </si>
  <si>
    <t xml:space="preserve">Q52974</t>
  </si>
  <si>
    <t xml:space="preserve">Q52975</t>
  </si>
  <si>
    <t xml:space="preserve">Q52976</t>
  </si>
  <si>
    <t xml:space="preserve">Q52977</t>
  </si>
  <si>
    <t xml:space="preserve">Q52978</t>
  </si>
  <si>
    <t xml:space="preserve">Q52979</t>
  </si>
  <si>
    <t xml:space="preserve">Q52980</t>
  </si>
  <si>
    <t xml:space="preserve">Q52981</t>
  </si>
  <si>
    <t xml:space="preserve">Q52982</t>
  </si>
  <si>
    <t xml:space="preserve">Q52983</t>
  </si>
  <si>
    <t xml:space="preserve">Q52984</t>
  </si>
  <si>
    <t xml:space="preserve">Q52985</t>
  </si>
  <si>
    <t xml:space="preserve">Q52986</t>
  </si>
  <si>
    <t xml:space="preserve">Q52987</t>
  </si>
  <si>
    <t xml:space="preserve">Q52988</t>
  </si>
  <si>
    <t xml:space="preserve">Q52989</t>
  </si>
  <si>
    <t xml:space="preserve">Q52990</t>
  </si>
  <si>
    <t xml:space="preserve">Q52991</t>
  </si>
  <si>
    <t xml:space="preserve">Q52992</t>
  </si>
  <si>
    <t xml:space="preserve">Q52993</t>
  </si>
  <si>
    <t xml:space="preserve">Q52994</t>
  </si>
  <si>
    <t xml:space="preserve">Q52995</t>
  </si>
  <si>
    <t xml:space="preserve">Q52996</t>
  </si>
  <si>
    <t xml:space="preserve">Q52997</t>
  </si>
  <si>
    <t xml:space="preserve">Q52998</t>
  </si>
  <si>
    <t xml:space="preserve">Q52999</t>
  </si>
  <si>
    <t xml:space="preserve">Q53000</t>
  </si>
  <si>
    <t xml:space="preserve">ShippedDate</t>
  </si>
  <si>
    <t xml:space="preserve">CarrierName</t>
  </si>
  <si>
    <t xml:space="preserve">Origin</t>
  </si>
  <si>
    <t xml:space="preserve">Destination</t>
  </si>
  <si>
    <t xml:space="preserve">DelayReason</t>
  </si>
  <si>
    <t xml:space="preserve">Gati</t>
  </si>
  <si>
    <t xml:space="preserve">Mumbai</t>
  </si>
  <si>
    <t xml:space="preserve">Delhi NCR</t>
  </si>
  <si>
    <t xml:space="preserve">Vendor production delay</t>
  </si>
  <si>
    <t xml:space="preserve">BlueDart</t>
  </si>
  <si>
    <t xml:space="preserve">Coimbatore</t>
  </si>
  <si>
    <t xml:space="preserve">Carrier capacity issue</t>
  </si>
  <si>
    <t xml:space="preserve">TCI Express</t>
  </si>
  <si>
    <t xml:space="preserve">Hyderabad</t>
  </si>
  <si>
    <t xml:space="preserve">Chennai</t>
  </si>
  <si>
    <t xml:space="preserve">Documentation error</t>
  </si>
  <si>
    <t xml:space="preserve">Surat</t>
  </si>
  <si>
    <t xml:space="preserve">Pune</t>
  </si>
  <si>
    <t xml:space="preserve">Kolkata</t>
  </si>
  <si>
    <t xml:space="preserve">Bengaluru</t>
  </si>
  <si>
    <t xml:space="preserve">DHL</t>
  </si>
  <si>
    <t xml:space="preserve">Delhivery</t>
  </si>
  <si>
    <t xml:space="preserve">Ahmedabad</t>
  </si>
  <si>
    <t xml:space="preserve">Port congestion</t>
  </si>
  <si>
    <t xml:space="preserve">FedEx</t>
  </si>
  <si>
    <t xml:space="preserve">Weather disruption</t>
  </si>
  <si>
    <t xml:space="preserve">Safexpress</t>
  </si>
  <si>
    <t xml:space="preserve">Customs delay</t>
  </si>
  <si>
    <t xml:space="preserve">Data Quality Checks — PurchaseOrders</t>
  </si>
  <si>
    <t xml:space="preserve">Check</t>
  </si>
  <si>
    <t xml:space="preserve">Result (count of issues)</t>
  </si>
  <si>
    <t xml:space="preserve">Status</t>
  </si>
  <si>
    <t xml:space="preserve">Duplicate PO_IDs</t>
  </si>
  <si>
    <t xml:space="preserve">Blank VendorID</t>
  </si>
  <si>
    <t xml:space="preserve">Blank OrderDate</t>
  </si>
  <si>
    <t xml:space="preserve">Blank PromisedDeliveryDate</t>
  </si>
  <si>
    <t xml:space="preserve">Blank ActualDeliveryDate</t>
  </si>
  <si>
    <t xml:space="preserve">DeliveredQty &gt; OrderedQty (impossible)</t>
  </si>
  <si>
    <t xml:space="preserve">Negative OrderedQty</t>
  </si>
  <si>
    <t xml:space="preserve">Negative DeliveredQty</t>
  </si>
  <si>
    <t xml:space="preserve">Negative or zero ContractedUnitPrice</t>
  </si>
  <si>
    <t xml:space="preserve">ActualDeliveryDate before OrderDate (impossible)</t>
  </si>
  <si>
    <t xml:space="preserve">Note: This dataset is synthetic and generated to be clean by design — expect all checks to read OK. In a real vendor dataset, this sheet is where you'd catch and flag broken records before analyzing.</t>
  </si>
  <si>
    <t xml:space="preserve">OrderCount</t>
  </si>
  <si>
    <t xml:space="preserve">OnTimePct</t>
  </si>
  <si>
    <t xml:space="preserve">AvgDelayDays</t>
  </si>
  <si>
    <t xml:space="preserve">AvgFillRatePct</t>
  </si>
  <si>
    <t xml:space="preserve">AvgPriceVariancePct</t>
  </si>
  <si>
    <t xml:space="preserve">DefectRatePct</t>
  </si>
  <si>
    <t xml:space="preserve">DelayRisk</t>
  </si>
  <si>
    <t xml:space="preserve">DefectRisk</t>
  </si>
  <si>
    <t xml:space="preserve">PriceRisk</t>
  </si>
  <si>
    <t xml:space="preserve">FillRisk</t>
  </si>
  <si>
    <t xml:space="preserve">DelayRiskNorm</t>
  </si>
  <si>
    <t xml:space="preserve">DefectRiskNorm</t>
  </si>
  <si>
    <t xml:space="preserve">PriceRiskNorm</t>
  </si>
  <si>
    <t xml:space="preserve">FillRiskNorm</t>
  </si>
  <si>
    <t xml:space="preserve">RiskScore</t>
  </si>
  <si>
    <t xml:space="preserve">RiskTier</t>
  </si>
  <si>
    <t xml:space="preserve">RiskRank</t>
  </si>
  <si>
    <t xml:space="preserve">TotalSpend</t>
  </si>
  <si>
    <t xml:space="preserve">SupplyRiskLevel</t>
  </si>
  <si>
    <t xml:space="preserve">SpendLevel</t>
  </si>
  <si>
    <t xml:space="preserve">KraljicQuadrant</t>
  </si>
  <si>
    <t xml:space="preserve">ASSUMPTIONS: RiskScore = 35% DelayRiskNorm + 30% DefectRiskNorm + 20% PriceRiskNorm + 15% FillRiskNorm (weights are a business judgment: delay &amp; quality most directly cause production downtime). RiskTier thresholds: High &gt;=65, Medium 40-64.9, Low &lt;40 (analyst-set thresholds, adjustable). Normalization is min-max across this vendor set, i.e. relative ranking, not an absolute industry benchmark.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</si>
</sst>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"/>
    <numFmt numFmtId="167" formatCode="0.0%"/>
    <numFmt numFmtId="168" formatCode="yyyy\-mm\-dd"/>
    <numFmt numFmtId="169" formatCode="0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CC57C"/>
          <bgColor rgb="FF000000"/>
        </patternFill>
      </fill>
    </dxf>
    <dxf>
      <fill>
        <patternFill patternType="solid">
          <fgColor rgb="FF82C77C"/>
          <bgColor rgb="FF000000"/>
        </patternFill>
      </fill>
    </dxf>
    <dxf>
      <fill>
        <patternFill patternType="solid">
          <fgColor rgb="FF83C77C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98CD7E"/>
          <bgColor rgb="FF000000"/>
        </patternFill>
      </fill>
    </dxf>
    <dxf>
      <fill>
        <patternFill patternType="solid">
          <fgColor rgb="FF9CCE7E"/>
          <bgColor rgb="FF000000"/>
        </patternFill>
      </fill>
    </dxf>
    <dxf>
      <fill>
        <patternFill patternType="solid">
          <fgColor rgb="FFAAD27F"/>
          <bgColor rgb="FF000000"/>
        </patternFill>
      </fill>
    </dxf>
    <dxf>
      <fill>
        <patternFill patternType="solid">
          <fgColor rgb="FFABD2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B7D67F"/>
          <bgColor rgb="FF000000"/>
        </patternFill>
      </fill>
    </dxf>
    <dxf>
      <fill>
        <patternFill patternType="solid">
          <fgColor rgb="FFB9D67F"/>
          <bgColor rgb="FF000000"/>
        </patternFill>
      </fill>
    </dxf>
    <dxf>
      <fill>
        <patternFill patternType="solid">
          <fgColor rgb="FFB9D780"/>
          <bgColor rgb="FF000000"/>
        </patternFill>
      </fill>
    </dxf>
    <dxf>
      <fill>
        <patternFill patternType="solid">
          <fgColor rgb="FFC3D980"/>
          <bgColor rgb="FF000000"/>
        </patternFill>
      </fill>
    </dxf>
    <dxf>
      <fill>
        <patternFill patternType="solid">
          <fgColor rgb="FFC4D9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CEDC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D3DE81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DDE182"/>
          <bgColor rgb="FF000000"/>
        </patternFill>
      </fill>
    </dxf>
    <dxf>
      <fill>
        <patternFill patternType="solid">
          <fgColor rgb="FFE2E282"/>
          <bgColor rgb="FF000000"/>
        </patternFill>
      </fill>
    </dxf>
    <dxf>
      <fill>
        <patternFill patternType="solid">
          <fgColor rgb="FFE4E382"/>
          <bgColor rgb="FF000000"/>
        </patternFill>
      </fill>
    </dxf>
    <dxf>
      <fill>
        <patternFill patternType="solid">
          <fgColor rgb="FFF3E7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A7F70"/>
          <bgColor rgb="FF000000"/>
        </patternFill>
      </fill>
    </dxf>
    <dxf>
      <fill>
        <patternFill patternType="solid">
          <fgColor rgb="FFFA8270"/>
          <bgColor rgb="FF000000"/>
        </patternFill>
      </fill>
    </dxf>
    <dxf>
      <fill>
        <patternFill patternType="solid">
          <fgColor rgb="FFFA8671"/>
          <bgColor rgb="FF000000"/>
        </patternFill>
      </fill>
    </dxf>
    <dxf>
      <fill>
        <patternFill patternType="solid">
          <fgColor rgb="FFFA8C72"/>
          <bgColor rgb="FF000000"/>
        </patternFill>
      </fill>
    </dxf>
    <dxf>
      <fill>
        <patternFill patternType="solid">
          <fgColor rgb="FFFAE983"/>
          <bgColor rgb="FF000000"/>
        </patternFill>
      </fill>
    </dxf>
    <dxf>
      <fill>
        <patternFill patternType="solid">
          <fgColor rgb="FFFB9C75"/>
          <bgColor rgb="FF000000"/>
        </patternFill>
      </fill>
    </dxf>
    <dxf>
      <fill>
        <patternFill patternType="solid">
          <fgColor rgb="FFFBA076"/>
          <bgColor rgb="FF000000"/>
        </patternFill>
      </fill>
    </dxf>
    <dxf>
      <fill>
        <patternFill patternType="solid">
          <fgColor rgb="FFFCA477"/>
          <bgColor rgb="FF000000"/>
        </patternFill>
      </fill>
    </dxf>
    <dxf>
      <fill>
        <patternFill patternType="solid">
          <fgColor rgb="FFFDBD7C"/>
          <bgColor rgb="FF000000"/>
        </patternFill>
      </fill>
    </dxf>
    <dxf>
      <fill>
        <patternFill patternType="solid">
          <fgColor rgb="FFFDBE7C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DC37D"/>
          <bgColor rgb="FF000000"/>
        </patternFill>
      </fill>
    </dxf>
    <dxf>
      <fill>
        <patternFill patternType="solid">
          <fgColor rgb="FFFDC47D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ECD7F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07F"/>
          <bgColor rgb="FF000000"/>
        </patternFill>
      </fill>
    </dxf>
    <dxf>
      <fill>
        <patternFill patternType="solid">
          <fgColor rgb="FFFED480"/>
          <bgColor rgb="FF000000"/>
        </patternFill>
      </fill>
    </dxf>
    <dxf>
      <fill>
        <patternFill patternType="solid">
          <fgColor rgb="FFFEEA83"/>
          <bgColor rgb="FF000000"/>
        </patternFill>
      </fill>
    </dxf>
    <dxf>
      <fill>
        <patternFill patternType="solid">
          <fgColor rgb="FFFFDB81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DF82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182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5" t="n">
        <f aca="false">COUNTA(VendorMetrics!A2:A61)</f>
        <v>60</v>
      </c>
    </row>
    <row r="5" customFormat="false" ht="15" hidden="false" customHeight="true" outlineLevel="0" collapsed="false">
      <c r="A5" s="4" t="s">
        <v>3</v>
      </c>
      <c r="B5" s="6" t="n">
        <f aca="false">SUM(VendorMetrics!U2:U61)</f>
        <v>409993663.15</v>
      </c>
    </row>
    <row r="6" customFormat="false" ht="15" hidden="false" customHeight="true" outlineLevel="0" collapsed="false">
      <c r="A6" s="4" t="s">
        <v>4</v>
      </c>
      <c r="B6" s="6" t="n">
        <f aca="false">SUMIFS(VendorMetrics!U2:U61,VendorMetrics!S2:S61,"High")</f>
        <v>12830937.21</v>
      </c>
    </row>
    <row r="7" customFormat="false" ht="15" hidden="false" customHeight="true" outlineLevel="0" collapsed="false">
      <c r="A7" s="4" t="s">
        <v>5</v>
      </c>
      <c r="B7" s="7" t="n">
        <f aca="false">B6/B5</f>
        <v>0.0312954524989955</v>
      </c>
    </row>
    <row r="8" customFormat="false" ht="15" hidden="false" customHeight="true" outlineLevel="0" collapsed="false">
      <c r="A8" s="4" t="s">
        <v>6</v>
      </c>
      <c r="B8" s="5" t="n">
        <f aca="false">COUNTIF(VendorMetrics!S2:S61,"High")</f>
        <v>1</v>
      </c>
    </row>
    <row r="9" customFormat="false" ht="15" hidden="false" customHeight="true" outlineLevel="0" collapsed="false">
      <c r="A9" s="4" t="s">
        <v>7</v>
      </c>
      <c r="B9" s="5" t="n">
        <f aca="false">COUNTIF(VendorMetrics!X2:X61,"Strategic")</f>
        <v>14</v>
      </c>
    </row>
    <row r="10" customFormat="false" ht="15" hidden="false" customHeight="true" outlineLevel="0" collapsed="false">
      <c r="A10" s="4" t="s">
        <v>8</v>
      </c>
      <c r="B10" s="5" t="n">
        <f aca="false">COUNTIF(VendorMetrics!X2:X61,"Bottleneck")</f>
        <v>16</v>
      </c>
    </row>
    <row r="11" customFormat="false" ht="15" hidden="false" customHeight="true" outlineLevel="0" collapsed="false">
      <c r="A11" s="4" t="s">
        <v>9</v>
      </c>
      <c r="B11" s="5" t="n">
        <f aca="false">COUNTIF(VendorMetrics!X2:X61,"Leverage")</f>
        <v>16</v>
      </c>
    </row>
    <row r="12" customFormat="false" ht="15" hidden="false" customHeight="true" outlineLevel="0" collapsed="false">
      <c r="A12" s="4" t="s">
        <v>10</v>
      </c>
      <c r="B12" s="5" t="n">
        <f aca="false">COUNTIF(VendorMetrics!X2:X61,"Non-Critical")</f>
        <v>14</v>
      </c>
    </row>
    <row r="15" customFormat="false" ht="30" hidden="false" customHeight="true" outlineLevel="0" collapsed="false">
      <c r="A15" s="8" t="s">
        <v>11</v>
      </c>
      <c r="B15" s="8"/>
      <c r="C15" s="8"/>
      <c r="D15" s="8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9" t="s">
        <v>12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13</v>
      </c>
      <c r="B2" s="10"/>
      <c r="C2" s="10"/>
      <c r="D2" s="10"/>
      <c r="E2" s="10"/>
      <c r="F2" s="10"/>
    </row>
    <row r="4" customFormat="false" ht="15" hidden="false" customHeight="true" outlineLevel="0" collapsed="false">
      <c r="A4" s="5" t="s">
        <v>14</v>
      </c>
    </row>
    <row r="5" customFormat="false" ht="15" hidden="false" customHeight="true" outlineLevel="0" collapsed="false">
      <c r="A5" s="11" t="s">
        <v>15</v>
      </c>
    </row>
    <row r="6" customFormat="false" ht="15" hidden="false" customHeight="true" outlineLevel="0" collapsed="false">
      <c r="A6" s="4" t="s">
        <v>16</v>
      </c>
    </row>
    <row r="8" customFormat="false" ht="15" hidden="false" customHeight="true" outlineLevel="0" collapsed="false">
      <c r="A8" s="5" t="s">
        <v>17</v>
      </c>
    </row>
    <row r="9" customFormat="false" ht="15" hidden="false" customHeight="true" outlineLevel="0" collapsed="false">
      <c r="A9" s="11" t="s">
        <v>18</v>
      </c>
    </row>
    <row r="10" customFormat="false" ht="15" hidden="false" customHeight="true" outlineLevel="0" collapsed="false">
      <c r="A10" s="4" t="s">
        <v>19</v>
      </c>
    </row>
    <row r="12" customFormat="false" ht="15" hidden="false" customHeight="true" outlineLevel="0" collapsed="false">
      <c r="A12" s="5" t="s">
        <v>20</v>
      </c>
    </row>
    <row r="13" customFormat="false" ht="15" hidden="false" customHeight="true" outlineLevel="0" collapsed="false">
      <c r="A13" s="11" t="s">
        <v>21</v>
      </c>
    </row>
    <row r="14" customFormat="false" ht="15" hidden="false" customHeight="true" outlineLevel="0" collapsed="false">
      <c r="A14" s="4" t="s">
        <v>22</v>
      </c>
    </row>
    <row r="16" customFormat="false" ht="15" hidden="false" customHeight="true" outlineLevel="0" collapsed="false">
      <c r="A16" s="5" t="s">
        <v>23</v>
      </c>
    </row>
    <row r="17" customFormat="false" ht="15" hidden="false" customHeight="true" outlineLevel="0" collapsed="false">
      <c r="A17" s="11" t="s">
        <v>24</v>
      </c>
    </row>
    <row r="18" customFormat="false" ht="15" hidden="false" customHeight="true" outlineLevel="0" collapsed="false">
      <c r="A18" s="4" t="s">
        <v>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21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5"/>
  </cols>
  <sheetData>
    <row r="1" customFormat="false" ht="15" hidden="false" customHeight="true" outlineLevel="0" collapsed="false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</row>
    <row r="2" customFormat="false" ht="15" hidden="false" customHeight="true" outlineLevel="0" collapsed="false">
      <c r="A2" s="4" t="s">
        <v>32</v>
      </c>
      <c r="B2" s="4" t="s">
        <v>33</v>
      </c>
      <c r="C2" s="4" t="s">
        <v>34</v>
      </c>
      <c r="D2" s="4" t="s">
        <v>35</v>
      </c>
      <c r="E2" s="13" t="n">
        <v>43151</v>
      </c>
      <c r="F2" s="4" t="s">
        <v>36</v>
      </c>
    </row>
    <row r="3" customFormat="false" ht="15" hidden="false" customHeight="true" outlineLevel="0" collapsed="false">
      <c r="A3" s="4" t="s">
        <v>37</v>
      </c>
      <c r="B3" s="4" t="s">
        <v>38</v>
      </c>
      <c r="C3" s="4" t="s">
        <v>34</v>
      </c>
      <c r="D3" s="4" t="s">
        <v>39</v>
      </c>
      <c r="E3" s="13" t="n">
        <v>44531</v>
      </c>
      <c r="F3" s="4" t="s">
        <v>40</v>
      </c>
    </row>
    <row r="4" customFormat="false" ht="15" hidden="false" customHeight="true" outlineLevel="0" collapsed="false">
      <c r="A4" s="4" t="s">
        <v>41</v>
      </c>
      <c r="B4" s="4" t="s">
        <v>42</v>
      </c>
      <c r="C4" s="4" t="s">
        <v>34</v>
      </c>
      <c r="D4" s="4" t="s">
        <v>39</v>
      </c>
      <c r="E4" s="13" t="n">
        <v>43269</v>
      </c>
      <c r="F4" s="4" t="s">
        <v>36</v>
      </c>
    </row>
    <row r="5" customFormat="false" ht="15" hidden="false" customHeight="true" outlineLevel="0" collapsed="false">
      <c r="A5" s="4" t="s">
        <v>43</v>
      </c>
      <c r="B5" s="4" t="s">
        <v>44</v>
      </c>
      <c r="C5" s="4" t="s">
        <v>45</v>
      </c>
      <c r="D5" s="4" t="s">
        <v>46</v>
      </c>
      <c r="E5" s="13" t="n">
        <v>44578</v>
      </c>
      <c r="F5" s="4" t="s">
        <v>40</v>
      </c>
    </row>
    <row r="6" customFormat="false" ht="15" hidden="false" customHeight="true" outlineLevel="0" collapsed="false">
      <c r="A6" s="4" t="s">
        <v>47</v>
      </c>
      <c r="B6" s="4" t="s">
        <v>48</v>
      </c>
      <c r="C6" s="4" t="s">
        <v>49</v>
      </c>
      <c r="D6" s="4" t="s">
        <v>39</v>
      </c>
      <c r="E6" s="13" t="n">
        <v>44752</v>
      </c>
      <c r="F6" s="4" t="s">
        <v>36</v>
      </c>
    </row>
    <row r="7" customFormat="false" ht="15" hidden="false" customHeight="true" outlineLevel="0" collapsed="false">
      <c r="A7" s="4" t="s">
        <v>50</v>
      </c>
      <c r="B7" s="4" t="s">
        <v>51</v>
      </c>
      <c r="C7" s="4" t="s">
        <v>45</v>
      </c>
      <c r="D7" s="4" t="s">
        <v>39</v>
      </c>
      <c r="E7" s="13" t="n">
        <v>43363</v>
      </c>
      <c r="F7" s="4" t="s">
        <v>36</v>
      </c>
    </row>
    <row r="8" customFormat="false" ht="15" hidden="false" customHeight="true" outlineLevel="0" collapsed="false">
      <c r="A8" s="4" t="s">
        <v>52</v>
      </c>
      <c r="B8" s="4" t="s">
        <v>53</v>
      </c>
      <c r="C8" s="4" t="s">
        <v>49</v>
      </c>
      <c r="D8" s="4" t="s">
        <v>54</v>
      </c>
      <c r="E8" s="13" t="n">
        <v>43968</v>
      </c>
      <c r="F8" s="4" t="s">
        <v>36</v>
      </c>
    </row>
    <row r="9" customFormat="false" ht="15" hidden="false" customHeight="true" outlineLevel="0" collapsed="false">
      <c r="A9" s="4" t="s">
        <v>55</v>
      </c>
      <c r="B9" s="4" t="s">
        <v>56</v>
      </c>
      <c r="C9" s="4" t="s">
        <v>45</v>
      </c>
      <c r="D9" s="4" t="s">
        <v>39</v>
      </c>
      <c r="E9" s="13" t="n">
        <v>43348</v>
      </c>
      <c r="F9" s="4" t="s">
        <v>57</v>
      </c>
    </row>
    <row r="10" customFormat="false" ht="15" hidden="false" customHeight="true" outlineLevel="0" collapsed="false">
      <c r="A10" s="4" t="s">
        <v>58</v>
      </c>
      <c r="B10" s="4" t="s">
        <v>59</v>
      </c>
      <c r="C10" s="4" t="s">
        <v>60</v>
      </c>
      <c r="D10" s="4" t="s">
        <v>54</v>
      </c>
      <c r="E10" s="13" t="n">
        <v>44235</v>
      </c>
      <c r="F10" s="4" t="s">
        <v>36</v>
      </c>
    </row>
    <row r="11" customFormat="false" ht="15" hidden="false" customHeight="true" outlineLevel="0" collapsed="false">
      <c r="A11" s="4" t="s">
        <v>61</v>
      </c>
      <c r="B11" s="4" t="s">
        <v>62</v>
      </c>
      <c r="C11" s="4" t="s">
        <v>49</v>
      </c>
      <c r="D11" s="4" t="s">
        <v>39</v>
      </c>
      <c r="E11" s="13" t="n">
        <v>44956</v>
      </c>
      <c r="F11" s="4" t="s">
        <v>36</v>
      </c>
    </row>
    <row r="12" customFormat="false" ht="15" hidden="false" customHeight="true" outlineLevel="0" collapsed="false">
      <c r="A12" s="4" t="s">
        <v>63</v>
      </c>
      <c r="B12" s="4" t="s">
        <v>64</v>
      </c>
      <c r="C12" s="4" t="s">
        <v>49</v>
      </c>
      <c r="D12" s="4" t="s">
        <v>39</v>
      </c>
      <c r="E12" s="13" t="n">
        <v>43262</v>
      </c>
      <c r="F12" s="4" t="s">
        <v>40</v>
      </c>
    </row>
    <row r="13" customFormat="false" ht="15" hidden="false" customHeight="true" outlineLevel="0" collapsed="false">
      <c r="A13" s="4" t="s">
        <v>65</v>
      </c>
      <c r="B13" s="4" t="s">
        <v>66</v>
      </c>
      <c r="C13" s="4" t="s">
        <v>45</v>
      </c>
      <c r="D13" s="4" t="s">
        <v>67</v>
      </c>
      <c r="E13" s="13" t="n">
        <v>43896</v>
      </c>
      <c r="F13" s="4" t="s">
        <v>36</v>
      </c>
    </row>
    <row r="14" customFormat="false" ht="15" hidden="false" customHeight="true" outlineLevel="0" collapsed="false">
      <c r="A14" s="4" t="s">
        <v>68</v>
      </c>
      <c r="B14" s="4" t="s">
        <v>69</v>
      </c>
      <c r="C14" s="4" t="s">
        <v>45</v>
      </c>
      <c r="D14" s="4" t="s">
        <v>35</v>
      </c>
      <c r="E14" s="13" t="n">
        <v>45047</v>
      </c>
      <c r="F14" s="4" t="s">
        <v>36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4" t="s">
        <v>34</v>
      </c>
      <c r="D15" s="4" t="s">
        <v>39</v>
      </c>
      <c r="E15" s="13" t="n">
        <v>43702</v>
      </c>
      <c r="F15" s="4" t="s">
        <v>36</v>
      </c>
    </row>
    <row r="16" customFormat="false" ht="15" hidden="false" customHeight="true" outlineLevel="0" collapsed="false">
      <c r="A16" s="4" t="s">
        <v>72</v>
      </c>
      <c r="B16" s="4" t="s">
        <v>73</v>
      </c>
      <c r="C16" s="4" t="s">
        <v>34</v>
      </c>
      <c r="D16" s="4" t="s">
        <v>39</v>
      </c>
      <c r="E16" s="13" t="n">
        <v>43365</v>
      </c>
      <c r="F16" s="4" t="s">
        <v>36</v>
      </c>
    </row>
    <row r="17" customFormat="false" ht="15" hidden="false" customHeight="true" outlineLevel="0" collapsed="false">
      <c r="A17" s="4" t="s">
        <v>74</v>
      </c>
      <c r="B17" s="4" t="s">
        <v>75</v>
      </c>
      <c r="C17" s="4" t="s">
        <v>76</v>
      </c>
      <c r="D17" s="4" t="s">
        <v>39</v>
      </c>
      <c r="E17" s="13" t="n">
        <v>44078</v>
      </c>
      <c r="F17" s="4" t="s">
        <v>57</v>
      </c>
    </row>
    <row r="18" customFormat="false" ht="15" hidden="false" customHeight="true" outlineLevel="0" collapsed="false">
      <c r="A18" s="4" t="s">
        <v>77</v>
      </c>
      <c r="B18" s="4" t="s">
        <v>78</v>
      </c>
      <c r="C18" s="4" t="s">
        <v>34</v>
      </c>
      <c r="D18" s="4" t="s">
        <v>39</v>
      </c>
      <c r="E18" s="13" t="n">
        <v>44117</v>
      </c>
      <c r="F18" s="4" t="s">
        <v>36</v>
      </c>
    </row>
    <row r="19" customFormat="false" ht="15" hidden="false" customHeight="true" outlineLevel="0" collapsed="false">
      <c r="A19" s="4" t="s">
        <v>79</v>
      </c>
      <c r="B19" s="4" t="s">
        <v>80</v>
      </c>
      <c r="C19" s="4" t="s">
        <v>45</v>
      </c>
      <c r="D19" s="4" t="s">
        <v>67</v>
      </c>
      <c r="E19" s="13" t="n">
        <v>44426</v>
      </c>
      <c r="F19" s="4" t="s">
        <v>40</v>
      </c>
    </row>
    <row r="20" customFormat="false" ht="15" hidden="false" customHeight="true" outlineLevel="0" collapsed="false">
      <c r="A20" s="4" t="s">
        <v>81</v>
      </c>
      <c r="B20" s="4" t="s">
        <v>82</v>
      </c>
      <c r="C20" s="4" t="s">
        <v>76</v>
      </c>
      <c r="D20" s="4" t="s">
        <v>46</v>
      </c>
      <c r="E20" s="13" t="n">
        <v>43728</v>
      </c>
      <c r="F20" s="4" t="s">
        <v>36</v>
      </c>
    </row>
    <row r="21" customFormat="false" ht="15" hidden="false" customHeight="true" outlineLevel="0" collapsed="false">
      <c r="A21" s="4" t="s">
        <v>83</v>
      </c>
      <c r="B21" s="4" t="s">
        <v>84</v>
      </c>
      <c r="C21" s="4" t="s">
        <v>49</v>
      </c>
      <c r="D21" s="4" t="s">
        <v>39</v>
      </c>
      <c r="E21" s="13" t="n">
        <v>45012</v>
      </c>
      <c r="F21" s="4" t="s">
        <v>57</v>
      </c>
    </row>
    <row r="22" customFormat="false" ht="15" hidden="false" customHeight="true" outlineLevel="0" collapsed="false">
      <c r="A22" s="4" t="s">
        <v>85</v>
      </c>
      <c r="B22" s="4" t="s">
        <v>86</v>
      </c>
      <c r="C22" s="4" t="s">
        <v>49</v>
      </c>
      <c r="D22" s="4" t="s">
        <v>67</v>
      </c>
      <c r="E22" s="13" t="n">
        <v>44143</v>
      </c>
      <c r="F22" s="4" t="s">
        <v>36</v>
      </c>
    </row>
    <row r="23" customFormat="false" ht="15" hidden="false" customHeight="true" outlineLevel="0" collapsed="false">
      <c r="A23" s="4" t="s">
        <v>87</v>
      </c>
      <c r="B23" s="4" t="s">
        <v>88</v>
      </c>
      <c r="C23" s="4" t="s">
        <v>49</v>
      </c>
      <c r="D23" s="4" t="s">
        <v>67</v>
      </c>
      <c r="E23" s="13" t="n">
        <v>43673</v>
      </c>
      <c r="F23" s="4" t="s">
        <v>36</v>
      </c>
    </row>
    <row r="24" customFormat="false" ht="15" hidden="false" customHeight="true" outlineLevel="0" collapsed="false">
      <c r="A24" s="4" t="s">
        <v>89</v>
      </c>
      <c r="B24" s="4" t="s">
        <v>90</v>
      </c>
      <c r="C24" s="4" t="s">
        <v>76</v>
      </c>
      <c r="D24" s="4" t="s">
        <v>39</v>
      </c>
      <c r="E24" s="13" t="n">
        <v>45021</v>
      </c>
      <c r="F24" s="4" t="s">
        <v>36</v>
      </c>
    </row>
    <row r="25" customFormat="false" ht="15" hidden="false" customHeight="true" outlineLevel="0" collapsed="false">
      <c r="A25" s="4" t="s">
        <v>91</v>
      </c>
      <c r="B25" s="4" t="s">
        <v>92</v>
      </c>
      <c r="C25" s="4" t="s">
        <v>45</v>
      </c>
      <c r="D25" s="4" t="s">
        <v>39</v>
      </c>
      <c r="E25" s="13" t="n">
        <v>44950</v>
      </c>
      <c r="F25" s="4" t="s">
        <v>57</v>
      </c>
    </row>
    <row r="26" customFormat="false" ht="15" hidden="false" customHeight="true" outlineLevel="0" collapsed="false">
      <c r="A26" s="4" t="s">
        <v>93</v>
      </c>
      <c r="B26" s="4" t="s">
        <v>94</v>
      </c>
      <c r="C26" s="4" t="s">
        <v>49</v>
      </c>
      <c r="D26" s="4" t="s">
        <v>39</v>
      </c>
      <c r="E26" s="13" t="n">
        <v>44099</v>
      </c>
      <c r="F26" s="4" t="s">
        <v>36</v>
      </c>
    </row>
    <row r="27" customFormat="false" ht="15" hidden="false" customHeight="true" outlineLevel="0" collapsed="false">
      <c r="A27" s="4" t="s">
        <v>95</v>
      </c>
      <c r="B27" s="4" t="s">
        <v>96</v>
      </c>
      <c r="C27" s="4" t="s">
        <v>34</v>
      </c>
      <c r="D27" s="4" t="s">
        <v>39</v>
      </c>
      <c r="E27" s="13" t="n">
        <v>43150</v>
      </c>
      <c r="F27" s="4" t="s">
        <v>36</v>
      </c>
    </row>
    <row r="28" customFormat="false" ht="15" hidden="false" customHeight="true" outlineLevel="0" collapsed="false">
      <c r="A28" s="4" t="s">
        <v>97</v>
      </c>
      <c r="B28" s="4" t="s">
        <v>98</v>
      </c>
      <c r="C28" s="4" t="s">
        <v>49</v>
      </c>
      <c r="D28" s="4" t="s">
        <v>46</v>
      </c>
      <c r="E28" s="13" t="n">
        <v>44294</v>
      </c>
      <c r="F28" s="4" t="s">
        <v>36</v>
      </c>
    </row>
    <row r="29" customFormat="false" ht="15" hidden="false" customHeight="true" outlineLevel="0" collapsed="false">
      <c r="A29" s="4" t="s">
        <v>99</v>
      </c>
      <c r="B29" s="4" t="s">
        <v>100</v>
      </c>
      <c r="C29" s="4" t="s">
        <v>34</v>
      </c>
      <c r="D29" s="4" t="s">
        <v>46</v>
      </c>
      <c r="E29" s="13" t="n">
        <v>44211</v>
      </c>
      <c r="F29" s="4" t="s">
        <v>36</v>
      </c>
    </row>
    <row r="30" customFormat="false" ht="15" hidden="false" customHeight="true" outlineLevel="0" collapsed="false">
      <c r="A30" s="4" t="s">
        <v>101</v>
      </c>
      <c r="B30" s="4" t="s">
        <v>102</v>
      </c>
      <c r="C30" s="4" t="s">
        <v>45</v>
      </c>
      <c r="D30" s="4" t="s">
        <v>46</v>
      </c>
      <c r="E30" s="13" t="n">
        <v>43397</v>
      </c>
      <c r="F30" s="4" t="s">
        <v>40</v>
      </c>
    </row>
    <row r="31" customFormat="false" ht="15" hidden="false" customHeight="true" outlineLevel="0" collapsed="false">
      <c r="A31" s="4" t="s">
        <v>103</v>
      </c>
      <c r="B31" s="4" t="s">
        <v>104</v>
      </c>
      <c r="C31" s="4" t="s">
        <v>45</v>
      </c>
      <c r="D31" s="4" t="s">
        <v>35</v>
      </c>
      <c r="E31" s="13" t="n">
        <v>44368</v>
      </c>
      <c r="F31" s="4" t="s">
        <v>36</v>
      </c>
    </row>
    <row r="32" customFormat="false" ht="15" hidden="false" customHeight="true" outlineLevel="0" collapsed="false">
      <c r="A32" s="4" t="s">
        <v>105</v>
      </c>
      <c r="B32" s="4" t="s">
        <v>106</v>
      </c>
      <c r="C32" s="4" t="s">
        <v>45</v>
      </c>
      <c r="D32" s="4" t="s">
        <v>39</v>
      </c>
      <c r="E32" s="13" t="n">
        <v>44782</v>
      </c>
      <c r="F32" s="4" t="s">
        <v>36</v>
      </c>
    </row>
    <row r="33" customFormat="false" ht="15" hidden="false" customHeight="true" outlineLevel="0" collapsed="false">
      <c r="A33" s="4" t="s">
        <v>107</v>
      </c>
      <c r="B33" s="4" t="s">
        <v>108</v>
      </c>
      <c r="C33" s="4" t="s">
        <v>34</v>
      </c>
      <c r="D33" s="4" t="s">
        <v>39</v>
      </c>
      <c r="E33" s="13" t="n">
        <v>43312</v>
      </c>
      <c r="F33" s="4" t="s">
        <v>40</v>
      </c>
    </row>
    <row r="34" customFormat="false" ht="15" hidden="false" customHeight="true" outlineLevel="0" collapsed="false">
      <c r="A34" s="4" t="s">
        <v>109</v>
      </c>
      <c r="B34" s="4" t="s">
        <v>110</v>
      </c>
      <c r="C34" s="4" t="s">
        <v>45</v>
      </c>
      <c r="D34" s="4" t="s">
        <v>39</v>
      </c>
      <c r="E34" s="13" t="n">
        <v>44547</v>
      </c>
      <c r="F34" s="4" t="s">
        <v>36</v>
      </c>
    </row>
    <row r="35" customFormat="false" ht="15" hidden="false" customHeight="true" outlineLevel="0" collapsed="false">
      <c r="A35" s="4" t="s">
        <v>111</v>
      </c>
      <c r="B35" s="4" t="s">
        <v>112</v>
      </c>
      <c r="C35" s="4" t="s">
        <v>49</v>
      </c>
      <c r="D35" s="4" t="s">
        <v>46</v>
      </c>
      <c r="E35" s="13" t="n">
        <v>43381</v>
      </c>
      <c r="F35" s="4" t="s">
        <v>36</v>
      </c>
    </row>
    <row r="36" customFormat="false" ht="15" hidden="false" customHeight="true" outlineLevel="0" collapsed="false">
      <c r="A36" s="4" t="s">
        <v>113</v>
      </c>
      <c r="B36" s="4" t="s">
        <v>114</v>
      </c>
      <c r="C36" s="4" t="s">
        <v>49</v>
      </c>
      <c r="D36" s="4" t="s">
        <v>54</v>
      </c>
      <c r="E36" s="13" t="n">
        <v>44598</v>
      </c>
      <c r="F36" s="4" t="s">
        <v>36</v>
      </c>
    </row>
    <row r="37" customFormat="false" ht="15" hidden="false" customHeight="true" outlineLevel="0" collapsed="false">
      <c r="A37" s="4" t="s">
        <v>115</v>
      </c>
      <c r="B37" s="4" t="s">
        <v>116</v>
      </c>
      <c r="C37" s="4" t="s">
        <v>60</v>
      </c>
      <c r="D37" s="4" t="s">
        <v>46</v>
      </c>
      <c r="E37" s="13" t="n">
        <v>43939</v>
      </c>
      <c r="F37" s="4" t="s">
        <v>36</v>
      </c>
    </row>
    <row r="38" customFormat="false" ht="15" hidden="false" customHeight="true" outlineLevel="0" collapsed="false">
      <c r="A38" s="4" t="s">
        <v>117</v>
      </c>
      <c r="B38" s="4" t="s">
        <v>118</v>
      </c>
      <c r="C38" s="4" t="s">
        <v>60</v>
      </c>
      <c r="D38" s="4" t="s">
        <v>46</v>
      </c>
      <c r="E38" s="13" t="n">
        <v>43114</v>
      </c>
      <c r="F38" s="4" t="s">
        <v>57</v>
      </c>
    </row>
    <row r="39" customFormat="false" ht="15" hidden="false" customHeight="true" outlineLevel="0" collapsed="false">
      <c r="A39" s="4" t="s">
        <v>119</v>
      </c>
      <c r="B39" s="4" t="s">
        <v>120</v>
      </c>
      <c r="C39" s="4" t="s">
        <v>34</v>
      </c>
      <c r="D39" s="4" t="s">
        <v>39</v>
      </c>
      <c r="E39" s="13" t="n">
        <v>45033</v>
      </c>
      <c r="F39" s="4" t="s">
        <v>36</v>
      </c>
    </row>
    <row r="40" customFormat="false" ht="15" hidden="false" customHeight="true" outlineLevel="0" collapsed="false">
      <c r="A40" s="4" t="s">
        <v>121</v>
      </c>
      <c r="B40" s="4" t="s">
        <v>122</v>
      </c>
      <c r="C40" s="4" t="s">
        <v>49</v>
      </c>
      <c r="D40" s="4" t="s">
        <v>39</v>
      </c>
      <c r="E40" s="13" t="n">
        <v>43432</v>
      </c>
      <c r="F40" s="4" t="s">
        <v>36</v>
      </c>
    </row>
    <row r="41" customFormat="false" ht="15" hidden="false" customHeight="true" outlineLevel="0" collapsed="false">
      <c r="A41" s="4" t="s">
        <v>123</v>
      </c>
      <c r="B41" s="4" t="s">
        <v>124</v>
      </c>
      <c r="C41" s="4" t="s">
        <v>60</v>
      </c>
      <c r="D41" s="4" t="s">
        <v>67</v>
      </c>
      <c r="E41" s="13" t="n">
        <v>44293</v>
      </c>
      <c r="F41" s="4" t="s">
        <v>36</v>
      </c>
    </row>
    <row r="42" customFormat="false" ht="15" hidden="false" customHeight="true" outlineLevel="0" collapsed="false">
      <c r="A42" s="4" t="s">
        <v>125</v>
      </c>
      <c r="B42" s="4" t="s">
        <v>126</v>
      </c>
      <c r="C42" s="4" t="s">
        <v>76</v>
      </c>
      <c r="D42" s="4" t="s">
        <v>67</v>
      </c>
      <c r="E42" s="13" t="n">
        <v>43463</v>
      </c>
      <c r="F42" s="4" t="s">
        <v>36</v>
      </c>
    </row>
    <row r="43" customFormat="false" ht="15" hidden="false" customHeight="true" outlineLevel="0" collapsed="false">
      <c r="A43" s="4" t="s">
        <v>127</v>
      </c>
      <c r="B43" s="4" t="s">
        <v>128</v>
      </c>
      <c r="C43" s="4" t="s">
        <v>76</v>
      </c>
      <c r="D43" s="4" t="s">
        <v>46</v>
      </c>
      <c r="E43" s="13" t="n">
        <v>44967</v>
      </c>
      <c r="F43" s="4" t="s">
        <v>36</v>
      </c>
    </row>
    <row r="44" customFormat="false" ht="15" hidden="false" customHeight="true" outlineLevel="0" collapsed="false">
      <c r="A44" s="4" t="s">
        <v>129</v>
      </c>
      <c r="B44" s="4" t="s">
        <v>130</v>
      </c>
      <c r="C44" s="4" t="s">
        <v>45</v>
      </c>
      <c r="D44" s="4" t="s">
        <v>35</v>
      </c>
      <c r="E44" s="13" t="n">
        <v>44577</v>
      </c>
      <c r="F44" s="4" t="s">
        <v>40</v>
      </c>
    </row>
    <row r="45" customFormat="false" ht="15" hidden="false" customHeight="true" outlineLevel="0" collapsed="false">
      <c r="A45" s="4" t="s">
        <v>131</v>
      </c>
      <c r="B45" s="4" t="s">
        <v>132</v>
      </c>
      <c r="C45" s="4" t="s">
        <v>49</v>
      </c>
      <c r="D45" s="4" t="s">
        <v>39</v>
      </c>
      <c r="E45" s="13" t="n">
        <v>44709</v>
      </c>
      <c r="F45" s="4" t="s">
        <v>36</v>
      </c>
    </row>
    <row r="46" customFormat="false" ht="15" hidden="false" customHeight="true" outlineLevel="0" collapsed="false">
      <c r="A46" s="4" t="s">
        <v>133</v>
      </c>
      <c r="B46" s="4" t="s">
        <v>134</v>
      </c>
      <c r="C46" s="4" t="s">
        <v>49</v>
      </c>
      <c r="D46" s="4" t="s">
        <v>39</v>
      </c>
      <c r="E46" s="13" t="n">
        <v>43965</v>
      </c>
      <c r="F46" s="4" t="s">
        <v>36</v>
      </c>
    </row>
    <row r="47" customFormat="false" ht="15" hidden="false" customHeight="true" outlineLevel="0" collapsed="false">
      <c r="A47" s="4" t="s">
        <v>135</v>
      </c>
      <c r="B47" s="4" t="s">
        <v>136</v>
      </c>
      <c r="C47" s="4" t="s">
        <v>60</v>
      </c>
      <c r="D47" s="4" t="s">
        <v>39</v>
      </c>
      <c r="E47" s="13" t="n">
        <v>44035</v>
      </c>
      <c r="F47" s="4" t="s">
        <v>36</v>
      </c>
    </row>
    <row r="48" customFormat="false" ht="15" hidden="false" customHeight="true" outlineLevel="0" collapsed="false">
      <c r="A48" s="4" t="s">
        <v>137</v>
      </c>
      <c r="B48" s="4" t="s">
        <v>138</v>
      </c>
      <c r="C48" s="4" t="s">
        <v>45</v>
      </c>
      <c r="D48" s="4" t="s">
        <v>67</v>
      </c>
      <c r="E48" s="13" t="n">
        <v>44369</v>
      </c>
      <c r="F48" s="4" t="s">
        <v>36</v>
      </c>
    </row>
    <row r="49" customFormat="false" ht="15" hidden="false" customHeight="true" outlineLevel="0" collapsed="false">
      <c r="A49" s="4" t="s">
        <v>139</v>
      </c>
      <c r="B49" s="4" t="s">
        <v>140</v>
      </c>
      <c r="C49" s="4" t="s">
        <v>49</v>
      </c>
      <c r="D49" s="4" t="s">
        <v>67</v>
      </c>
      <c r="E49" s="13" t="n">
        <v>44670</v>
      </c>
      <c r="F49" s="4" t="s">
        <v>57</v>
      </c>
    </row>
    <row r="50" customFormat="false" ht="15" hidden="false" customHeight="true" outlineLevel="0" collapsed="false">
      <c r="A50" s="4" t="s">
        <v>141</v>
      </c>
      <c r="B50" s="4" t="s">
        <v>142</v>
      </c>
      <c r="C50" s="4" t="s">
        <v>45</v>
      </c>
      <c r="D50" s="4" t="s">
        <v>35</v>
      </c>
      <c r="E50" s="13" t="n">
        <v>44794</v>
      </c>
      <c r="F50" s="4" t="s">
        <v>40</v>
      </c>
    </row>
    <row r="51" customFormat="false" ht="15" hidden="false" customHeight="true" outlineLevel="0" collapsed="false">
      <c r="A51" s="4" t="s">
        <v>143</v>
      </c>
      <c r="B51" s="4" t="s">
        <v>144</v>
      </c>
      <c r="C51" s="4" t="s">
        <v>34</v>
      </c>
      <c r="D51" s="4" t="s">
        <v>46</v>
      </c>
      <c r="E51" s="13" t="n">
        <v>43136</v>
      </c>
      <c r="F51" s="4" t="s">
        <v>36</v>
      </c>
    </row>
    <row r="52" customFormat="false" ht="15" hidden="false" customHeight="true" outlineLevel="0" collapsed="false">
      <c r="A52" s="4" t="s">
        <v>145</v>
      </c>
      <c r="B52" s="4" t="s">
        <v>146</v>
      </c>
      <c r="C52" s="4" t="s">
        <v>49</v>
      </c>
      <c r="D52" s="4" t="s">
        <v>39</v>
      </c>
      <c r="E52" s="13" t="n">
        <v>44428</v>
      </c>
      <c r="F52" s="4" t="s">
        <v>36</v>
      </c>
    </row>
    <row r="53" customFormat="false" ht="15" hidden="false" customHeight="true" outlineLevel="0" collapsed="false">
      <c r="A53" s="4" t="s">
        <v>147</v>
      </c>
      <c r="B53" s="4" t="s">
        <v>148</v>
      </c>
      <c r="C53" s="4" t="s">
        <v>60</v>
      </c>
      <c r="D53" s="4" t="s">
        <v>39</v>
      </c>
      <c r="E53" s="13" t="n">
        <v>43319</v>
      </c>
      <c r="F53" s="4" t="s">
        <v>36</v>
      </c>
    </row>
    <row r="54" customFormat="false" ht="15" hidden="false" customHeight="true" outlineLevel="0" collapsed="false">
      <c r="A54" s="4" t="s">
        <v>149</v>
      </c>
      <c r="B54" s="4" t="s">
        <v>150</v>
      </c>
      <c r="C54" s="4" t="s">
        <v>76</v>
      </c>
      <c r="D54" s="4" t="s">
        <v>39</v>
      </c>
      <c r="E54" s="13" t="n">
        <v>43676</v>
      </c>
      <c r="F54" s="4" t="s">
        <v>36</v>
      </c>
    </row>
    <row r="55" customFormat="false" ht="15" hidden="false" customHeight="true" outlineLevel="0" collapsed="false">
      <c r="A55" s="4" t="s">
        <v>151</v>
      </c>
      <c r="B55" s="4" t="s">
        <v>152</v>
      </c>
      <c r="C55" s="4" t="s">
        <v>76</v>
      </c>
      <c r="D55" s="4" t="s">
        <v>35</v>
      </c>
      <c r="E55" s="13" t="n">
        <v>44759</v>
      </c>
      <c r="F55" s="4" t="s">
        <v>40</v>
      </c>
    </row>
    <row r="56" customFormat="false" ht="15" hidden="false" customHeight="true" outlineLevel="0" collapsed="false">
      <c r="A56" s="4" t="s">
        <v>153</v>
      </c>
      <c r="B56" s="4" t="s">
        <v>154</v>
      </c>
      <c r="C56" s="4" t="s">
        <v>45</v>
      </c>
      <c r="D56" s="4" t="s">
        <v>39</v>
      </c>
      <c r="E56" s="13" t="n">
        <v>43602</v>
      </c>
      <c r="F56" s="4" t="s">
        <v>36</v>
      </c>
    </row>
    <row r="57" customFormat="false" ht="15" hidden="false" customHeight="true" outlineLevel="0" collapsed="false">
      <c r="A57" s="4" t="s">
        <v>155</v>
      </c>
      <c r="B57" s="4" t="s">
        <v>156</v>
      </c>
      <c r="C57" s="4" t="s">
        <v>34</v>
      </c>
      <c r="D57" s="4" t="s">
        <v>39</v>
      </c>
      <c r="E57" s="13" t="n">
        <v>44694</v>
      </c>
      <c r="F57" s="4" t="s">
        <v>40</v>
      </c>
    </row>
    <row r="58" customFormat="false" ht="15" hidden="false" customHeight="true" outlineLevel="0" collapsed="false">
      <c r="A58" s="4" t="s">
        <v>157</v>
      </c>
      <c r="B58" s="4" t="s">
        <v>158</v>
      </c>
      <c r="C58" s="4" t="s">
        <v>34</v>
      </c>
      <c r="D58" s="4" t="s">
        <v>67</v>
      </c>
      <c r="E58" s="13" t="n">
        <v>44027</v>
      </c>
      <c r="F58" s="4" t="s">
        <v>40</v>
      </c>
    </row>
    <row r="59" customFormat="false" ht="15" hidden="false" customHeight="true" outlineLevel="0" collapsed="false">
      <c r="A59" s="4" t="s">
        <v>159</v>
      </c>
      <c r="B59" s="4" t="s">
        <v>160</v>
      </c>
      <c r="C59" s="4" t="s">
        <v>34</v>
      </c>
      <c r="D59" s="4" t="s">
        <v>39</v>
      </c>
      <c r="E59" s="13" t="n">
        <v>43566</v>
      </c>
      <c r="F59" s="4" t="s">
        <v>40</v>
      </c>
    </row>
    <row r="60" customFormat="false" ht="15" hidden="false" customHeight="true" outlineLevel="0" collapsed="false">
      <c r="A60" s="4" t="s">
        <v>161</v>
      </c>
      <c r="B60" s="4" t="s">
        <v>162</v>
      </c>
      <c r="C60" s="4" t="s">
        <v>49</v>
      </c>
      <c r="D60" s="4" t="s">
        <v>39</v>
      </c>
      <c r="E60" s="13" t="n">
        <v>43769</v>
      </c>
      <c r="F60" s="4" t="s">
        <v>36</v>
      </c>
    </row>
    <row r="61" customFormat="false" ht="15" hidden="false" customHeight="true" outlineLevel="0" collapsed="false">
      <c r="A61" s="4" t="s">
        <v>163</v>
      </c>
      <c r="B61" s="4" t="s">
        <v>164</v>
      </c>
      <c r="C61" s="4" t="s">
        <v>45</v>
      </c>
      <c r="D61" s="4" t="s">
        <v>67</v>
      </c>
      <c r="E61" s="13" t="n">
        <v>44162</v>
      </c>
      <c r="F61" s="4" t="s">
        <v>36</v>
      </c>
    </row>
  </sheetData>
  <autoFilter ref="A1:F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3"/>
    <col collapsed="false" customWidth="true" hidden="false" outlineLevel="0" max="4" min="4" style="1" width="23"/>
    <col collapsed="false" customWidth="true" hidden="false" outlineLevel="0" max="5" min="5" style="1" width="21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4" min="10" style="1" width="16"/>
  </cols>
  <sheetData>
    <row r="1" customFormat="false" ht="15" hidden="false" customHeight="true" outlineLevel="0" collapsed="false">
      <c r="A1" s="12" t="s">
        <v>165</v>
      </c>
      <c r="B1" s="12" t="s">
        <v>26</v>
      </c>
      <c r="C1" s="12" t="s">
        <v>166</v>
      </c>
      <c r="D1" s="12" t="s">
        <v>167</v>
      </c>
      <c r="E1" s="12" t="s">
        <v>168</v>
      </c>
      <c r="F1" s="12" t="s">
        <v>169</v>
      </c>
      <c r="G1" s="12" t="s">
        <v>170</v>
      </c>
      <c r="H1" s="12" t="s">
        <v>171</v>
      </c>
      <c r="I1" s="12" t="s">
        <v>172</v>
      </c>
      <c r="J1" s="12" t="s">
        <v>173</v>
      </c>
      <c r="K1" s="12" t="s">
        <v>174</v>
      </c>
      <c r="L1" s="12" t="s">
        <v>175</v>
      </c>
      <c r="M1" s="12" t="s">
        <v>176</v>
      </c>
      <c r="N1" s="12" t="s">
        <v>177</v>
      </c>
    </row>
    <row r="2" customFormat="false" ht="15" hidden="false" customHeight="true" outlineLevel="0" collapsed="false">
      <c r="A2" s="4" t="s">
        <v>178</v>
      </c>
      <c r="B2" s="4" t="s">
        <v>68</v>
      </c>
      <c r="C2" s="13" t="n">
        <v>45501</v>
      </c>
      <c r="D2" s="13" t="n">
        <v>45520</v>
      </c>
      <c r="E2" s="13" t="n">
        <v>45521</v>
      </c>
      <c r="F2" s="4" t="n">
        <v>118</v>
      </c>
      <c r="G2" s="4" t="n">
        <v>110</v>
      </c>
      <c r="H2" s="4" t="n">
        <v>1232.83</v>
      </c>
      <c r="I2" s="4" t="n">
        <v>1221.72</v>
      </c>
      <c r="J2" s="14" t="n">
        <f aca="false">E2-D2</f>
        <v>1</v>
      </c>
      <c r="K2" s="14" t="n">
        <f aca="false">IF(J2&lt;=0,1,0)</f>
        <v>0</v>
      </c>
      <c r="L2" s="15" t="n">
        <f aca="false">IFERROR(G2/F2,0)</f>
        <v>0.932203389830508</v>
      </c>
      <c r="M2" s="15" t="n">
        <f aca="false">IFERROR((I2-H2)/H2,0)</f>
        <v>-0.00901178589099868</v>
      </c>
      <c r="N2" s="16" t="n">
        <f aca="false">G2*I2</f>
        <v>134389.2</v>
      </c>
    </row>
    <row r="3" customFormat="false" ht="15" hidden="false" customHeight="true" outlineLevel="0" collapsed="false">
      <c r="A3" s="4" t="s">
        <v>179</v>
      </c>
      <c r="B3" s="4" t="s">
        <v>117</v>
      </c>
      <c r="C3" s="13" t="n">
        <v>45620</v>
      </c>
      <c r="D3" s="13" t="n">
        <v>45633</v>
      </c>
      <c r="E3" s="13" t="n">
        <v>45639</v>
      </c>
      <c r="F3" s="4" t="n">
        <v>115</v>
      </c>
      <c r="G3" s="4" t="n">
        <v>107</v>
      </c>
      <c r="H3" s="4" t="n">
        <v>396.01</v>
      </c>
      <c r="I3" s="4" t="n">
        <v>389.03</v>
      </c>
      <c r="J3" s="14" t="n">
        <f aca="false">E3-D3</f>
        <v>6</v>
      </c>
      <c r="K3" s="14" t="n">
        <f aca="false">IF(J3&lt;=0,1,0)</f>
        <v>0</v>
      </c>
      <c r="L3" s="15" t="n">
        <f aca="false">IFERROR(G3/F3,0)</f>
        <v>0.930434782608696</v>
      </c>
      <c r="M3" s="15" t="n">
        <f aca="false">IFERROR((I3-H3)/H3,0)</f>
        <v>-0.0176258175298604</v>
      </c>
      <c r="N3" s="16" t="n">
        <f aca="false">G3*I3</f>
        <v>41626.21</v>
      </c>
    </row>
    <row r="4" customFormat="false" ht="15" hidden="false" customHeight="true" outlineLevel="0" collapsed="false">
      <c r="A4" s="4" t="s">
        <v>180</v>
      </c>
      <c r="B4" s="4" t="s">
        <v>123</v>
      </c>
      <c r="C4" s="13" t="n">
        <v>45052</v>
      </c>
      <c r="D4" s="13" t="n">
        <v>45064</v>
      </c>
      <c r="E4" s="13" t="n">
        <v>45065</v>
      </c>
      <c r="F4" s="4" t="n">
        <v>220</v>
      </c>
      <c r="G4" s="4" t="n">
        <v>210</v>
      </c>
      <c r="H4" s="4" t="n">
        <v>214.07</v>
      </c>
      <c r="I4" s="4" t="n">
        <v>220.9</v>
      </c>
      <c r="J4" s="14" t="n">
        <f aca="false">E4-D4</f>
        <v>1</v>
      </c>
      <c r="K4" s="14" t="n">
        <f aca="false">IF(J4&lt;=0,1,0)</f>
        <v>0</v>
      </c>
      <c r="L4" s="15" t="n">
        <f aca="false">IFERROR(G4/F4,0)</f>
        <v>0.954545454545455</v>
      </c>
      <c r="M4" s="15" t="n">
        <f aca="false">IFERROR((I4-H4)/H4,0)</f>
        <v>0.0319054514878311</v>
      </c>
      <c r="N4" s="16" t="n">
        <f aca="false">G4*I4</f>
        <v>46389</v>
      </c>
    </row>
    <row r="5" customFormat="false" ht="15" hidden="false" customHeight="true" outlineLevel="0" collapsed="false">
      <c r="A5" s="4" t="s">
        <v>181</v>
      </c>
      <c r="B5" s="4" t="s">
        <v>83</v>
      </c>
      <c r="C5" s="13" t="n">
        <v>45233</v>
      </c>
      <c r="D5" s="13" t="n">
        <v>45242</v>
      </c>
      <c r="E5" s="13" t="n">
        <v>45241</v>
      </c>
      <c r="F5" s="4" t="n">
        <v>1364</v>
      </c>
      <c r="G5" s="4" t="n">
        <v>1364</v>
      </c>
      <c r="H5" s="4" t="n">
        <v>101.36</v>
      </c>
      <c r="I5" s="4" t="n">
        <v>104.32</v>
      </c>
      <c r="J5" s="14" t="n">
        <f aca="false">E5-D5</f>
        <v>-1</v>
      </c>
      <c r="K5" s="14" t="n">
        <f aca="false">IF(J5&lt;=0,1,0)</f>
        <v>1</v>
      </c>
      <c r="L5" s="15" t="n">
        <f aca="false">IFERROR(G5/F5,0)</f>
        <v>1</v>
      </c>
      <c r="M5" s="15" t="n">
        <f aca="false">IFERROR((I5-H5)/H5,0)</f>
        <v>0.0292028413575374</v>
      </c>
      <c r="N5" s="16" t="n">
        <f aca="false">G5*I5</f>
        <v>142292.48</v>
      </c>
    </row>
    <row r="6" customFormat="false" ht="15" hidden="false" customHeight="true" outlineLevel="0" collapsed="false">
      <c r="A6" s="4" t="s">
        <v>182</v>
      </c>
      <c r="B6" s="4" t="s">
        <v>131</v>
      </c>
      <c r="C6" s="13" t="n">
        <v>45410</v>
      </c>
      <c r="D6" s="13" t="n">
        <v>45420</v>
      </c>
      <c r="E6" s="13" t="n">
        <v>45415</v>
      </c>
      <c r="F6" s="4" t="n">
        <v>235</v>
      </c>
      <c r="G6" s="4" t="n">
        <v>223</v>
      </c>
      <c r="H6" s="4" t="n">
        <v>88.52</v>
      </c>
      <c r="I6" s="4" t="n">
        <v>89.41</v>
      </c>
      <c r="J6" s="14" t="n">
        <f aca="false">E6-D6</f>
        <v>-5</v>
      </c>
      <c r="K6" s="14" t="n">
        <f aca="false">IF(J6&lt;=0,1,0)</f>
        <v>1</v>
      </c>
      <c r="L6" s="15" t="n">
        <f aca="false">IFERROR(G6/F6,0)</f>
        <v>0.948936170212766</v>
      </c>
      <c r="M6" s="15" t="n">
        <f aca="false">IFERROR((I6-H6)/H6,0)</f>
        <v>0.0100542250338907</v>
      </c>
      <c r="N6" s="16" t="n">
        <f aca="false">G6*I6</f>
        <v>19938.43</v>
      </c>
    </row>
    <row r="7" customFormat="false" ht="15" hidden="false" customHeight="true" outlineLevel="0" collapsed="false">
      <c r="A7" s="4" t="s">
        <v>183</v>
      </c>
      <c r="B7" s="4" t="s">
        <v>149</v>
      </c>
      <c r="C7" s="13" t="n">
        <v>45127</v>
      </c>
      <c r="D7" s="13" t="n">
        <v>45134</v>
      </c>
      <c r="E7" s="13" t="n">
        <v>45138</v>
      </c>
      <c r="F7" s="4" t="n">
        <v>3</v>
      </c>
      <c r="G7" s="4" t="n">
        <v>3</v>
      </c>
      <c r="H7" s="4" t="n">
        <v>1458.52</v>
      </c>
      <c r="I7" s="4" t="n">
        <v>1471.05</v>
      </c>
      <c r="J7" s="14" t="n">
        <f aca="false">E7-D7</f>
        <v>4</v>
      </c>
      <c r="K7" s="14" t="n">
        <f aca="false">IF(J7&lt;=0,1,0)</f>
        <v>0</v>
      </c>
      <c r="L7" s="15" t="n">
        <f aca="false">IFERROR(G7/F7,0)</f>
        <v>1</v>
      </c>
      <c r="M7" s="15" t="n">
        <f aca="false">IFERROR((I7-H7)/H7,0)</f>
        <v>0.00859090036475329</v>
      </c>
      <c r="N7" s="16" t="n">
        <f aca="false">G7*I7</f>
        <v>4413.15</v>
      </c>
    </row>
    <row r="8" customFormat="false" ht="15" hidden="false" customHeight="true" outlineLevel="0" collapsed="false">
      <c r="A8" s="4" t="s">
        <v>184</v>
      </c>
      <c r="B8" s="4" t="s">
        <v>113</v>
      </c>
      <c r="C8" s="13" t="n">
        <v>45372</v>
      </c>
      <c r="D8" s="13" t="n">
        <v>45383</v>
      </c>
      <c r="E8" s="13" t="n">
        <v>45384</v>
      </c>
      <c r="F8" s="4" t="n">
        <v>659</v>
      </c>
      <c r="G8" s="4" t="n">
        <v>640</v>
      </c>
      <c r="H8" s="4" t="n">
        <v>170.42</v>
      </c>
      <c r="I8" s="4" t="n">
        <v>174.05</v>
      </c>
      <c r="J8" s="14" t="n">
        <f aca="false">E8-D8</f>
        <v>1</v>
      </c>
      <c r="K8" s="14" t="n">
        <f aca="false">IF(J8&lt;=0,1,0)</f>
        <v>0</v>
      </c>
      <c r="L8" s="15" t="n">
        <f aca="false">IFERROR(G8/F8,0)</f>
        <v>0.971168437025797</v>
      </c>
      <c r="M8" s="15" t="n">
        <f aca="false">IFERROR((I8-H8)/H8,0)</f>
        <v>0.021300316864218</v>
      </c>
      <c r="N8" s="16" t="n">
        <f aca="false">G8*I8</f>
        <v>111392</v>
      </c>
    </row>
    <row r="9" customFormat="false" ht="15" hidden="false" customHeight="true" outlineLevel="0" collapsed="false">
      <c r="A9" s="4" t="s">
        <v>185</v>
      </c>
      <c r="B9" s="4" t="s">
        <v>149</v>
      </c>
      <c r="C9" s="13" t="n">
        <v>45629</v>
      </c>
      <c r="D9" s="13" t="n">
        <v>45635</v>
      </c>
      <c r="E9" s="13" t="n">
        <v>45635</v>
      </c>
      <c r="F9" s="4" t="n">
        <v>4</v>
      </c>
      <c r="G9" s="4" t="n">
        <v>4</v>
      </c>
      <c r="H9" s="4" t="n">
        <v>1458.52</v>
      </c>
      <c r="I9" s="4" t="n">
        <v>1472.05</v>
      </c>
      <c r="J9" s="14" t="n">
        <f aca="false">E9-D9</f>
        <v>0</v>
      </c>
      <c r="K9" s="14" t="n">
        <f aca="false">IF(J9&lt;=0,1,0)</f>
        <v>1</v>
      </c>
      <c r="L9" s="15" t="n">
        <f aca="false">IFERROR(G9/F9,0)</f>
        <v>1</v>
      </c>
      <c r="M9" s="15" t="n">
        <f aca="false">IFERROR((I9-H9)/H9,0)</f>
        <v>0.00927652689027231</v>
      </c>
      <c r="N9" s="16" t="n">
        <f aca="false">G9*I9</f>
        <v>5888.2</v>
      </c>
    </row>
    <row r="10" customFormat="false" ht="15" hidden="false" customHeight="true" outlineLevel="0" collapsed="false">
      <c r="A10" s="4" t="s">
        <v>186</v>
      </c>
      <c r="B10" s="4" t="s">
        <v>141</v>
      </c>
      <c r="C10" s="13" t="n">
        <v>45170</v>
      </c>
      <c r="D10" s="13" t="n">
        <v>45190</v>
      </c>
      <c r="E10" s="13" t="n">
        <v>45191</v>
      </c>
      <c r="F10" s="4" t="n">
        <v>159</v>
      </c>
      <c r="G10" s="4" t="n">
        <v>155</v>
      </c>
      <c r="H10" s="4" t="n">
        <v>1252.36</v>
      </c>
      <c r="I10" s="4" t="n">
        <v>1219.89</v>
      </c>
      <c r="J10" s="14" t="n">
        <f aca="false">E10-D10</f>
        <v>1</v>
      </c>
      <c r="K10" s="14" t="n">
        <f aca="false">IF(J10&lt;=0,1,0)</f>
        <v>0</v>
      </c>
      <c r="L10" s="15" t="n">
        <f aca="false">IFERROR(G10/F10,0)</f>
        <v>0.974842767295598</v>
      </c>
      <c r="M10" s="15" t="n">
        <f aca="false">IFERROR((I10-H10)/H10,0)</f>
        <v>-0.0259270497301094</v>
      </c>
      <c r="N10" s="16" t="n">
        <f aca="false">G10*I10</f>
        <v>189082.95</v>
      </c>
    </row>
    <row r="11" customFormat="false" ht="15" hidden="false" customHeight="true" outlineLevel="0" collapsed="false">
      <c r="A11" s="4" t="s">
        <v>187</v>
      </c>
      <c r="B11" s="4" t="s">
        <v>101</v>
      </c>
      <c r="C11" s="13" t="n">
        <v>45384</v>
      </c>
      <c r="D11" s="13" t="n">
        <v>45402</v>
      </c>
      <c r="E11" s="13" t="n">
        <v>45406</v>
      </c>
      <c r="F11" s="4" t="n">
        <v>322</v>
      </c>
      <c r="G11" s="4" t="n">
        <v>307</v>
      </c>
      <c r="H11" s="4" t="n">
        <v>442.74</v>
      </c>
      <c r="I11" s="4" t="n">
        <v>447.03</v>
      </c>
      <c r="J11" s="14" t="n">
        <f aca="false">E11-D11</f>
        <v>4</v>
      </c>
      <c r="K11" s="14" t="n">
        <f aca="false">IF(J11&lt;=0,1,0)</f>
        <v>0</v>
      </c>
      <c r="L11" s="15" t="n">
        <f aca="false">IFERROR(G11/F11,0)</f>
        <v>0.953416149068323</v>
      </c>
      <c r="M11" s="15" t="n">
        <f aca="false">IFERROR((I11-H11)/H11,0)</f>
        <v>0.00968965984550744</v>
      </c>
      <c r="N11" s="16" t="n">
        <f aca="false">G11*I11</f>
        <v>137238.21</v>
      </c>
    </row>
    <row r="12" customFormat="false" ht="15" hidden="false" customHeight="true" outlineLevel="0" collapsed="false">
      <c r="A12" s="4" t="s">
        <v>188</v>
      </c>
      <c r="B12" s="4" t="s">
        <v>79</v>
      </c>
      <c r="C12" s="13" t="n">
        <v>45555</v>
      </c>
      <c r="D12" s="13" t="n">
        <v>45574</v>
      </c>
      <c r="E12" s="13" t="n">
        <v>45577</v>
      </c>
      <c r="F12" s="4" t="n">
        <v>125</v>
      </c>
      <c r="G12" s="4" t="n">
        <v>123</v>
      </c>
      <c r="H12" s="4" t="n">
        <v>821.48</v>
      </c>
      <c r="I12" s="4" t="n">
        <v>876.53</v>
      </c>
      <c r="J12" s="14" t="n">
        <f aca="false">E12-D12</f>
        <v>3</v>
      </c>
      <c r="K12" s="14" t="n">
        <f aca="false">IF(J12&lt;=0,1,0)</f>
        <v>0</v>
      </c>
      <c r="L12" s="15" t="n">
        <f aca="false">IFERROR(G12/F12,0)</f>
        <v>0.984</v>
      </c>
      <c r="M12" s="15" t="n">
        <f aca="false">IFERROR((I12-H12)/H12,0)</f>
        <v>0.0670131956955738</v>
      </c>
      <c r="N12" s="16" t="n">
        <f aca="false">G12*I12</f>
        <v>107813.19</v>
      </c>
    </row>
    <row r="13" customFormat="false" ht="15" hidden="false" customHeight="true" outlineLevel="0" collapsed="false">
      <c r="A13" s="4" t="s">
        <v>189</v>
      </c>
      <c r="B13" s="4" t="s">
        <v>91</v>
      </c>
      <c r="C13" s="13" t="n">
        <v>45255</v>
      </c>
      <c r="D13" s="13" t="n">
        <v>45275</v>
      </c>
      <c r="E13" s="13" t="n">
        <v>45273</v>
      </c>
      <c r="F13" s="4" t="n">
        <v>475</v>
      </c>
      <c r="G13" s="4" t="n">
        <v>451</v>
      </c>
      <c r="H13" s="4" t="n">
        <v>496.29</v>
      </c>
      <c r="I13" s="4" t="n">
        <v>501.76</v>
      </c>
      <c r="J13" s="14" t="n">
        <f aca="false">E13-D13</f>
        <v>-2</v>
      </c>
      <c r="K13" s="14" t="n">
        <f aca="false">IF(J13&lt;=0,1,0)</f>
        <v>1</v>
      </c>
      <c r="L13" s="15" t="n">
        <f aca="false">IFERROR(G13/F13,0)</f>
        <v>0.949473684210526</v>
      </c>
      <c r="M13" s="15" t="n">
        <f aca="false">IFERROR((I13-H13)/H13,0)</f>
        <v>0.0110217816196175</v>
      </c>
      <c r="N13" s="16" t="n">
        <f aca="false">G13*I13</f>
        <v>226293.76</v>
      </c>
    </row>
    <row r="14" customFormat="false" ht="15" hidden="false" customHeight="true" outlineLevel="0" collapsed="false">
      <c r="A14" s="4" t="s">
        <v>190</v>
      </c>
      <c r="B14" s="4" t="s">
        <v>58</v>
      </c>
      <c r="C14" s="13" t="n">
        <v>45356</v>
      </c>
      <c r="D14" s="13" t="n">
        <v>45370</v>
      </c>
      <c r="E14" s="13" t="n">
        <v>45369</v>
      </c>
      <c r="F14" s="4" t="n">
        <v>153</v>
      </c>
      <c r="G14" s="4" t="n">
        <v>152</v>
      </c>
      <c r="H14" s="4" t="n">
        <v>135.68</v>
      </c>
      <c r="I14" s="4" t="n">
        <v>139.36</v>
      </c>
      <c r="J14" s="14" t="n">
        <f aca="false">E14-D14</f>
        <v>-1</v>
      </c>
      <c r="K14" s="14" t="n">
        <f aca="false">IF(J14&lt;=0,1,0)</f>
        <v>1</v>
      </c>
      <c r="L14" s="15" t="n">
        <f aca="false">IFERROR(G14/F14,0)</f>
        <v>0.993464052287582</v>
      </c>
      <c r="M14" s="15" t="n">
        <f aca="false">IFERROR((I14-H14)/H14,0)</f>
        <v>0.027122641509434</v>
      </c>
      <c r="N14" s="16" t="n">
        <f aca="false">G14*I14</f>
        <v>21182.72</v>
      </c>
    </row>
    <row r="15" customFormat="false" ht="15" hidden="false" customHeight="true" outlineLevel="0" collapsed="false">
      <c r="A15" s="4" t="s">
        <v>191</v>
      </c>
      <c r="B15" s="4" t="s">
        <v>111</v>
      </c>
      <c r="C15" s="13" t="n">
        <v>45104</v>
      </c>
      <c r="D15" s="13" t="n">
        <v>45115</v>
      </c>
      <c r="E15" s="13" t="n">
        <v>45122</v>
      </c>
      <c r="F15" s="4" t="n">
        <v>1633</v>
      </c>
      <c r="G15" s="4" t="n">
        <v>1608</v>
      </c>
      <c r="H15" s="4" t="n">
        <v>148.08</v>
      </c>
      <c r="I15" s="4" t="n">
        <v>150.19</v>
      </c>
      <c r="J15" s="14" t="n">
        <f aca="false">E15-D15</f>
        <v>7</v>
      </c>
      <c r="K15" s="14" t="n">
        <f aca="false">IF(J15&lt;=0,1,0)</f>
        <v>0</v>
      </c>
      <c r="L15" s="15" t="n">
        <f aca="false">IFERROR(G15/F15,0)</f>
        <v>0.984690753214942</v>
      </c>
      <c r="M15" s="15" t="n">
        <f aca="false">IFERROR((I15-H15)/H15,0)</f>
        <v>0.0142490545650998</v>
      </c>
      <c r="N15" s="16" t="n">
        <f aca="false">G15*I15</f>
        <v>241505.52</v>
      </c>
    </row>
    <row r="16" customFormat="false" ht="15" hidden="false" customHeight="true" outlineLevel="0" collapsed="false">
      <c r="A16" s="4" t="s">
        <v>192</v>
      </c>
      <c r="B16" s="4" t="s">
        <v>79</v>
      </c>
      <c r="C16" s="13" t="n">
        <v>45263</v>
      </c>
      <c r="D16" s="13" t="n">
        <v>45280</v>
      </c>
      <c r="E16" s="13" t="n">
        <v>45285</v>
      </c>
      <c r="F16" s="4" t="n">
        <v>241</v>
      </c>
      <c r="G16" s="4" t="n">
        <v>229</v>
      </c>
      <c r="H16" s="4" t="n">
        <v>821.48</v>
      </c>
      <c r="I16" s="4" t="n">
        <v>839.5</v>
      </c>
      <c r="J16" s="14" t="n">
        <f aca="false">E16-D16</f>
        <v>5</v>
      </c>
      <c r="K16" s="14" t="n">
        <f aca="false">IF(J16&lt;=0,1,0)</f>
        <v>0</v>
      </c>
      <c r="L16" s="15" t="n">
        <f aca="false">IFERROR(G16/F16,0)</f>
        <v>0.950207468879668</v>
      </c>
      <c r="M16" s="15" t="n">
        <f aca="false">IFERROR((I16-H16)/H16,0)</f>
        <v>0.0219360179188781</v>
      </c>
      <c r="N16" s="16" t="n">
        <f aca="false">G16*I16</f>
        <v>192245.5</v>
      </c>
    </row>
    <row r="17" customFormat="false" ht="15" hidden="false" customHeight="true" outlineLevel="0" collapsed="false">
      <c r="A17" s="4" t="s">
        <v>193</v>
      </c>
      <c r="B17" s="4" t="s">
        <v>83</v>
      </c>
      <c r="C17" s="13" t="n">
        <v>45098</v>
      </c>
      <c r="D17" s="13" t="n">
        <v>45109</v>
      </c>
      <c r="E17" s="13" t="n">
        <v>45112</v>
      </c>
      <c r="F17" s="4" t="n">
        <v>501</v>
      </c>
      <c r="G17" s="4" t="n">
        <v>501</v>
      </c>
      <c r="H17" s="4" t="n">
        <v>101.36</v>
      </c>
      <c r="I17" s="4" t="n">
        <v>102.75</v>
      </c>
      <c r="J17" s="14" t="n">
        <f aca="false">E17-D17</f>
        <v>3</v>
      </c>
      <c r="K17" s="14" t="n">
        <f aca="false">IF(J17&lt;=0,1,0)</f>
        <v>0</v>
      </c>
      <c r="L17" s="15" t="n">
        <f aca="false">IFERROR(G17/F17,0)</f>
        <v>1</v>
      </c>
      <c r="M17" s="15" t="n">
        <f aca="false">IFERROR((I17-H17)/H17,0)</f>
        <v>0.0137134964483031</v>
      </c>
      <c r="N17" s="16" t="n">
        <f aca="false">G17*I17</f>
        <v>51477.75</v>
      </c>
    </row>
    <row r="18" customFormat="false" ht="15" hidden="false" customHeight="true" outlineLevel="0" collapsed="false">
      <c r="A18" s="4" t="s">
        <v>194</v>
      </c>
      <c r="B18" s="4" t="s">
        <v>77</v>
      </c>
      <c r="C18" s="13" t="n">
        <v>44976</v>
      </c>
      <c r="D18" s="13" t="n">
        <v>44984</v>
      </c>
      <c r="E18" s="13" t="n">
        <v>44996</v>
      </c>
      <c r="F18" s="4" t="n">
        <v>737</v>
      </c>
      <c r="G18" s="4" t="n">
        <v>737</v>
      </c>
      <c r="H18" s="4" t="n">
        <v>36.83</v>
      </c>
      <c r="I18" s="4" t="n">
        <v>36.59</v>
      </c>
      <c r="J18" s="14" t="n">
        <f aca="false">E18-D18</f>
        <v>12</v>
      </c>
      <c r="K18" s="14" t="n">
        <f aca="false">IF(J18&lt;=0,1,0)</f>
        <v>0</v>
      </c>
      <c r="L18" s="15" t="n">
        <f aca="false">IFERROR(G18/F18,0)</f>
        <v>1</v>
      </c>
      <c r="M18" s="15" t="n">
        <f aca="false">IFERROR((I18-H18)/H18,0)</f>
        <v>-0.00651642682595696</v>
      </c>
      <c r="N18" s="16" t="n">
        <f aca="false">G18*I18</f>
        <v>26966.83</v>
      </c>
    </row>
    <row r="19" customFormat="false" ht="15" hidden="false" customHeight="true" outlineLevel="0" collapsed="false">
      <c r="A19" s="4" t="s">
        <v>195</v>
      </c>
      <c r="B19" s="4" t="s">
        <v>58</v>
      </c>
      <c r="C19" s="13" t="n">
        <v>44974</v>
      </c>
      <c r="D19" s="13" t="n">
        <v>44988</v>
      </c>
      <c r="E19" s="13" t="n">
        <v>44986</v>
      </c>
      <c r="F19" s="4" t="n">
        <v>174</v>
      </c>
      <c r="G19" s="4" t="n">
        <v>174</v>
      </c>
      <c r="H19" s="4" t="n">
        <v>135.68</v>
      </c>
      <c r="I19" s="4" t="n">
        <v>138.18</v>
      </c>
      <c r="J19" s="14" t="n">
        <f aca="false">E19-D19</f>
        <v>-2</v>
      </c>
      <c r="K19" s="14" t="n">
        <f aca="false">IF(J19&lt;=0,1,0)</f>
        <v>1</v>
      </c>
      <c r="L19" s="15" t="n">
        <f aca="false">IFERROR(G19/F19,0)</f>
        <v>1</v>
      </c>
      <c r="M19" s="15" t="n">
        <f aca="false">IFERROR((I19-H19)/H19,0)</f>
        <v>0.0184257075471698</v>
      </c>
      <c r="N19" s="16" t="n">
        <f aca="false">G19*I19</f>
        <v>24043.32</v>
      </c>
    </row>
    <row r="20" customFormat="false" ht="15" hidden="false" customHeight="true" outlineLevel="0" collapsed="false">
      <c r="A20" s="4" t="s">
        <v>196</v>
      </c>
      <c r="B20" s="4" t="s">
        <v>135</v>
      </c>
      <c r="C20" s="13" t="n">
        <v>45074</v>
      </c>
      <c r="D20" s="13" t="n">
        <v>45087</v>
      </c>
      <c r="E20" s="13" t="n">
        <v>45089</v>
      </c>
      <c r="F20" s="4" t="n">
        <v>220</v>
      </c>
      <c r="G20" s="4" t="n">
        <v>220</v>
      </c>
      <c r="H20" s="4" t="n">
        <v>328.06</v>
      </c>
      <c r="I20" s="4" t="n">
        <v>319.76</v>
      </c>
      <c r="J20" s="14" t="n">
        <f aca="false">E20-D20</f>
        <v>2</v>
      </c>
      <c r="K20" s="14" t="n">
        <f aca="false">IF(J20&lt;=0,1,0)</f>
        <v>0</v>
      </c>
      <c r="L20" s="15" t="n">
        <f aca="false">IFERROR(G20/F20,0)</f>
        <v>1</v>
      </c>
      <c r="M20" s="15" t="n">
        <f aca="false">IFERROR((I20-H20)/H20,0)</f>
        <v>-0.0253002499542767</v>
      </c>
      <c r="N20" s="16" t="n">
        <f aca="false">G20*I20</f>
        <v>70347.2</v>
      </c>
    </row>
    <row r="21" customFormat="false" ht="15" hidden="false" customHeight="true" outlineLevel="0" collapsed="false">
      <c r="A21" s="4" t="s">
        <v>197</v>
      </c>
      <c r="B21" s="4" t="s">
        <v>85</v>
      </c>
      <c r="C21" s="13" t="n">
        <v>45055</v>
      </c>
      <c r="D21" s="13" t="n">
        <v>45064</v>
      </c>
      <c r="E21" s="13" t="n">
        <v>45069</v>
      </c>
      <c r="F21" s="4" t="n">
        <v>515</v>
      </c>
      <c r="G21" s="4" t="n">
        <v>490</v>
      </c>
      <c r="H21" s="4" t="n">
        <v>241.88</v>
      </c>
      <c r="I21" s="4" t="n">
        <v>242.26</v>
      </c>
      <c r="J21" s="14" t="n">
        <f aca="false">E21-D21</f>
        <v>5</v>
      </c>
      <c r="K21" s="14" t="n">
        <f aca="false">IF(J21&lt;=0,1,0)</f>
        <v>0</v>
      </c>
      <c r="L21" s="15" t="n">
        <f aca="false">IFERROR(G21/F21,0)</f>
        <v>0.951456310679612</v>
      </c>
      <c r="M21" s="15" t="n">
        <f aca="false">IFERROR((I21-H21)/H21,0)</f>
        <v>0.00157102695551511</v>
      </c>
      <c r="N21" s="16" t="n">
        <f aca="false">G21*I21</f>
        <v>118707.4</v>
      </c>
    </row>
    <row r="22" customFormat="false" ht="15" hidden="false" customHeight="true" outlineLevel="0" collapsed="false">
      <c r="A22" s="4" t="s">
        <v>198</v>
      </c>
      <c r="B22" s="4" t="s">
        <v>149</v>
      </c>
      <c r="C22" s="13" t="n">
        <v>45622</v>
      </c>
      <c r="D22" s="13" t="n">
        <v>45629</v>
      </c>
      <c r="E22" s="13" t="n">
        <v>45627</v>
      </c>
      <c r="F22" s="4" t="n">
        <v>9</v>
      </c>
      <c r="G22" s="4" t="n">
        <v>9</v>
      </c>
      <c r="H22" s="4" t="n">
        <v>1458.52</v>
      </c>
      <c r="I22" s="4" t="n">
        <v>1480.56</v>
      </c>
      <c r="J22" s="14" t="n">
        <f aca="false">E22-D22</f>
        <v>-2</v>
      </c>
      <c r="K22" s="14" t="n">
        <f aca="false">IF(J22&lt;=0,1,0)</f>
        <v>1</v>
      </c>
      <c r="L22" s="15" t="n">
        <f aca="false">IFERROR(G22/F22,0)</f>
        <v>1</v>
      </c>
      <c r="M22" s="15" t="n">
        <f aca="false">IFERROR((I22-H22)/H22,0)</f>
        <v>0.0151112086224392</v>
      </c>
      <c r="N22" s="16" t="n">
        <f aca="false">G22*I22</f>
        <v>13325.04</v>
      </c>
    </row>
    <row r="23" customFormat="false" ht="15" hidden="false" customHeight="true" outlineLevel="0" collapsed="false">
      <c r="A23" s="4" t="s">
        <v>199</v>
      </c>
      <c r="B23" s="4" t="s">
        <v>133</v>
      </c>
      <c r="C23" s="13" t="n">
        <v>45329</v>
      </c>
      <c r="D23" s="13" t="n">
        <v>45339</v>
      </c>
      <c r="E23" s="13" t="n">
        <v>45347</v>
      </c>
      <c r="F23" s="4" t="n">
        <v>1691</v>
      </c>
      <c r="G23" s="4" t="n">
        <v>1618</v>
      </c>
      <c r="H23" s="4" t="n">
        <v>138.21</v>
      </c>
      <c r="I23" s="4" t="n">
        <v>139.88</v>
      </c>
      <c r="J23" s="14" t="n">
        <f aca="false">E23-D23</f>
        <v>8</v>
      </c>
      <c r="K23" s="14" t="n">
        <f aca="false">IF(J23&lt;=0,1,0)</f>
        <v>0</v>
      </c>
      <c r="L23" s="15" t="n">
        <f aca="false">IFERROR(G23/F23,0)</f>
        <v>0.956830277942046</v>
      </c>
      <c r="M23" s="15" t="n">
        <f aca="false">IFERROR((I23-H23)/H23,0)</f>
        <v>0.0120830620070906</v>
      </c>
      <c r="N23" s="16" t="n">
        <f aca="false">G23*I23</f>
        <v>226325.84</v>
      </c>
    </row>
    <row r="24" customFormat="false" ht="15" hidden="false" customHeight="true" outlineLevel="0" collapsed="false">
      <c r="A24" s="4" t="s">
        <v>200</v>
      </c>
      <c r="B24" s="4" t="s">
        <v>135</v>
      </c>
      <c r="C24" s="13" t="n">
        <v>45002</v>
      </c>
      <c r="D24" s="13" t="n">
        <v>45016</v>
      </c>
      <c r="E24" s="13" t="n">
        <v>45016</v>
      </c>
      <c r="F24" s="4" t="n">
        <v>64</v>
      </c>
      <c r="G24" s="4" t="n">
        <v>63</v>
      </c>
      <c r="H24" s="4" t="n">
        <v>328.06</v>
      </c>
      <c r="I24" s="4" t="n">
        <v>328.52</v>
      </c>
      <c r="J24" s="14" t="n">
        <f aca="false">E24-D24</f>
        <v>0</v>
      </c>
      <c r="K24" s="14" t="n">
        <f aca="false">IF(J24&lt;=0,1,0)</f>
        <v>1</v>
      </c>
      <c r="L24" s="15" t="n">
        <f aca="false">IFERROR(G24/F24,0)</f>
        <v>0.984375</v>
      </c>
      <c r="M24" s="15" t="n">
        <f aca="false">IFERROR((I24-H24)/H24,0)</f>
        <v>0.00140218252758635</v>
      </c>
      <c r="N24" s="16" t="n">
        <f aca="false">G24*I24</f>
        <v>20696.76</v>
      </c>
    </row>
    <row r="25" customFormat="false" ht="15" hidden="false" customHeight="true" outlineLevel="0" collapsed="false">
      <c r="A25" s="4" t="s">
        <v>201</v>
      </c>
      <c r="B25" s="4" t="s">
        <v>145</v>
      </c>
      <c r="C25" s="13" t="n">
        <v>44975</v>
      </c>
      <c r="D25" s="13" t="n">
        <v>44985</v>
      </c>
      <c r="E25" s="13" t="n">
        <v>44981</v>
      </c>
      <c r="F25" s="4" t="n">
        <v>201</v>
      </c>
      <c r="G25" s="4" t="n">
        <v>191</v>
      </c>
      <c r="H25" s="4" t="n">
        <v>237.04</v>
      </c>
      <c r="I25" s="4" t="n">
        <v>240.46</v>
      </c>
      <c r="J25" s="14" t="n">
        <f aca="false">E25-D25</f>
        <v>-4</v>
      </c>
      <c r="K25" s="14" t="n">
        <f aca="false">IF(J25&lt;=0,1,0)</f>
        <v>1</v>
      </c>
      <c r="L25" s="15" t="n">
        <f aca="false">IFERROR(G25/F25,0)</f>
        <v>0.950248756218906</v>
      </c>
      <c r="M25" s="15" t="n">
        <f aca="false">IFERROR((I25-H25)/H25,0)</f>
        <v>0.0144279446506919</v>
      </c>
      <c r="N25" s="16" t="n">
        <f aca="false">G25*I25</f>
        <v>45927.86</v>
      </c>
    </row>
    <row r="26" customFormat="false" ht="15" hidden="false" customHeight="true" outlineLevel="0" collapsed="false">
      <c r="A26" s="4" t="s">
        <v>202</v>
      </c>
      <c r="B26" s="4" t="s">
        <v>145</v>
      </c>
      <c r="C26" s="13" t="n">
        <v>45609</v>
      </c>
      <c r="D26" s="13" t="n">
        <v>45619</v>
      </c>
      <c r="E26" s="13" t="n">
        <v>45627</v>
      </c>
      <c r="F26" s="4" t="n">
        <v>307</v>
      </c>
      <c r="G26" s="4" t="n">
        <v>278</v>
      </c>
      <c r="H26" s="4" t="n">
        <v>237.04</v>
      </c>
      <c r="I26" s="4" t="n">
        <v>269.82</v>
      </c>
      <c r="J26" s="14" t="n">
        <f aca="false">E26-D26</f>
        <v>8</v>
      </c>
      <c r="K26" s="14" t="n">
        <f aca="false">IF(J26&lt;=0,1,0)</f>
        <v>0</v>
      </c>
      <c r="L26" s="15" t="n">
        <f aca="false">IFERROR(G26/F26,0)</f>
        <v>0.905537459283388</v>
      </c>
      <c r="M26" s="15" t="n">
        <f aca="false">IFERROR((I26-H26)/H26,0)</f>
        <v>0.138288896388795</v>
      </c>
      <c r="N26" s="16" t="n">
        <f aca="false">G26*I26</f>
        <v>75009.96</v>
      </c>
    </row>
    <row r="27" customFormat="false" ht="15" hidden="false" customHeight="true" outlineLevel="0" collapsed="false">
      <c r="A27" s="4" t="s">
        <v>203</v>
      </c>
      <c r="B27" s="4" t="s">
        <v>95</v>
      </c>
      <c r="C27" s="13" t="n">
        <v>45307</v>
      </c>
      <c r="D27" s="13" t="n">
        <v>45313</v>
      </c>
      <c r="E27" s="13" t="n">
        <v>45313</v>
      </c>
      <c r="F27" s="4" t="n">
        <v>3431</v>
      </c>
      <c r="G27" s="4" t="n">
        <v>3431</v>
      </c>
      <c r="H27" s="4" t="n">
        <v>20.39</v>
      </c>
      <c r="I27" s="4" t="n">
        <v>20.82</v>
      </c>
      <c r="J27" s="14" t="n">
        <f aca="false">E27-D27</f>
        <v>0</v>
      </c>
      <c r="K27" s="14" t="n">
        <f aca="false">IF(J27&lt;=0,1,0)</f>
        <v>1</v>
      </c>
      <c r="L27" s="15" t="n">
        <f aca="false">IFERROR(G27/F27,0)</f>
        <v>1</v>
      </c>
      <c r="M27" s="15" t="n">
        <f aca="false">IFERROR((I27-H27)/H27,0)</f>
        <v>0.0210887690044139</v>
      </c>
      <c r="N27" s="16" t="n">
        <f aca="false">G27*I27</f>
        <v>71433.42</v>
      </c>
    </row>
    <row r="28" customFormat="false" ht="15" hidden="false" customHeight="true" outlineLevel="0" collapsed="false">
      <c r="A28" s="4" t="s">
        <v>204</v>
      </c>
      <c r="B28" s="4" t="s">
        <v>117</v>
      </c>
      <c r="C28" s="13" t="n">
        <v>45232</v>
      </c>
      <c r="D28" s="13" t="n">
        <v>45243</v>
      </c>
      <c r="E28" s="13" t="n">
        <v>45247</v>
      </c>
      <c r="F28" s="4" t="n">
        <v>29</v>
      </c>
      <c r="G28" s="4" t="n">
        <v>29</v>
      </c>
      <c r="H28" s="4" t="n">
        <v>396.01</v>
      </c>
      <c r="I28" s="4" t="n">
        <v>386.89</v>
      </c>
      <c r="J28" s="14" t="n">
        <f aca="false">E28-D28</f>
        <v>4</v>
      </c>
      <c r="K28" s="14" t="n">
        <f aca="false">IF(J28&lt;=0,1,0)</f>
        <v>0</v>
      </c>
      <c r="L28" s="15" t="n">
        <f aca="false">IFERROR(G28/F28,0)</f>
        <v>1</v>
      </c>
      <c r="M28" s="15" t="n">
        <f aca="false">IFERROR((I28-H28)/H28,0)</f>
        <v>-0.02302972147168</v>
      </c>
      <c r="N28" s="16" t="n">
        <f aca="false">G28*I28</f>
        <v>11219.81</v>
      </c>
    </row>
    <row r="29" customFormat="false" ht="15" hidden="false" customHeight="true" outlineLevel="0" collapsed="false">
      <c r="A29" s="4" t="s">
        <v>205</v>
      </c>
      <c r="B29" s="4" t="s">
        <v>159</v>
      </c>
      <c r="C29" s="13" t="n">
        <v>45477</v>
      </c>
      <c r="D29" s="13" t="n">
        <v>45483</v>
      </c>
      <c r="E29" s="13" t="n">
        <v>45486</v>
      </c>
      <c r="F29" s="4" t="n">
        <v>4189</v>
      </c>
      <c r="G29" s="4" t="n">
        <v>4101</v>
      </c>
      <c r="H29" s="4" t="n">
        <v>32.91</v>
      </c>
      <c r="I29" s="4" t="n">
        <v>33.02</v>
      </c>
      <c r="J29" s="14" t="n">
        <f aca="false">E29-D29</f>
        <v>3</v>
      </c>
      <c r="K29" s="14" t="n">
        <f aca="false">IF(J29&lt;=0,1,0)</f>
        <v>0</v>
      </c>
      <c r="L29" s="15" t="n">
        <f aca="false">IFERROR(G29/F29,0)</f>
        <v>0.978992599665791</v>
      </c>
      <c r="M29" s="15" t="n">
        <f aca="false">IFERROR((I29-H29)/H29,0)</f>
        <v>0.00334244910361612</v>
      </c>
      <c r="N29" s="16" t="n">
        <f aca="false">G29*I29</f>
        <v>135415.02</v>
      </c>
    </row>
    <row r="30" customFormat="false" ht="15" hidden="false" customHeight="true" outlineLevel="0" collapsed="false">
      <c r="A30" s="4" t="s">
        <v>206</v>
      </c>
      <c r="B30" s="4" t="s">
        <v>141</v>
      </c>
      <c r="C30" s="13" t="n">
        <v>45602</v>
      </c>
      <c r="D30" s="13" t="n">
        <v>45619</v>
      </c>
      <c r="E30" s="13" t="n">
        <v>45618</v>
      </c>
      <c r="F30" s="4" t="n">
        <v>196</v>
      </c>
      <c r="G30" s="4" t="n">
        <v>193</v>
      </c>
      <c r="H30" s="4" t="n">
        <v>1252.36</v>
      </c>
      <c r="I30" s="4" t="n">
        <v>1198.76</v>
      </c>
      <c r="J30" s="14" t="n">
        <f aca="false">E30-D30</f>
        <v>-1</v>
      </c>
      <c r="K30" s="14" t="n">
        <f aca="false">IF(J30&lt;=0,1,0)</f>
        <v>1</v>
      </c>
      <c r="L30" s="15" t="n">
        <f aca="false">IFERROR(G30/F30,0)</f>
        <v>0.98469387755102</v>
      </c>
      <c r="M30" s="15" t="n">
        <f aca="false">IFERROR((I30-H30)/H30,0)</f>
        <v>-0.0427991951196141</v>
      </c>
      <c r="N30" s="16" t="n">
        <f aca="false">G30*I30</f>
        <v>231360.68</v>
      </c>
    </row>
    <row r="31" customFormat="false" ht="15" hidden="false" customHeight="true" outlineLevel="0" collapsed="false">
      <c r="A31" s="4" t="s">
        <v>207</v>
      </c>
      <c r="B31" s="4" t="s">
        <v>65</v>
      </c>
      <c r="C31" s="13" t="n">
        <v>45643</v>
      </c>
      <c r="D31" s="13" t="n">
        <v>45660</v>
      </c>
      <c r="E31" s="13" t="n">
        <v>45662</v>
      </c>
      <c r="F31" s="4" t="n">
        <v>63</v>
      </c>
      <c r="G31" s="4" t="n">
        <v>61</v>
      </c>
      <c r="H31" s="4" t="n">
        <v>1365.59</v>
      </c>
      <c r="I31" s="4" t="n">
        <v>1361.46</v>
      </c>
      <c r="J31" s="14" t="n">
        <f aca="false">E31-D31</f>
        <v>2</v>
      </c>
      <c r="K31" s="14" t="n">
        <f aca="false">IF(J31&lt;=0,1,0)</f>
        <v>0</v>
      </c>
      <c r="L31" s="15" t="n">
        <f aca="false">IFERROR(G31/F31,0)</f>
        <v>0.968253968253968</v>
      </c>
      <c r="M31" s="15" t="n">
        <f aca="false">IFERROR((I31-H31)/H31,0)</f>
        <v>-0.00302433380443609</v>
      </c>
      <c r="N31" s="16" t="n">
        <f aca="false">G31*I31</f>
        <v>83049.06</v>
      </c>
    </row>
    <row r="32" customFormat="false" ht="15" hidden="false" customHeight="true" outlineLevel="0" collapsed="false">
      <c r="A32" s="4" t="s">
        <v>208</v>
      </c>
      <c r="B32" s="4" t="s">
        <v>131</v>
      </c>
      <c r="C32" s="13" t="n">
        <v>45212</v>
      </c>
      <c r="D32" s="13" t="n">
        <v>45224</v>
      </c>
      <c r="E32" s="13" t="n">
        <v>45225</v>
      </c>
      <c r="F32" s="4" t="n">
        <v>792</v>
      </c>
      <c r="G32" s="4" t="n">
        <v>749</v>
      </c>
      <c r="H32" s="4" t="n">
        <v>88.52</v>
      </c>
      <c r="I32" s="4" t="n">
        <v>88.6</v>
      </c>
      <c r="J32" s="14" t="n">
        <f aca="false">E32-D32</f>
        <v>1</v>
      </c>
      <c r="K32" s="14" t="n">
        <f aca="false">IF(J32&lt;=0,1,0)</f>
        <v>0</v>
      </c>
      <c r="L32" s="15" t="n">
        <f aca="false">IFERROR(G32/F32,0)</f>
        <v>0.945707070707071</v>
      </c>
      <c r="M32" s="15" t="n">
        <f aca="false">IFERROR((I32-H32)/H32,0)</f>
        <v>0.000903750564844084</v>
      </c>
      <c r="N32" s="16" t="n">
        <f aca="false">G32*I32</f>
        <v>66361.4</v>
      </c>
    </row>
    <row r="33" customFormat="false" ht="15" hidden="false" customHeight="true" outlineLevel="0" collapsed="false">
      <c r="A33" s="4" t="s">
        <v>209</v>
      </c>
      <c r="B33" s="4" t="s">
        <v>89</v>
      </c>
      <c r="C33" s="13" t="n">
        <v>45315</v>
      </c>
      <c r="D33" s="13" t="n">
        <v>45319</v>
      </c>
      <c r="E33" s="13" t="n">
        <v>45319</v>
      </c>
      <c r="F33" s="4" t="n">
        <v>10</v>
      </c>
      <c r="G33" s="4" t="n">
        <v>9</v>
      </c>
      <c r="H33" s="4" t="n">
        <v>1929.81</v>
      </c>
      <c r="I33" s="4" t="n">
        <v>1936.49</v>
      </c>
      <c r="J33" s="14" t="n">
        <f aca="false">E33-D33</f>
        <v>0</v>
      </c>
      <c r="K33" s="14" t="n">
        <f aca="false">IF(J33&lt;=0,1,0)</f>
        <v>1</v>
      </c>
      <c r="L33" s="15" t="n">
        <f aca="false">IFERROR(G33/F33,0)</f>
        <v>0.9</v>
      </c>
      <c r="M33" s="15" t="n">
        <f aca="false">IFERROR((I33-H33)/H33,0)</f>
        <v>0.00346148066389959</v>
      </c>
      <c r="N33" s="16" t="n">
        <f aca="false">G33*I33</f>
        <v>17428.41</v>
      </c>
    </row>
    <row r="34" customFormat="false" ht="15" hidden="false" customHeight="true" outlineLevel="0" collapsed="false">
      <c r="A34" s="4" t="s">
        <v>210</v>
      </c>
      <c r="B34" s="4" t="s">
        <v>107</v>
      </c>
      <c r="C34" s="13" t="n">
        <v>45530</v>
      </c>
      <c r="D34" s="13" t="n">
        <v>45539</v>
      </c>
      <c r="E34" s="13" t="n">
        <v>45543</v>
      </c>
      <c r="F34" s="4" t="n">
        <v>4673</v>
      </c>
      <c r="G34" s="4" t="n">
        <v>4587</v>
      </c>
      <c r="H34" s="4" t="n">
        <v>40.41</v>
      </c>
      <c r="I34" s="4" t="n">
        <v>41.13</v>
      </c>
      <c r="J34" s="14" t="n">
        <f aca="false">E34-D34</f>
        <v>4</v>
      </c>
      <c r="K34" s="14" t="n">
        <f aca="false">IF(J34&lt;=0,1,0)</f>
        <v>0</v>
      </c>
      <c r="L34" s="15" t="n">
        <f aca="false">IFERROR(G34/F34,0)</f>
        <v>0.981596404879093</v>
      </c>
      <c r="M34" s="15" t="n">
        <f aca="false">IFERROR((I34-H34)/H34,0)</f>
        <v>0.0178173719376393</v>
      </c>
      <c r="N34" s="16" t="n">
        <f aca="false">G34*I34</f>
        <v>188663.31</v>
      </c>
    </row>
    <row r="35" customFormat="false" ht="15" hidden="false" customHeight="true" outlineLevel="0" collapsed="false">
      <c r="A35" s="4" t="s">
        <v>211</v>
      </c>
      <c r="B35" s="4" t="s">
        <v>32</v>
      </c>
      <c r="C35" s="13" t="n">
        <v>45377</v>
      </c>
      <c r="D35" s="13" t="n">
        <v>45383</v>
      </c>
      <c r="E35" s="13" t="n">
        <v>45386</v>
      </c>
      <c r="F35" s="4" t="n">
        <v>4610</v>
      </c>
      <c r="G35" s="4" t="n">
        <v>4184</v>
      </c>
      <c r="H35" s="4" t="n">
        <v>32.49</v>
      </c>
      <c r="I35" s="4" t="n">
        <v>33.17</v>
      </c>
      <c r="J35" s="14" t="n">
        <f aca="false">E35-D35</f>
        <v>3</v>
      </c>
      <c r="K35" s="14" t="n">
        <f aca="false">IF(J35&lt;=0,1,0)</f>
        <v>0</v>
      </c>
      <c r="L35" s="15" t="n">
        <f aca="false">IFERROR(G35/F35,0)</f>
        <v>0.907592190889371</v>
      </c>
      <c r="M35" s="15" t="n">
        <f aca="false">IFERROR((I35-H35)/H35,0)</f>
        <v>0.0209295167743921</v>
      </c>
      <c r="N35" s="16" t="n">
        <f aca="false">G35*I35</f>
        <v>138783.28</v>
      </c>
    </row>
    <row r="36" customFormat="false" ht="15" hidden="false" customHeight="true" outlineLevel="0" collapsed="false">
      <c r="A36" s="4" t="s">
        <v>212</v>
      </c>
      <c r="B36" s="4" t="s">
        <v>113</v>
      </c>
      <c r="C36" s="13" t="n">
        <v>45501</v>
      </c>
      <c r="D36" s="13" t="n">
        <v>45513</v>
      </c>
      <c r="E36" s="13" t="n">
        <v>45517</v>
      </c>
      <c r="F36" s="4" t="n">
        <v>795</v>
      </c>
      <c r="G36" s="4" t="n">
        <v>757</v>
      </c>
      <c r="H36" s="4" t="n">
        <v>170.42</v>
      </c>
      <c r="I36" s="4" t="n">
        <v>173.89</v>
      </c>
      <c r="J36" s="14" t="n">
        <f aca="false">E36-D36</f>
        <v>4</v>
      </c>
      <c r="K36" s="14" t="n">
        <f aca="false">IF(J36&lt;=0,1,0)</f>
        <v>0</v>
      </c>
      <c r="L36" s="15" t="n">
        <f aca="false">IFERROR(G36/F36,0)</f>
        <v>0.952201257861635</v>
      </c>
      <c r="M36" s="15" t="n">
        <f aca="false">IFERROR((I36-H36)/H36,0)</f>
        <v>0.0203614599225443</v>
      </c>
      <c r="N36" s="16" t="n">
        <f aca="false">G36*I36</f>
        <v>131634.73</v>
      </c>
    </row>
    <row r="37" customFormat="false" ht="15" hidden="false" customHeight="true" outlineLevel="0" collapsed="false">
      <c r="A37" s="4" t="s">
        <v>213</v>
      </c>
      <c r="B37" s="4" t="s">
        <v>68</v>
      </c>
      <c r="C37" s="13" t="n">
        <v>45318</v>
      </c>
      <c r="D37" s="13" t="n">
        <v>45335</v>
      </c>
      <c r="E37" s="13" t="n">
        <v>45333</v>
      </c>
      <c r="F37" s="4" t="n">
        <v>484</v>
      </c>
      <c r="G37" s="4" t="n">
        <v>448</v>
      </c>
      <c r="H37" s="4" t="n">
        <v>1232.83</v>
      </c>
      <c r="I37" s="4" t="n">
        <v>1219.74</v>
      </c>
      <c r="J37" s="14" t="n">
        <f aca="false">E37-D37</f>
        <v>-2</v>
      </c>
      <c r="K37" s="14" t="n">
        <f aca="false">IF(J37&lt;=0,1,0)</f>
        <v>1</v>
      </c>
      <c r="L37" s="15" t="n">
        <f aca="false">IFERROR(G37/F37,0)</f>
        <v>0.925619834710744</v>
      </c>
      <c r="M37" s="15" t="n">
        <f aca="false">IFERROR((I37-H37)/H37,0)</f>
        <v>-0.0106178467428599</v>
      </c>
      <c r="N37" s="16" t="n">
        <f aca="false">G37*I37</f>
        <v>546443.52</v>
      </c>
    </row>
    <row r="38" customFormat="false" ht="15" hidden="false" customHeight="true" outlineLevel="0" collapsed="false">
      <c r="A38" s="4" t="s">
        <v>214</v>
      </c>
      <c r="B38" s="4" t="s">
        <v>105</v>
      </c>
      <c r="C38" s="13" t="n">
        <v>45278</v>
      </c>
      <c r="D38" s="13" t="n">
        <v>45295</v>
      </c>
      <c r="E38" s="13" t="n">
        <v>45293</v>
      </c>
      <c r="F38" s="4" t="n">
        <v>303</v>
      </c>
      <c r="G38" s="4" t="n">
        <v>298</v>
      </c>
      <c r="H38" s="4" t="n">
        <v>685.84</v>
      </c>
      <c r="I38" s="4" t="n">
        <v>713.04</v>
      </c>
      <c r="J38" s="14" t="n">
        <f aca="false">E38-D38</f>
        <v>-2</v>
      </c>
      <c r="K38" s="14" t="n">
        <f aca="false">IF(J38&lt;=0,1,0)</f>
        <v>1</v>
      </c>
      <c r="L38" s="15" t="n">
        <f aca="false">IFERROR(G38/F38,0)</f>
        <v>0.983498349834984</v>
      </c>
      <c r="M38" s="15" t="n">
        <f aca="false">IFERROR((I38-H38)/H38,0)</f>
        <v>0.0396593957774407</v>
      </c>
      <c r="N38" s="16" t="n">
        <f aca="false">G38*I38</f>
        <v>212485.92</v>
      </c>
    </row>
    <row r="39" customFormat="false" ht="15" hidden="false" customHeight="true" outlineLevel="0" collapsed="false">
      <c r="A39" s="4" t="s">
        <v>215</v>
      </c>
      <c r="B39" s="4" t="s">
        <v>70</v>
      </c>
      <c r="C39" s="13" t="n">
        <v>45538</v>
      </c>
      <c r="D39" s="13" t="n">
        <v>45544</v>
      </c>
      <c r="E39" s="13" t="n">
        <v>45548</v>
      </c>
      <c r="F39" s="4" t="n">
        <v>1779</v>
      </c>
      <c r="G39" s="4" t="n">
        <v>1566</v>
      </c>
      <c r="H39" s="4" t="n">
        <v>35.88</v>
      </c>
      <c r="I39" s="4" t="n">
        <v>37.98</v>
      </c>
      <c r="J39" s="14" t="n">
        <f aca="false">E39-D39</f>
        <v>4</v>
      </c>
      <c r="K39" s="14" t="n">
        <f aca="false">IF(J39&lt;=0,1,0)</f>
        <v>0</v>
      </c>
      <c r="L39" s="15" t="n">
        <f aca="false">IFERROR(G39/F39,0)</f>
        <v>0.88026981450253</v>
      </c>
      <c r="M39" s="15" t="n">
        <f aca="false">IFERROR((I39-H39)/H39,0)</f>
        <v>0.0585284280936453</v>
      </c>
      <c r="N39" s="16" t="n">
        <f aca="false">G39*I39</f>
        <v>59476.68</v>
      </c>
    </row>
    <row r="40" customFormat="false" ht="15" hidden="false" customHeight="true" outlineLevel="0" collapsed="false">
      <c r="A40" s="4" t="s">
        <v>216</v>
      </c>
      <c r="B40" s="4" t="s">
        <v>125</v>
      </c>
      <c r="C40" s="13" t="n">
        <v>45009</v>
      </c>
      <c r="D40" s="13" t="n">
        <v>45014</v>
      </c>
      <c r="E40" s="13" t="n">
        <v>45013</v>
      </c>
      <c r="F40" s="4" t="n">
        <v>3</v>
      </c>
      <c r="G40" s="4" t="n">
        <v>3</v>
      </c>
      <c r="H40" s="4" t="n">
        <v>729.32</v>
      </c>
      <c r="I40" s="4" t="n">
        <v>732.75</v>
      </c>
      <c r="J40" s="14" t="n">
        <f aca="false">E40-D40</f>
        <v>-1</v>
      </c>
      <c r="K40" s="14" t="n">
        <f aca="false">IF(J40&lt;=0,1,0)</f>
        <v>1</v>
      </c>
      <c r="L40" s="15" t="n">
        <f aca="false">IFERROR(G40/F40,0)</f>
        <v>1</v>
      </c>
      <c r="M40" s="15" t="n">
        <f aca="false">IFERROR((I40-H40)/H40,0)</f>
        <v>0.00470301102396746</v>
      </c>
      <c r="N40" s="16" t="n">
        <f aca="false">G40*I40</f>
        <v>2198.25</v>
      </c>
    </row>
    <row r="41" customFormat="false" ht="15" hidden="false" customHeight="true" outlineLevel="0" collapsed="false">
      <c r="A41" s="4" t="s">
        <v>217</v>
      </c>
      <c r="B41" s="4" t="s">
        <v>103</v>
      </c>
      <c r="C41" s="13" t="n">
        <v>45178</v>
      </c>
      <c r="D41" s="13" t="n">
        <v>45195</v>
      </c>
      <c r="E41" s="13" t="n">
        <v>45201</v>
      </c>
      <c r="F41" s="4" t="n">
        <v>93</v>
      </c>
      <c r="G41" s="4" t="n">
        <v>92</v>
      </c>
      <c r="H41" s="4" t="n">
        <v>1400.22</v>
      </c>
      <c r="I41" s="4" t="n">
        <v>1426.26</v>
      </c>
      <c r="J41" s="14" t="n">
        <f aca="false">E41-D41</f>
        <v>6</v>
      </c>
      <c r="K41" s="14" t="n">
        <f aca="false">IF(J41&lt;=0,1,0)</f>
        <v>0</v>
      </c>
      <c r="L41" s="15" t="n">
        <f aca="false">IFERROR(G41/F41,0)</f>
        <v>0.989247311827957</v>
      </c>
      <c r="M41" s="15" t="n">
        <f aca="false">IFERROR((I41-H41)/H41,0)</f>
        <v>0.0185970776020911</v>
      </c>
      <c r="N41" s="16" t="n">
        <f aca="false">G41*I41</f>
        <v>131215.92</v>
      </c>
    </row>
    <row r="42" customFormat="false" ht="15" hidden="false" customHeight="true" outlineLevel="0" collapsed="false">
      <c r="A42" s="4" t="s">
        <v>218</v>
      </c>
      <c r="B42" s="4" t="s">
        <v>121</v>
      </c>
      <c r="C42" s="13" t="n">
        <v>45189</v>
      </c>
      <c r="D42" s="13" t="n">
        <v>45199</v>
      </c>
      <c r="E42" s="13" t="n">
        <v>45203</v>
      </c>
      <c r="F42" s="4" t="n">
        <v>855</v>
      </c>
      <c r="G42" s="4" t="n">
        <v>791</v>
      </c>
      <c r="H42" s="4" t="n">
        <v>206.07</v>
      </c>
      <c r="I42" s="4" t="n">
        <v>213.95</v>
      </c>
      <c r="J42" s="14" t="n">
        <f aca="false">E42-D42</f>
        <v>4</v>
      </c>
      <c r="K42" s="14" t="n">
        <f aca="false">IF(J42&lt;=0,1,0)</f>
        <v>0</v>
      </c>
      <c r="L42" s="15" t="n">
        <f aca="false">IFERROR(G42/F42,0)</f>
        <v>0.925146198830409</v>
      </c>
      <c r="M42" s="15" t="n">
        <f aca="false">IFERROR((I42-H42)/H42,0)</f>
        <v>0.0382394332023099</v>
      </c>
      <c r="N42" s="16" t="n">
        <f aca="false">G42*I42</f>
        <v>169234.45</v>
      </c>
    </row>
    <row r="43" customFormat="false" ht="15" hidden="false" customHeight="true" outlineLevel="0" collapsed="false">
      <c r="A43" s="4" t="s">
        <v>219</v>
      </c>
      <c r="B43" s="4" t="s">
        <v>107</v>
      </c>
      <c r="C43" s="13" t="n">
        <v>45586</v>
      </c>
      <c r="D43" s="13" t="n">
        <v>45593</v>
      </c>
      <c r="E43" s="13" t="n">
        <v>45597</v>
      </c>
      <c r="F43" s="4" t="n">
        <v>703</v>
      </c>
      <c r="G43" s="4" t="n">
        <v>703</v>
      </c>
      <c r="H43" s="4" t="n">
        <v>40.41</v>
      </c>
      <c r="I43" s="4" t="n">
        <v>40.66</v>
      </c>
      <c r="J43" s="14" t="n">
        <f aca="false">E43-D43</f>
        <v>4</v>
      </c>
      <c r="K43" s="14" t="n">
        <f aca="false">IF(J43&lt;=0,1,0)</f>
        <v>0</v>
      </c>
      <c r="L43" s="15" t="n">
        <f aca="false">IFERROR(G43/F43,0)</f>
        <v>1</v>
      </c>
      <c r="M43" s="15" t="n">
        <f aca="false">IFERROR((I43-H43)/H43,0)</f>
        <v>0.00618658747834694</v>
      </c>
      <c r="N43" s="16" t="n">
        <f aca="false">G43*I43</f>
        <v>28583.98</v>
      </c>
    </row>
    <row r="44" customFormat="false" ht="15" hidden="false" customHeight="true" outlineLevel="0" collapsed="false">
      <c r="A44" s="4" t="s">
        <v>220</v>
      </c>
      <c r="B44" s="4" t="s">
        <v>113</v>
      </c>
      <c r="C44" s="13" t="n">
        <v>45443</v>
      </c>
      <c r="D44" s="13" t="n">
        <v>45453</v>
      </c>
      <c r="E44" s="13" t="n">
        <v>45456</v>
      </c>
      <c r="F44" s="4" t="n">
        <v>1980</v>
      </c>
      <c r="G44" s="4" t="n">
        <v>1980</v>
      </c>
      <c r="H44" s="4" t="n">
        <v>170.42</v>
      </c>
      <c r="I44" s="4" t="n">
        <v>173.75</v>
      </c>
      <c r="J44" s="14" t="n">
        <f aca="false">E44-D44</f>
        <v>3</v>
      </c>
      <c r="K44" s="14" t="n">
        <f aca="false">IF(J44&lt;=0,1,0)</f>
        <v>0</v>
      </c>
      <c r="L44" s="15" t="n">
        <f aca="false">IFERROR(G44/F44,0)</f>
        <v>1</v>
      </c>
      <c r="M44" s="15" t="n">
        <f aca="false">IFERROR((I44-H44)/H44,0)</f>
        <v>0.0195399600985801</v>
      </c>
      <c r="N44" s="16" t="n">
        <f aca="false">G44*I44</f>
        <v>344025</v>
      </c>
    </row>
    <row r="45" customFormat="false" ht="15" hidden="false" customHeight="true" outlineLevel="0" collapsed="false">
      <c r="A45" s="4" t="s">
        <v>221</v>
      </c>
      <c r="B45" s="4" t="s">
        <v>50</v>
      </c>
      <c r="C45" s="13" t="n">
        <v>45418</v>
      </c>
      <c r="D45" s="13" t="n">
        <v>45438</v>
      </c>
      <c r="E45" s="13" t="n">
        <v>45438</v>
      </c>
      <c r="F45" s="4" t="n">
        <v>293</v>
      </c>
      <c r="G45" s="4" t="n">
        <v>285</v>
      </c>
      <c r="H45" s="4" t="n">
        <v>707.19</v>
      </c>
      <c r="I45" s="4" t="n">
        <v>752.44</v>
      </c>
      <c r="J45" s="14" t="n">
        <f aca="false">E45-D45</f>
        <v>0</v>
      </c>
      <c r="K45" s="14" t="n">
        <f aca="false">IF(J45&lt;=0,1,0)</f>
        <v>1</v>
      </c>
      <c r="L45" s="15" t="n">
        <f aca="false">IFERROR(G45/F45,0)</f>
        <v>0.972696245733788</v>
      </c>
      <c r="M45" s="15" t="n">
        <f aca="false">IFERROR((I45-H45)/H45,0)</f>
        <v>0.0639856332810136</v>
      </c>
      <c r="N45" s="16" t="n">
        <f aca="false">G45*I45</f>
        <v>214445.4</v>
      </c>
    </row>
    <row r="46" customFormat="false" ht="15" hidden="false" customHeight="true" outlineLevel="0" collapsed="false">
      <c r="A46" s="4" t="s">
        <v>222</v>
      </c>
      <c r="B46" s="4" t="s">
        <v>109</v>
      </c>
      <c r="C46" s="13" t="n">
        <v>45210</v>
      </c>
      <c r="D46" s="13" t="n">
        <v>45229</v>
      </c>
      <c r="E46" s="13" t="n">
        <v>45230</v>
      </c>
      <c r="F46" s="4" t="n">
        <v>146</v>
      </c>
      <c r="G46" s="4" t="n">
        <v>140</v>
      </c>
      <c r="H46" s="4" t="n">
        <v>858.02</v>
      </c>
      <c r="I46" s="4" t="n">
        <v>855.48</v>
      </c>
      <c r="J46" s="14" t="n">
        <f aca="false">E46-D46</f>
        <v>1</v>
      </c>
      <c r="K46" s="14" t="n">
        <f aca="false">IF(J46&lt;=0,1,0)</f>
        <v>0</v>
      </c>
      <c r="L46" s="15" t="n">
        <f aca="false">IFERROR(G46/F46,0)</f>
        <v>0.958904109589041</v>
      </c>
      <c r="M46" s="15" t="n">
        <f aca="false">IFERROR((I46-H46)/H46,0)</f>
        <v>-0.00296030395561871</v>
      </c>
      <c r="N46" s="16" t="n">
        <f aca="false">G46*I46</f>
        <v>119767.2</v>
      </c>
    </row>
    <row r="47" customFormat="false" ht="15" hidden="false" customHeight="true" outlineLevel="0" collapsed="false">
      <c r="A47" s="4" t="s">
        <v>223</v>
      </c>
      <c r="B47" s="4" t="s">
        <v>52</v>
      </c>
      <c r="C47" s="13" t="n">
        <v>44992</v>
      </c>
      <c r="D47" s="13" t="n">
        <v>45003</v>
      </c>
      <c r="E47" s="13" t="n">
        <v>45009</v>
      </c>
      <c r="F47" s="4" t="n">
        <v>339</v>
      </c>
      <c r="G47" s="4" t="n">
        <v>295</v>
      </c>
      <c r="H47" s="4" t="n">
        <v>170.24</v>
      </c>
      <c r="I47" s="4" t="n">
        <v>169.92</v>
      </c>
      <c r="J47" s="14" t="n">
        <f aca="false">E47-D47</f>
        <v>6</v>
      </c>
      <c r="K47" s="14" t="n">
        <f aca="false">IF(J47&lt;=0,1,0)</f>
        <v>0</v>
      </c>
      <c r="L47" s="15" t="n">
        <f aca="false">IFERROR(G47/F47,0)</f>
        <v>0.870206489675516</v>
      </c>
      <c r="M47" s="15" t="n">
        <f aca="false">IFERROR((I47-H47)/H47,0)</f>
        <v>-0.00187969924812043</v>
      </c>
      <c r="N47" s="16" t="n">
        <f aca="false">G47*I47</f>
        <v>50126.4</v>
      </c>
    </row>
    <row r="48" customFormat="false" ht="15" hidden="false" customHeight="true" outlineLevel="0" collapsed="false">
      <c r="A48" s="4" t="s">
        <v>224</v>
      </c>
      <c r="B48" s="4" t="s">
        <v>161</v>
      </c>
      <c r="C48" s="13" t="n">
        <v>45524</v>
      </c>
      <c r="D48" s="13" t="n">
        <v>45533</v>
      </c>
      <c r="E48" s="13" t="n">
        <v>45537</v>
      </c>
      <c r="F48" s="4" t="n">
        <v>1395</v>
      </c>
      <c r="G48" s="4" t="n">
        <v>1395</v>
      </c>
      <c r="H48" s="4" t="n">
        <v>101.94</v>
      </c>
      <c r="I48" s="4" t="n">
        <v>115.87</v>
      </c>
      <c r="J48" s="14" t="n">
        <f aca="false">E48-D48</f>
        <v>4</v>
      </c>
      <c r="K48" s="14" t="n">
        <f aca="false">IF(J48&lt;=0,1,0)</f>
        <v>0</v>
      </c>
      <c r="L48" s="15" t="n">
        <f aca="false">IFERROR(G48/F48,0)</f>
        <v>1</v>
      </c>
      <c r="M48" s="15" t="n">
        <f aca="false">IFERROR((I48-H48)/H48,0)</f>
        <v>0.136649009221111</v>
      </c>
      <c r="N48" s="16" t="n">
        <f aca="false">G48*I48</f>
        <v>161638.65</v>
      </c>
    </row>
    <row r="49" customFormat="false" ht="15" hidden="false" customHeight="true" outlineLevel="0" collapsed="false">
      <c r="A49" s="4" t="s">
        <v>225</v>
      </c>
      <c r="B49" s="4" t="s">
        <v>58</v>
      </c>
      <c r="C49" s="13" t="n">
        <v>45342</v>
      </c>
      <c r="D49" s="13" t="n">
        <v>45354</v>
      </c>
      <c r="E49" s="13" t="n">
        <v>45355</v>
      </c>
      <c r="F49" s="4" t="n">
        <v>275</v>
      </c>
      <c r="G49" s="4" t="n">
        <v>271</v>
      </c>
      <c r="H49" s="4" t="n">
        <v>135.68</v>
      </c>
      <c r="I49" s="4" t="n">
        <v>141.88</v>
      </c>
      <c r="J49" s="14" t="n">
        <f aca="false">E49-D49</f>
        <v>1</v>
      </c>
      <c r="K49" s="14" t="n">
        <f aca="false">IF(J49&lt;=0,1,0)</f>
        <v>0</v>
      </c>
      <c r="L49" s="15" t="n">
        <f aca="false">IFERROR(G49/F49,0)</f>
        <v>0.985454545454546</v>
      </c>
      <c r="M49" s="15" t="n">
        <f aca="false">IFERROR((I49-H49)/H49,0)</f>
        <v>0.0456957547169811</v>
      </c>
      <c r="N49" s="16" t="n">
        <f aca="false">G49*I49</f>
        <v>38449.48</v>
      </c>
    </row>
    <row r="50" customFormat="false" ht="15" hidden="false" customHeight="true" outlineLevel="0" collapsed="false">
      <c r="A50" s="4" t="s">
        <v>226</v>
      </c>
      <c r="B50" s="4" t="s">
        <v>85</v>
      </c>
      <c r="C50" s="13" t="n">
        <v>45008</v>
      </c>
      <c r="D50" s="13" t="n">
        <v>45017</v>
      </c>
      <c r="E50" s="13" t="n">
        <v>45025</v>
      </c>
      <c r="F50" s="4" t="n">
        <v>932</v>
      </c>
      <c r="G50" s="4" t="n">
        <v>872</v>
      </c>
      <c r="H50" s="4" t="n">
        <v>241.88</v>
      </c>
      <c r="I50" s="4" t="n">
        <v>240.73</v>
      </c>
      <c r="J50" s="14" t="n">
        <f aca="false">E50-D50</f>
        <v>8</v>
      </c>
      <c r="K50" s="14" t="n">
        <f aca="false">IF(J50&lt;=0,1,0)</f>
        <v>0</v>
      </c>
      <c r="L50" s="15" t="n">
        <f aca="false">IFERROR(G50/F50,0)</f>
        <v>0.935622317596567</v>
      </c>
      <c r="M50" s="15" t="n">
        <f aca="false">IFERROR((I50-H50)/H50,0)</f>
        <v>-0.00475442368116424</v>
      </c>
      <c r="N50" s="16" t="n">
        <f aca="false">G50*I50</f>
        <v>209916.56</v>
      </c>
    </row>
    <row r="51" customFormat="false" ht="15" hidden="false" customHeight="true" outlineLevel="0" collapsed="false">
      <c r="A51" s="4" t="s">
        <v>227</v>
      </c>
      <c r="B51" s="4" t="s">
        <v>65</v>
      </c>
      <c r="C51" s="13" t="n">
        <v>45403</v>
      </c>
      <c r="D51" s="13" t="n">
        <v>45420</v>
      </c>
      <c r="E51" s="13" t="n">
        <v>45421</v>
      </c>
      <c r="F51" s="4" t="n">
        <v>352</v>
      </c>
      <c r="G51" s="4" t="n">
        <v>345</v>
      </c>
      <c r="H51" s="4" t="n">
        <v>1365.59</v>
      </c>
      <c r="I51" s="4" t="n">
        <v>1376.63</v>
      </c>
      <c r="J51" s="14" t="n">
        <f aca="false">E51-D51</f>
        <v>1</v>
      </c>
      <c r="K51" s="14" t="n">
        <f aca="false">IF(J51&lt;=0,1,0)</f>
        <v>0</v>
      </c>
      <c r="L51" s="15" t="n">
        <f aca="false">IFERROR(G51/F51,0)</f>
        <v>0.980113636363636</v>
      </c>
      <c r="M51" s="15" t="n">
        <f aca="false">IFERROR((I51-H51)/H51,0)</f>
        <v>0.00808441772420726</v>
      </c>
      <c r="N51" s="16" t="n">
        <f aca="false">G51*I51</f>
        <v>474937.35</v>
      </c>
    </row>
    <row r="52" customFormat="false" ht="15" hidden="false" customHeight="true" outlineLevel="0" collapsed="false">
      <c r="A52" s="4" t="s">
        <v>228</v>
      </c>
      <c r="B52" s="4" t="s">
        <v>103</v>
      </c>
      <c r="C52" s="13" t="n">
        <v>45314</v>
      </c>
      <c r="D52" s="13" t="n">
        <v>45333</v>
      </c>
      <c r="E52" s="13" t="n">
        <v>45335</v>
      </c>
      <c r="F52" s="4" t="n">
        <v>471</v>
      </c>
      <c r="G52" s="4" t="n">
        <v>471</v>
      </c>
      <c r="H52" s="4" t="n">
        <v>1400.22</v>
      </c>
      <c r="I52" s="4" t="n">
        <v>1413.49</v>
      </c>
      <c r="J52" s="14" t="n">
        <f aca="false">E52-D52</f>
        <v>2</v>
      </c>
      <c r="K52" s="14" t="n">
        <f aca="false">IF(J52&lt;=0,1,0)</f>
        <v>0</v>
      </c>
      <c r="L52" s="15" t="n">
        <f aca="false">IFERROR(G52/F52,0)</f>
        <v>1</v>
      </c>
      <c r="M52" s="15" t="n">
        <f aca="false">IFERROR((I52-H52)/H52,0)</f>
        <v>0.0094770821728014</v>
      </c>
      <c r="N52" s="16" t="n">
        <f aca="false">G52*I52</f>
        <v>665753.79</v>
      </c>
    </row>
    <row r="53" customFormat="false" ht="15" hidden="false" customHeight="true" outlineLevel="0" collapsed="false">
      <c r="A53" s="4" t="s">
        <v>229</v>
      </c>
      <c r="B53" s="4" t="s">
        <v>72</v>
      </c>
      <c r="C53" s="13" t="n">
        <v>45093</v>
      </c>
      <c r="D53" s="13" t="n">
        <v>45101</v>
      </c>
      <c r="E53" s="13" t="n">
        <v>45107</v>
      </c>
      <c r="F53" s="4" t="n">
        <v>3369</v>
      </c>
      <c r="G53" s="4" t="n">
        <v>3137</v>
      </c>
      <c r="H53" s="4" t="n">
        <v>34.53</v>
      </c>
      <c r="I53" s="4" t="n">
        <v>35.74</v>
      </c>
      <c r="J53" s="14" t="n">
        <f aca="false">E53-D53</f>
        <v>6</v>
      </c>
      <c r="K53" s="14" t="n">
        <f aca="false">IF(J53&lt;=0,1,0)</f>
        <v>0</v>
      </c>
      <c r="L53" s="15" t="n">
        <f aca="false">IFERROR(G53/F53,0)</f>
        <v>0.931136835856337</v>
      </c>
      <c r="M53" s="15" t="n">
        <f aca="false">IFERROR((I53-H53)/H53,0)</f>
        <v>0.0350419924703157</v>
      </c>
      <c r="N53" s="16" t="n">
        <f aca="false">G53*I53</f>
        <v>112116.38</v>
      </c>
    </row>
    <row r="54" customFormat="false" ht="15" hidden="false" customHeight="true" outlineLevel="0" collapsed="false">
      <c r="A54" s="4" t="s">
        <v>230</v>
      </c>
      <c r="B54" s="4" t="s">
        <v>121</v>
      </c>
      <c r="C54" s="13" t="n">
        <v>45472</v>
      </c>
      <c r="D54" s="13" t="n">
        <v>45484</v>
      </c>
      <c r="E54" s="13" t="n">
        <v>45491</v>
      </c>
      <c r="F54" s="4" t="n">
        <v>1020</v>
      </c>
      <c r="G54" s="4" t="n">
        <v>886</v>
      </c>
      <c r="H54" s="4" t="n">
        <v>206.07</v>
      </c>
      <c r="I54" s="4" t="n">
        <v>227.3</v>
      </c>
      <c r="J54" s="14" t="n">
        <f aca="false">E54-D54</f>
        <v>7</v>
      </c>
      <c r="K54" s="14" t="n">
        <f aca="false">IF(J54&lt;=0,1,0)</f>
        <v>0</v>
      </c>
      <c r="L54" s="15" t="n">
        <f aca="false">IFERROR(G54/F54,0)</f>
        <v>0.868627450980392</v>
      </c>
      <c r="M54" s="15" t="n">
        <f aca="false">IFERROR((I54-H54)/H54,0)</f>
        <v>0.103023244528558</v>
      </c>
      <c r="N54" s="16" t="n">
        <f aca="false">G54*I54</f>
        <v>201387.8</v>
      </c>
    </row>
    <row r="55" customFormat="false" ht="15" hidden="false" customHeight="true" outlineLevel="0" collapsed="false">
      <c r="A55" s="4" t="s">
        <v>231</v>
      </c>
      <c r="B55" s="4" t="s">
        <v>129</v>
      </c>
      <c r="C55" s="13" t="n">
        <v>45197</v>
      </c>
      <c r="D55" s="13" t="n">
        <v>45216</v>
      </c>
      <c r="E55" s="13" t="n">
        <v>45221</v>
      </c>
      <c r="F55" s="4" t="n">
        <v>241</v>
      </c>
      <c r="G55" s="4" t="n">
        <v>236</v>
      </c>
      <c r="H55" s="4" t="n">
        <v>709.66</v>
      </c>
      <c r="I55" s="4" t="n">
        <v>706.07</v>
      </c>
      <c r="J55" s="14" t="n">
        <f aca="false">E55-D55</f>
        <v>5</v>
      </c>
      <c r="K55" s="14" t="n">
        <f aca="false">IF(J55&lt;=0,1,0)</f>
        <v>0</v>
      </c>
      <c r="L55" s="15" t="n">
        <f aca="false">IFERROR(G55/F55,0)</f>
        <v>0.979253112033195</v>
      </c>
      <c r="M55" s="15" t="n">
        <f aca="false">IFERROR((I55-H55)/H55,0)</f>
        <v>-0.00505876053321297</v>
      </c>
      <c r="N55" s="16" t="n">
        <f aca="false">G55*I55</f>
        <v>166632.52</v>
      </c>
    </row>
    <row r="56" customFormat="false" ht="15" hidden="false" customHeight="true" outlineLevel="0" collapsed="false">
      <c r="A56" s="4" t="s">
        <v>232</v>
      </c>
      <c r="B56" s="4" t="s">
        <v>65</v>
      </c>
      <c r="C56" s="13" t="n">
        <v>45199</v>
      </c>
      <c r="D56" s="13" t="n">
        <v>45218</v>
      </c>
      <c r="E56" s="13" t="n">
        <v>45212</v>
      </c>
      <c r="F56" s="4" t="n">
        <v>151</v>
      </c>
      <c r="G56" s="4" t="n">
        <v>151</v>
      </c>
      <c r="H56" s="4" t="n">
        <v>1365.59</v>
      </c>
      <c r="I56" s="4" t="n">
        <v>1395.43</v>
      </c>
      <c r="J56" s="14" t="n">
        <f aca="false">E56-D56</f>
        <v>-6</v>
      </c>
      <c r="K56" s="14" t="n">
        <f aca="false">IF(J56&lt;=0,1,0)</f>
        <v>1</v>
      </c>
      <c r="L56" s="15" t="n">
        <f aca="false">IFERROR(G56/F56,0)</f>
        <v>1</v>
      </c>
      <c r="M56" s="15" t="n">
        <f aca="false">IFERROR((I56-H56)/H56,0)</f>
        <v>0.0218513609502121</v>
      </c>
      <c r="N56" s="16" t="n">
        <f aca="false">G56*I56</f>
        <v>210709.93</v>
      </c>
    </row>
    <row r="57" customFormat="false" ht="15" hidden="false" customHeight="true" outlineLevel="0" collapsed="false">
      <c r="A57" s="4" t="s">
        <v>233</v>
      </c>
      <c r="B57" s="4" t="s">
        <v>79</v>
      </c>
      <c r="C57" s="13" t="n">
        <v>45166</v>
      </c>
      <c r="D57" s="13" t="n">
        <v>45185</v>
      </c>
      <c r="E57" s="13" t="n">
        <v>45188</v>
      </c>
      <c r="F57" s="4" t="n">
        <v>377</v>
      </c>
      <c r="G57" s="4" t="n">
        <v>356</v>
      </c>
      <c r="H57" s="4" t="n">
        <v>821.48</v>
      </c>
      <c r="I57" s="4" t="n">
        <v>834.11</v>
      </c>
      <c r="J57" s="14" t="n">
        <f aca="false">E57-D57</f>
        <v>3</v>
      </c>
      <c r="K57" s="14" t="n">
        <f aca="false">IF(J57&lt;=0,1,0)</f>
        <v>0</v>
      </c>
      <c r="L57" s="15" t="n">
        <f aca="false">IFERROR(G57/F57,0)</f>
        <v>0.944297082228117</v>
      </c>
      <c r="M57" s="15" t="n">
        <f aca="false">IFERROR((I57-H57)/H57,0)</f>
        <v>0.0153746895846521</v>
      </c>
      <c r="N57" s="16" t="n">
        <f aca="false">G57*I57</f>
        <v>296943.16</v>
      </c>
    </row>
    <row r="58" customFormat="false" ht="15" hidden="false" customHeight="true" outlineLevel="0" collapsed="false">
      <c r="A58" s="4" t="s">
        <v>234</v>
      </c>
      <c r="B58" s="4" t="s">
        <v>72</v>
      </c>
      <c r="C58" s="13" t="n">
        <v>45152</v>
      </c>
      <c r="D58" s="13" t="n">
        <v>45159</v>
      </c>
      <c r="E58" s="13" t="n">
        <v>45162</v>
      </c>
      <c r="F58" s="4" t="n">
        <v>1072</v>
      </c>
      <c r="G58" s="4" t="n">
        <v>1071</v>
      </c>
      <c r="H58" s="4" t="n">
        <v>34.53</v>
      </c>
      <c r="I58" s="4" t="n">
        <v>35.32</v>
      </c>
      <c r="J58" s="14" t="n">
        <f aca="false">E58-D58</f>
        <v>3</v>
      </c>
      <c r="K58" s="14" t="n">
        <f aca="false">IF(J58&lt;=0,1,0)</f>
        <v>0</v>
      </c>
      <c r="L58" s="15" t="n">
        <f aca="false">IFERROR(G58/F58,0)</f>
        <v>0.999067164179105</v>
      </c>
      <c r="M58" s="15" t="n">
        <f aca="false">IFERROR((I58-H58)/H58,0)</f>
        <v>0.0228786562409499</v>
      </c>
      <c r="N58" s="16" t="n">
        <f aca="false">G58*I58</f>
        <v>37827.72</v>
      </c>
    </row>
    <row r="59" customFormat="false" ht="15" hidden="false" customHeight="true" outlineLevel="0" collapsed="false">
      <c r="A59" s="4" t="s">
        <v>235</v>
      </c>
      <c r="B59" s="4" t="s">
        <v>97</v>
      </c>
      <c r="C59" s="13" t="n">
        <v>45247</v>
      </c>
      <c r="D59" s="13" t="n">
        <v>45259</v>
      </c>
      <c r="E59" s="13" t="n">
        <v>45261</v>
      </c>
      <c r="F59" s="4" t="n">
        <v>811</v>
      </c>
      <c r="G59" s="4" t="n">
        <v>799</v>
      </c>
      <c r="H59" s="4" t="n">
        <v>123.04</v>
      </c>
      <c r="I59" s="4" t="n">
        <v>122.95</v>
      </c>
      <c r="J59" s="14" t="n">
        <f aca="false">E59-D59</f>
        <v>2</v>
      </c>
      <c r="K59" s="14" t="n">
        <f aca="false">IF(J59&lt;=0,1,0)</f>
        <v>0</v>
      </c>
      <c r="L59" s="15" t="n">
        <f aca="false">IFERROR(G59/F59,0)</f>
        <v>0.985203452527744</v>
      </c>
      <c r="M59" s="15" t="n">
        <f aca="false">IFERROR((I59-H59)/H59,0)</f>
        <v>-0.000731469440832277</v>
      </c>
      <c r="N59" s="16" t="n">
        <f aca="false">G59*I59</f>
        <v>98237.05</v>
      </c>
    </row>
    <row r="60" customFormat="false" ht="15" hidden="false" customHeight="true" outlineLevel="0" collapsed="false">
      <c r="A60" s="4" t="s">
        <v>236</v>
      </c>
      <c r="B60" s="4" t="s">
        <v>65</v>
      </c>
      <c r="C60" s="13" t="n">
        <v>45126</v>
      </c>
      <c r="D60" s="13" t="n">
        <v>45144</v>
      </c>
      <c r="E60" s="13" t="n">
        <v>45144</v>
      </c>
      <c r="F60" s="4" t="n">
        <v>108</v>
      </c>
      <c r="G60" s="4" t="n">
        <v>106</v>
      </c>
      <c r="H60" s="4" t="n">
        <v>1365.59</v>
      </c>
      <c r="I60" s="4" t="n">
        <v>1339.17</v>
      </c>
      <c r="J60" s="14" t="n">
        <f aca="false">E60-D60</f>
        <v>0</v>
      </c>
      <c r="K60" s="14" t="n">
        <f aca="false">IF(J60&lt;=0,1,0)</f>
        <v>1</v>
      </c>
      <c r="L60" s="15" t="n">
        <f aca="false">IFERROR(G60/F60,0)</f>
        <v>0.981481481481482</v>
      </c>
      <c r="M60" s="15" t="n">
        <f aca="false">IFERROR((I60-H60)/H60,0)</f>
        <v>-0.0193469489378216</v>
      </c>
      <c r="N60" s="16" t="n">
        <f aca="false">G60*I60</f>
        <v>141952.02</v>
      </c>
    </row>
    <row r="61" customFormat="false" ht="15" hidden="false" customHeight="true" outlineLevel="0" collapsed="false">
      <c r="A61" s="4" t="s">
        <v>237</v>
      </c>
      <c r="B61" s="4" t="s">
        <v>119</v>
      </c>
      <c r="C61" s="13" t="n">
        <v>45396</v>
      </c>
      <c r="D61" s="13" t="n">
        <v>45402</v>
      </c>
      <c r="E61" s="13" t="n">
        <v>45402</v>
      </c>
      <c r="F61" s="4" t="n">
        <v>4402</v>
      </c>
      <c r="G61" s="4" t="n">
        <v>4402</v>
      </c>
      <c r="H61" s="4" t="n">
        <v>50.92</v>
      </c>
      <c r="I61" s="4" t="n">
        <v>47.38</v>
      </c>
      <c r="J61" s="14" t="n">
        <f aca="false">E61-D61</f>
        <v>0</v>
      </c>
      <c r="K61" s="14" t="n">
        <f aca="false">IF(J61&lt;=0,1,0)</f>
        <v>1</v>
      </c>
      <c r="L61" s="15" t="n">
        <f aca="false">IFERROR(G61/F61,0)</f>
        <v>1</v>
      </c>
      <c r="M61" s="15" t="n">
        <f aca="false">IFERROR((I61-H61)/H61,0)</f>
        <v>-0.0695208169677926</v>
      </c>
      <c r="N61" s="16" t="n">
        <f aca="false">G61*I61</f>
        <v>208566.76</v>
      </c>
    </row>
    <row r="62" customFormat="false" ht="15" hidden="false" customHeight="true" outlineLevel="0" collapsed="false">
      <c r="A62" s="4" t="s">
        <v>238</v>
      </c>
      <c r="B62" s="4" t="s">
        <v>129</v>
      </c>
      <c r="C62" s="13" t="n">
        <v>44938</v>
      </c>
      <c r="D62" s="13" t="n">
        <v>44957</v>
      </c>
      <c r="E62" s="13" t="n">
        <v>44961</v>
      </c>
      <c r="F62" s="4" t="n">
        <v>264</v>
      </c>
      <c r="G62" s="4" t="n">
        <v>256</v>
      </c>
      <c r="H62" s="4" t="n">
        <v>709.66</v>
      </c>
      <c r="I62" s="4" t="n">
        <v>712.08</v>
      </c>
      <c r="J62" s="14" t="n">
        <f aca="false">E62-D62</f>
        <v>4</v>
      </c>
      <c r="K62" s="14" t="n">
        <f aca="false">IF(J62&lt;=0,1,0)</f>
        <v>0</v>
      </c>
      <c r="L62" s="15" t="n">
        <f aca="false">IFERROR(G62/F62,0)</f>
        <v>0.96969696969697</v>
      </c>
      <c r="M62" s="15" t="n">
        <f aca="false">IFERROR((I62-H62)/H62,0)</f>
        <v>0.00341008370205461</v>
      </c>
      <c r="N62" s="16" t="n">
        <f aca="false">G62*I62</f>
        <v>182292.48</v>
      </c>
    </row>
    <row r="63" customFormat="false" ht="15" hidden="false" customHeight="true" outlineLevel="0" collapsed="false">
      <c r="A63" s="4" t="s">
        <v>239</v>
      </c>
      <c r="B63" s="4" t="s">
        <v>139</v>
      </c>
      <c r="C63" s="13" t="n">
        <v>44977</v>
      </c>
      <c r="D63" s="13" t="n">
        <v>44989</v>
      </c>
      <c r="E63" s="13" t="n">
        <v>44986</v>
      </c>
      <c r="F63" s="4" t="n">
        <v>1402</v>
      </c>
      <c r="G63" s="4" t="n">
        <v>1256</v>
      </c>
      <c r="H63" s="4" t="n">
        <v>207.64</v>
      </c>
      <c r="I63" s="4" t="n">
        <v>210.41</v>
      </c>
      <c r="J63" s="14" t="n">
        <f aca="false">E63-D63</f>
        <v>-3</v>
      </c>
      <c r="K63" s="14" t="n">
        <f aca="false">IF(J63&lt;=0,1,0)</f>
        <v>1</v>
      </c>
      <c r="L63" s="15" t="n">
        <f aca="false">IFERROR(G63/F63,0)</f>
        <v>0.89586305278174</v>
      </c>
      <c r="M63" s="15" t="n">
        <f aca="false">IFERROR((I63-H63)/H63,0)</f>
        <v>0.0133403968406859</v>
      </c>
      <c r="N63" s="16" t="n">
        <f aca="false">G63*I63</f>
        <v>264274.96</v>
      </c>
    </row>
    <row r="64" customFormat="false" ht="15" hidden="false" customHeight="true" outlineLevel="0" collapsed="false">
      <c r="A64" s="4" t="s">
        <v>240</v>
      </c>
      <c r="B64" s="4" t="s">
        <v>157</v>
      </c>
      <c r="C64" s="13" t="n">
        <v>45242</v>
      </c>
      <c r="D64" s="13" t="n">
        <v>45249</v>
      </c>
      <c r="E64" s="13" t="n">
        <v>45247</v>
      </c>
      <c r="F64" s="4" t="n">
        <v>3265</v>
      </c>
      <c r="G64" s="4" t="n">
        <v>3097</v>
      </c>
      <c r="H64" s="4" t="n">
        <v>13.1</v>
      </c>
      <c r="I64" s="4" t="n">
        <v>13.17</v>
      </c>
      <c r="J64" s="14" t="n">
        <f aca="false">E64-D64</f>
        <v>-2</v>
      </c>
      <c r="K64" s="14" t="n">
        <f aca="false">IF(J64&lt;=0,1,0)</f>
        <v>1</v>
      </c>
      <c r="L64" s="15" t="n">
        <f aca="false">IFERROR(G64/F64,0)</f>
        <v>0.94854517611026</v>
      </c>
      <c r="M64" s="15" t="n">
        <f aca="false">IFERROR((I64-H64)/H64,0)</f>
        <v>0.0053435114503817</v>
      </c>
      <c r="N64" s="16" t="n">
        <f aca="false">G64*I64</f>
        <v>40787.49</v>
      </c>
    </row>
    <row r="65" customFormat="false" ht="15" hidden="false" customHeight="true" outlineLevel="0" collapsed="false">
      <c r="A65" s="4" t="s">
        <v>241</v>
      </c>
      <c r="B65" s="4" t="s">
        <v>145</v>
      </c>
      <c r="C65" s="13" t="n">
        <v>44929</v>
      </c>
      <c r="D65" s="13" t="n">
        <v>44940</v>
      </c>
      <c r="E65" s="13" t="n">
        <v>44938</v>
      </c>
      <c r="F65" s="4" t="n">
        <v>1531</v>
      </c>
      <c r="G65" s="4" t="n">
        <v>1420</v>
      </c>
      <c r="H65" s="4" t="n">
        <v>237.04</v>
      </c>
      <c r="I65" s="4" t="n">
        <v>236.8</v>
      </c>
      <c r="J65" s="14" t="n">
        <f aca="false">E65-D65</f>
        <v>-2</v>
      </c>
      <c r="K65" s="14" t="n">
        <f aca="false">IF(J65&lt;=0,1,0)</f>
        <v>1</v>
      </c>
      <c r="L65" s="15" t="n">
        <f aca="false">IFERROR(G65/F65,0)</f>
        <v>0.92749836708034</v>
      </c>
      <c r="M65" s="15" t="n">
        <f aca="false">IFERROR((I65-H65)/H65,0)</f>
        <v>-0.00101248734390812</v>
      </c>
      <c r="N65" s="16" t="n">
        <f aca="false">G65*I65</f>
        <v>336256</v>
      </c>
    </row>
    <row r="66" customFormat="false" ht="15" hidden="false" customHeight="true" outlineLevel="0" collapsed="false">
      <c r="A66" s="4" t="s">
        <v>242</v>
      </c>
      <c r="B66" s="4" t="s">
        <v>141</v>
      </c>
      <c r="C66" s="13" t="n">
        <v>45233</v>
      </c>
      <c r="D66" s="13" t="n">
        <v>45250</v>
      </c>
      <c r="E66" s="13" t="n">
        <v>45250</v>
      </c>
      <c r="F66" s="4" t="n">
        <v>203</v>
      </c>
      <c r="G66" s="4" t="n">
        <v>200</v>
      </c>
      <c r="H66" s="4" t="n">
        <v>1252.36</v>
      </c>
      <c r="I66" s="4" t="n">
        <v>1235.24</v>
      </c>
      <c r="J66" s="14" t="n">
        <f aca="false">E66-D66</f>
        <v>0</v>
      </c>
      <c r="K66" s="14" t="n">
        <f aca="false">IF(J66&lt;=0,1,0)</f>
        <v>1</v>
      </c>
      <c r="L66" s="15" t="n">
        <f aca="false">IFERROR(G66/F66,0)</f>
        <v>0.985221674876847</v>
      </c>
      <c r="M66" s="15" t="n">
        <f aca="false">IFERROR((I66-H66)/H66,0)</f>
        <v>-0.0136701906799961</v>
      </c>
      <c r="N66" s="16" t="n">
        <f aca="false">G66*I66</f>
        <v>247048</v>
      </c>
    </row>
    <row r="67" customFormat="false" ht="15" hidden="false" customHeight="true" outlineLevel="0" collapsed="false">
      <c r="A67" s="4" t="s">
        <v>243</v>
      </c>
      <c r="B67" s="4" t="s">
        <v>137</v>
      </c>
      <c r="C67" s="13" t="n">
        <v>45349</v>
      </c>
      <c r="D67" s="13" t="n">
        <v>45367</v>
      </c>
      <c r="E67" s="13" t="n">
        <v>45361</v>
      </c>
      <c r="F67" s="4" t="n">
        <v>428</v>
      </c>
      <c r="G67" s="4" t="n">
        <v>390</v>
      </c>
      <c r="H67" s="4" t="n">
        <v>1047.25</v>
      </c>
      <c r="I67" s="4" t="n">
        <v>1103.76</v>
      </c>
      <c r="J67" s="14" t="n">
        <f aca="false">E67-D67</f>
        <v>-6</v>
      </c>
      <c r="K67" s="14" t="n">
        <f aca="false">IF(J67&lt;=0,1,0)</f>
        <v>1</v>
      </c>
      <c r="L67" s="15" t="n">
        <f aca="false">IFERROR(G67/F67,0)</f>
        <v>0.911214953271028</v>
      </c>
      <c r="M67" s="15" t="n">
        <f aca="false">IFERROR((I67-H67)/H67,0)</f>
        <v>0.053960372403915</v>
      </c>
      <c r="N67" s="16" t="n">
        <f aca="false">G67*I67</f>
        <v>430466.4</v>
      </c>
    </row>
    <row r="68" customFormat="false" ht="15" hidden="false" customHeight="true" outlineLevel="0" collapsed="false">
      <c r="A68" s="4" t="s">
        <v>244</v>
      </c>
      <c r="B68" s="4" t="s">
        <v>107</v>
      </c>
      <c r="C68" s="13" t="n">
        <v>45459</v>
      </c>
      <c r="D68" s="13" t="n">
        <v>45468</v>
      </c>
      <c r="E68" s="13" t="n">
        <v>45467</v>
      </c>
      <c r="F68" s="4" t="n">
        <v>1131</v>
      </c>
      <c r="G68" s="4" t="n">
        <v>1131</v>
      </c>
      <c r="H68" s="4" t="n">
        <v>40.41</v>
      </c>
      <c r="I68" s="4" t="n">
        <v>39.54</v>
      </c>
      <c r="J68" s="14" t="n">
        <f aca="false">E68-D68</f>
        <v>-1</v>
      </c>
      <c r="K68" s="14" t="n">
        <f aca="false">IF(J68&lt;=0,1,0)</f>
        <v>1</v>
      </c>
      <c r="L68" s="15" t="n">
        <f aca="false">IFERROR(G68/F68,0)</f>
        <v>1</v>
      </c>
      <c r="M68" s="15" t="n">
        <f aca="false">IFERROR((I68-H68)/H68,0)</f>
        <v>-0.0215293244246473</v>
      </c>
      <c r="N68" s="16" t="n">
        <f aca="false">G68*I68</f>
        <v>44719.74</v>
      </c>
    </row>
    <row r="69" customFormat="false" ht="15" hidden="false" customHeight="true" outlineLevel="0" collapsed="false">
      <c r="A69" s="4" t="s">
        <v>245</v>
      </c>
      <c r="B69" s="4" t="s">
        <v>101</v>
      </c>
      <c r="C69" s="13" t="n">
        <v>45467</v>
      </c>
      <c r="D69" s="13" t="n">
        <v>45487</v>
      </c>
      <c r="E69" s="13" t="n">
        <v>45489</v>
      </c>
      <c r="F69" s="4" t="n">
        <v>382</v>
      </c>
      <c r="G69" s="4" t="n">
        <v>364</v>
      </c>
      <c r="H69" s="4" t="n">
        <v>442.74</v>
      </c>
      <c r="I69" s="4" t="n">
        <v>449.2</v>
      </c>
      <c r="J69" s="14" t="n">
        <f aca="false">E69-D69</f>
        <v>2</v>
      </c>
      <c r="K69" s="14" t="n">
        <f aca="false">IF(J69&lt;=0,1,0)</f>
        <v>0</v>
      </c>
      <c r="L69" s="15" t="n">
        <f aca="false">IFERROR(G69/F69,0)</f>
        <v>0.952879581151833</v>
      </c>
      <c r="M69" s="15" t="n">
        <f aca="false">IFERROR((I69-H69)/H69,0)</f>
        <v>0.0145909563174775</v>
      </c>
      <c r="N69" s="16" t="n">
        <f aca="false">G69*I69</f>
        <v>163508.8</v>
      </c>
    </row>
    <row r="70" customFormat="false" ht="15" hidden="false" customHeight="true" outlineLevel="0" collapsed="false">
      <c r="A70" s="4" t="s">
        <v>246</v>
      </c>
      <c r="B70" s="4" t="s">
        <v>50</v>
      </c>
      <c r="C70" s="13" t="n">
        <v>45477</v>
      </c>
      <c r="D70" s="13" t="n">
        <v>45497</v>
      </c>
      <c r="E70" s="13" t="n">
        <v>45498</v>
      </c>
      <c r="F70" s="4" t="n">
        <v>94</v>
      </c>
      <c r="G70" s="4" t="n">
        <v>94</v>
      </c>
      <c r="H70" s="4" t="n">
        <v>707.19</v>
      </c>
      <c r="I70" s="4" t="n">
        <v>752.12</v>
      </c>
      <c r="J70" s="14" t="n">
        <f aca="false">E70-D70</f>
        <v>1</v>
      </c>
      <c r="K70" s="14" t="n">
        <f aca="false">IF(J70&lt;=0,1,0)</f>
        <v>0</v>
      </c>
      <c r="L70" s="15" t="n">
        <f aca="false">IFERROR(G70/F70,0)</f>
        <v>1</v>
      </c>
      <c r="M70" s="15" t="n">
        <f aca="false">IFERROR((I70-H70)/H70,0)</f>
        <v>0.0635331381948273</v>
      </c>
      <c r="N70" s="16" t="n">
        <f aca="false">G70*I70</f>
        <v>70699.28</v>
      </c>
    </row>
    <row r="71" customFormat="false" ht="15" hidden="false" customHeight="true" outlineLevel="0" collapsed="false">
      <c r="A71" s="4" t="s">
        <v>247</v>
      </c>
      <c r="B71" s="4" t="s">
        <v>141</v>
      </c>
      <c r="C71" s="13" t="n">
        <v>45391</v>
      </c>
      <c r="D71" s="13" t="n">
        <v>45409</v>
      </c>
      <c r="E71" s="13" t="n">
        <v>45410</v>
      </c>
      <c r="F71" s="4" t="n">
        <v>103</v>
      </c>
      <c r="G71" s="4" t="n">
        <v>102</v>
      </c>
      <c r="H71" s="4" t="n">
        <v>1252.36</v>
      </c>
      <c r="I71" s="4" t="n">
        <v>1204.6</v>
      </c>
      <c r="J71" s="14" t="n">
        <f aca="false">E71-D71</f>
        <v>1</v>
      </c>
      <c r="K71" s="14" t="n">
        <f aca="false">IF(J71&lt;=0,1,0)</f>
        <v>0</v>
      </c>
      <c r="L71" s="15" t="n">
        <f aca="false">IFERROR(G71/F71,0)</f>
        <v>0.990291262135922</v>
      </c>
      <c r="M71" s="15" t="n">
        <f aca="false">IFERROR((I71-H71)/H71,0)</f>
        <v>-0.0381359992334472</v>
      </c>
      <c r="N71" s="16" t="n">
        <f aca="false">G71*I71</f>
        <v>122869.2</v>
      </c>
    </row>
    <row r="72" customFormat="false" ht="15" hidden="false" customHeight="true" outlineLevel="0" collapsed="false">
      <c r="A72" s="4" t="s">
        <v>248</v>
      </c>
      <c r="B72" s="4" t="s">
        <v>74</v>
      </c>
      <c r="C72" s="13" t="n">
        <v>44952</v>
      </c>
      <c r="D72" s="13" t="n">
        <v>44956</v>
      </c>
      <c r="E72" s="13" t="n">
        <v>44956</v>
      </c>
      <c r="F72" s="4" t="n">
        <v>4</v>
      </c>
      <c r="G72" s="4" t="n">
        <v>4</v>
      </c>
      <c r="H72" s="4" t="n">
        <v>1294.62</v>
      </c>
      <c r="I72" s="4" t="n">
        <v>1312.84</v>
      </c>
      <c r="J72" s="14" t="n">
        <f aca="false">E72-D72</f>
        <v>0</v>
      </c>
      <c r="K72" s="14" t="n">
        <f aca="false">IF(J72&lt;=0,1,0)</f>
        <v>1</v>
      </c>
      <c r="L72" s="15" t="n">
        <f aca="false">IFERROR(G72/F72,0)</f>
        <v>1</v>
      </c>
      <c r="M72" s="15" t="n">
        <f aca="false">IFERROR((I72-H72)/H72,0)</f>
        <v>0.0140736277826698</v>
      </c>
      <c r="N72" s="16" t="n">
        <f aca="false">G72*I72</f>
        <v>5251.36</v>
      </c>
    </row>
    <row r="73" customFormat="false" ht="15" hidden="false" customHeight="true" outlineLevel="0" collapsed="false">
      <c r="A73" s="4" t="s">
        <v>249</v>
      </c>
      <c r="B73" s="4" t="s">
        <v>70</v>
      </c>
      <c r="C73" s="13" t="n">
        <v>45308</v>
      </c>
      <c r="D73" s="13" t="n">
        <v>45314</v>
      </c>
      <c r="E73" s="13" t="n">
        <v>45319</v>
      </c>
      <c r="F73" s="4" t="n">
        <v>2936</v>
      </c>
      <c r="G73" s="4" t="n">
        <v>2742</v>
      </c>
      <c r="H73" s="4" t="n">
        <v>35.88</v>
      </c>
      <c r="I73" s="4" t="n">
        <v>37.29</v>
      </c>
      <c r="J73" s="14" t="n">
        <f aca="false">E73-D73</f>
        <v>5</v>
      </c>
      <c r="K73" s="14" t="n">
        <f aca="false">IF(J73&lt;=0,1,0)</f>
        <v>0</v>
      </c>
      <c r="L73" s="15" t="n">
        <f aca="false">IFERROR(G73/F73,0)</f>
        <v>0.933923705722071</v>
      </c>
      <c r="M73" s="15" t="n">
        <f aca="false">IFERROR((I73-H73)/H73,0)</f>
        <v>0.0392976588628762</v>
      </c>
      <c r="N73" s="16" t="n">
        <f aca="false">G73*I73</f>
        <v>102249.18</v>
      </c>
    </row>
    <row r="74" customFormat="false" ht="15" hidden="false" customHeight="true" outlineLevel="0" collapsed="false">
      <c r="A74" s="4" t="s">
        <v>250</v>
      </c>
      <c r="B74" s="4" t="s">
        <v>161</v>
      </c>
      <c r="C74" s="13" t="n">
        <v>45249</v>
      </c>
      <c r="D74" s="13" t="n">
        <v>45258</v>
      </c>
      <c r="E74" s="13" t="n">
        <v>45260</v>
      </c>
      <c r="F74" s="4" t="n">
        <v>1778</v>
      </c>
      <c r="G74" s="4" t="n">
        <v>1778</v>
      </c>
      <c r="H74" s="4" t="n">
        <v>101.94</v>
      </c>
      <c r="I74" s="4" t="n">
        <v>109.27</v>
      </c>
      <c r="J74" s="14" t="n">
        <f aca="false">E74-D74</f>
        <v>2</v>
      </c>
      <c r="K74" s="14" t="n">
        <f aca="false">IF(J74&lt;=0,1,0)</f>
        <v>0</v>
      </c>
      <c r="L74" s="15" t="n">
        <f aca="false">IFERROR(G74/F74,0)</f>
        <v>1</v>
      </c>
      <c r="M74" s="15" t="n">
        <f aca="false">IFERROR((I74-H74)/H74,0)</f>
        <v>0.0719050421816755</v>
      </c>
      <c r="N74" s="16" t="n">
        <f aca="false">G74*I74</f>
        <v>194282.06</v>
      </c>
    </row>
    <row r="75" customFormat="false" ht="15" hidden="false" customHeight="true" outlineLevel="0" collapsed="false">
      <c r="A75" s="4" t="s">
        <v>251</v>
      </c>
      <c r="B75" s="4" t="s">
        <v>81</v>
      </c>
      <c r="C75" s="13" t="n">
        <v>45294</v>
      </c>
      <c r="D75" s="13" t="n">
        <v>45300</v>
      </c>
      <c r="E75" s="13" t="n">
        <v>45306</v>
      </c>
      <c r="F75" s="4" t="n">
        <v>10</v>
      </c>
      <c r="G75" s="4" t="n">
        <v>10</v>
      </c>
      <c r="H75" s="4" t="n">
        <v>697.63</v>
      </c>
      <c r="I75" s="4" t="n">
        <v>685.1</v>
      </c>
      <c r="J75" s="14" t="n">
        <f aca="false">E75-D75</f>
        <v>6</v>
      </c>
      <c r="K75" s="14" t="n">
        <f aca="false">IF(J75&lt;=0,1,0)</f>
        <v>0</v>
      </c>
      <c r="L75" s="15" t="n">
        <f aca="false">IFERROR(G75/F75,0)</f>
        <v>1</v>
      </c>
      <c r="M75" s="15" t="n">
        <f aca="false">IFERROR((I75-H75)/H75,0)</f>
        <v>-0.0179608101715809</v>
      </c>
      <c r="N75" s="16" t="n">
        <f aca="false">G75*I75</f>
        <v>6851</v>
      </c>
    </row>
    <row r="76" customFormat="false" ht="15" hidden="false" customHeight="true" outlineLevel="0" collapsed="false">
      <c r="A76" s="4" t="s">
        <v>252</v>
      </c>
      <c r="B76" s="4" t="s">
        <v>74</v>
      </c>
      <c r="C76" s="13" t="n">
        <v>45308</v>
      </c>
      <c r="D76" s="13" t="n">
        <v>45315</v>
      </c>
      <c r="E76" s="13" t="n">
        <v>45316</v>
      </c>
      <c r="F76" s="4" t="n">
        <v>4</v>
      </c>
      <c r="G76" s="4" t="n">
        <v>4</v>
      </c>
      <c r="H76" s="4" t="n">
        <v>1294.62</v>
      </c>
      <c r="I76" s="4" t="n">
        <v>1349.89</v>
      </c>
      <c r="J76" s="14" t="n">
        <f aca="false">E76-D76</f>
        <v>1</v>
      </c>
      <c r="K76" s="14" t="n">
        <f aca="false">IF(J76&lt;=0,1,0)</f>
        <v>0</v>
      </c>
      <c r="L76" s="15" t="n">
        <f aca="false">IFERROR(G76/F76,0)</f>
        <v>1</v>
      </c>
      <c r="M76" s="15" t="n">
        <f aca="false">IFERROR((I76-H76)/H76,0)</f>
        <v>0.0426920640805798</v>
      </c>
      <c r="N76" s="16" t="n">
        <f aca="false">G76*I76</f>
        <v>5399.56</v>
      </c>
    </row>
    <row r="77" customFormat="false" ht="15" hidden="false" customHeight="true" outlineLevel="0" collapsed="false">
      <c r="A77" s="4" t="s">
        <v>253</v>
      </c>
      <c r="B77" s="4" t="s">
        <v>123</v>
      </c>
      <c r="C77" s="13" t="n">
        <v>45272</v>
      </c>
      <c r="D77" s="13" t="n">
        <v>45283</v>
      </c>
      <c r="E77" s="13" t="n">
        <v>45281</v>
      </c>
      <c r="F77" s="4" t="n">
        <v>296</v>
      </c>
      <c r="G77" s="4" t="n">
        <v>289</v>
      </c>
      <c r="H77" s="4" t="n">
        <v>214.07</v>
      </c>
      <c r="I77" s="4" t="n">
        <v>233.6</v>
      </c>
      <c r="J77" s="14" t="n">
        <f aca="false">E77-D77</f>
        <v>-2</v>
      </c>
      <c r="K77" s="14" t="n">
        <f aca="false">IF(J77&lt;=0,1,0)</f>
        <v>1</v>
      </c>
      <c r="L77" s="15" t="n">
        <f aca="false">IFERROR(G77/F77,0)</f>
        <v>0.976351351351351</v>
      </c>
      <c r="M77" s="15" t="n">
        <f aca="false">IFERROR((I77-H77)/H77,0)</f>
        <v>0.0912318400523193</v>
      </c>
      <c r="N77" s="16" t="n">
        <f aca="false">G77*I77</f>
        <v>67510.4</v>
      </c>
    </row>
    <row r="78" customFormat="false" ht="15" hidden="false" customHeight="true" outlineLevel="0" collapsed="false">
      <c r="A78" s="4" t="s">
        <v>254</v>
      </c>
      <c r="B78" s="4" t="s">
        <v>101</v>
      </c>
      <c r="C78" s="13" t="n">
        <v>45571</v>
      </c>
      <c r="D78" s="13" t="n">
        <v>45591</v>
      </c>
      <c r="E78" s="13" t="n">
        <v>45593</v>
      </c>
      <c r="F78" s="4" t="n">
        <v>185</v>
      </c>
      <c r="G78" s="4" t="n">
        <v>184</v>
      </c>
      <c r="H78" s="4" t="n">
        <v>442.74</v>
      </c>
      <c r="I78" s="4" t="n">
        <v>452.47</v>
      </c>
      <c r="J78" s="14" t="n">
        <f aca="false">E78-D78</f>
        <v>2</v>
      </c>
      <c r="K78" s="14" t="n">
        <f aca="false">IF(J78&lt;=0,1,0)</f>
        <v>0</v>
      </c>
      <c r="L78" s="15" t="n">
        <f aca="false">IFERROR(G78/F78,0)</f>
        <v>0.994594594594595</v>
      </c>
      <c r="M78" s="15" t="n">
        <f aca="false">IFERROR((I78-H78)/H78,0)</f>
        <v>0.0219767809549623</v>
      </c>
      <c r="N78" s="16" t="n">
        <f aca="false">G78*I78</f>
        <v>83254.48</v>
      </c>
    </row>
    <row r="79" customFormat="false" ht="15" hidden="false" customHeight="true" outlineLevel="0" collapsed="false">
      <c r="A79" s="4" t="s">
        <v>255</v>
      </c>
      <c r="B79" s="4" t="s">
        <v>155</v>
      </c>
      <c r="C79" s="13" t="n">
        <v>45446</v>
      </c>
      <c r="D79" s="13" t="n">
        <v>45453</v>
      </c>
      <c r="E79" s="13" t="n">
        <v>45454</v>
      </c>
      <c r="F79" s="4" t="n">
        <v>3035</v>
      </c>
      <c r="G79" s="4" t="n">
        <v>2987</v>
      </c>
      <c r="H79" s="4" t="n">
        <v>24.04</v>
      </c>
      <c r="I79" s="4" t="n">
        <v>23.1</v>
      </c>
      <c r="J79" s="14" t="n">
        <f aca="false">E79-D79</f>
        <v>1</v>
      </c>
      <c r="K79" s="14" t="n">
        <f aca="false">IF(J79&lt;=0,1,0)</f>
        <v>0</v>
      </c>
      <c r="L79" s="15" t="n">
        <f aca="false">IFERROR(G79/F79,0)</f>
        <v>0.984184514003295</v>
      </c>
      <c r="M79" s="15" t="n">
        <f aca="false">IFERROR((I79-H79)/H79,0)</f>
        <v>-0.0391014975041596</v>
      </c>
      <c r="N79" s="16" t="n">
        <f aca="false">G79*I79</f>
        <v>68999.7</v>
      </c>
    </row>
    <row r="80" customFormat="false" ht="15" hidden="false" customHeight="true" outlineLevel="0" collapsed="false">
      <c r="A80" s="4" t="s">
        <v>256</v>
      </c>
      <c r="B80" s="4" t="s">
        <v>43</v>
      </c>
      <c r="C80" s="13" t="n">
        <v>45189</v>
      </c>
      <c r="D80" s="13" t="n">
        <v>45208</v>
      </c>
      <c r="E80" s="13" t="n">
        <v>45209</v>
      </c>
      <c r="F80" s="4" t="n">
        <v>286</v>
      </c>
      <c r="G80" s="4" t="n">
        <v>279</v>
      </c>
      <c r="H80" s="4" t="n">
        <v>1321.6</v>
      </c>
      <c r="I80" s="4" t="n">
        <v>1311.92</v>
      </c>
      <c r="J80" s="14" t="n">
        <f aca="false">E80-D80</f>
        <v>1</v>
      </c>
      <c r="K80" s="14" t="n">
        <f aca="false">IF(J80&lt;=0,1,0)</f>
        <v>0</v>
      </c>
      <c r="L80" s="15" t="n">
        <f aca="false">IFERROR(G80/F80,0)</f>
        <v>0.975524475524476</v>
      </c>
      <c r="M80" s="15" t="n">
        <f aca="false">IFERROR((I80-H80)/H80,0)</f>
        <v>-0.00732445520581102</v>
      </c>
      <c r="N80" s="16" t="n">
        <f aca="false">G80*I80</f>
        <v>366025.68</v>
      </c>
    </row>
    <row r="81" customFormat="false" ht="15" hidden="false" customHeight="true" outlineLevel="0" collapsed="false">
      <c r="A81" s="4" t="s">
        <v>257</v>
      </c>
      <c r="B81" s="4" t="s">
        <v>93</v>
      </c>
      <c r="C81" s="13" t="n">
        <v>44946</v>
      </c>
      <c r="D81" s="13" t="n">
        <v>44956</v>
      </c>
      <c r="E81" s="13" t="n">
        <v>44957</v>
      </c>
      <c r="F81" s="4" t="n">
        <v>1925</v>
      </c>
      <c r="G81" s="4" t="n">
        <v>1884</v>
      </c>
      <c r="H81" s="4" t="n">
        <v>174.25</v>
      </c>
      <c r="I81" s="4" t="n">
        <v>170.56</v>
      </c>
      <c r="J81" s="14" t="n">
        <f aca="false">E81-D81</f>
        <v>1</v>
      </c>
      <c r="K81" s="14" t="n">
        <f aca="false">IF(J81&lt;=0,1,0)</f>
        <v>0</v>
      </c>
      <c r="L81" s="15" t="n">
        <f aca="false">IFERROR(G81/F81,0)</f>
        <v>0.978701298701299</v>
      </c>
      <c r="M81" s="15" t="n">
        <f aca="false">IFERROR((I81-H81)/H81,0)</f>
        <v>-0.0211764705882353</v>
      </c>
      <c r="N81" s="16" t="n">
        <f aca="false">G81*I81</f>
        <v>321335.04</v>
      </c>
    </row>
    <row r="82" customFormat="false" ht="15" hidden="false" customHeight="true" outlineLevel="0" collapsed="false">
      <c r="A82" s="4" t="s">
        <v>258</v>
      </c>
      <c r="B82" s="4" t="s">
        <v>68</v>
      </c>
      <c r="C82" s="13" t="n">
        <v>44939</v>
      </c>
      <c r="D82" s="13" t="n">
        <v>44959</v>
      </c>
      <c r="E82" s="13" t="n">
        <v>44959</v>
      </c>
      <c r="F82" s="4" t="n">
        <v>76</v>
      </c>
      <c r="G82" s="4" t="n">
        <v>68</v>
      </c>
      <c r="H82" s="4" t="n">
        <v>1232.83</v>
      </c>
      <c r="I82" s="4" t="n">
        <v>1231.47</v>
      </c>
      <c r="J82" s="14" t="n">
        <f aca="false">E82-D82</f>
        <v>0</v>
      </c>
      <c r="K82" s="14" t="n">
        <f aca="false">IF(J82&lt;=0,1,0)</f>
        <v>1</v>
      </c>
      <c r="L82" s="15" t="n">
        <f aca="false">IFERROR(G82/F82,0)</f>
        <v>0.894736842105263</v>
      </c>
      <c r="M82" s="15" t="n">
        <f aca="false">IFERROR((I82-H82)/H82,0)</f>
        <v>-0.001103152908349</v>
      </c>
      <c r="N82" s="16" t="n">
        <f aca="false">G82*I82</f>
        <v>83739.96</v>
      </c>
    </row>
    <row r="83" customFormat="false" ht="15" hidden="false" customHeight="true" outlineLevel="0" collapsed="false">
      <c r="A83" s="4" t="s">
        <v>259</v>
      </c>
      <c r="B83" s="4" t="s">
        <v>83</v>
      </c>
      <c r="C83" s="13" t="n">
        <v>45531</v>
      </c>
      <c r="D83" s="13" t="n">
        <v>45540</v>
      </c>
      <c r="E83" s="13" t="n">
        <v>45541</v>
      </c>
      <c r="F83" s="4" t="n">
        <v>439</v>
      </c>
      <c r="G83" s="4" t="n">
        <v>439</v>
      </c>
      <c r="H83" s="4" t="n">
        <v>101.36</v>
      </c>
      <c r="I83" s="4" t="n">
        <v>105.2</v>
      </c>
      <c r="J83" s="14" t="n">
        <f aca="false">E83-D83</f>
        <v>1</v>
      </c>
      <c r="K83" s="14" t="n">
        <f aca="false">IF(J83&lt;=0,1,0)</f>
        <v>0</v>
      </c>
      <c r="L83" s="15" t="n">
        <f aca="false">IFERROR(G83/F83,0)</f>
        <v>1</v>
      </c>
      <c r="M83" s="15" t="n">
        <f aca="false">IFERROR((I83-H83)/H83,0)</f>
        <v>0.0378847671665352</v>
      </c>
      <c r="N83" s="16" t="n">
        <f aca="false">G83*I83</f>
        <v>46182.8</v>
      </c>
    </row>
    <row r="84" customFormat="false" ht="15" hidden="false" customHeight="true" outlineLevel="0" collapsed="false">
      <c r="A84" s="4" t="s">
        <v>260</v>
      </c>
      <c r="B84" s="4" t="s">
        <v>133</v>
      </c>
      <c r="C84" s="13" t="n">
        <v>45350</v>
      </c>
      <c r="D84" s="13" t="n">
        <v>45359</v>
      </c>
      <c r="E84" s="13" t="n">
        <v>45362</v>
      </c>
      <c r="F84" s="4" t="n">
        <v>1593</v>
      </c>
      <c r="G84" s="4" t="n">
        <v>1514</v>
      </c>
      <c r="H84" s="4" t="n">
        <v>138.21</v>
      </c>
      <c r="I84" s="4" t="n">
        <v>140.46</v>
      </c>
      <c r="J84" s="14" t="n">
        <f aca="false">E84-D84</f>
        <v>3</v>
      </c>
      <c r="K84" s="14" t="n">
        <f aca="false">IF(J84&lt;=0,1,0)</f>
        <v>0</v>
      </c>
      <c r="L84" s="15" t="n">
        <f aca="false">IFERROR(G84/F84,0)</f>
        <v>0.950408035153798</v>
      </c>
      <c r="M84" s="15" t="n">
        <f aca="false">IFERROR((I84-H84)/H84,0)</f>
        <v>0.0162795745604515</v>
      </c>
      <c r="N84" s="16" t="n">
        <f aca="false">G84*I84</f>
        <v>212656.44</v>
      </c>
    </row>
    <row r="85" customFormat="false" ht="15" hidden="false" customHeight="true" outlineLevel="0" collapsed="false">
      <c r="A85" s="4" t="s">
        <v>261</v>
      </c>
      <c r="B85" s="4" t="s">
        <v>101</v>
      </c>
      <c r="C85" s="13" t="n">
        <v>44976</v>
      </c>
      <c r="D85" s="13" t="n">
        <v>44993</v>
      </c>
      <c r="E85" s="13" t="n">
        <v>44994</v>
      </c>
      <c r="F85" s="4" t="n">
        <v>401</v>
      </c>
      <c r="G85" s="4" t="n">
        <v>388</v>
      </c>
      <c r="H85" s="4" t="n">
        <v>442.74</v>
      </c>
      <c r="I85" s="4" t="n">
        <v>449.69</v>
      </c>
      <c r="J85" s="14" t="n">
        <f aca="false">E85-D85</f>
        <v>1</v>
      </c>
      <c r="K85" s="14" t="n">
        <f aca="false">IF(J85&lt;=0,1,0)</f>
        <v>0</v>
      </c>
      <c r="L85" s="15" t="n">
        <f aca="false">IFERROR(G85/F85,0)</f>
        <v>0.967581047381546</v>
      </c>
      <c r="M85" s="15" t="n">
        <f aca="false">IFERROR((I85-H85)/H85,0)</f>
        <v>0.0156977006821159</v>
      </c>
      <c r="N85" s="16" t="n">
        <f aca="false">G85*I85</f>
        <v>174479.72</v>
      </c>
    </row>
    <row r="86" customFormat="false" ht="15" hidden="false" customHeight="true" outlineLevel="0" collapsed="false">
      <c r="A86" s="4" t="s">
        <v>262</v>
      </c>
      <c r="B86" s="4" t="s">
        <v>149</v>
      </c>
      <c r="C86" s="13" t="n">
        <v>44983</v>
      </c>
      <c r="D86" s="13" t="n">
        <v>44990</v>
      </c>
      <c r="E86" s="13" t="n">
        <v>44990</v>
      </c>
      <c r="F86" s="4" t="n">
        <v>15</v>
      </c>
      <c r="G86" s="4" t="n">
        <v>14</v>
      </c>
      <c r="H86" s="4" t="n">
        <v>1458.52</v>
      </c>
      <c r="I86" s="4" t="n">
        <v>1449.42</v>
      </c>
      <c r="J86" s="14" t="n">
        <f aca="false">E86-D86</f>
        <v>0</v>
      </c>
      <c r="K86" s="14" t="n">
        <f aca="false">IF(J86&lt;=0,1,0)</f>
        <v>1</v>
      </c>
      <c r="L86" s="15" t="n">
        <f aca="false">IFERROR(G86/F86,0)</f>
        <v>0.933333333333333</v>
      </c>
      <c r="M86" s="15" t="n">
        <f aca="false">IFERROR((I86-H86)/H86,0)</f>
        <v>-0.00623920138222301</v>
      </c>
      <c r="N86" s="16" t="n">
        <f aca="false">G86*I86</f>
        <v>20291.88</v>
      </c>
    </row>
    <row r="87" customFormat="false" ht="15" hidden="false" customHeight="true" outlineLevel="0" collapsed="false">
      <c r="A87" s="4" t="s">
        <v>263</v>
      </c>
      <c r="B87" s="4" t="s">
        <v>79</v>
      </c>
      <c r="C87" s="13" t="n">
        <v>45174</v>
      </c>
      <c r="D87" s="13" t="n">
        <v>45193</v>
      </c>
      <c r="E87" s="13" t="n">
        <v>45200</v>
      </c>
      <c r="F87" s="4" t="n">
        <v>250</v>
      </c>
      <c r="G87" s="4" t="n">
        <v>245</v>
      </c>
      <c r="H87" s="4" t="n">
        <v>821.48</v>
      </c>
      <c r="I87" s="4" t="n">
        <v>842.16</v>
      </c>
      <c r="J87" s="14" t="n">
        <f aca="false">E87-D87</f>
        <v>7</v>
      </c>
      <c r="K87" s="14" t="n">
        <f aca="false">IF(J87&lt;=0,1,0)</f>
        <v>0</v>
      </c>
      <c r="L87" s="15" t="n">
        <f aca="false">IFERROR(G87/F87,0)</f>
        <v>0.98</v>
      </c>
      <c r="M87" s="15" t="n">
        <f aca="false">IFERROR((I87-H87)/H87,0)</f>
        <v>0.0251740760578468</v>
      </c>
      <c r="N87" s="16" t="n">
        <f aca="false">G87*I87</f>
        <v>206329.2</v>
      </c>
    </row>
    <row r="88" customFormat="false" ht="15" hidden="false" customHeight="true" outlineLevel="0" collapsed="false">
      <c r="A88" s="4" t="s">
        <v>264</v>
      </c>
      <c r="B88" s="4" t="s">
        <v>135</v>
      </c>
      <c r="C88" s="13" t="n">
        <v>45253</v>
      </c>
      <c r="D88" s="13" t="n">
        <v>45264</v>
      </c>
      <c r="E88" s="13" t="n">
        <v>45263</v>
      </c>
      <c r="F88" s="4" t="n">
        <v>134</v>
      </c>
      <c r="G88" s="4" t="n">
        <v>130</v>
      </c>
      <c r="H88" s="4" t="n">
        <v>328.06</v>
      </c>
      <c r="I88" s="4" t="n">
        <v>321.16</v>
      </c>
      <c r="J88" s="14" t="n">
        <f aca="false">E88-D88</f>
        <v>-1</v>
      </c>
      <c r="K88" s="14" t="n">
        <f aca="false">IF(J88&lt;=0,1,0)</f>
        <v>1</v>
      </c>
      <c r="L88" s="15" t="n">
        <f aca="false">IFERROR(G88/F88,0)</f>
        <v>0.970149253731343</v>
      </c>
      <c r="M88" s="15" t="n">
        <f aca="false">IFERROR((I88-H88)/H88,0)</f>
        <v>-0.0210327379137962</v>
      </c>
      <c r="N88" s="16" t="n">
        <f aca="false">G88*I88</f>
        <v>41750.8</v>
      </c>
    </row>
    <row r="89" customFormat="false" ht="15" hidden="false" customHeight="true" outlineLevel="0" collapsed="false">
      <c r="A89" s="4" t="s">
        <v>265</v>
      </c>
      <c r="B89" s="4" t="s">
        <v>109</v>
      </c>
      <c r="C89" s="13" t="n">
        <v>44954</v>
      </c>
      <c r="D89" s="13" t="n">
        <v>44974</v>
      </c>
      <c r="E89" s="13" t="n">
        <v>44970</v>
      </c>
      <c r="F89" s="4" t="n">
        <v>293</v>
      </c>
      <c r="G89" s="4" t="n">
        <v>281</v>
      </c>
      <c r="H89" s="4" t="n">
        <v>858.02</v>
      </c>
      <c r="I89" s="4" t="n">
        <v>862.74</v>
      </c>
      <c r="J89" s="14" t="n">
        <f aca="false">E89-D89</f>
        <v>-4</v>
      </c>
      <c r="K89" s="14" t="n">
        <f aca="false">IF(J89&lt;=0,1,0)</f>
        <v>1</v>
      </c>
      <c r="L89" s="15" t="n">
        <f aca="false">IFERROR(G89/F89,0)</f>
        <v>0.959044368600683</v>
      </c>
      <c r="M89" s="15" t="n">
        <f aca="false">IFERROR((I89-H89)/H89,0)</f>
        <v>0.0055010372718585</v>
      </c>
      <c r="N89" s="16" t="n">
        <f aca="false">G89*I89</f>
        <v>242429.94</v>
      </c>
    </row>
    <row r="90" customFormat="false" ht="15" hidden="false" customHeight="true" outlineLevel="0" collapsed="false">
      <c r="A90" s="4" t="s">
        <v>266</v>
      </c>
      <c r="B90" s="4" t="s">
        <v>133</v>
      </c>
      <c r="C90" s="13" t="n">
        <v>45014</v>
      </c>
      <c r="D90" s="13" t="n">
        <v>45023</v>
      </c>
      <c r="E90" s="13" t="n">
        <v>45027</v>
      </c>
      <c r="F90" s="4" t="n">
        <v>1403</v>
      </c>
      <c r="G90" s="4" t="n">
        <v>1359</v>
      </c>
      <c r="H90" s="4" t="n">
        <v>138.21</v>
      </c>
      <c r="I90" s="4" t="n">
        <v>139.63</v>
      </c>
      <c r="J90" s="14" t="n">
        <f aca="false">E90-D90</f>
        <v>4</v>
      </c>
      <c r="K90" s="14" t="n">
        <f aca="false">IF(J90&lt;=0,1,0)</f>
        <v>0</v>
      </c>
      <c r="L90" s="15" t="n">
        <f aca="false">IFERROR(G90/F90,0)</f>
        <v>0.96863863150392</v>
      </c>
      <c r="M90" s="15" t="n">
        <f aca="false">IFERROR((I90-H90)/H90,0)</f>
        <v>0.0102742203892626</v>
      </c>
      <c r="N90" s="16" t="n">
        <f aca="false">G90*I90</f>
        <v>189757.17</v>
      </c>
    </row>
    <row r="91" customFormat="false" ht="15" hidden="false" customHeight="true" outlineLevel="0" collapsed="false">
      <c r="A91" s="4" t="s">
        <v>267</v>
      </c>
      <c r="B91" s="4" t="s">
        <v>95</v>
      </c>
      <c r="C91" s="13" t="n">
        <v>45085</v>
      </c>
      <c r="D91" s="13" t="n">
        <v>45091</v>
      </c>
      <c r="E91" s="13" t="n">
        <v>45091</v>
      </c>
      <c r="F91" s="4" t="n">
        <v>928</v>
      </c>
      <c r="G91" s="4" t="n">
        <v>918</v>
      </c>
      <c r="H91" s="4" t="n">
        <v>20.39</v>
      </c>
      <c r="I91" s="4" t="n">
        <v>20.57</v>
      </c>
      <c r="J91" s="14" t="n">
        <f aca="false">E91-D91</f>
        <v>0</v>
      </c>
      <c r="K91" s="14" t="n">
        <f aca="false">IF(J91&lt;=0,1,0)</f>
        <v>1</v>
      </c>
      <c r="L91" s="15" t="n">
        <f aca="false">IFERROR(G91/F91,0)</f>
        <v>0.989224137931035</v>
      </c>
      <c r="M91" s="15" t="n">
        <f aca="false">IFERROR((I91-H91)/H91,0)</f>
        <v>0.00882785679254535</v>
      </c>
      <c r="N91" s="16" t="n">
        <f aca="false">G91*I91</f>
        <v>18883.26</v>
      </c>
    </row>
    <row r="92" customFormat="false" ht="15" hidden="false" customHeight="true" outlineLevel="0" collapsed="false">
      <c r="A92" s="4" t="s">
        <v>268</v>
      </c>
      <c r="B92" s="4" t="s">
        <v>52</v>
      </c>
      <c r="C92" s="13" t="n">
        <v>45613</v>
      </c>
      <c r="D92" s="13" t="n">
        <v>45625</v>
      </c>
      <c r="E92" s="13" t="n">
        <v>45631</v>
      </c>
      <c r="F92" s="4" t="n">
        <v>501</v>
      </c>
      <c r="G92" s="4" t="n">
        <v>423</v>
      </c>
      <c r="H92" s="4" t="n">
        <v>170.24</v>
      </c>
      <c r="I92" s="4" t="n">
        <v>178.41</v>
      </c>
      <c r="J92" s="14" t="n">
        <f aca="false">E92-D92</f>
        <v>6</v>
      </c>
      <c r="K92" s="14" t="n">
        <f aca="false">IF(J92&lt;=0,1,0)</f>
        <v>0</v>
      </c>
      <c r="L92" s="15" t="n">
        <f aca="false">IFERROR(G92/F92,0)</f>
        <v>0.844311377245509</v>
      </c>
      <c r="M92" s="15" t="n">
        <f aca="false">IFERROR((I92-H92)/H92,0)</f>
        <v>0.0479910714285714</v>
      </c>
      <c r="N92" s="16" t="n">
        <f aca="false">G92*I92</f>
        <v>75467.43</v>
      </c>
    </row>
    <row r="93" customFormat="false" ht="15" hidden="false" customHeight="true" outlineLevel="0" collapsed="false">
      <c r="A93" s="4" t="s">
        <v>269</v>
      </c>
      <c r="B93" s="4" t="s">
        <v>105</v>
      </c>
      <c r="C93" s="13" t="n">
        <v>45041</v>
      </c>
      <c r="D93" s="13" t="n">
        <v>45061</v>
      </c>
      <c r="E93" s="13" t="n">
        <v>45064</v>
      </c>
      <c r="F93" s="4" t="n">
        <v>211</v>
      </c>
      <c r="G93" s="4" t="n">
        <v>211</v>
      </c>
      <c r="H93" s="4" t="n">
        <v>685.84</v>
      </c>
      <c r="I93" s="4" t="n">
        <v>693.75</v>
      </c>
      <c r="J93" s="14" t="n">
        <f aca="false">E93-D93</f>
        <v>3</v>
      </c>
      <c r="K93" s="14" t="n">
        <f aca="false">IF(J93&lt;=0,1,0)</f>
        <v>0</v>
      </c>
      <c r="L93" s="15" t="n">
        <f aca="false">IFERROR(G93/F93,0)</f>
        <v>1</v>
      </c>
      <c r="M93" s="15" t="n">
        <f aca="false">IFERROR((I93-H93)/H93,0)</f>
        <v>0.0115333022279248</v>
      </c>
      <c r="N93" s="16" t="n">
        <f aca="false">G93*I93</f>
        <v>146381.25</v>
      </c>
    </row>
    <row r="94" customFormat="false" ht="15" hidden="false" customHeight="true" outlineLevel="0" collapsed="false">
      <c r="A94" s="4" t="s">
        <v>270</v>
      </c>
      <c r="B94" s="4" t="s">
        <v>32</v>
      </c>
      <c r="C94" s="13" t="n">
        <v>45649</v>
      </c>
      <c r="D94" s="13" t="n">
        <v>45655</v>
      </c>
      <c r="E94" s="13" t="n">
        <v>45654</v>
      </c>
      <c r="F94" s="4" t="n">
        <v>2870</v>
      </c>
      <c r="G94" s="4" t="n">
        <v>2713</v>
      </c>
      <c r="H94" s="4" t="n">
        <v>32.49</v>
      </c>
      <c r="I94" s="4" t="n">
        <v>33.21</v>
      </c>
      <c r="J94" s="14" t="n">
        <f aca="false">E94-D94</f>
        <v>-1</v>
      </c>
      <c r="K94" s="14" t="n">
        <f aca="false">IF(J94&lt;=0,1,0)</f>
        <v>1</v>
      </c>
      <c r="L94" s="15" t="n">
        <f aca="false">IFERROR(G94/F94,0)</f>
        <v>0.945296167247387</v>
      </c>
      <c r="M94" s="15" t="n">
        <f aca="false">IFERROR((I94-H94)/H94,0)</f>
        <v>0.0221606648199446</v>
      </c>
      <c r="N94" s="16" t="n">
        <f aca="false">G94*I94</f>
        <v>90098.73</v>
      </c>
    </row>
    <row r="95" customFormat="false" ht="15" hidden="false" customHeight="true" outlineLevel="0" collapsed="false">
      <c r="A95" s="4" t="s">
        <v>271</v>
      </c>
      <c r="B95" s="4" t="s">
        <v>157</v>
      </c>
      <c r="C95" s="13" t="n">
        <v>45248</v>
      </c>
      <c r="D95" s="13" t="n">
        <v>45254</v>
      </c>
      <c r="E95" s="13" t="n">
        <v>45252</v>
      </c>
      <c r="F95" s="4" t="n">
        <v>4935</v>
      </c>
      <c r="G95" s="4" t="n">
        <v>4742</v>
      </c>
      <c r="H95" s="4" t="n">
        <v>13.1</v>
      </c>
      <c r="I95" s="4" t="n">
        <v>13.49</v>
      </c>
      <c r="J95" s="14" t="n">
        <f aca="false">E95-D95</f>
        <v>-2</v>
      </c>
      <c r="K95" s="14" t="n">
        <f aca="false">IF(J95&lt;=0,1,0)</f>
        <v>1</v>
      </c>
      <c r="L95" s="15" t="n">
        <f aca="false">IFERROR(G95/F95,0)</f>
        <v>0.960891590678825</v>
      </c>
      <c r="M95" s="15" t="n">
        <f aca="false">IFERROR((I95-H95)/H95,0)</f>
        <v>0.0297709923664123</v>
      </c>
      <c r="N95" s="16" t="n">
        <f aca="false">G95*I95</f>
        <v>63969.58</v>
      </c>
    </row>
    <row r="96" customFormat="false" ht="15" hidden="false" customHeight="true" outlineLevel="0" collapsed="false">
      <c r="A96" s="4" t="s">
        <v>272</v>
      </c>
      <c r="B96" s="4" t="s">
        <v>63</v>
      </c>
      <c r="C96" s="13" t="n">
        <v>45296</v>
      </c>
      <c r="D96" s="13" t="n">
        <v>45307</v>
      </c>
      <c r="E96" s="13" t="n">
        <v>45313</v>
      </c>
      <c r="F96" s="4" t="n">
        <v>1346</v>
      </c>
      <c r="G96" s="4" t="n">
        <v>1204</v>
      </c>
      <c r="H96" s="4" t="n">
        <v>239.8</v>
      </c>
      <c r="I96" s="4" t="n">
        <v>251.63</v>
      </c>
      <c r="J96" s="14" t="n">
        <f aca="false">E96-D96</f>
        <v>6</v>
      </c>
      <c r="K96" s="14" t="n">
        <f aca="false">IF(J96&lt;=0,1,0)</f>
        <v>0</v>
      </c>
      <c r="L96" s="15" t="n">
        <f aca="false">IFERROR(G96/F96,0)</f>
        <v>0.894502228826152</v>
      </c>
      <c r="M96" s="15" t="n">
        <f aca="false">IFERROR((I96-H96)/H96,0)</f>
        <v>0.0493327773144286</v>
      </c>
      <c r="N96" s="16" t="n">
        <f aca="false">G96*I96</f>
        <v>302962.52</v>
      </c>
    </row>
    <row r="97" customFormat="false" ht="15" hidden="false" customHeight="true" outlineLevel="0" collapsed="false">
      <c r="A97" s="4" t="s">
        <v>273</v>
      </c>
      <c r="B97" s="4" t="s">
        <v>163</v>
      </c>
      <c r="C97" s="13" t="n">
        <v>45252</v>
      </c>
      <c r="D97" s="13" t="n">
        <v>45269</v>
      </c>
      <c r="E97" s="13" t="n">
        <v>45270</v>
      </c>
      <c r="F97" s="4" t="n">
        <v>152</v>
      </c>
      <c r="G97" s="4" t="n">
        <v>152</v>
      </c>
      <c r="H97" s="4" t="n">
        <v>482.79</v>
      </c>
      <c r="I97" s="4" t="n">
        <v>487.26</v>
      </c>
      <c r="J97" s="14" t="n">
        <f aca="false">E97-D97</f>
        <v>1</v>
      </c>
      <c r="K97" s="14" t="n">
        <f aca="false">IF(J97&lt;=0,1,0)</f>
        <v>0</v>
      </c>
      <c r="L97" s="15" t="n">
        <f aca="false">IFERROR(G97/F97,0)</f>
        <v>1</v>
      </c>
      <c r="M97" s="15" t="n">
        <f aca="false">IFERROR((I97-H97)/H97,0)</f>
        <v>0.00925868389983216</v>
      </c>
      <c r="N97" s="16" t="n">
        <f aca="false">G97*I97</f>
        <v>74063.52</v>
      </c>
    </row>
    <row r="98" customFormat="false" ht="15" hidden="false" customHeight="true" outlineLevel="0" collapsed="false">
      <c r="A98" s="4" t="s">
        <v>274</v>
      </c>
      <c r="B98" s="4" t="s">
        <v>127</v>
      </c>
      <c r="C98" s="13" t="n">
        <v>44974</v>
      </c>
      <c r="D98" s="13" t="n">
        <v>44978</v>
      </c>
      <c r="E98" s="13" t="n">
        <v>44979</v>
      </c>
      <c r="F98" s="4" t="n">
        <v>2</v>
      </c>
      <c r="G98" s="4" t="n">
        <v>2</v>
      </c>
      <c r="H98" s="4" t="n">
        <v>1881</v>
      </c>
      <c r="I98" s="4" t="n">
        <v>1891.31</v>
      </c>
      <c r="J98" s="14" t="n">
        <f aca="false">E98-D98</f>
        <v>1</v>
      </c>
      <c r="K98" s="14" t="n">
        <f aca="false">IF(J98&lt;=0,1,0)</f>
        <v>0</v>
      </c>
      <c r="L98" s="15" t="n">
        <f aca="false">IFERROR(G98/F98,0)</f>
        <v>1</v>
      </c>
      <c r="M98" s="15" t="n">
        <f aca="false">IFERROR((I98-H98)/H98,0)</f>
        <v>0.0054811270600744</v>
      </c>
      <c r="N98" s="16" t="n">
        <f aca="false">G98*I98</f>
        <v>3782.62</v>
      </c>
    </row>
    <row r="99" customFormat="false" ht="15" hidden="false" customHeight="true" outlineLevel="0" collapsed="false">
      <c r="A99" s="4" t="s">
        <v>275</v>
      </c>
      <c r="B99" s="4" t="s">
        <v>89</v>
      </c>
      <c r="C99" s="13" t="n">
        <v>44979</v>
      </c>
      <c r="D99" s="13" t="n">
        <v>44984</v>
      </c>
      <c r="E99" s="13" t="n">
        <v>44986</v>
      </c>
      <c r="F99" s="4" t="n">
        <v>16</v>
      </c>
      <c r="G99" s="4" t="n">
        <v>15</v>
      </c>
      <c r="H99" s="4" t="n">
        <v>1929.81</v>
      </c>
      <c r="I99" s="4" t="n">
        <v>1924.62</v>
      </c>
      <c r="J99" s="14" t="n">
        <f aca="false">E99-D99</f>
        <v>2</v>
      </c>
      <c r="K99" s="14" t="n">
        <f aca="false">IF(J99&lt;=0,1,0)</f>
        <v>0</v>
      </c>
      <c r="L99" s="15" t="n">
        <f aca="false">IFERROR(G99/F99,0)</f>
        <v>0.9375</v>
      </c>
      <c r="M99" s="15" t="n">
        <f aca="false">IFERROR((I99-H99)/H99,0)</f>
        <v>-0.00268938392898786</v>
      </c>
      <c r="N99" s="16" t="n">
        <f aca="false">G99*I99</f>
        <v>28869.3</v>
      </c>
    </row>
    <row r="100" customFormat="false" ht="15" hidden="false" customHeight="true" outlineLevel="0" collapsed="false">
      <c r="A100" s="4" t="s">
        <v>276</v>
      </c>
      <c r="B100" s="4" t="s">
        <v>123</v>
      </c>
      <c r="C100" s="13" t="n">
        <v>45029</v>
      </c>
      <c r="D100" s="13" t="n">
        <v>45042</v>
      </c>
      <c r="E100" s="13" t="n">
        <v>45040</v>
      </c>
      <c r="F100" s="4" t="n">
        <v>288</v>
      </c>
      <c r="G100" s="4" t="n">
        <v>288</v>
      </c>
      <c r="H100" s="4" t="n">
        <v>214.07</v>
      </c>
      <c r="I100" s="4" t="n">
        <v>221.45</v>
      </c>
      <c r="J100" s="14" t="n">
        <f aca="false">E100-D100</f>
        <v>-2</v>
      </c>
      <c r="K100" s="14" t="n">
        <f aca="false">IF(J100&lt;=0,1,0)</f>
        <v>1</v>
      </c>
      <c r="L100" s="15" t="n">
        <f aca="false">IFERROR(G100/F100,0)</f>
        <v>1</v>
      </c>
      <c r="M100" s="15" t="n">
        <f aca="false">IFERROR((I100-H100)/H100,0)</f>
        <v>0.0344747045358995</v>
      </c>
      <c r="N100" s="16" t="n">
        <f aca="false">G100*I100</f>
        <v>63777.6</v>
      </c>
    </row>
    <row r="101" customFormat="false" ht="15" hidden="false" customHeight="true" outlineLevel="0" collapsed="false">
      <c r="A101" s="4" t="s">
        <v>277</v>
      </c>
      <c r="B101" s="4" t="s">
        <v>133</v>
      </c>
      <c r="C101" s="13" t="n">
        <v>44960</v>
      </c>
      <c r="D101" s="13" t="n">
        <v>44969</v>
      </c>
      <c r="E101" s="13" t="n">
        <v>44971</v>
      </c>
      <c r="F101" s="4" t="n">
        <v>833</v>
      </c>
      <c r="G101" s="4" t="n">
        <v>789</v>
      </c>
      <c r="H101" s="4" t="n">
        <v>138.21</v>
      </c>
      <c r="I101" s="4" t="n">
        <v>135.61</v>
      </c>
      <c r="J101" s="14" t="n">
        <f aca="false">E101-D101</f>
        <v>2</v>
      </c>
      <c r="K101" s="14" t="n">
        <f aca="false">IF(J101&lt;=0,1,0)</f>
        <v>0</v>
      </c>
      <c r="L101" s="15" t="n">
        <f aca="false">IFERROR(G101/F101,0)</f>
        <v>0.94717887154862</v>
      </c>
      <c r="M101" s="15" t="n">
        <f aca="false">IFERROR((I101-H101)/H101,0)</f>
        <v>-0.0188119528254106</v>
      </c>
      <c r="N101" s="16" t="n">
        <f aca="false">G101*I101</f>
        <v>106996.29</v>
      </c>
    </row>
    <row r="102" customFormat="false" ht="15" hidden="false" customHeight="true" outlineLevel="0" collapsed="false">
      <c r="A102" s="4" t="s">
        <v>278</v>
      </c>
      <c r="B102" s="4" t="s">
        <v>129</v>
      </c>
      <c r="C102" s="13" t="n">
        <v>44960</v>
      </c>
      <c r="D102" s="13" t="n">
        <v>44977</v>
      </c>
      <c r="E102" s="13" t="n">
        <v>44977</v>
      </c>
      <c r="F102" s="4" t="n">
        <v>329</v>
      </c>
      <c r="G102" s="4" t="n">
        <v>329</v>
      </c>
      <c r="H102" s="4" t="n">
        <v>709.66</v>
      </c>
      <c r="I102" s="4" t="n">
        <v>708.45</v>
      </c>
      <c r="J102" s="14" t="n">
        <f aca="false">E102-D102</f>
        <v>0</v>
      </c>
      <c r="K102" s="14" t="n">
        <f aca="false">IF(J102&lt;=0,1,0)</f>
        <v>1</v>
      </c>
      <c r="L102" s="15" t="n">
        <f aca="false">IFERROR(G102/F102,0)</f>
        <v>1</v>
      </c>
      <c r="M102" s="15" t="n">
        <f aca="false">IFERROR((I102-H102)/H102,0)</f>
        <v>-0.00170504185102714</v>
      </c>
      <c r="N102" s="16" t="n">
        <f aca="false">G102*I102</f>
        <v>233080.05</v>
      </c>
    </row>
    <row r="103" customFormat="false" ht="15" hidden="false" customHeight="true" outlineLevel="0" collapsed="false">
      <c r="A103" s="4" t="s">
        <v>279</v>
      </c>
      <c r="B103" s="4" t="s">
        <v>63</v>
      </c>
      <c r="C103" s="13" t="n">
        <v>45028</v>
      </c>
      <c r="D103" s="13" t="n">
        <v>45040</v>
      </c>
      <c r="E103" s="13" t="n">
        <v>45045</v>
      </c>
      <c r="F103" s="4" t="n">
        <v>984</v>
      </c>
      <c r="G103" s="4" t="n">
        <v>897</v>
      </c>
      <c r="H103" s="4" t="n">
        <v>239.8</v>
      </c>
      <c r="I103" s="4" t="n">
        <v>243.35</v>
      </c>
      <c r="J103" s="14" t="n">
        <f aca="false">E103-D103</f>
        <v>5</v>
      </c>
      <c r="K103" s="14" t="n">
        <f aca="false">IF(J103&lt;=0,1,0)</f>
        <v>0</v>
      </c>
      <c r="L103" s="15" t="n">
        <f aca="false">IFERROR(G103/F103,0)</f>
        <v>0.911585365853659</v>
      </c>
      <c r="M103" s="15" t="n">
        <f aca="false">IFERROR((I103-H103)/H103,0)</f>
        <v>0.0148040033361134</v>
      </c>
      <c r="N103" s="16" t="n">
        <f aca="false">G103*I103</f>
        <v>218284.95</v>
      </c>
    </row>
    <row r="104" customFormat="false" ht="15" hidden="false" customHeight="true" outlineLevel="0" collapsed="false">
      <c r="A104" s="4" t="s">
        <v>280</v>
      </c>
      <c r="B104" s="4" t="s">
        <v>129</v>
      </c>
      <c r="C104" s="13" t="n">
        <v>45635</v>
      </c>
      <c r="D104" s="13" t="n">
        <v>45652</v>
      </c>
      <c r="E104" s="13" t="n">
        <v>45652</v>
      </c>
      <c r="F104" s="4" t="n">
        <v>457</v>
      </c>
      <c r="G104" s="4" t="n">
        <v>443</v>
      </c>
      <c r="H104" s="4" t="n">
        <v>709.66</v>
      </c>
      <c r="I104" s="4" t="n">
        <v>728.37</v>
      </c>
      <c r="J104" s="14" t="n">
        <f aca="false">E104-D104</f>
        <v>0</v>
      </c>
      <c r="K104" s="14" t="n">
        <f aca="false">IF(J104&lt;=0,1,0)</f>
        <v>1</v>
      </c>
      <c r="L104" s="15" t="n">
        <f aca="false">IFERROR(G104/F104,0)</f>
        <v>0.969365426695843</v>
      </c>
      <c r="M104" s="15" t="n">
        <f aca="false">IFERROR((I104-H104)/H104,0)</f>
        <v>0.0263647380435702</v>
      </c>
      <c r="N104" s="16" t="n">
        <f aca="false">G104*I104</f>
        <v>322667.91</v>
      </c>
    </row>
    <row r="105" customFormat="false" ht="15" hidden="false" customHeight="true" outlineLevel="0" collapsed="false">
      <c r="A105" s="4" t="s">
        <v>281</v>
      </c>
      <c r="B105" s="4" t="s">
        <v>121</v>
      </c>
      <c r="C105" s="13" t="n">
        <v>45344</v>
      </c>
      <c r="D105" s="13" t="n">
        <v>45355</v>
      </c>
      <c r="E105" s="13" t="n">
        <v>45351</v>
      </c>
      <c r="F105" s="4" t="n">
        <v>476</v>
      </c>
      <c r="G105" s="4" t="n">
        <v>446</v>
      </c>
      <c r="H105" s="4" t="n">
        <v>206.07</v>
      </c>
      <c r="I105" s="4" t="n">
        <v>224.44</v>
      </c>
      <c r="J105" s="14" t="n">
        <f aca="false">E105-D105</f>
        <v>-4</v>
      </c>
      <c r="K105" s="14" t="n">
        <f aca="false">IF(J105&lt;=0,1,0)</f>
        <v>1</v>
      </c>
      <c r="L105" s="15" t="n">
        <f aca="false">IFERROR(G105/F105,0)</f>
        <v>0.936974789915966</v>
      </c>
      <c r="M105" s="15" t="n">
        <f aca="false">IFERROR((I105-H105)/H105,0)</f>
        <v>0.0891444654728976</v>
      </c>
      <c r="N105" s="16" t="n">
        <f aca="false">G105*I105</f>
        <v>100100.24</v>
      </c>
    </row>
    <row r="106" customFormat="false" ht="15" hidden="false" customHeight="true" outlineLevel="0" collapsed="false">
      <c r="A106" s="4" t="s">
        <v>282</v>
      </c>
      <c r="B106" s="4" t="s">
        <v>155</v>
      </c>
      <c r="C106" s="13" t="n">
        <v>45634</v>
      </c>
      <c r="D106" s="13" t="n">
        <v>45640</v>
      </c>
      <c r="E106" s="13" t="n">
        <v>45640</v>
      </c>
      <c r="F106" s="4" t="n">
        <v>3799</v>
      </c>
      <c r="G106" s="4" t="n">
        <v>3635</v>
      </c>
      <c r="H106" s="4" t="n">
        <v>24.04</v>
      </c>
      <c r="I106" s="4" t="n">
        <v>22.17</v>
      </c>
      <c r="J106" s="14" t="n">
        <f aca="false">E106-D106</f>
        <v>0</v>
      </c>
      <c r="K106" s="14" t="n">
        <f aca="false">IF(J106&lt;=0,1,0)</f>
        <v>1</v>
      </c>
      <c r="L106" s="15" t="n">
        <f aca="false">IFERROR(G106/F106,0)</f>
        <v>0.956830744932877</v>
      </c>
      <c r="M106" s="15" t="n">
        <f aca="false">IFERROR((I106-H106)/H106,0)</f>
        <v>-0.0777870216306155</v>
      </c>
      <c r="N106" s="16" t="n">
        <f aca="false">G106*I106</f>
        <v>80587.95</v>
      </c>
    </row>
    <row r="107" customFormat="false" ht="15" hidden="false" customHeight="true" outlineLevel="0" collapsed="false">
      <c r="A107" s="4" t="s">
        <v>283</v>
      </c>
      <c r="B107" s="4" t="s">
        <v>157</v>
      </c>
      <c r="C107" s="13" t="n">
        <v>45554</v>
      </c>
      <c r="D107" s="13" t="n">
        <v>45562</v>
      </c>
      <c r="E107" s="13" t="n">
        <v>45559</v>
      </c>
      <c r="F107" s="4" t="n">
        <v>2201</v>
      </c>
      <c r="G107" s="4" t="n">
        <v>2135</v>
      </c>
      <c r="H107" s="4" t="n">
        <v>13.1</v>
      </c>
      <c r="I107" s="4" t="n">
        <v>13.55</v>
      </c>
      <c r="J107" s="14" t="n">
        <f aca="false">E107-D107</f>
        <v>-3</v>
      </c>
      <c r="K107" s="14" t="n">
        <f aca="false">IF(J107&lt;=0,1,0)</f>
        <v>1</v>
      </c>
      <c r="L107" s="15" t="n">
        <f aca="false">IFERROR(G107/F107,0)</f>
        <v>0.970013630168105</v>
      </c>
      <c r="M107" s="15" t="n">
        <f aca="false">IFERROR((I107-H107)/H107,0)</f>
        <v>0.034351145038168</v>
      </c>
      <c r="N107" s="16" t="n">
        <f aca="false">G107*I107</f>
        <v>28929.25</v>
      </c>
    </row>
    <row r="108" customFormat="false" ht="15" hidden="false" customHeight="true" outlineLevel="0" collapsed="false">
      <c r="A108" s="4" t="s">
        <v>284</v>
      </c>
      <c r="B108" s="4" t="s">
        <v>109</v>
      </c>
      <c r="C108" s="13" t="n">
        <v>45036</v>
      </c>
      <c r="D108" s="13" t="n">
        <v>45054</v>
      </c>
      <c r="E108" s="13" t="n">
        <v>45051</v>
      </c>
      <c r="F108" s="4" t="n">
        <v>89</v>
      </c>
      <c r="G108" s="4" t="n">
        <v>89</v>
      </c>
      <c r="H108" s="4" t="n">
        <v>858.02</v>
      </c>
      <c r="I108" s="4" t="n">
        <v>859.21</v>
      </c>
      <c r="J108" s="14" t="n">
        <f aca="false">E108-D108</f>
        <v>-3</v>
      </c>
      <c r="K108" s="14" t="n">
        <f aca="false">IF(J108&lt;=0,1,0)</f>
        <v>1</v>
      </c>
      <c r="L108" s="15" t="n">
        <f aca="false">IFERROR(G108/F108,0)</f>
        <v>1</v>
      </c>
      <c r="M108" s="15" t="n">
        <f aca="false">IFERROR((I108-H108)/H108,0)</f>
        <v>0.00138691405794743</v>
      </c>
      <c r="N108" s="16" t="n">
        <f aca="false">G108*I108</f>
        <v>76469.69</v>
      </c>
    </row>
    <row r="109" customFormat="false" ht="15" hidden="false" customHeight="true" outlineLevel="0" collapsed="false">
      <c r="A109" s="4" t="s">
        <v>285</v>
      </c>
      <c r="B109" s="4" t="s">
        <v>37</v>
      </c>
      <c r="C109" s="13" t="n">
        <v>45544</v>
      </c>
      <c r="D109" s="13" t="n">
        <v>45552</v>
      </c>
      <c r="E109" s="13" t="n">
        <v>45550</v>
      </c>
      <c r="F109" s="4" t="n">
        <v>2840</v>
      </c>
      <c r="G109" s="4" t="n">
        <v>2767</v>
      </c>
      <c r="H109" s="4" t="n">
        <v>22.26</v>
      </c>
      <c r="I109" s="4" t="n">
        <v>20.89</v>
      </c>
      <c r="J109" s="14" t="n">
        <f aca="false">E109-D109</f>
        <v>-2</v>
      </c>
      <c r="K109" s="14" t="n">
        <f aca="false">IF(J109&lt;=0,1,0)</f>
        <v>1</v>
      </c>
      <c r="L109" s="15" t="n">
        <f aca="false">IFERROR(G109/F109,0)</f>
        <v>0.974295774647887</v>
      </c>
      <c r="M109" s="15" t="n">
        <f aca="false">IFERROR((I109-H109)/H109,0)</f>
        <v>-0.0615453728661276</v>
      </c>
      <c r="N109" s="16" t="n">
        <f aca="false">G109*I109</f>
        <v>57802.63</v>
      </c>
    </row>
    <row r="110" customFormat="false" ht="15" hidden="false" customHeight="true" outlineLevel="0" collapsed="false">
      <c r="A110" s="4" t="s">
        <v>286</v>
      </c>
      <c r="B110" s="4" t="s">
        <v>77</v>
      </c>
      <c r="C110" s="13" t="n">
        <v>45030</v>
      </c>
      <c r="D110" s="13" t="n">
        <v>45037</v>
      </c>
      <c r="E110" s="13" t="n">
        <v>45046</v>
      </c>
      <c r="F110" s="4" t="n">
        <v>1187</v>
      </c>
      <c r="G110" s="4" t="n">
        <v>1172</v>
      </c>
      <c r="H110" s="4" t="n">
        <v>36.83</v>
      </c>
      <c r="I110" s="4" t="n">
        <v>36.6</v>
      </c>
      <c r="J110" s="14" t="n">
        <f aca="false">E110-D110</f>
        <v>9</v>
      </c>
      <c r="K110" s="14" t="n">
        <f aca="false">IF(J110&lt;=0,1,0)</f>
        <v>0</v>
      </c>
      <c r="L110" s="15" t="n">
        <f aca="false">IFERROR(G110/F110,0)</f>
        <v>0.987363100252738</v>
      </c>
      <c r="M110" s="15" t="n">
        <f aca="false">IFERROR((I110-H110)/H110,0)</f>
        <v>-0.00624490904154214</v>
      </c>
      <c r="N110" s="16" t="n">
        <f aca="false">G110*I110</f>
        <v>42895.2</v>
      </c>
    </row>
    <row r="111" customFormat="false" ht="15" hidden="false" customHeight="true" outlineLevel="0" collapsed="false">
      <c r="A111" s="4" t="s">
        <v>287</v>
      </c>
      <c r="B111" s="4" t="s">
        <v>77</v>
      </c>
      <c r="C111" s="13" t="n">
        <v>45237</v>
      </c>
      <c r="D111" s="13" t="n">
        <v>45243</v>
      </c>
      <c r="E111" s="13" t="n">
        <v>45260</v>
      </c>
      <c r="F111" s="4" t="n">
        <v>1877</v>
      </c>
      <c r="G111" s="4" t="n">
        <v>1843</v>
      </c>
      <c r="H111" s="4" t="n">
        <v>36.83</v>
      </c>
      <c r="I111" s="4" t="n">
        <v>35.19</v>
      </c>
      <c r="J111" s="14" t="n">
        <f aca="false">E111-D111</f>
        <v>17</v>
      </c>
      <c r="K111" s="14" t="n">
        <f aca="false">IF(J111&lt;=0,1,0)</f>
        <v>0</v>
      </c>
      <c r="L111" s="15" t="n">
        <f aca="false">IFERROR(G111/F111,0)</f>
        <v>0.981885988279169</v>
      </c>
      <c r="M111" s="15" t="n">
        <f aca="false">IFERROR((I111-H111)/H111,0)</f>
        <v>-0.0445289166440402</v>
      </c>
      <c r="N111" s="16" t="n">
        <f aca="false">G111*I111</f>
        <v>64855.17</v>
      </c>
    </row>
    <row r="112" customFormat="false" ht="15" hidden="false" customHeight="true" outlineLevel="0" collapsed="false">
      <c r="A112" s="4" t="s">
        <v>288</v>
      </c>
      <c r="B112" s="4" t="s">
        <v>135</v>
      </c>
      <c r="C112" s="13" t="n">
        <v>45518</v>
      </c>
      <c r="D112" s="13" t="n">
        <v>45529</v>
      </c>
      <c r="E112" s="13" t="n">
        <v>45531</v>
      </c>
      <c r="F112" s="4" t="n">
        <v>125</v>
      </c>
      <c r="G112" s="4" t="n">
        <v>125</v>
      </c>
      <c r="H112" s="4" t="n">
        <v>328.06</v>
      </c>
      <c r="I112" s="4" t="n">
        <v>320.01</v>
      </c>
      <c r="J112" s="14" t="n">
        <f aca="false">E112-D112</f>
        <v>2</v>
      </c>
      <c r="K112" s="14" t="n">
        <f aca="false">IF(J112&lt;=0,1,0)</f>
        <v>0</v>
      </c>
      <c r="L112" s="15" t="n">
        <f aca="false">IFERROR(G112/F112,0)</f>
        <v>1</v>
      </c>
      <c r="M112" s="15" t="n">
        <f aca="false">IFERROR((I112-H112)/H112,0)</f>
        <v>-0.0245381942327623</v>
      </c>
      <c r="N112" s="16" t="n">
        <f aca="false">G112*I112</f>
        <v>40001.25</v>
      </c>
    </row>
    <row r="113" customFormat="false" ht="15" hidden="false" customHeight="true" outlineLevel="0" collapsed="false">
      <c r="A113" s="4" t="s">
        <v>289</v>
      </c>
      <c r="B113" s="4" t="s">
        <v>50</v>
      </c>
      <c r="C113" s="13" t="n">
        <v>45498</v>
      </c>
      <c r="D113" s="13" t="n">
        <v>45518</v>
      </c>
      <c r="E113" s="13" t="n">
        <v>45517</v>
      </c>
      <c r="F113" s="4" t="n">
        <v>474</v>
      </c>
      <c r="G113" s="4" t="n">
        <v>460</v>
      </c>
      <c r="H113" s="4" t="n">
        <v>707.19</v>
      </c>
      <c r="I113" s="4" t="n">
        <v>756.95</v>
      </c>
      <c r="J113" s="14" t="n">
        <f aca="false">E113-D113</f>
        <v>-1</v>
      </c>
      <c r="K113" s="14" t="n">
        <f aca="false">IF(J113&lt;=0,1,0)</f>
        <v>1</v>
      </c>
      <c r="L113" s="15" t="n">
        <f aca="false">IFERROR(G113/F113,0)</f>
        <v>0.970464135021097</v>
      </c>
      <c r="M113" s="15" t="n">
        <f aca="false">IFERROR((I113-H113)/H113,0)</f>
        <v>0.07036298590195</v>
      </c>
      <c r="N113" s="16" t="n">
        <f aca="false">G113*I113</f>
        <v>348197</v>
      </c>
    </row>
    <row r="114" customFormat="false" ht="15" hidden="false" customHeight="true" outlineLevel="0" collapsed="false">
      <c r="A114" s="4" t="s">
        <v>290</v>
      </c>
      <c r="B114" s="4" t="s">
        <v>161</v>
      </c>
      <c r="C114" s="13" t="n">
        <v>45643</v>
      </c>
      <c r="D114" s="13" t="n">
        <v>45654</v>
      </c>
      <c r="E114" s="13" t="n">
        <v>45655</v>
      </c>
      <c r="F114" s="4" t="n">
        <v>276</v>
      </c>
      <c r="G114" s="4" t="n">
        <v>271</v>
      </c>
      <c r="H114" s="4" t="n">
        <v>101.94</v>
      </c>
      <c r="I114" s="4" t="n">
        <v>117.32</v>
      </c>
      <c r="J114" s="14" t="n">
        <f aca="false">E114-D114</f>
        <v>1</v>
      </c>
      <c r="K114" s="14" t="n">
        <f aca="false">IF(J114&lt;=0,1,0)</f>
        <v>0</v>
      </c>
      <c r="L114" s="15" t="n">
        <f aca="false">IFERROR(G114/F114,0)</f>
        <v>0.981884057971015</v>
      </c>
      <c r="M114" s="15" t="n">
        <f aca="false">IFERROR((I114-H114)/H114,0)</f>
        <v>0.150873062585835</v>
      </c>
      <c r="N114" s="16" t="n">
        <f aca="false">G114*I114</f>
        <v>31793.72</v>
      </c>
    </row>
    <row r="115" customFormat="false" ht="15" hidden="false" customHeight="true" outlineLevel="0" collapsed="false">
      <c r="A115" s="4" t="s">
        <v>291</v>
      </c>
      <c r="B115" s="4" t="s">
        <v>52</v>
      </c>
      <c r="C115" s="13" t="n">
        <v>45542</v>
      </c>
      <c r="D115" s="13" t="n">
        <v>45553</v>
      </c>
      <c r="E115" s="13" t="n">
        <v>45559</v>
      </c>
      <c r="F115" s="4" t="n">
        <v>783</v>
      </c>
      <c r="G115" s="4" t="n">
        <v>640</v>
      </c>
      <c r="H115" s="4" t="n">
        <v>170.24</v>
      </c>
      <c r="I115" s="4" t="n">
        <v>179.23</v>
      </c>
      <c r="J115" s="14" t="n">
        <f aca="false">E115-D115</f>
        <v>6</v>
      </c>
      <c r="K115" s="14" t="n">
        <f aca="false">IF(J115&lt;=0,1,0)</f>
        <v>0</v>
      </c>
      <c r="L115" s="15" t="n">
        <f aca="false">IFERROR(G115/F115,0)</f>
        <v>0.817369093231162</v>
      </c>
      <c r="M115" s="15" t="n">
        <f aca="false">IFERROR((I115-H115)/H115,0)</f>
        <v>0.0528078007518796</v>
      </c>
      <c r="N115" s="16" t="n">
        <f aca="false">G115*I115</f>
        <v>114707.2</v>
      </c>
    </row>
    <row r="116" customFormat="false" ht="15" hidden="false" customHeight="true" outlineLevel="0" collapsed="false">
      <c r="A116" s="4" t="s">
        <v>292</v>
      </c>
      <c r="B116" s="4" t="s">
        <v>105</v>
      </c>
      <c r="C116" s="13" t="n">
        <v>44960</v>
      </c>
      <c r="D116" s="13" t="n">
        <v>44977</v>
      </c>
      <c r="E116" s="13" t="n">
        <v>44979</v>
      </c>
      <c r="F116" s="4" t="n">
        <v>53</v>
      </c>
      <c r="G116" s="4" t="n">
        <v>51</v>
      </c>
      <c r="H116" s="4" t="n">
        <v>685.84</v>
      </c>
      <c r="I116" s="4" t="n">
        <v>682.15</v>
      </c>
      <c r="J116" s="14" t="n">
        <f aca="false">E116-D116</f>
        <v>2</v>
      </c>
      <c r="K116" s="14" t="n">
        <f aca="false">IF(J116&lt;=0,1,0)</f>
        <v>0</v>
      </c>
      <c r="L116" s="15" t="n">
        <f aca="false">IFERROR(G116/F116,0)</f>
        <v>0.962264150943396</v>
      </c>
      <c r="M116" s="15" t="n">
        <f aca="false">IFERROR((I116-H116)/H116,0)</f>
        <v>-0.00538026361833672</v>
      </c>
      <c r="N116" s="16" t="n">
        <f aca="false">G116*I116</f>
        <v>34789.65</v>
      </c>
    </row>
    <row r="117" customFormat="false" ht="15" hidden="false" customHeight="true" outlineLevel="0" collapsed="false">
      <c r="A117" s="4" t="s">
        <v>293</v>
      </c>
      <c r="B117" s="4" t="s">
        <v>97</v>
      </c>
      <c r="C117" s="13" t="n">
        <v>45021</v>
      </c>
      <c r="D117" s="13" t="n">
        <v>45031</v>
      </c>
      <c r="E117" s="13" t="n">
        <v>45030</v>
      </c>
      <c r="F117" s="4" t="n">
        <v>1752</v>
      </c>
      <c r="G117" s="4" t="n">
        <v>1752</v>
      </c>
      <c r="H117" s="4" t="n">
        <v>123.04</v>
      </c>
      <c r="I117" s="4" t="n">
        <v>124.7</v>
      </c>
      <c r="J117" s="14" t="n">
        <f aca="false">E117-D117</f>
        <v>-1</v>
      </c>
      <c r="K117" s="14" t="n">
        <f aca="false">IF(J117&lt;=0,1,0)</f>
        <v>1</v>
      </c>
      <c r="L117" s="15" t="n">
        <f aca="false">IFERROR(G117/F117,0)</f>
        <v>1</v>
      </c>
      <c r="M117" s="15" t="n">
        <f aca="false">IFERROR((I117-H117)/H117,0)</f>
        <v>0.0134915474642392</v>
      </c>
      <c r="N117" s="16" t="n">
        <f aca="false">G117*I117</f>
        <v>218474.4</v>
      </c>
    </row>
    <row r="118" customFormat="false" ht="15" hidden="false" customHeight="true" outlineLevel="0" collapsed="false">
      <c r="A118" s="4" t="s">
        <v>294</v>
      </c>
      <c r="B118" s="4" t="s">
        <v>91</v>
      </c>
      <c r="C118" s="13" t="n">
        <v>45338</v>
      </c>
      <c r="D118" s="13" t="n">
        <v>45355</v>
      </c>
      <c r="E118" s="13" t="n">
        <v>45354</v>
      </c>
      <c r="F118" s="4" t="n">
        <v>258</v>
      </c>
      <c r="G118" s="4" t="n">
        <v>257</v>
      </c>
      <c r="H118" s="4" t="n">
        <v>496.29</v>
      </c>
      <c r="I118" s="4" t="n">
        <v>487.39</v>
      </c>
      <c r="J118" s="14" t="n">
        <f aca="false">E118-D118</f>
        <v>-1</v>
      </c>
      <c r="K118" s="14" t="n">
        <f aca="false">IF(J118&lt;=0,1,0)</f>
        <v>1</v>
      </c>
      <c r="L118" s="15" t="n">
        <f aca="false">IFERROR(G118/F118,0)</f>
        <v>0.996124031007752</v>
      </c>
      <c r="M118" s="15" t="n">
        <f aca="false">IFERROR((I118-H118)/H118,0)</f>
        <v>-0.017933063329908</v>
      </c>
      <c r="N118" s="16" t="n">
        <f aca="false">G118*I118</f>
        <v>125259.23</v>
      </c>
    </row>
    <row r="119" customFormat="false" ht="15" hidden="false" customHeight="true" outlineLevel="0" collapsed="false">
      <c r="A119" s="4" t="s">
        <v>295</v>
      </c>
      <c r="B119" s="4" t="s">
        <v>99</v>
      </c>
      <c r="C119" s="13" t="n">
        <v>45403</v>
      </c>
      <c r="D119" s="13" t="n">
        <v>45410</v>
      </c>
      <c r="E119" s="13" t="n">
        <v>45410</v>
      </c>
      <c r="F119" s="4" t="n">
        <v>750</v>
      </c>
      <c r="G119" s="4" t="n">
        <v>689</v>
      </c>
      <c r="H119" s="4" t="n">
        <v>11.5</v>
      </c>
      <c r="I119" s="4" t="n">
        <v>12.47</v>
      </c>
      <c r="J119" s="14" t="n">
        <f aca="false">E119-D119</f>
        <v>0</v>
      </c>
      <c r="K119" s="14" t="n">
        <f aca="false">IF(J119&lt;=0,1,0)</f>
        <v>1</v>
      </c>
      <c r="L119" s="15" t="n">
        <f aca="false">IFERROR(G119/F119,0)</f>
        <v>0.918666666666667</v>
      </c>
      <c r="M119" s="15" t="n">
        <f aca="false">IFERROR((I119-H119)/H119,0)</f>
        <v>0.0843478260869566</v>
      </c>
      <c r="N119" s="16" t="n">
        <f aca="false">G119*I119</f>
        <v>8591.83</v>
      </c>
    </row>
    <row r="120" customFormat="false" ht="15" hidden="false" customHeight="true" outlineLevel="0" collapsed="false">
      <c r="A120" s="4" t="s">
        <v>296</v>
      </c>
      <c r="B120" s="4" t="s">
        <v>55</v>
      </c>
      <c r="C120" s="13" t="n">
        <v>45622</v>
      </c>
      <c r="D120" s="13" t="n">
        <v>45639</v>
      </c>
      <c r="E120" s="13" t="n">
        <v>45639</v>
      </c>
      <c r="F120" s="4" t="n">
        <v>183</v>
      </c>
      <c r="G120" s="4" t="n">
        <v>176</v>
      </c>
      <c r="H120" s="4" t="n">
        <v>598.09</v>
      </c>
      <c r="I120" s="4" t="n">
        <v>550.08</v>
      </c>
      <c r="J120" s="14" t="n">
        <f aca="false">E120-D120</f>
        <v>0</v>
      </c>
      <c r="K120" s="14" t="n">
        <f aca="false">IF(J120&lt;=0,1,0)</f>
        <v>1</v>
      </c>
      <c r="L120" s="15" t="n">
        <f aca="false">IFERROR(G120/F120,0)</f>
        <v>0.961748633879781</v>
      </c>
      <c r="M120" s="15" t="n">
        <f aca="false">IFERROR((I120-H120)/H120,0)</f>
        <v>-0.080272199836145</v>
      </c>
      <c r="N120" s="16" t="n">
        <f aca="false">G120*I120</f>
        <v>96814.08</v>
      </c>
    </row>
    <row r="121" customFormat="false" ht="15" hidden="false" customHeight="true" outlineLevel="0" collapsed="false">
      <c r="A121" s="4" t="s">
        <v>297</v>
      </c>
      <c r="B121" s="4" t="s">
        <v>103</v>
      </c>
      <c r="C121" s="13" t="n">
        <v>45176</v>
      </c>
      <c r="D121" s="13" t="n">
        <v>45195</v>
      </c>
      <c r="E121" s="13" t="n">
        <v>45199</v>
      </c>
      <c r="F121" s="4" t="n">
        <v>123</v>
      </c>
      <c r="G121" s="4" t="n">
        <v>123</v>
      </c>
      <c r="H121" s="4" t="n">
        <v>1400.22</v>
      </c>
      <c r="I121" s="4" t="n">
        <v>1417.79</v>
      </c>
      <c r="J121" s="14" t="n">
        <f aca="false">E121-D121</f>
        <v>4</v>
      </c>
      <c r="K121" s="14" t="n">
        <f aca="false">IF(J121&lt;=0,1,0)</f>
        <v>0</v>
      </c>
      <c r="L121" s="15" t="n">
        <f aca="false">IFERROR(G121/F121,0)</f>
        <v>1</v>
      </c>
      <c r="M121" s="15" t="n">
        <f aca="false">IFERROR((I121-H121)/H121,0)</f>
        <v>0.0125480281670023</v>
      </c>
      <c r="N121" s="16" t="n">
        <f aca="false">G121*I121</f>
        <v>174388.17</v>
      </c>
    </row>
    <row r="122" customFormat="false" ht="15" hidden="false" customHeight="true" outlineLevel="0" collapsed="false">
      <c r="A122" s="4" t="s">
        <v>298</v>
      </c>
      <c r="B122" s="4" t="s">
        <v>41</v>
      </c>
      <c r="C122" s="13" t="n">
        <v>45616</v>
      </c>
      <c r="D122" s="13" t="n">
        <v>45622</v>
      </c>
      <c r="E122" s="13" t="n">
        <v>45618</v>
      </c>
      <c r="F122" s="4" t="n">
        <v>2010</v>
      </c>
      <c r="G122" s="4" t="n">
        <v>2003</v>
      </c>
      <c r="H122" s="4" t="n">
        <v>45.51</v>
      </c>
      <c r="I122" s="4" t="n">
        <v>43.36</v>
      </c>
      <c r="J122" s="14" t="n">
        <f aca="false">E122-D122</f>
        <v>-4</v>
      </c>
      <c r="K122" s="14" t="n">
        <f aca="false">IF(J122&lt;=0,1,0)</f>
        <v>1</v>
      </c>
      <c r="L122" s="15" t="n">
        <f aca="false">IFERROR(G122/F122,0)</f>
        <v>0.996517412935323</v>
      </c>
      <c r="M122" s="15" t="n">
        <f aca="false">IFERROR((I122-H122)/H122,0)</f>
        <v>-0.047242364315535</v>
      </c>
      <c r="N122" s="16" t="n">
        <f aca="false">G122*I122</f>
        <v>86850.08</v>
      </c>
    </row>
    <row r="123" customFormat="false" ht="15" hidden="false" customHeight="true" outlineLevel="0" collapsed="false">
      <c r="A123" s="4" t="s">
        <v>299</v>
      </c>
      <c r="B123" s="4" t="s">
        <v>83</v>
      </c>
      <c r="C123" s="13" t="n">
        <v>45165</v>
      </c>
      <c r="D123" s="13" t="n">
        <v>45174</v>
      </c>
      <c r="E123" s="13" t="n">
        <v>45178</v>
      </c>
      <c r="F123" s="4" t="n">
        <v>606</v>
      </c>
      <c r="G123" s="4" t="n">
        <v>601</v>
      </c>
      <c r="H123" s="4" t="n">
        <v>101.36</v>
      </c>
      <c r="I123" s="4" t="n">
        <v>104.2</v>
      </c>
      <c r="J123" s="14" t="n">
        <f aca="false">E123-D123</f>
        <v>4</v>
      </c>
      <c r="K123" s="14" t="n">
        <f aca="false">IF(J123&lt;=0,1,0)</f>
        <v>0</v>
      </c>
      <c r="L123" s="15" t="n">
        <f aca="false">IFERROR(G123/F123,0)</f>
        <v>0.991749174917492</v>
      </c>
      <c r="M123" s="15" t="n">
        <f aca="false">IFERROR((I123-H123)/H123,0)</f>
        <v>0.0280189423835833</v>
      </c>
      <c r="N123" s="16" t="n">
        <f aca="false">G123*I123</f>
        <v>62624.2</v>
      </c>
    </row>
    <row r="124" customFormat="false" ht="15" hidden="false" customHeight="true" outlineLevel="0" collapsed="false">
      <c r="A124" s="4" t="s">
        <v>300</v>
      </c>
      <c r="B124" s="4" t="s">
        <v>37</v>
      </c>
      <c r="C124" s="13" t="n">
        <v>45491</v>
      </c>
      <c r="D124" s="13" t="n">
        <v>45497</v>
      </c>
      <c r="E124" s="13" t="n">
        <v>45499</v>
      </c>
      <c r="F124" s="4" t="n">
        <v>3941</v>
      </c>
      <c r="G124" s="4" t="n">
        <v>3900</v>
      </c>
      <c r="H124" s="4" t="n">
        <v>22.26</v>
      </c>
      <c r="I124" s="4" t="n">
        <v>21.42</v>
      </c>
      <c r="J124" s="14" t="n">
        <f aca="false">E124-D124</f>
        <v>2</v>
      </c>
      <c r="K124" s="14" t="n">
        <f aca="false">IF(J124&lt;=0,1,0)</f>
        <v>0</v>
      </c>
      <c r="L124" s="15" t="n">
        <f aca="false">IFERROR(G124/F124,0)</f>
        <v>0.989596549099213</v>
      </c>
      <c r="M124" s="15" t="n">
        <f aca="false">IFERROR((I124-H124)/H124,0)</f>
        <v>-0.0377358490566038</v>
      </c>
      <c r="N124" s="16" t="n">
        <f aca="false">G124*I124</f>
        <v>83538</v>
      </c>
    </row>
    <row r="125" customFormat="false" ht="15" hidden="false" customHeight="true" outlineLevel="0" collapsed="false">
      <c r="A125" s="4" t="s">
        <v>301</v>
      </c>
      <c r="B125" s="4" t="s">
        <v>50</v>
      </c>
      <c r="C125" s="13" t="n">
        <v>45603</v>
      </c>
      <c r="D125" s="13" t="n">
        <v>45623</v>
      </c>
      <c r="E125" s="13" t="n">
        <v>45622</v>
      </c>
      <c r="F125" s="4" t="n">
        <v>66</v>
      </c>
      <c r="G125" s="4" t="n">
        <v>66</v>
      </c>
      <c r="H125" s="4" t="n">
        <v>707.19</v>
      </c>
      <c r="I125" s="4" t="n">
        <v>771.22</v>
      </c>
      <c r="J125" s="14" t="n">
        <f aca="false">E125-D125</f>
        <v>-1</v>
      </c>
      <c r="K125" s="14" t="n">
        <f aca="false">IF(J125&lt;=0,1,0)</f>
        <v>1</v>
      </c>
      <c r="L125" s="15" t="n">
        <f aca="false">IFERROR(G125/F125,0)</f>
        <v>1</v>
      </c>
      <c r="M125" s="15" t="n">
        <f aca="false">IFERROR((I125-H125)/H125,0)</f>
        <v>0.0905414386515646</v>
      </c>
      <c r="N125" s="16" t="n">
        <f aca="false">G125*I125</f>
        <v>50900.52</v>
      </c>
    </row>
    <row r="126" customFormat="false" ht="15" hidden="false" customHeight="true" outlineLevel="0" collapsed="false">
      <c r="A126" s="4" t="s">
        <v>302</v>
      </c>
      <c r="B126" s="4" t="s">
        <v>147</v>
      </c>
      <c r="C126" s="13" t="n">
        <v>45181</v>
      </c>
      <c r="D126" s="13" t="n">
        <v>45192</v>
      </c>
      <c r="E126" s="13" t="n">
        <v>45194</v>
      </c>
      <c r="F126" s="4" t="n">
        <v>294</v>
      </c>
      <c r="G126" s="4" t="n">
        <v>289</v>
      </c>
      <c r="H126" s="4" t="n">
        <v>203.3</v>
      </c>
      <c r="I126" s="4" t="n">
        <v>208.74</v>
      </c>
      <c r="J126" s="14" t="n">
        <f aca="false">E126-D126</f>
        <v>2</v>
      </c>
      <c r="K126" s="14" t="n">
        <f aca="false">IF(J126&lt;=0,1,0)</f>
        <v>0</v>
      </c>
      <c r="L126" s="15" t="n">
        <f aca="false">IFERROR(G126/F126,0)</f>
        <v>0.982993197278912</v>
      </c>
      <c r="M126" s="15" t="n">
        <f aca="false">IFERROR((I126-H126)/H126,0)</f>
        <v>0.0267584849975406</v>
      </c>
      <c r="N126" s="16" t="n">
        <f aca="false">G126*I126</f>
        <v>60325.86</v>
      </c>
    </row>
    <row r="127" customFormat="false" ht="15" hidden="false" customHeight="true" outlineLevel="0" collapsed="false">
      <c r="A127" s="4" t="s">
        <v>303</v>
      </c>
      <c r="B127" s="4" t="s">
        <v>65</v>
      </c>
      <c r="C127" s="13" t="n">
        <v>45124</v>
      </c>
      <c r="D127" s="13" t="n">
        <v>45144</v>
      </c>
      <c r="E127" s="13" t="n">
        <v>45145</v>
      </c>
      <c r="F127" s="4" t="n">
        <v>452</v>
      </c>
      <c r="G127" s="4" t="n">
        <v>447</v>
      </c>
      <c r="H127" s="4" t="n">
        <v>1365.59</v>
      </c>
      <c r="I127" s="4" t="n">
        <v>1367.06</v>
      </c>
      <c r="J127" s="14" t="n">
        <f aca="false">E127-D127</f>
        <v>1</v>
      </c>
      <c r="K127" s="14" t="n">
        <f aca="false">IF(J127&lt;=0,1,0)</f>
        <v>0</v>
      </c>
      <c r="L127" s="15" t="n">
        <f aca="false">IFERROR(G127/F127,0)</f>
        <v>0.988938053097345</v>
      </c>
      <c r="M127" s="15" t="n">
        <f aca="false">IFERROR((I127-H127)/H127,0)</f>
        <v>0.00107645779479934</v>
      </c>
      <c r="N127" s="16" t="n">
        <f aca="false">G127*I127</f>
        <v>611075.82</v>
      </c>
    </row>
    <row r="128" customFormat="false" ht="15" hidden="false" customHeight="true" outlineLevel="0" collapsed="false">
      <c r="A128" s="4" t="s">
        <v>304</v>
      </c>
      <c r="B128" s="4" t="s">
        <v>87</v>
      </c>
      <c r="C128" s="13" t="n">
        <v>45371</v>
      </c>
      <c r="D128" s="13" t="n">
        <v>45382</v>
      </c>
      <c r="E128" s="13" t="n">
        <v>45381</v>
      </c>
      <c r="F128" s="4" t="n">
        <v>1069</v>
      </c>
      <c r="G128" s="4" t="n">
        <v>985</v>
      </c>
      <c r="H128" s="4" t="n">
        <v>161.95</v>
      </c>
      <c r="I128" s="4" t="n">
        <v>188.79</v>
      </c>
      <c r="J128" s="14" t="n">
        <f aca="false">E128-D128</f>
        <v>-1</v>
      </c>
      <c r="K128" s="14" t="n">
        <f aca="false">IF(J128&lt;=0,1,0)</f>
        <v>1</v>
      </c>
      <c r="L128" s="15" t="n">
        <f aca="false">IFERROR(G128/F128,0)</f>
        <v>0.921421889616464</v>
      </c>
      <c r="M128" s="15" t="n">
        <f aca="false">IFERROR((I128-H128)/H128,0)</f>
        <v>0.16573016363075</v>
      </c>
      <c r="N128" s="16" t="n">
        <f aca="false">G128*I128</f>
        <v>185958.15</v>
      </c>
    </row>
    <row r="129" customFormat="false" ht="15" hidden="false" customHeight="true" outlineLevel="0" collapsed="false">
      <c r="A129" s="4" t="s">
        <v>305</v>
      </c>
      <c r="B129" s="4" t="s">
        <v>58</v>
      </c>
      <c r="C129" s="13" t="n">
        <v>45603</v>
      </c>
      <c r="D129" s="13" t="n">
        <v>45616</v>
      </c>
      <c r="E129" s="13" t="n">
        <v>45617</v>
      </c>
      <c r="F129" s="4" t="n">
        <v>83</v>
      </c>
      <c r="G129" s="4" t="n">
        <v>80</v>
      </c>
      <c r="H129" s="4" t="n">
        <v>135.68</v>
      </c>
      <c r="I129" s="4" t="n">
        <v>144.45</v>
      </c>
      <c r="J129" s="14" t="n">
        <f aca="false">E129-D129</f>
        <v>1</v>
      </c>
      <c r="K129" s="14" t="n">
        <f aca="false">IF(J129&lt;=0,1,0)</f>
        <v>0</v>
      </c>
      <c r="L129" s="15" t="n">
        <f aca="false">IFERROR(G129/F129,0)</f>
        <v>0.963855421686747</v>
      </c>
      <c r="M129" s="15" t="n">
        <f aca="false">IFERROR((I129-H129)/H129,0)</f>
        <v>0.0646373820754716</v>
      </c>
      <c r="N129" s="16" t="n">
        <f aca="false">G129*I129</f>
        <v>11556</v>
      </c>
    </row>
    <row r="130" customFormat="false" ht="15" hidden="false" customHeight="true" outlineLevel="0" collapsed="false">
      <c r="A130" s="4" t="s">
        <v>306</v>
      </c>
      <c r="B130" s="4" t="s">
        <v>74</v>
      </c>
      <c r="C130" s="13" t="n">
        <v>44969</v>
      </c>
      <c r="D130" s="13" t="n">
        <v>44974</v>
      </c>
      <c r="E130" s="13" t="n">
        <v>44976</v>
      </c>
      <c r="F130" s="4" t="n">
        <v>12</v>
      </c>
      <c r="G130" s="4" t="n">
        <v>12</v>
      </c>
      <c r="H130" s="4" t="n">
        <v>1294.62</v>
      </c>
      <c r="I130" s="4" t="n">
        <v>1301.26</v>
      </c>
      <c r="J130" s="14" t="n">
        <f aca="false">E130-D130</f>
        <v>2</v>
      </c>
      <c r="K130" s="14" t="n">
        <f aca="false">IF(J130&lt;=0,1,0)</f>
        <v>0</v>
      </c>
      <c r="L130" s="15" t="n">
        <f aca="false">IFERROR(G130/F130,0)</f>
        <v>1</v>
      </c>
      <c r="M130" s="15" t="n">
        <f aca="false">IFERROR((I130-H130)/H130,0)</f>
        <v>0.005128918138141</v>
      </c>
      <c r="N130" s="16" t="n">
        <f aca="false">G130*I130</f>
        <v>15615.12</v>
      </c>
    </row>
    <row r="131" customFormat="false" ht="15" hidden="false" customHeight="true" outlineLevel="0" collapsed="false">
      <c r="A131" s="4" t="s">
        <v>307</v>
      </c>
      <c r="B131" s="4" t="s">
        <v>74</v>
      </c>
      <c r="C131" s="13" t="n">
        <v>45580</v>
      </c>
      <c r="D131" s="13" t="n">
        <v>45585</v>
      </c>
      <c r="E131" s="13" t="n">
        <v>45586</v>
      </c>
      <c r="F131" s="4" t="n">
        <v>4</v>
      </c>
      <c r="G131" s="4" t="n">
        <v>4</v>
      </c>
      <c r="H131" s="4" t="n">
        <v>1294.62</v>
      </c>
      <c r="I131" s="4" t="n">
        <v>1381.37</v>
      </c>
      <c r="J131" s="14" t="n">
        <f aca="false">E131-D131</f>
        <v>1</v>
      </c>
      <c r="K131" s="14" t="n">
        <f aca="false">IF(J131&lt;=0,1,0)</f>
        <v>0</v>
      </c>
      <c r="L131" s="15" t="n">
        <f aca="false">IFERROR(G131/F131,0)</f>
        <v>1</v>
      </c>
      <c r="M131" s="15" t="n">
        <f aca="false">IFERROR((I131-H131)/H131,0)</f>
        <v>0.0670080795909224</v>
      </c>
      <c r="N131" s="16" t="n">
        <f aca="false">G131*I131</f>
        <v>5525.48</v>
      </c>
    </row>
    <row r="132" customFormat="false" ht="15" hidden="false" customHeight="true" outlineLevel="0" collapsed="false">
      <c r="A132" s="4" t="s">
        <v>308</v>
      </c>
      <c r="B132" s="4" t="s">
        <v>74</v>
      </c>
      <c r="C132" s="13" t="n">
        <v>45279</v>
      </c>
      <c r="D132" s="13" t="n">
        <v>45286</v>
      </c>
      <c r="E132" s="13" t="n">
        <v>45289</v>
      </c>
      <c r="F132" s="4" t="n">
        <v>18</v>
      </c>
      <c r="G132" s="4" t="n">
        <v>17</v>
      </c>
      <c r="H132" s="4" t="n">
        <v>1294.62</v>
      </c>
      <c r="I132" s="4" t="n">
        <v>1313.53</v>
      </c>
      <c r="J132" s="14" t="n">
        <f aca="false">E132-D132</f>
        <v>3</v>
      </c>
      <c r="K132" s="14" t="n">
        <f aca="false">IF(J132&lt;=0,1,0)</f>
        <v>0</v>
      </c>
      <c r="L132" s="15" t="n">
        <f aca="false">IFERROR(G132/F132,0)</f>
        <v>0.944444444444444</v>
      </c>
      <c r="M132" s="15" t="n">
        <f aca="false">IFERROR((I132-H132)/H132,0)</f>
        <v>0.0146066027096755</v>
      </c>
      <c r="N132" s="16" t="n">
        <f aca="false">G132*I132</f>
        <v>22330.01</v>
      </c>
    </row>
    <row r="133" customFormat="false" ht="15" hidden="false" customHeight="true" outlineLevel="0" collapsed="false">
      <c r="A133" s="4" t="s">
        <v>309</v>
      </c>
      <c r="B133" s="4" t="s">
        <v>133</v>
      </c>
      <c r="C133" s="13" t="n">
        <v>45230</v>
      </c>
      <c r="D133" s="13" t="n">
        <v>45240</v>
      </c>
      <c r="E133" s="13" t="n">
        <v>45244</v>
      </c>
      <c r="F133" s="4" t="n">
        <v>542</v>
      </c>
      <c r="G133" s="4" t="n">
        <v>514</v>
      </c>
      <c r="H133" s="4" t="n">
        <v>138.21</v>
      </c>
      <c r="I133" s="4" t="n">
        <v>140.52</v>
      </c>
      <c r="J133" s="14" t="n">
        <f aca="false">E133-D133</f>
        <v>4</v>
      </c>
      <c r="K133" s="14" t="n">
        <f aca="false">IF(J133&lt;=0,1,0)</f>
        <v>0</v>
      </c>
      <c r="L133" s="15" t="n">
        <f aca="false">IFERROR(G133/F133,0)</f>
        <v>0.948339483394834</v>
      </c>
      <c r="M133" s="15" t="n">
        <f aca="false">IFERROR((I133-H133)/H133,0)</f>
        <v>0.0167136965487302</v>
      </c>
      <c r="N133" s="16" t="n">
        <f aca="false">G133*I133</f>
        <v>72227.28</v>
      </c>
    </row>
    <row r="134" customFormat="false" ht="15" hidden="false" customHeight="true" outlineLevel="0" collapsed="false">
      <c r="A134" s="4" t="s">
        <v>310</v>
      </c>
      <c r="B134" s="4" t="s">
        <v>123</v>
      </c>
      <c r="C134" s="13" t="n">
        <v>45252</v>
      </c>
      <c r="D134" s="13" t="n">
        <v>45263</v>
      </c>
      <c r="E134" s="13" t="n">
        <v>45261</v>
      </c>
      <c r="F134" s="4" t="n">
        <v>268</v>
      </c>
      <c r="G134" s="4" t="n">
        <v>262</v>
      </c>
      <c r="H134" s="4" t="n">
        <v>214.07</v>
      </c>
      <c r="I134" s="4" t="n">
        <v>232.18</v>
      </c>
      <c r="J134" s="14" t="n">
        <f aca="false">E134-D134</f>
        <v>-2</v>
      </c>
      <c r="K134" s="14" t="n">
        <f aca="false">IF(J134&lt;=0,1,0)</f>
        <v>1</v>
      </c>
      <c r="L134" s="15" t="n">
        <f aca="false">IFERROR(G134/F134,0)</f>
        <v>0.977611940298508</v>
      </c>
      <c r="M134" s="15" t="n">
        <f aca="false">IFERROR((I134-H134)/H134,0)</f>
        <v>0.0845984958191247</v>
      </c>
      <c r="N134" s="16" t="n">
        <f aca="false">G134*I134</f>
        <v>60831.16</v>
      </c>
    </row>
    <row r="135" customFormat="false" ht="15" hidden="false" customHeight="true" outlineLevel="0" collapsed="false">
      <c r="A135" s="4" t="s">
        <v>311</v>
      </c>
      <c r="B135" s="4" t="s">
        <v>79</v>
      </c>
      <c r="C135" s="13" t="n">
        <v>45537</v>
      </c>
      <c r="D135" s="13" t="n">
        <v>45554</v>
      </c>
      <c r="E135" s="13" t="n">
        <v>45554</v>
      </c>
      <c r="F135" s="4" t="n">
        <v>294</v>
      </c>
      <c r="G135" s="4" t="n">
        <v>281</v>
      </c>
      <c r="H135" s="4" t="n">
        <v>821.48</v>
      </c>
      <c r="I135" s="4" t="n">
        <v>854.93</v>
      </c>
      <c r="J135" s="14" t="n">
        <f aca="false">E135-D135</f>
        <v>0</v>
      </c>
      <c r="K135" s="14" t="n">
        <f aca="false">IF(J135&lt;=0,1,0)</f>
        <v>1</v>
      </c>
      <c r="L135" s="15" t="n">
        <f aca="false">IFERROR(G135/F135,0)</f>
        <v>0.95578231292517</v>
      </c>
      <c r="M135" s="15" t="n">
        <f aca="false">IFERROR((I135-H135)/H135,0)</f>
        <v>0.0407191897550761</v>
      </c>
      <c r="N135" s="16" t="n">
        <f aca="false">G135*I135</f>
        <v>240235.33</v>
      </c>
    </row>
    <row r="136" customFormat="false" ht="15" hidden="false" customHeight="true" outlineLevel="0" collapsed="false">
      <c r="A136" s="4" t="s">
        <v>312</v>
      </c>
      <c r="B136" s="4" t="s">
        <v>85</v>
      </c>
      <c r="C136" s="13" t="n">
        <v>45432</v>
      </c>
      <c r="D136" s="13" t="n">
        <v>45443</v>
      </c>
      <c r="E136" s="13" t="n">
        <v>45444</v>
      </c>
      <c r="F136" s="4" t="n">
        <v>230</v>
      </c>
      <c r="G136" s="4" t="n">
        <v>217</v>
      </c>
      <c r="H136" s="4" t="n">
        <v>241.88</v>
      </c>
      <c r="I136" s="4" t="n">
        <v>236.81</v>
      </c>
      <c r="J136" s="14" t="n">
        <f aca="false">E136-D136</f>
        <v>1</v>
      </c>
      <c r="K136" s="14" t="n">
        <f aca="false">IF(J136&lt;=0,1,0)</f>
        <v>0</v>
      </c>
      <c r="L136" s="15" t="n">
        <f aca="false">IFERROR(G136/F136,0)</f>
        <v>0.943478260869565</v>
      </c>
      <c r="M136" s="15" t="n">
        <f aca="false">IFERROR((I136-H136)/H136,0)</f>
        <v>-0.0209608070117413</v>
      </c>
      <c r="N136" s="16" t="n">
        <f aca="false">G136*I136</f>
        <v>51387.77</v>
      </c>
    </row>
    <row r="137" customFormat="false" ht="15" hidden="false" customHeight="true" outlineLevel="0" collapsed="false">
      <c r="A137" s="4" t="s">
        <v>313</v>
      </c>
      <c r="B137" s="4" t="s">
        <v>129</v>
      </c>
      <c r="C137" s="13" t="n">
        <v>45240</v>
      </c>
      <c r="D137" s="13" t="n">
        <v>45260</v>
      </c>
      <c r="E137" s="13" t="n">
        <v>45265</v>
      </c>
      <c r="F137" s="4" t="n">
        <v>364</v>
      </c>
      <c r="G137" s="4" t="n">
        <v>347</v>
      </c>
      <c r="H137" s="4" t="n">
        <v>709.66</v>
      </c>
      <c r="I137" s="4" t="n">
        <v>728.9</v>
      </c>
      <c r="J137" s="14" t="n">
        <f aca="false">E137-D137</f>
        <v>5</v>
      </c>
      <c r="K137" s="14" t="n">
        <f aca="false">IF(J137&lt;=0,1,0)</f>
        <v>0</v>
      </c>
      <c r="L137" s="15" t="n">
        <f aca="false">IFERROR(G137/F137,0)</f>
        <v>0.953296703296703</v>
      </c>
      <c r="M137" s="15" t="n">
        <f aca="false">IFERROR((I137-H137)/H137,0)</f>
        <v>0.02711157455683</v>
      </c>
      <c r="N137" s="16" t="n">
        <f aca="false">G137*I137</f>
        <v>252928.3</v>
      </c>
    </row>
    <row r="138" customFormat="false" ht="15" hidden="false" customHeight="true" outlineLevel="0" collapsed="false">
      <c r="A138" s="4" t="s">
        <v>314</v>
      </c>
      <c r="B138" s="4" t="s">
        <v>131</v>
      </c>
      <c r="C138" s="13" t="n">
        <v>45535</v>
      </c>
      <c r="D138" s="13" t="n">
        <v>45547</v>
      </c>
      <c r="E138" s="13" t="n">
        <v>45548</v>
      </c>
      <c r="F138" s="4" t="n">
        <v>1867</v>
      </c>
      <c r="G138" s="4" t="n">
        <v>1819</v>
      </c>
      <c r="H138" s="4" t="n">
        <v>88.52</v>
      </c>
      <c r="I138" s="4" t="n">
        <v>89.49</v>
      </c>
      <c r="J138" s="14" t="n">
        <f aca="false">E138-D138</f>
        <v>1</v>
      </c>
      <c r="K138" s="14" t="n">
        <f aca="false">IF(J138&lt;=0,1,0)</f>
        <v>0</v>
      </c>
      <c r="L138" s="15" t="n">
        <f aca="false">IFERROR(G138/F138,0)</f>
        <v>0.974290305302625</v>
      </c>
      <c r="M138" s="15" t="n">
        <f aca="false">IFERROR((I138-H138)/H138,0)</f>
        <v>0.0109579755987347</v>
      </c>
      <c r="N138" s="16" t="n">
        <f aca="false">G138*I138</f>
        <v>162782.31</v>
      </c>
    </row>
    <row r="139" customFormat="false" ht="15" hidden="false" customHeight="true" outlineLevel="0" collapsed="false">
      <c r="A139" s="4" t="s">
        <v>315</v>
      </c>
      <c r="B139" s="4" t="s">
        <v>61</v>
      </c>
      <c r="C139" s="13" t="n">
        <v>45555</v>
      </c>
      <c r="D139" s="13" t="n">
        <v>45567</v>
      </c>
      <c r="E139" s="13" t="n">
        <v>45574</v>
      </c>
      <c r="F139" s="4" t="n">
        <v>1367</v>
      </c>
      <c r="G139" s="4" t="n">
        <v>1367</v>
      </c>
      <c r="H139" s="4" t="n">
        <v>107.41</v>
      </c>
      <c r="I139" s="4" t="n">
        <v>106.52</v>
      </c>
      <c r="J139" s="14" t="n">
        <f aca="false">E139-D139</f>
        <v>7</v>
      </c>
      <c r="K139" s="14" t="n">
        <f aca="false">IF(J139&lt;=0,1,0)</f>
        <v>0</v>
      </c>
      <c r="L139" s="15" t="n">
        <f aca="false">IFERROR(G139/F139,0)</f>
        <v>1</v>
      </c>
      <c r="M139" s="15" t="n">
        <f aca="false">IFERROR((I139-H139)/H139,0)</f>
        <v>-0.00828600688948888</v>
      </c>
      <c r="N139" s="16" t="n">
        <f aca="false">G139*I139</f>
        <v>145612.84</v>
      </c>
    </row>
    <row r="140" customFormat="false" ht="15" hidden="false" customHeight="true" outlineLevel="0" collapsed="false">
      <c r="A140" s="4" t="s">
        <v>316</v>
      </c>
      <c r="B140" s="4" t="s">
        <v>135</v>
      </c>
      <c r="C140" s="13" t="n">
        <v>44987</v>
      </c>
      <c r="D140" s="13" t="n">
        <v>44998</v>
      </c>
      <c r="E140" s="13" t="n">
        <v>45000</v>
      </c>
      <c r="F140" s="4" t="n">
        <v>74</v>
      </c>
      <c r="G140" s="4" t="n">
        <v>74</v>
      </c>
      <c r="H140" s="4" t="n">
        <v>328.06</v>
      </c>
      <c r="I140" s="4" t="n">
        <v>322.78</v>
      </c>
      <c r="J140" s="14" t="n">
        <f aca="false">E140-D140</f>
        <v>2</v>
      </c>
      <c r="K140" s="14" t="n">
        <f aca="false">IF(J140&lt;=0,1,0)</f>
        <v>0</v>
      </c>
      <c r="L140" s="15" t="n">
        <f aca="false">IFERROR(G140/F140,0)</f>
        <v>1</v>
      </c>
      <c r="M140" s="15" t="n">
        <f aca="false">IFERROR((I140-H140)/H140,0)</f>
        <v>-0.0160946168383833</v>
      </c>
      <c r="N140" s="16" t="n">
        <f aca="false">G140*I140</f>
        <v>23885.72</v>
      </c>
    </row>
    <row r="141" customFormat="false" ht="15" hidden="false" customHeight="true" outlineLevel="0" collapsed="false">
      <c r="A141" s="4" t="s">
        <v>317</v>
      </c>
      <c r="B141" s="4" t="s">
        <v>131</v>
      </c>
      <c r="C141" s="13" t="n">
        <v>45377</v>
      </c>
      <c r="D141" s="13" t="n">
        <v>45386</v>
      </c>
      <c r="E141" s="13" t="n">
        <v>45384</v>
      </c>
      <c r="F141" s="4" t="n">
        <v>1919</v>
      </c>
      <c r="G141" s="4" t="n">
        <v>1913</v>
      </c>
      <c r="H141" s="4" t="n">
        <v>88.52</v>
      </c>
      <c r="I141" s="4" t="n">
        <v>89.69</v>
      </c>
      <c r="J141" s="14" t="n">
        <f aca="false">E141-D141</f>
        <v>-2</v>
      </c>
      <c r="K141" s="14" t="n">
        <f aca="false">IF(J141&lt;=0,1,0)</f>
        <v>1</v>
      </c>
      <c r="L141" s="15" t="n">
        <f aca="false">IFERROR(G141/F141,0)</f>
        <v>0.996873371547681</v>
      </c>
      <c r="M141" s="15" t="n">
        <f aca="false">IFERROR((I141-H141)/H141,0)</f>
        <v>0.013217352010845</v>
      </c>
      <c r="N141" s="16" t="n">
        <f aca="false">G141*I141</f>
        <v>171576.97</v>
      </c>
    </row>
    <row r="142" customFormat="false" ht="15" hidden="false" customHeight="true" outlineLevel="0" collapsed="false">
      <c r="A142" s="4" t="s">
        <v>318</v>
      </c>
      <c r="B142" s="4" t="s">
        <v>83</v>
      </c>
      <c r="C142" s="13" t="n">
        <v>45501</v>
      </c>
      <c r="D142" s="13" t="n">
        <v>45512</v>
      </c>
      <c r="E142" s="13" t="n">
        <v>45516</v>
      </c>
      <c r="F142" s="4" t="n">
        <v>727</v>
      </c>
      <c r="G142" s="4" t="n">
        <v>715</v>
      </c>
      <c r="H142" s="4" t="n">
        <v>101.36</v>
      </c>
      <c r="I142" s="4" t="n">
        <v>103.16</v>
      </c>
      <c r="J142" s="14" t="n">
        <f aca="false">E142-D142</f>
        <v>4</v>
      </c>
      <c r="K142" s="14" t="n">
        <f aca="false">IF(J142&lt;=0,1,0)</f>
        <v>0</v>
      </c>
      <c r="L142" s="15" t="n">
        <f aca="false">IFERROR(G142/F142,0)</f>
        <v>0.983493810178817</v>
      </c>
      <c r="M142" s="15" t="n">
        <f aca="false">IFERROR((I142-H142)/H142,0)</f>
        <v>0.0177584846093133</v>
      </c>
      <c r="N142" s="16" t="n">
        <f aca="false">G142*I142</f>
        <v>73759.4</v>
      </c>
    </row>
    <row r="143" customFormat="false" ht="15" hidden="false" customHeight="true" outlineLevel="0" collapsed="false">
      <c r="A143" s="4" t="s">
        <v>319</v>
      </c>
      <c r="B143" s="4" t="s">
        <v>58</v>
      </c>
      <c r="C143" s="13" t="n">
        <v>45136</v>
      </c>
      <c r="D143" s="13" t="n">
        <v>45148</v>
      </c>
      <c r="E143" s="13" t="n">
        <v>45147</v>
      </c>
      <c r="F143" s="4" t="n">
        <v>68</v>
      </c>
      <c r="G143" s="4" t="n">
        <v>68</v>
      </c>
      <c r="H143" s="4" t="n">
        <v>135.68</v>
      </c>
      <c r="I143" s="4" t="n">
        <v>137.8</v>
      </c>
      <c r="J143" s="14" t="n">
        <f aca="false">E143-D143</f>
        <v>-1</v>
      </c>
      <c r="K143" s="14" t="n">
        <f aca="false">IF(J143&lt;=0,1,0)</f>
        <v>1</v>
      </c>
      <c r="L143" s="15" t="n">
        <f aca="false">IFERROR(G143/F143,0)</f>
        <v>1</v>
      </c>
      <c r="M143" s="15" t="n">
        <f aca="false">IFERROR((I143-H143)/H143,0)</f>
        <v>0.015625</v>
      </c>
      <c r="N143" s="16" t="n">
        <f aca="false">G143*I143</f>
        <v>9370.4</v>
      </c>
    </row>
    <row r="144" customFormat="false" ht="15" hidden="false" customHeight="true" outlineLevel="0" collapsed="false">
      <c r="A144" s="4" t="s">
        <v>320</v>
      </c>
      <c r="B144" s="4" t="s">
        <v>79</v>
      </c>
      <c r="C144" s="13" t="n">
        <v>45118</v>
      </c>
      <c r="D144" s="13" t="n">
        <v>45136</v>
      </c>
      <c r="E144" s="13" t="n">
        <v>45136</v>
      </c>
      <c r="F144" s="4" t="n">
        <v>493</v>
      </c>
      <c r="G144" s="4" t="n">
        <v>455</v>
      </c>
      <c r="H144" s="4" t="n">
        <v>821.48</v>
      </c>
      <c r="I144" s="4" t="n">
        <v>832.44</v>
      </c>
      <c r="J144" s="14" t="n">
        <f aca="false">E144-D144</f>
        <v>0</v>
      </c>
      <c r="K144" s="14" t="n">
        <f aca="false">IF(J144&lt;=0,1,0)</f>
        <v>1</v>
      </c>
      <c r="L144" s="15" t="n">
        <f aca="false">IFERROR(G144/F144,0)</f>
        <v>0.922920892494929</v>
      </c>
      <c r="M144" s="15" t="n">
        <f aca="false">IFERROR((I144-H144)/H144,0)</f>
        <v>0.0133417733846229</v>
      </c>
      <c r="N144" s="16" t="n">
        <f aca="false">G144*I144</f>
        <v>378760.2</v>
      </c>
    </row>
    <row r="145" customFormat="false" ht="15" hidden="false" customHeight="true" outlineLevel="0" collapsed="false">
      <c r="A145" s="4" t="s">
        <v>321</v>
      </c>
      <c r="B145" s="4" t="s">
        <v>81</v>
      </c>
      <c r="C145" s="13" t="n">
        <v>45028</v>
      </c>
      <c r="D145" s="13" t="n">
        <v>45034</v>
      </c>
      <c r="E145" s="13" t="n">
        <v>45037</v>
      </c>
      <c r="F145" s="4" t="n">
        <v>9</v>
      </c>
      <c r="G145" s="4" t="n">
        <v>9</v>
      </c>
      <c r="H145" s="4" t="n">
        <v>697.63</v>
      </c>
      <c r="I145" s="4" t="n">
        <v>711.34</v>
      </c>
      <c r="J145" s="14" t="n">
        <f aca="false">E145-D145</f>
        <v>3</v>
      </c>
      <c r="K145" s="14" t="n">
        <f aca="false">IF(J145&lt;=0,1,0)</f>
        <v>0</v>
      </c>
      <c r="L145" s="15" t="n">
        <f aca="false">IFERROR(G145/F145,0)</f>
        <v>1</v>
      </c>
      <c r="M145" s="15" t="n">
        <f aca="false">IFERROR((I145-H145)/H145,0)</f>
        <v>0.019652251193326</v>
      </c>
      <c r="N145" s="16" t="n">
        <f aca="false">G145*I145</f>
        <v>6402.06</v>
      </c>
    </row>
    <row r="146" customFormat="false" ht="15" hidden="false" customHeight="true" outlineLevel="0" collapsed="false">
      <c r="A146" s="4" t="s">
        <v>322</v>
      </c>
      <c r="B146" s="4" t="s">
        <v>107</v>
      </c>
      <c r="C146" s="13" t="n">
        <v>45458</v>
      </c>
      <c r="D146" s="13" t="n">
        <v>45467</v>
      </c>
      <c r="E146" s="13" t="n">
        <v>45473</v>
      </c>
      <c r="F146" s="4" t="n">
        <v>1796</v>
      </c>
      <c r="G146" s="4" t="n">
        <v>1751</v>
      </c>
      <c r="H146" s="4" t="n">
        <v>40.41</v>
      </c>
      <c r="I146" s="4" t="n">
        <v>41.53</v>
      </c>
      <c r="J146" s="14" t="n">
        <f aca="false">E146-D146</f>
        <v>6</v>
      </c>
      <c r="K146" s="14" t="n">
        <f aca="false">IF(J146&lt;=0,1,0)</f>
        <v>0</v>
      </c>
      <c r="L146" s="15" t="n">
        <f aca="false">IFERROR(G146/F146,0)</f>
        <v>0.974944320712695</v>
      </c>
      <c r="M146" s="15" t="n">
        <f aca="false">IFERROR((I146-H146)/H146,0)</f>
        <v>0.0277159119029944</v>
      </c>
      <c r="N146" s="16" t="n">
        <f aca="false">G146*I146</f>
        <v>72719.03</v>
      </c>
    </row>
    <row r="147" customFormat="false" ht="15" hidden="false" customHeight="true" outlineLevel="0" collapsed="false">
      <c r="A147" s="4" t="s">
        <v>323</v>
      </c>
      <c r="B147" s="4" t="s">
        <v>147</v>
      </c>
      <c r="C147" s="13" t="n">
        <v>45463</v>
      </c>
      <c r="D147" s="13" t="n">
        <v>45474</v>
      </c>
      <c r="E147" s="13" t="n">
        <v>45475</v>
      </c>
      <c r="F147" s="4" t="n">
        <v>235</v>
      </c>
      <c r="G147" s="4" t="n">
        <v>235</v>
      </c>
      <c r="H147" s="4" t="n">
        <v>203.3</v>
      </c>
      <c r="I147" s="4" t="n">
        <v>214.89</v>
      </c>
      <c r="J147" s="14" t="n">
        <f aca="false">E147-D147</f>
        <v>1</v>
      </c>
      <c r="K147" s="14" t="n">
        <f aca="false">IF(J147&lt;=0,1,0)</f>
        <v>0</v>
      </c>
      <c r="L147" s="15" t="n">
        <f aca="false">IFERROR(G147/F147,0)</f>
        <v>1</v>
      </c>
      <c r="M147" s="15" t="n">
        <f aca="false">IFERROR((I147-H147)/H147,0)</f>
        <v>0.0570093457943924</v>
      </c>
      <c r="N147" s="16" t="n">
        <f aca="false">G147*I147</f>
        <v>50499.15</v>
      </c>
    </row>
    <row r="148" customFormat="false" ht="15" hidden="false" customHeight="true" outlineLevel="0" collapsed="false">
      <c r="A148" s="4" t="s">
        <v>324</v>
      </c>
      <c r="B148" s="4" t="s">
        <v>157</v>
      </c>
      <c r="C148" s="13" t="n">
        <v>44964</v>
      </c>
      <c r="D148" s="13" t="n">
        <v>44971</v>
      </c>
      <c r="E148" s="13" t="n">
        <v>44972</v>
      </c>
      <c r="F148" s="4" t="n">
        <v>2649</v>
      </c>
      <c r="G148" s="4" t="n">
        <v>2507</v>
      </c>
      <c r="H148" s="4" t="n">
        <v>13.1</v>
      </c>
      <c r="I148" s="4" t="n">
        <v>13.18</v>
      </c>
      <c r="J148" s="14" t="n">
        <f aca="false">E148-D148</f>
        <v>1</v>
      </c>
      <c r="K148" s="14" t="n">
        <f aca="false">IF(J148&lt;=0,1,0)</f>
        <v>0</v>
      </c>
      <c r="L148" s="15" t="n">
        <f aca="false">IFERROR(G148/F148,0)</f>
        <v>0.946394865987165</v>
      </c>
      <c r="M148" s="15" t="n">
        <f aca="false">IFERROR((I148-H148)/H148,0)</f>
        <v>0.00610687022900764</v>
      </c>
      <c r="N148" s="16" t="n">
        <f aca="false">G148*I148</f>
        <v>33042.26</v>
      </c>
    </row>
    <row r="149" customFormat="false" ht="15" hidden="false" customHeight="true" outlineLevel="0" collapsed="false">
      <c r="A149" s="4" t="s">
        <v>325</v>
      </c>
      <c r="B149" s="4" t="s">
        <v>99</v>
      </c>
      <c r="C149" s="13" t="n">
        <v>45239</v>
      </c>
      <c r="D149" s="13" t="n">
        <v>45246</v>
      </c>
      <c r="E149" s="13" t="n">
        <v>45253</v>
      </c>
      <c r="F149" s="4" t="n">
        <v>3946</v>
      </c>
      <c r="G149" s="4" t="n">
        <v>3850</v>
      </c>
      <c r="H149" s="4" t="n">
        <v>11.5</v>
      </c>
      <c r="I149" s="4" t="n">
        <v>12.19</v>
      </c>
      <c r="J149" s="14" t="n">
        <f aca="false">E149-D149</f>
        <v>7</v>
      </c>
      <c r="K149" s="14" t="n">
        <f aca="false">IF(J149&lt;=0,1,0)</f>
        <v>0</v>
      </c>
      <c r="L149" s="15" t="n">
        <f aca="false">IFERROR(G149/F149,0)</f>
        <v>0.97567156614293</v>
      </c>
      <c r="M149" s="15" t="n">
        <f aca="false">IFERROR((I149-H149)/H149,0)</f>
        <v>0.06</v>
      </c>
      <c r="N149" s="16" t="n">
        <f aca="false">G149*I149</f>
        <v>46931.5</v>
      </c>
    </row>
    <row r="150" customFormat="false" ht="15" hidden="false" customHeight="true" outlineLevel="0" collapsed="false">
      <c r="A150" s="4" t="s">
        <v>326</v>
      </c>
      <c r="B150" s="4" t="s">
        <v>161</v>
      </c>
      <c r="C150" s="13" t="n">
        <v>45545</v>
      </c>
      <c r="D150" s="13" t="n">
        <v>45554</v>
      </c>
      <c r="E150" s="13" t="n">
        <v>45559</v>
      </c>
      <c r="F150" s="4" t="n">
        <v>627</v>
      </c>
      <c r="G150" s="4" t="n">
        <v>621</v>
      </c>
      <c r="H150" s="4" t="n">
        <v>101.94</v>
      </c>
      <c r="I150" s="4" t="n">
        <v>114.39</v>
      </c>
      <c r="J150" s="14" t="n">
        <f aca="false">E150-D150</f>
        <v>5</v>
      </c>
      <c r="K150" s="14" t="n">
        <f aca="false">IF(J150&lt;=0,1,0)</f>
        <v>0</v>
      </c>
      <c r="L150" s="15" t="n">
        <f aca="false">IFERROR(G150/F150,0)</f>
        <v>0.990430622009569</v>
      </c>
      <c r="M150" s="15" t="n">
        <f aca="false">IFERROR((I150-H150)/H150,0)</f>
        <v>0.122130665097116</v>
      </c>
      <c r="N150" s="16" t="n">
        <f aca="false">G150*I150</f>
        <v>71036.19</v>
      </c>
    </row>
    <row r="151" customFormat="false" ht="15" hidden="false" customHeight="true" outlineLevel="0" collapsed="false">
      <c r="A151" s="4" t="s">
        <v>327</v>
      </c>
      <c r="B151" s="4" t="s">
        <v>47</v>
      </c>
      <c r="C151" s="13" t="n">
        <v>45547</v>
      </c>
      <c r="D151" s="13" t="n">
        <v>45558</v>
      </c>
      <c r="E151" s="13" t="n">
        <v>45558</v>
      </c>
      <c r="F151" s="4" t="n">
        <v>1719</v>
      </c>
      <c r="G151" s="4" t="n">
        <v>1702</v>
      </c>
      <c r="H151" s="4" t="n">
        <v>228.68</v>
      </c>
      <c r="I151" s="4" t="n">
        <v>232.25</v>
      </c>
      <c r="J151" s="14" t="n">
        <f aca="false">E151-D151</f>
        <v>0</v>
      </c>
      <c r="K151" s="14" t="n">
        <f aca="false">IF(J151&lt;=0,1,0)</f>
        <v>1</v>
      </c>
      <c r="L151" s="15" t="n">
        <f aca="false">IFERROR(G151/F151,0)</f>
        <v>0.990110529377545</v>
      </c>
      <c r="M151" s="15" t="n">
        <f aca="false">IFERROR((I151-H151)/H151,0)</f>
        <v>0.0156113346160573</v>
      </c>
      <c r="N151" s="16" t="n">
        <f aca="false">G151*I151</f>
        <v>395289.5</v>
      </c>
    </row>
    <row r="152" customFormat="false" ht="15" hidden="false" customHeight="true" outlineLevel="0" collapsed="false">
      <c r="A152" s="4" t="s">
        <v>328</v>
      </c>
      <c r="B152" s="4" t="s">
        <v>55</v>
      </c>
      <c r="C152" s="13" t="n">
        <v>45212</v>
      </c>
      <c r="D152" s="13" t="n">
        <v>45231</v>
      </c>
      <c r="E152" s="13" t="n">
        <v>45232</v>
      </c>
      <c r="F152" s="4" t="n">
        <v>149</v>
      </c>
      <c r="G152" s="4" t="n">
        <v>142</v>
      </c>
      <c r="H152" s="4" t="n">
        <v>598.09</v>
      </c>
      <c r="I152" s="4" t="n">
        <v>583.71</v>
      </c>
      <c r="J152" s="14" t="n">
        <f aca="false">E152-D152</f>
        <v>1</v>
      </c>
      <c r="K152" s="14" t="n">
        <f aca="false">IF(J152&lt;=0,1,0)</f>
        <v>0</v>
      </c>
      <c r="L152" s="15" t="n">
        <f aca="false">IFERROR(G152/F152,0)</f>
        <v>0.953020134228188</v>
      </c>
      <c r="M152" s="15" t="n">
        <f aca="false">IFERROR((I152-H152)/H152,0)</f>
        <v>-0.0240432042000368</v>
      </c>
      <c r="N152" s="16" t="n">
        <f aca="false">G152*I152</f>
        <v>82886.82</v>
      </c>
    </row>
    <row r="153" customFormat="false" ht="15" hidden="false" customHeight="true" outlineLevel="0" collapsed="false">
      <c r="A153" s="4" t="s">
        <v>329</v>
      </c>
      <c r="B153" s="4" t="s">
        <v>149</v>
      </c>
      <c r="C153" s="13" t="n">
        <v>45167</v>
      </c>
      <c r="D153" s="13" t="n">
        <v>45173</v>
      </c>
      <c r="E153" s="13" t="n">
        <v>45179</v>
      </c>
      <c r="F153" s="4" t="n">
        <v>18</v>
      </c>
      <c r="G153" s="4" t="n">
        <v>18</v>
      </c>
      <c r="H153" s="4" t="n">
        <v>1458.52</v>
      </c>
      <c r="I153" s="4" t="n">
        <v>1462.82</v>
      </c>
      <c r="J153" s="14" t="n">
        <f aca="false">E153-D153</f>
        <v>6</v>
      </c>
      <c r="K153" s="14" t="n">
        <f aca="false">IF(J153&lt;=0,1,0)</f>
        <v>0</v>
      </c>
      <c r="L153" s="15" t="n">
        <f aca="false">IFERROR(G153/F153,0)</f>
        <v>1</v>
      </c>
      <c r="M153" s="15" t="n">
        <f aca="false">IFERROR((I153-H153)/H153,0)</f>
        <v>0.00294819405973175</v>
      </c>
      <c r="N153" s="16" t="n">
        <f aca="false">G153*I153</f>
        <v>26330.76</v>
      </c>
    </row>
    <row r="154" customFormat="false" ht="15" hidden="false" customHeight="true" outlineLevel="0" collapsed="false">
      <c r="A154" s="4" t="s">
        <v>330</v>
      </c>
      <c r="B154" s="4" t="s">
        <v>107</v>
      </c>
      <c r="C154" s="13" t="n">
        <v>45027</v>
      </c>
      <c r="D154" s="13" t="n">
        <v>45033</v>
      </c>
      <c r="E154" s="13" t="n">
        <v>45038</v>
      </c>
      <c r="F154" s="4" t="n">
        <v>3933</v>
      </c>
      <c r="G154" s="4" t="n">
        <v>3926</v>
      </c>
      <c r="H154" s="4" t="n">
        <v>40.41</v>
      </c>
      <c r="I154" s="4" t="n">
        <v>40.38</v>
      </c>
      <c r="J154" s="14" t="n">
        <f aca="false">E154-D154</f>
        <v>5</v>
      </c>
      <c r="K154" s="14" t="n">
        <f aca="false">IF(J154&lt;=0,1,0)</f>
        <v>0</v>
      </c>
      <c r="L154" s="15" t="n">
        <f aca="false">IFERROR(G154/F154,0)</f>
        <v>0.998220188151538</v>
      </c>
      <c r="M154" s="15" t="n">
        <f aca="false">IFERROR((I154-H154)/H154,0)</f>
        <v>-0.000742390497401486</v>
      </c>
      <c r="N154" s="16" t="n">
        <f aca="false">G154*I154</f>
        <v>158531.88</v>
      </c>
    </row>
    <row r="155" customFormat="false" ht="15" hidden="false" customHeight="true" outlineLevel="0" collapsed="false">
      <c r="A155" s="4" t="s">
        <v>331</v>
      </c>
      <c r="B155" s="4" t="s">
        <v>43</v>
      </c>
      <c r="C155" s="13" t="n">
        <v>45432</v>
      </c>
      <c r="D155" s="13" t="n">
        <v>45452</v>
      </c>
      <c r="E155" s="13" t="n">
        <v>45453</v>
      </c>
      <c r="F155" s="4" t="n">
        <v>334</v>
      </c>
      <c r="G155" s="4" t="n">
        <v>324</v>
      </c>
      <c r="H155" s="4" t="n">
        <v>1321.6</v>
      </c>
      <c r="I155" s="4" t="n">
        <v>1345.48</v>
      </c>
      <c r="J155" s="14" t="n">
        <f aca="false">E155-D155</f>
        <v>1</v>
      </c>
      <c r="K155" s="14" t="n">
        <f aca="false">IF(J155&lt;=0,1,0)</f>
        <v>0</v>
      </c>
      <c r="L155" s="15" t="n">
        <f aca="false">IFERROR(G155/F155,0)</f>
        <v>0.970059880239521</v>
      </c>
      <c r="M155" s="15" t="n">
        <f aca="false">IFERROR((I155-H155)/H155,0)</f>
        <v>0.0180690072639226</v>
      </c>
      <c r="N155" s="16" t="n">
        <f aca="false">G155*I155</f>
        <v>435935.52</v>
      </c>
    </row>
    <row r="156" customFormat="false" ht="15" hidden="false" customHeight="true" outlineLevel="0" collapsed="false">
      <c r="A156" s="4" t="s">
        <v>332</v>
      </c>
      <c r="B156" s="4" t="s">
        <v>115</v>
      </c>
      <c r="C156" s="13" t="n">
        <v>45066</v>
      </c>
      <c r="D156" s="13" t="n">
        <v>45079</v>
      </c>
      <c r="E156" s="13" t="n">
        <v>45088</v>
      </c>
      <c r="F156" s="4" t="n">
        <v>208</v>
      </c>
      <c r="G156" s="4" t="n">
        <v>203</v>
      </c>
      <c r="H156" s="4" t="n">
        <v>115.53</v>
      </c>
      <c r="I156" s="4" t="n">
        <v>119.04</v>
      </c>
      <c r="J156" s="14" t="n">
        <f aca="false">E156-D156</f>
        <v>9</v>
      </c>
      <c r="K156" s="14" t="n">
        <f aca="false">IF(J156&lt;=0,1,0)</f>
        <v>0</v>
      </c>
      <c r="L156" s="15" t="n">
        <f aca="false">IFERROR(G156/F156,0)</f>
        <v>0.975961538461538</v>
      </c>
      <c r="M156" s="15" t="n">
        <f aca="false">IFERROR((I156-H156)/H156,0)</f>
        <v>0.0303817190340172</v>
      </c>
      <c r="N156" s="16" t="n">
        <f aca="false">G156*I156</f>
        <v>24165.12</v>
      </c>
    </row>
    <row r="157" customFormat="false" ht="15" hidden="false" customHeight="true" outlineLevel="0" collapsed="false">
      <c r="A157" s="4" t="s">
        <v>333</v>
      </c>
      <c r="B157" s="4" t="s">
        <v>43</v>
      </c>
      <c r="C157" s="13" t="n">
        <v>44962</v>
      </c>
      <c r="D157" s="13" t="n">
        <v>44980</v>
      </c>
      <c r="E157" s="13" t="n">
        <v>44980</v>
      </c>
      <c r="F157" s="4" t="n">
        <v>231</v>
      </c>
      <c r="G157" s="4" t="n">
        <v>220</v>
      </c>
      <c r="H157" s="4" t="n">
        <v>1321.6</v>
      </c>
      <c r="I157" s="4" t="n">
        <v>1316.62</v>
      </c>
      <c r="J157" s="14" t="n">
        <f aca="false">E157-D157</f>
        <v>0</v>
      </c>
      <c r="K157" s="14" t="n">
        <f aca="false">IF(J157&lt;=0,1,0)</f>
        <v>1</v>
      </c>
      <c r="L157" s="15" t="n">
        <f aca="false">IFERROR(G157/F157,0)</f>
        <v>0.952380952380952</v>
      </c>
      <c r="M157" s="15" t="n">
        <f aca="false">IFERROR((I157-H157)/H157,0)</f>
        <v>-0.00376815980629541</v>
      </c>
      <c r="N157" s="16" t="n">
        <f aca="false">G157*I157</f>
        <v>289656.4</v>
      </c>
    </row>
    <row r="158" customFormat="false" ht="15" hidden="false" customHeight="true" outlineLevel="0" collapsed="false">
      <c r="A158" s="4" t="s">
        <v>334</v>
      </c>
      <c r="B158" s="4" t="s">
        <v>157</v>
      </c>
      <c r="C158" s="13" t="n">
        <v>45319</v>
      </c>
      <c r="D158" s="13" t="n">
        <v>45325</v>
      </c>
      <c r="E158" s="13" t="n">
        <v>45321</v>
      </c>
      <c r="F158" s="4" t="n">
        <v>3227</v>
      </c>
      <c r="G158" s="4" t="n">
        <v>3068</v>
      </c>
      <c r="H158" s="4" t="n">
        <v>13.1</v>
      </c>
      <c r="I158" s="4" t="n">
        <v>13.4</v>
      </c>
      <c r="J158" s="14" t="n">
        <f aca="false">E158-D158</f>
        <v>-4</v>
      </c>
      <c r="K158" s="14" t="n">
        <f aca="false">IF(J158&lt;=0,1,0)</f>
        <v>1</v>
      </c>
      <c r="L158" s="15" t="n">
        <f aca="false">IFERROR(G158/F158,0)</f>
        <v>0.950728230554695</v>
      </c>
      <c r="M158" s="15" t="n">
        <f aca="false">IFERROR((I158-H158)/H158,0)</f>
        <v>0.0229007633587787</v>
      </c>
      <c r="N158" s="16" t="n">
        <f aca="false">G158*I158</f>
        <v>41111.2</v>
      </c>
    </row>
    <row r="159" customFormat="false" ht="15" hidden="false" customHeight="true" outlineLevel="0" collapsed="false">
      <c r="A159" s="4" t="s">
        <v>335</v>
      </c>
      <c r="B159" s="4" t="s">
        <v>63</v>
      </c>
      <c r="C159" s="13" t="n">
        <v>45088</v>
      </c>
      <c r="D159" s="13" t="n">
        <v>45097</v>
      </c>
      <c r="E159" s="13" t="n">
        <v>45111</v>
      </c>
      <c r="F159" s="4" t="n">
        <v>1521</v>
      </c>
      <c r="G159" s="4" t="n">
        <v>1364</v>
      </c>
      <c r="H159" s="4" t="n">
        <v>239.8</v>
      </c>
      <c r="I159" s="4" t="n">
        <v>244.13</v>
      </c>
      <c r="J159" s="14" t="n">
        <f aca="false">E159-D159</f>
        <v>14</v>
      </c>
      <c r="K159" s="14" t="n">
        <f aca="false">IF(J159&lt;=0,1,0)</f>
        <v>0</v>
      </c>
      <c r="L159" s="15" t="n">
        <f aca="false">IFERROR(G159/F159,0)</f>
        <v>0.896778435239974</v>
      </c>
      <c r="M159" s="15" t="n">
        <f aca="false">IFERROR((I159-H159)/H159,0)</f>
        <v>0.0180567139282735</v>
      </c>
      <c r="N159" s="16" t="n">
        <f aca="false">G159*I159</f>
        <v>332993.32</v>
      </c>
    </row>
    <row r="160" customFormat="false" ht="15" hidden="false" customHeight="true" outlineLevel="0" collapsed="false">
      <c r="A160" s="4" t="s">
        <v>336</v>
      </c>
      <c r="B160" s="4" t="s">
        <v>89</v>
      </c>
      <c r="C160" s="13" t="n">
        <v>45306</v>
      </c>
      <c r="D160" s="13" t="n">
        <v>45311</v>
      </c>
      <c r="E160" s="13" t="n">
        <v>45311</v>
      </c>
      <c r="F160" s="4" t="n">
        <v>7</v>
      </c>
      <c r="G160" s="4" t="n">
        <v>6</v>
      </c>
      <c r="H160" s="4" t="n">
        <v>1929.81</v>
      </c>
      <c r="I160" s="4" t="n">
        <v>1943.18</v>
      </c>
      <c r="J160" s="14" t="n">
        <f aca="false">E160-D160</f>
        <v>0</v>
      </c>
      <c r="K160" s="14" t="n">
        <f aca="false">IF(J160&lt;=0,1,0)</f>
        <v>1</v>
      </c>
      <c r="L160" s="15" t="n">
        <f aca="false">IFERROR(G160/F160,0)</f>
        <v>0.857142857142857</v>
      </c>
      <c r="M160" s="15" t="n">
        <f aca="false">IFERROR((I160-H160)/H160,0)</f>
        <v>0.00692814318508046</v>
      </c>
      <c r="N160" s="16" t="n">
        <f aca="false">G160*I160</f>
        <v>11659.08</v>
      </c>
    </row>
    <row r="161" customFormat="false" ht="15" hidden="false" customHeight="true" outlineLevel="0" collapsed="false">
      <c r="A161" s="4" t="s">
        <v>337</v>
      </c>
      <c r="B161" s="4" t="s">
        <v>72</v>
      </c>
      <c r="C161" s="13" t="n">
        <v>45616</v>
      </c>
      <c r="D161" s="13" t="n">
        <v>45622</v>
      </c>
      <c r="E161" s="13" t="n">
        <v>45631</v>
      </c>
      <c r="F161" s="4" t="n">
        <v>666</v>
      </c>
      <c r="G161" s="4" t="n">
        <v>650</v>
      </c>
      <c r="H161" s="4" t="n">
        <v>34.53</v>
      </c>
      <c r="I161" s="4" t="n">
        <v>37.23</v>
      </c>
      <c r="J161" s="14" t="n">
        <f aca="false">E161-D161</f>
        <v>9</v>
      </c>
      <c r="K161" s="14" t="n">
        <f aca="false">IF(J161&lt;=0,1,0)</f>
        <v>0</v>
      </c>
      <c r="L161" s="15" t="n">
        <f aca="false">IFERROR(G161/F161,0)</f>
        <v>0.975975975975976</v>
      </c>
      <c r="M161" s="15" t="n">
        <f aca="false">IFERROR((I161-H161)/H161,0)</f>
        <v>0.0781928757602084</v>
      </c>
      <c r="N161" s="16" t="n">
        <f aca="false">G161*I161</f>
        <v>24199.5</v>
      </c>
    </row>
    <row r="162" customFormat="false" ht="15" hidden="false" customHeight="true" outlineLevel="0" collapsed="false">
      <c r="A162" s="4" t="s">
        <v>338</v>
      </c>
      <c r="B162" s="4" t="s">
        <v>159</v>
      </c>
      <c r="C162" s="13" t="n">
        <v>45063</v>
      </c>
      <c r="D162" s="13" t="n">
        <v>45070</v>
      </c>
      <c r="E162" s="13" t="n">
        <v>45075</v>
      </c>
      <c r="F162" s="4" t="n">
        <v>4848</v>
      </c>
      <c r="G162" s="4" t="n">
        <v>4816</v>
      </c>
      <c r="H162" s="4" t="n">
        <v>32.91</v>
      </c>
      <c r="I162" s="4" t="n">
        <v>33.2</v>
      </c>
      <c r="J162" s="14" t="n">
        <f aca="false">E162-D162</f>
        <v>5</v>
      </c>
      <c r="K162" s="14" t="n">
        <f aca="false">IF(J162&lt;=0,1,0)</f>
        <v>0</v>
      </c>
      <c r="L162" s="15" t="n">
        <f aca="false">IFERROR(G162/F162,0)</f>
        <v>0.993399339933993</v>
      </c>
      <c r="M162" s="15" t="n">
        <f aca="false">IFERROR((I162-H162)/H162,0)</f>
        <v>0.00881191127316944</v>
      </c>
      <c r="N162" s="16" t="n">
        <f aca="false">G162*I162</f>
        <v>159891.2</v>
      </c>
    </row>
    <row r="163" customFormat="false" ht="15" hidden="false" customHeight="true" outlineLevel="0" collapsed="false">
      <c r="A163" s="4" t="s">
        <v>339</v>
      </c>
      <c r="B163" s="4" t="s">
        <v>65</v>
      </c>
      <c r="C163" s="13" t="n">
        <v>44951</v>
      </c>
      <c r="D163" s="13" t="n">
        <v>44970</v>
      </c>
      <c r="E163" s="13" t="n">
        <v>44971</v>
      </c>
      <c r="F163" s="4" t="n">
        <v>357</v>
      </c>
      <c r="G163" s="4" t="n">
        <v>351</v>
      </c>
      <c r="H163" s="4" t="n">
        <v>1365.59</v>
      </c>
      <c r="I163" s="4" t="n">
        <v>1358.39</v>
      </c>
      <c r="J163" s="14" t="n">
        <f aca="false">E163-D163</f>
        <v>1</v>
      </c>
      <c r="K163" s="14" t="n">
        <f aca="false">IF(J163&lt;=0,1,0)</f>
        <v>0</v>
      </c>
      <c r="L163" s="15" t="n">
        <f aca="false">IFERROR(G163/F163,0)</f>
        <v>0.983193277310924</v>
      </c>
      <c r="M163" s="15" t="n">
        <f aca="false">IFERROR((I163-H163)/H163,0)</f>
        <v>-0.00527244634187408</v>
      </c>
      <c r="N163" s="16" t="n">
        <f aca="false">G163*I163</f>
        <v>476794.89</v>
      </c>
    </row>
    <row r="164" customFormat="false" ht="15" hidden="false" customHeight="true" outlineLevel="0" collapsed="false">
      <c r="A164" s="4" t="s">
        <v>340</v>
      </c>
      <c r="B164" s="4" t="s">
        <v>121</v>
      </c>
      <c r="C164" s="13" t="n">
        <v>45569</v>
      </c>
      <c r="D164" s="13" t="n">
        <v>45579</v>
      </c>
      <c r="E164" s="13" t="n">
        <v>45577</v>
      </c>
      <c r="F164" s="4" t="n">
        <v>1769</v>
      </c>
      <c r="G164" s="4" t="n">
        <v>1686</v>
      </c>
      <c r="H164" s="4" t="n">
        <v>206.07</v>
      </c>
      <c r="I164" s="4" t="n">
        <v>227.93</v>
      </c>
      <c r="J164" s="14" t="n">
        <f aca="false">E164-D164</f>
        <v>-2</v>
      </c>
      <c r="K164" s="14" t="n">
        <f aca="false">IF(J164&lt;=0,1,0)</f>
        <v>1</v>
      </c>
      <c r="L164" s="15" t="n">
        <f aca="false">IFERROR(G164/F164,0)</f>
        <v>0.953080836630865</v>
      </c>
      <c r="M164" s="15" t="n">
        <f aca="false">IFERROR((I164-H164)/H164,0)</f>
        <v>0.106080458096763</v>
      </c>
      <c r="N164" s="16" t="n">
        <f aca="false">G164*I164</f>
        <v>384289.98</v>
      </c>
    </row>
    <row r="165" customFormat="false" ht="15" hidden="false" customHeight="true" outlineLevel="0" collapsed="false">
      <c r="A165" s="4" t="s">
        <v>341</v>
      </c>
      <c r="B165" s="4" t="s">
        <v>109</v>
      </c>
      <c r="C165" s="13" t="n">
        <v>45653</v>
      </c>
      <c r="D165" s="13" t="n">
        <v>45670</v>
      </c>
      <c r="E165" s="13" t="n">
        <v>45669</v>
      </c>
      <c r="F165" s="4" t="n">
        <v>229</v>
      </c>
      <c r="G165" s="4" t="n">
        <v>221</v>
      </c>
      <c r="H165" s="4" t="n">
        <v>858.02</v>
      </c>
      <c r="I165" s="4" t="n">
        <v>916.42</v>
      </c>
      <c r="J165" s="14" t="n">
        <f aca="false">E165-D165</f>
        <v>-1</v>
      </c>
      <c r="K165" s="14" t="n">
        <f aca="false">IF(J165&lt;=0,1,0)</f>
        <v>1</v>
      </c>
      <c r="L165" s="15" t="n">
        <f aca="false">IFERROR(G165/F165,0)</f>
        <v>0.965065502183406</v>
      </c>
      <c r="M165" s="15" t="n">
        <f aca="false">IFERROR((I165-H165)/H165,0)</f>
        <v>0.0680636814992657</v>
      </c>
      <c r="N165" s="16" t="n">
        <f aca="false">G165*I165</f>
        <v>202528.82</v>
      </c>
    </row>
    <row r="166" customFormat="false" ht="15" hidden="false" customHeight="true" outlineLevel="0" collapsed="false">
      <c r="A166" s="4" t="s">
        <v>342</v>
      </c>
      <c r="B166" s="4" t="s">
        <v>153</v>
      </c>
      <c r="C166" s="13" t="n">
        <v>45618</v>
      </c>
      <c r="D166" s="13" t="n">
        <v>45638</v>
      </c>
      <c r="E166" s="13" t="n">
        <v>45643</v>
      </c>
      <c r="F166" s="4" t="n">
        <v>292</v>
      </c>
      <c r="G166" s="4" t="n">
        <v>268</v>
      </c>
      <c r="H166" s="4" t="n">
        <v>1492.04</v>
      </c>
      <c r="I166" s="4" t="n">
        <v>1612.87</v>
      </c>
      <c r="J166" s="14" t="n">
        <f aca="false">E166-D166</f>
        <v>5</v>
      </c>
      <c r="K166" s="14" t="n">
        <f aca="false">IF(J166&lt;=0,1,0)</f>
        <v>0</v>
      </c>
      <c r="L166" s="15" t="n">
        <f aca="false">IFERROR(G166/F166,0)</f>
        <v>0.917808219178082</v>
      </c>
      <c r="M166" s="15" t="n">
        <f aca="false">IFERROR((I166-H166)/H166,0)</f>
        <v>0.0809830835634433</v>
      </c>
      <c r="N166" s="16" t="n">
        <f aca="false">G166*I166</f>
        <v>432249.16</v>
      </c>
    </row>
    <row r="167" customFormat="false" ht="15" hidden="false" customHeight="true" outlineLevel="0" collapsed="false">
      <c r="A167" s="4" t="s">
        <v>343</v>
      </c>
      <c r="B167" s="4" t="s">
        <v>58</v>
      </c>
      <c r="C167" s="13" t="n">
        <v>45202</v>
      </c>
      <c r="D167" s="13" t="n">
        <v>45214</v>
      </c>
      <c r="E167" s="13" t="n">
        <v>45213</v>
      </c>
      <c r="F167" s="4" t="n">
        <v>23</v>
      </c>
      <c r="G167" s="4" t="n">
        <v>23</v>
      </c>
      <c r="H167" s="4" t="n">
        <v>135.68</v>
      </c>
      <c r="I167" s="4" t="n">
        <v>140.49</v>
      </c>
      <c r="J167" s="14" t="n">
        <f aca="false">E167-D167</f>
        <v>-1</v>
      </c>
      <c r="K167" s="14" t="n">
        <f aca="false">IF(J167&lt;=0,1,0)</f>
        <v>1</v>
      </c>
      <c r="L167" s="15" t="n">
        <f aca="false">IFERROR(G167/F167,0)</f>
        <v>1</v>
      </c>
      <c r="M167" s="15" t="n">
        <f aca="false">IFERROR((I167-H167)/H167,0)</f>
        <v>0.0354510613207547</v>
      </c>
      <c r="N167" s="16" t="n">
        <f aca="false">G167*I167</f>
        <v>3231.27</v>
      </c>
    </row>
    <row r="168" customFormat="false" ht="15" hidden="false" customHeight="true" outlineLevel="0" collapsed="false">
      <c r="A168" s="4" t="s">
        <v>344</v>
      </c>
      <c r="B168" s="4" t="s">
        <v>41</v>
      </c>
      <c r="C168" s="13" t="n">
        <v>45635</v>
      </c>
      <c r="D168" s="13" t="n">
        <v>45642</v>
      </c>
      <c r="E168" s="13" t="n">
        <v>45643</v>
      </c>
      <c r="F168" s="4" t="n">
        <v>1278</v>
      </c>
      <c r="G168" s="4" t="n">
        <v>1278</v>
      </c>
      <c r="H168" s="4" t="n">
        <v>45.51</v>
      </c>
      <c r="I168" s="4" t="n">
        <v>44.36</v>
      </c>
      <c r="J168" s="14" t="n">
        <f aca="false">E168-D168</f>
        <v>1</v>
      </c>
      <c r="K168" s="14" t="n">
        <f aca="false">IF(J168&lt;=0,1,0)</f>
        <v>0</v>
      </c>
      <c r="L168" s="15" t="n">
        <f aca="false">IFERROR(G168/F168,0)</f>
        <v>1</v>
      </c>
      <c r="M168" s="15" t="n">
        <f aca="false">IFERROR((I168-H168)/H168,0)</f>
        <v>-0.025269171610635</v>
      </c>
      <c r="N168" s="16" t="n">
        <f aca="false">G168*I168</f>
        <v>56692.08</v>
      </c>
    </row>
    <row r="169" customFormat="false" ht="15" hidden="false" customHeight="true" outlineLevel="0" collapsed="false">
      <c r="A169" s="4" t="s">
        <v>345</v>
      </c>
      <c r="B169" s="4" t="s">
        <v>127</v>
      </c>
      <c r="C169" s="13" t="n">
        <v>45651</v>
      </c>
      <c r="D169" s="13" t="n">
        <v>45655</v>
      </c>
      <c r="E169" s="13" t="n">
        <v>45657</v>
      </c>
      <c r="F169" s="4" t="n">
        <v>5</v>
      </c>
      <c r="G169" s="4" t="n">
        <v>5</v>
      </c>
      <c r="H169" s="4" t="n">
        <v>1881</v>
      </c>
      <c r="I169" s="4" t="n">
        <v>1760</v>
      </c>
      <c r="J169" s="14" t="n">
        <f aca="false">E169-D169</f>
        <v>2</v>
      </c>
      <c r="K169" s="14" t="n">
        <f aca="false">IF(J169&lt;=0,1,0)</f>
        <v>0</v>
      </c>
      <c r="L169" s="15" t="n">
        <f aca="false">IFERROR(G169/F169,0)</f>
        <v>1</v>
      </c>
      <c r="M169" s="15" t="n">
        <f aca="false">IFERROR((I169-H169)/H169,0)</f>
        <v>-0.064327485380117</v>
      </c>
      <c r="N169" s="16" t="n">
        <f aca="false">G169*I169</f>
        <v>8800</v>
      </c>
    </row>
    <row r="170" customFormat="false" ht="15" hidden="false" customHeight="true" outlineLevel="0" collapsed="false">
      <c r="A170" s="4" t="s">
        <v>346</v>
      </c>
      <c r="B170" s="4" t="s">
        <v>83</v>
      </c>
      <c r="C170" s="13" t="n">
        <v>45216</v>
      </c>
      <c r="D170" s="13" t="n">
        <v>45226</v>
      </c>
      <c r="E170" s="13" t="n">
        <v>45230</v>
      </c>
      <c r="F170" s="4" t="n">
        <v>274</v>
      </c>
      <c r="G170" s="4" t="n">
        <v>271</v>
      </c>
      <c r="H170" s="4" t="n">
        <v>101.36</v>
      </c>
      <c r="I170" s="4" t="n">
        <v>104.36</v>
      </c>
      <c r="J170" s="14" t="n">
        <f aca="false">E170-D170</f>
        <v>4</v>
      </c>
      <c r="K170" s="14" t="n">
        <f aca="false">IF(J170&lt;=0,1,0)</f>
        <v>0</v>
      </c>
      <c r="L170" s="15" t="n">
        <f aca="false">IFERROR(G170/F170,0)</f>
        <v>0.989051094890511</v>
      </c>
      <c r="M170" s="15" t="n">
        <f aca="false">IFERROR((I170-H170)/H170,0)</f>
        <v>0.0295974743488556</v>
      </c>
      <c r="N170" s="16" t="n">
        <f aca="false">G170*I170</f>
        <v>28281.56</v>
      </c>
    </row>
    <row r="171" customFormat="false" ht="15" hidden="false" customHeight="true" outlineLevel="0" collapsed="false">
      <c r="A171" s="4" t="s">
        <v>347</v>
      </c>
      <c r="B171" s="4" t="s">
        <v>109</v>
      </c>
      <c r="C171" s="13" t="n">
        <v>45042</v>
      </c>
      <c r="D171" s="13" t="n">
        <v>45061</v>
      </c>
      <c r="E171" s="13" t="n">
        <v>45060</v>
      </c>
      <c r="F171" s="4" t="n">
        <v>410</v>
      </c>
      <c r="G171" s="4" t="n">
        <v>404</v>
      </c>
      <c r="H171" s="4" t="n">
        <v>858.02</v>
      </c>
      <c r="I171" s="4" t="n">
        <v>851.63</v>
      </c>
      <c r="J171" s="14" t="n">
        <f aca="false">E171-D171</f>
        <v>-1</v>
      </c>
      <c r="K171" s="14" t="n">
        <f aca="false">IF(J171&lt;=0,1,0)</f>
        <v>1</v>
      </c>
      <c r="L171" s="15" t="n">
        <f aca="false">IFERROR(G171/F171,0)</f>
        <v>0.985365853658537</v>
      </c>
      <c r="M171" s="15" t="n">
        <f aca="false">IFERROR((I171-H171)/H171,0)</f>
        <v>-0.00744737884897786</v>
      </c>
      <c r="N171" s="16" t="n">
        <f aca="false">G171*I171</f>
        <v>344058.52</v>
      </c>
    </row>
    <row r="172" customFormat="false" ht="15" hidden="false" customHeight="true" outlineLevel="0" collapsed="false">
      <c r="A172" s="4" t="s">
        <v>348</v>
      </c>
      <c r="B172" s="4" t="s">
        <v>97</v>
      </c>
      <c r="C172" s="13" t="n">
        <v>45559</v>
      </c>
      <c r="D172" s="13" t="n">
        <v>45569</v>
      </c>
      <c r="E172" s="13" t="n">
        <v>45571</v>
      </c>
      <c r="F172" s="4" t="n">
        <v>560</v>
      </c>
      <c r="G172" s="4" t="n">
        <v>550</v>
      </c>
      <c r="H172" s="4" t="n">
        <v>123.04</v>
      </c>
      <c r="I172" s="4" t="n">
        <v>123.68</v>
      </c>
      <c r="J172" s="14" t="n">
        <f aca="false">E172-D172</f>
        <v>2</v>
      </c>
      <c r="K172" s="14" t="n">
        <f aca="false">IF(J172&lt;=0,1,0)</f>
        <v>0</v>
      </c>
      <c r="L172" s="15" t="n">
        <f aca="false">IFERROR(G172/F172,0)</f>
        <v>0.982142857142857</v>
      </c>
      <c r="M172" s="15" t="n">
        <f aca="false">IFERROR((I172-H172)/H172,0)</f>
        <v>0.00520156046814045</v>
      </c>
      <c r="N172" s="16" t="n">
        <f aca="false">G172*I172</f>
        <v>68024</v>
      </c>
    </row>
    <row r="173" customFormat="false" ht="15" hidden="false" customHeight="true" outlineLevel="0" collapsed="false">
      <c r="A173" s="4" t="s">
        <v>349</v>
      </c>
      <c r="B173" s="4" t="s">
        <v>103</v>
      </c>
      <c r="C173" s="13" t="n">
        <v>44991</v>
      </c>
      <c r="D173" s="13" t="n">
        <v>45009</v>
      </c>
      <c r="E173" s="13" t="n">
        <v>45014</v>
      </c>
      <c r="F173" s="4" t="n">
        <v>233</v>
      </c>
      <c r="G173" s="4" t="n">
        <v>230</v>
      </c>
      <c r="H173" s="4" t="n">
        <v>1400.22</v>
      </c>
      <c r="I173" s="4" t="n">
        <v>1411.1</v>
      </c>
      <c r="J173" s="14" t="n">
        <f aca="false">E173-D173</f>
        <v>5</v>
      </c>
      <c r="K173" s="14" t="n">
        <f aca="false">IF(J173&lt;=0,1,0)</f>
        <v>0</v>
      </c>
      <c r="L173" s="15" t="n">
        <f aca="false">IFERROR(G173/F173,0)</f>
        <v>0.987124463519313</v>
      </c>
      <c r="M173" s="15" t="n">
        <f aca="false">IFERROR((I173-H173)/H173,0)</f>
        <v>0.00777020753881524</v>
      </c>
      <c r="N173" s="16" t="n">
        <f aca="false">G173*I173</f>
        <v>324553</v>
      </c>
    </row>
    <row r="174" customFormat="false" ht="15" hidden="false" customHeight="true" outlineLevel="0" collapsed="false">
      <c r="A174" s="4" t="s">
        <v>350</v>
      </c>
      <c r="B174" s="4" t="s">
        <v>58</v>
      </c>
      <c r="C174" s="13" t="n">
        <v>45264</v>
      </c>
      <c r="D174" s="13" t="n">
        <v>45277</v>
      </c>
      <c r="E174" s="13" t="n">
        <v>45273</v>
      </c>
      <c r="F174" s="4" t="n">
        <v>240</v>
      </c>
      <c r="G174" s="4" t="n">
        <v>240</v>
      </c>
      <c r="H174" s="4" t="n">
        <v>135.68</v>
      </c>
      <c r="I174" s="4" t="n">
        <v>139.97</v>
      </c>
      <c r="J174" s="14" t="n">
        <f aca="false">E174-D174</f>
        <v>-4</v>
      </c>
      <c r="K174" s="14" t="n">
        <f aca="false">IF(J174&lt;=0,1,0)</f>
        <v>1</v>
      </c>
      <c r="L174" s="15" t="n">
        <f aca="false">IFERROR(G174/F174,0)</f>
        <v>1</v>
      </c>
      <c r="M174" s="15" t="n">
        <f aca="false">IFERROR((I174-H174)/H174,0)</f>
        <v>0.0316185141509433</v>
      </c>
      <c r="N174" s="16" t="n">
        <f aca="false">G174*I174</f>
        <v>33592.8</v>
      </c>
    </row>
    <row r="175" customFormat="false" ht="15" hidden="false" customHeight="true" outlineLevel="0" collapsed="false">
      <c r="A175" s="4" t="s">
        <v>351</v>
      </c>
      <c r="B175" s="4" t="s">
        <v>77</v>
      </c>
      <c r="C175" s="13" t="n">
        <v>45025</v>
      </c>
      <c r="D175" s="13" t="n">
        <v>45032</v>
      </c>
      <c r="E175" s="13" t="n">
        <v>45046</v>
      </c>
      <c r="F175" s="4" t="n">
        <v>2193</v>
      </c>
      <c r="G175" s="4" t="n">
        <v>2122</v>
      </c>
      <c r="H175" s="4" t="n">
        <v>36.83</v>
      </c>
      <c r="I175" s="4" t="n">
        <v>36.66</v>
      </c>
      <c r="J175" s="14" t="n">
        <f aca="false">E175-D175</f>
        <v>14</v>
      </c>
      <c r="K175" s="14" t="n">
        <f aca="false">IF(J175&lt;=0,1,0)</f>
        <v>0</v>
      </c>
      <c r="L175" s="15" t="n">
        <f aca="false">IFERROR(G175/F175,0)</f>
        <v>0.967624259005928</v>
      </c>
      <c r="M175" s="15" t="n">
        <f aca="false">IFERROR((I175-H175)/H175,0)</f>
        <v>-0.00461580233505299</v>
      </c>
      <c r="N175" s="16" t="n">
        <f aca="false">G175*I175</f>
        <v>77792.52</v>
      </c>
    </row>
    <row r="176" customFormat="false" ht="15" hidden="false" customHeight="true" outlineLevel="0" collapsed="false">
      <c r="A176" s="4" t="s">
        <v>352</v>
      </c>
      <c r="B176" s="4" t="s">
        <v>153</v>
      </c>
      <c r="C176" s="13" t="n">
        <v>45343</v>
      </c>
      <c r="D176" s="13" t="n">
        <v>45360</v>
      </c>
      <c r="E176" s="13" t="n">
        <v>45366</v>
      </c>
      <c r="F176" s="4" t="n">
        <v>240</v>
      </c>
      <c r="G176" s="4" t="n">
        <v>230</v>
      </c>
      <c r="H176" s="4" t="n">
        <v>1492.04</v>
      </c>
      <c r="I176" s="4" t="n">
        <v>1564.75</v>
      </c>
      <c r="J176" s="14" t="n">
        <f aca="false">E176-D176</f>
        <v>6</v>
      </c>
      <c r="K176" s="14" t="n">
        <f aca="false">IF(J176&lt;=0,1,0)</f>
        <v>0</v>
      </c>
      <c r="L176" s="15" t="n">
        <f aca="false">IFERROR(G176/F176,0)</f>
        <v>0.958333333333333</v>
      </c>
      <c r="M176" s="15" t="n">
        <f aca="false">IFERROR((I176-H176)/H176,0)</f>
        <v>0.0487319374815689</v>
      </c>
      <c r="N176" s="16" t="n">
        <f aca="false">G176*I176</f>
        <v>359892.5</v>
      </c>
    </row>
    <row r="177" customFormat="false" ht="15" hidden="false" customHeight="true" outlineLevel="0" collapsed="false">
      <c r="A177" s="4" t="s">
        <v>353</v>
      </c>
      <c r="B177" s="4" t="s">
        <v>119</v>
      </c>
      <c r="C177" s="13" t="n">
        <v>45437</v>
      </c>
      <c r="D177" s="13" t="n">
        <v>45445</v>
      </c>
      <c r="E177" s="13" t="n">
        <v>45446</v>
      </c>
      <c r="F177" s="4" t="n">
        <v>1586</v>
      </c>
      <c r="G177" s="4" t="n">
        <v>1531</v>
      </c>
      <c r="H177" s="4" t="n">
        <v>50.92</v>
      </c>
      <c r="I177" s="4" t="n">
        <v>47.84</v>
      </c>
      <c r="J177" s="14" t="n">
        <f aca="false">E177-D177</f>
        <v>1</v>
      </c>
      <c r="K177" s="14" t="n">
        <f aca="false">IF(J177&lt;=0,1,0)</f>
        <v>0</v>
      </c>
      <c r="L177" s="15" t="n">
        <f aca="false">IFERROR(G177/F177,0)</f>
        <v>0.965321563682219</v>
      </c>
      <c r="M177" s="15" t="n">
        <f aca="false">IFERROR((I177-H177)/H177,0)</f>
        <v>-0.0604870384917517</v>
      </c>
      <c r="N177" s="16" t="n">
        <f aca="false">G177*I177</f>
        <v>73243.04</v>
      </c>
    </row>
    <row r="178" customFormat="false" ht="15" hidden="false" customHeight="true" outlineLevel="0" collapsed="false">
      <c r="A178" s="4" t="s">
        <v>354</v>
      </c>
      <c r="B178" s="4" t="s">
        <v>79</v>
      </c>
      <c r="C178" s="13" t="n">
        <v>45556</v>
      </c>
      <c r="D178" s="13" t="n">
        <v>45574</v>
      </c>
      <c r="E178" s="13" t="n">
        <v>45577</v>
      </c>
      <c r="F178" s="4" t="n">
        <v>180</v>
      </c>
      <c r="G178" s="4" t="n">
        <v>168</v>
      </c>
      <c r="H178" s="4" t="n">
        <v>821.48</v>
      </c>
      <c r="I178" s="4" t="n">
        <v>875.34</v>
      </c>
      <c r="J178" s="14" t="n">
        <f aca="false">E178-D178</f>
        <v>3</v>
      </c>
      <c r="K178" s="14" t="n">
        <f aca="false">IF(J178&lt;=0,1,0)</f>
        <v>0</v>
      </c>
      <c r="L178" s="15" t="n">
        <f aca="false">IFERROR(G178/F178,0)</f>
        <v>0.933333333333333</v>
      </c>
      <c r="M178" s="15" t="n">
        <f aca="false">IFERROR((I178-H178)/H178,0)</f>
        <v>0.0655645907386668</v>
      </c>
      <c r="N178" s="16" t="n">
        <f aca="false">G178*I178</f>
        <v>147057.12</v>
      </c>
    </row>
    <row r="179" customFormat="false" ht="15" hidden="false" customHeight="true" outlineLevel="0" collapsed="false">
      <c r="A179" s="4" t="s">
        <v>355</v>
      </c>
      <c r="B179" s="4" t="s">
        <v>141</v>
      </c>
      <c r="C179" s="13" t="n">
        <v>45214</v>
      </c>
      <c r="D179" s="13" t="n">
        <v>45233</v>
      </c>
      <c r="E179" s="13" t="n">
        <v>45233</v>
      </c>
      <c r="F179" s="4" t="n">
        <v>459</v>
      </c>
      <c r="G179" s="4" t="n">
        <v>450</v>
      </c>
      <c r="H179" s="4" t="n">
        <v>1252.36</v>
      </c>
      <c r="I179" s="4" t="n">
        <v>1204.41</v>
      </c>
      <c r="J179" s="14" t="n">
        <f aca="false">E179-D179</f>
        <v>0</v>
      </c>
      <c r="K179" s="14" t="n">
        <f aca="false">IF(J179&lt;=0,1,0)</f>
        <v>1</v>
      </c>
      <c r="L179" s="15" t="n">
        <f aca="false">IFERROR(G179/F179,0)</f>
        <v>0.980392156862745</v>
      </c>
      <c r="M179" s="15" t="n">
        <f aca="false">IFERROR((I179-H179)/H179,0)</f>
        <v>-0.0382877127982368</v>
      </c>
      <c r="N179" s="16" t="n">
        <f aca="false">G179*I179</f>
        <v>541984.5</v>
      </c>
    </row>
    <row r="180" customFormat="false" ht="15" hidden="false" customHeight="true" outlineLevel="0" collapsed="false">
      <c r="A180" s="4" t="s">
        <v>356</v>
      </c>
      <c r="B180" s="4" t="s">
        <v>91</v>
      </c>
      <c r="C180" s="13" t="n">
        <v>45593</v>
      </c>
      <c r="D180" s="13" t="n">
        <v>45611</v>
      </c>
      <c r="E180" s="13" t="n">
        <v>45616</v>
      </c>
      <c r="F180" s="4" t="n">
        <v>132</v>
      </c>
      <c r="G180" s="4" t="n">
        <v>132</v>
      </c>
      <c r="H180" s="4" t="n">
        <v>496.29</v>
      </c>
      <c r="I180" s="4" t="n">
        <v>478.61</v>
      </c>
      <c r="J180" s="14" t="n">
        <f aca="false">E180-D180</f>
        <v>5</v>
      </c>
      <c r="K180" s="14" t="n">
        <f aca="false">IF(J180&lt;=0,1,0)</f>
        <v>0</v>
      </c>
      <c r="L180" s="15" t="n">
        <f aca="false">IFERROR(G180/F180,0)</f>
        <v>1</v>
      </c>
      <c r="M180" s="15" t="n">
        <f aca="false">IFERROR((I180-H180)/H180,0)</f>
        <v>-0.0356243325475025</v>
      </c>
      <c r="N180" s="16" t="n">
        <f aca="false">G180*I180</f>
        <v>63176.52</v>
      </c>
    </row>
    <row r="181" customFormat="false" ht="15" hidden="false" customHeight="true" outlineLevel="0" collapsed="false">
      <c r="A181" s="4" t="s">
        <v>357</v>
      </c>
      <c r="B181" s="4" t="s">
        <v>117</v>
      </c>
      <c r="C181" s="13" t="n">
        <v>45340</v>
      </c>
      <c r="D181" s="13" t="n">
        <v>45352</v>
      </c>
      <c r="E181" s="13" t="n">
        <v>45355</v>
      </c>
      <c r="F181" s="4" t="n">
        <v>159</v>
      </c>
      <c r="G181" s="4" t="n">
        <v>152</v>
      </c>
      <c r="H181" s="4" t="n">
        <v>396.01</v>
      </c>
      <c r="I181" s="4" t="n">
        <v>390.95</v>
      </c>
      <c r="J181" s="14" t="n">
        <f aca="false">E181-D181</f>
        <v>3</v>
      </c>
      <c r="K181" s="14" t="n">
        <f aca="false">IF(J181&lt;=0,1,0)</f>
        <v>0</v>
      </c>
      <c r="L181" s="15" t="n">
        <f aca="false">IFERROR(G181/F181,0)</f>
        <v>0.955974842767296</v>
      </c>
      <c r="M181" s="15" t="n">
        <f aca="false">IFERROR((I181-H181)/H181,0)</f>
        <v>-0.0127774551147698</v>
      </c>
      <c r="N181" s="16" t="n">
        <f aca="false">G181*I181</f>
        <v>59424.4</v>
      </c>
    </row>
    <row r="182" customFormat="false" ht="15" hidden="false" customHeight="true" outlineLevel="0" collapsed="false">
      <c r="A182" s="4" t="s">
        <v>358</v>
      </c>
      <c r="B182" s="4" t="s">
        <v>123</v>
      </c>
      <c r="C182" s="13" t="n">
        <v>45511</v>
      </c>
      <c r="D182" s="13" t="n">
        <v>45524</v>
      </c>
      <c r="E182" s="13" t="n">
        <v>45524</v>
      </c>
      <c r="F182" s="4" t="n">
        <v>259</v>
      </c>
      <c r="G182" s="4" t="n">
        <v>257</v>
      </c>
      <c r="H182" s="4" t="n">
        <v>214.07</v>
      </c>
      <c r="I182" s="4" t="n">
        <v>246.73</v>
      </c>
      <c r="J182" s="14" t="n">
        <f aca="false">E182-D182</f>
        <v>0</v>
      </c>
      <c r="K182" s="14" t="n">
        <f aca="false">IF(J182&lt;=0,1,0)</f>
        <v>1</v>
      </c>
      <c r="L182" s="15" t="n">
        <f aca="false">IFERROR(G182/F182,0)</f>
        <v>0.992277992277992</v>
      </c>
      <c r="M182" s="15" t="n">
        <f aca="false">IFERROR((I182-H182)/H182,0)</f>
        <v>0.152566917363479</v>
      </c>
      <c r="N182" s="16" t="n">
        <f aca="false">G182*I182</f>
        <v>63409.61</v>
      </c>
    </row>
    <row r="183" customFormat="false" ht="15" hidden="false" customHeight="true" outlineLevel="0" collapsed="false">
      <c r="A183" s="4" t="s">
        <v>359</v>
      </c>
      <c r="B183" s="4" t="s">
        <v>74</v>
      </c>
      <c r="C183" s="13" t="n">
        <v>45281</v>
      </c>
      <c r="D183" s="13" t="n">
        <v>45287</v>
      </c>
      <c r="E183" s="13" t="n">
        <v>45284</v>
      </c>
      <c r="F183" s="4" t="n">
        <v>8</v>
      </c>
      <c r="G183" s="4" t="n">
        <v>8</v>
      </c>
      <c r="H183" s="4" t="n">
        <v>1294.62</v>
      </c>
      <c r="I183" s="4" t="n">
        <v>1351.85</v>
      </c>
      <c r="J183" s="14" t="n">
        <f aca="false">E183-D183</f>
        <v>-3</v>
      </c>
      <c r="K183" s="14" t="n">
        <f aca="false">IF(J183&lt;=0,1,0)</f>
        <v>1</v>
      </c>
      <c r="L183" s="15" t="n">
        <f aca="false">IFERROR(G183/F183,0)</f>
        <v>1</v>
      </c>
      <c r="M183" s="15" t="n">
        <f aca="false">IFERROR((I183-H183)/H183,0)</f>
        <v>0.0442060218442478</v>
      </c>
      <c r="N183" s="16" t="n">
        <f aca="false">G183*I183</f>
        <v>10814.8</v>
      </c>
    </row>
    <row r="184" customFormat="false" ht="15" hidden="false" customHeight="true" outlineLevel="0" collapsed="false">
      <c r="A184" s="4" t="s">
        <v>360</v>
      </c>
      <c r="B184" s="4" t="s">
        <v>109</v>
      </c>
      <c r="C184" s="13" t="n">
        <v>44950</v>
      </c>
      <c r="D184" s="13" t="n">
        <v>44970</v>
      </c>
      <c r="E184" s="13" t="n">
        <v>44972</v>
      </c>
      <c r="F184" s="4" t="n">
        <v>226</v>
      </c>
      <c r="G184" s="4" t="n">
        <v>224</v>
      </c>
      <c r="H184" s="4" t="n">
        <v>858.02</v>
      </c>
      <c r="I184" s="4" t="n">
        <v>864.93</v>
      </c>
      <c r="J184" s="14" t="n">
        <f aca="false">E184-D184</f>
        <v>2</v>
      </c>
      <c r="K184" s="14" t="n">
        <f aca="false">IF(J184&lt;=0,1,0)</f>
        <v>0</v>
      </c>
      <c r="L184" s="15" t="n">
        <f aca="false">IFERROR(G184/F184,0)</f>
        <v>0.991150442477876</v>
      </c>
      <c r="M184" s="15" t="n">
        <f aca="false">IFERROR((I184-H184)/H184,0)</f>
        <v>0.00805342532808089</v>
      </c>
      <c r="N184" s="16" t="n">
        <f aca="false">G184*I184</f>
        <v>193744.32</v>
      </c>
    </row>
    <row r="185" customFormat="false" ht="15" hidden="false" customHeight="true" outlineLevel="0" collapsed="false">
      <c r="A185" s="4" t="s">
        <v>361</v>
      </c>
      <c r="B185" s="4" t="s">
        <v>151</v>
      </c>
      <c r="C185" s="13" t="n">
        <v>45154</v>
      </c>
      <c r="D185" s="13" t="n">
        <v>45158</v>
      </c>
      <c r="E185" s="13" t="n">
        <v>45162</v>
      </c>
      <c r="F185" s="4" t="n">
        <v>11</v>
      </c>
      <c r="G185" s="4" t="n">
        <v>10</v>
      </c>
      <c r="H185" s="4" t="n">
        <v>503.46</v>
      </c>
      <c r="I185" s="4" t="n">
        <v>503.01</v>
      </c>
      <c r="J185" s="14" t="n">
        <f aca="false">E185-D185</f>
        <v>4</v>
      </c>
      <c r="K185" s="14" t="n">
        <f aca="false">IF(J185&lt;=0,1,0)</f>
        <v>0</v>
      </c>
      <c r="L185" s="15" t="n">
        <f aca="false">IFERROR(G185/F185,0)</f>
        <v>0.909090909090909</v>
      </c>
      <c r="M185" s="15" t="n">
        <f aca="false">IFERROR((I185-H185)/H185,0)</f>
        <v>-0.000893814801573092</v>
      </c>
      <c r="N185" s="16" t="n">
        <f aca="false">G185*I185</f>
        <v>5030.1</v>
      </c>
    </row>
    <row r="186" customFormat="false" ht="15" hidden="false" customHeight="true" outlineLevel="0" collapsed="false">
      <c r="A186" s="4" t="s">
        <v>362</v>
      </c>
      <c r="B186" s="4" t="s">
        <v>83</v>
      </c>
      <c r="C186" s="13" t="n">
        <v>45294</v>
      </c>
      <c r="D186" s="13" t="n">
        <v>45305</v>
      </c>
      <c r="E186" s="13" t="n">
        <v>45306</v>
      </c>
      <c r="F186" s="4" t="n">
        <v>1983</v>
      </c>
      <c r="G186" s="4" t="n">
        <v>1983</v>
      </c>
      <c r="H186" s="4" t="n">
        <v>101.36</v>
      </c>
      <c r="I186" s="4" t="n">
        <v>103.93</v>
      </c>
      <c r="J186" s="14" t="n">
        <f aca="false">E186-D186</f>
        <v>1</v>
      </c>
      <c r="K186" s="14" t="n">
        <f aca="false">IF(J186&lt;=0,1,0)</f>
        <v>0</v>
      </c>
      <c r="L186" s="15" t="n">
        <f aca="false">IFERROR(G186/F186,0)</f>
        <v>1</v>
      </c>
      <c r="M186" s="15" t="n">
        <f aca="false">IFERROR((I186-H186)/H186,0)</f>
        <v>0.0253551696921863</v>
      </c>
      <c r="N186" s="16" t="n">
        <f aca="false">G186*I186</f>
        <v>206093.19</v>
      </c>
    </row>
    <row r="187" customFormat="false" ht="15" hidden="false" customHeight="true" outlineLevel="0" collapsed="false">
      <c r="A187" s="4" t="s">
        <v>363</v>
      </c>
      <c r="B187" s="4" t="s">
        <v>133</v>
      </c>
      <c r="C187" s="13" t="n">
        <v>45542</v>
      </c>
      <c r="D187" s="13" t="n">
        <v>45554</v>
      </c>
      <c r="E187" s="13" t="n">
        <v>45560</v>
      </c>
      <c r="F187" s="4" t="n">
        <v>487</v>
      </c>
      <c r="G187" s="4" t="n">
        <v>465</v>
      </c>
      <c r="H187" s="4" t="n">
        <v>138.21</v>
      </c>
      <c r="I187" s="4" t="n">
        <v>141.51</v>
      </c>
      <c r="J187" s="14" t="n">
        <f aca="false">E187-D187</f>
        <v>6</v>
      </c>
      <c r="K187" s="14" t="n">
        <f aca="false">IF(J187&lt;=0,1,0)</f>
        <v>0</v>
      </c>
      <c r="L187" s="15" t="n">
        <f aca="false">IFERROR(G187/F187,0)</f>
        <v>0.95482546201232</v>
      </c>
      <c r="M187" s="15" t="n">
        <f aca="false">IFERROR((I187-H187)/H187,0)</f>
        <v>0.0238767093553287</v>
      </c>
      <c r="N187" s="16" t="n">
        <f aca="false">G187*I187</f>
        <v>65802.15</v>
      </c>
    </row>
    <row r="188" customFormat="false" ht="15" hidden="false" customHeight="true" outlineLevel="0" collapsed="false">
      <c r="A188" s="4" t="s">
        <v>364</v>
      </c>
      <c r="B188" s="4" t="s">
        <v>115</v>
      </c>
      <c r="C188" s="13" t="n">
        <v>45262</v>
      </c>
      <c r="D188" s="13" t="n">
        <v>45276</v>
      </c>
      <c r="E188" s="13" t="n">
        <v>45283</v>
      </c>
      <c r="F188" s="4" t="n">
        <v>70</v>
      </c>
      <c r="G188" s="4" t="n">
        <v>63</v>
      </c>
      <c r="H188" s="4" t="n">
        <v>115.53</v>
      </c>
      <c r="I188" s="4" t="n">
        <v>122.61</v>
      </c>
      <c r="J188" s="14" t="n">
        <f aca="false">E188-D188</f>
        <v>7</v>
      </c>
      <c r="K188" s="14" t="n">
        <f aca="false">IF(J188&lt;=0,1,0)</f>
        <v>0</v>
      </c>
      <c r="L188" s="15" t="n">
        <f aca="false">IFERROR(G188/F188,0)</f>
        <v>0.9</v>
      </c>
      <c r="M188" s="15" t="n">
        <f aca="false">IFERROR((I188-H188)/H188,0)</f>
        <v>0.0612827836925474</v>
      </c>
      <c r="N188" s="16" t="n">
        <f aca="false">G188*I188</f>
        <v>7724.43</v>
      </c>
    </row>
    <row r="189" customFormat="false" ht="15" hidden="false" customHeight="true" outlineLevel="0" collapsed="false">
      <c r="A189" s="4" t="s">
        <v>365</v>
      </c>
      <c r="B189" s="4" t="s">
        <v>87</v>
      </c>
      <c r="C189" s="13" t="n">
        <v>45272</v>
      </c>
      <c r="D189" s="13" t="n">
        <v>45284</v>
      </c>
      <c r="E189" s="13" t="n">
        <v>45280</v>
      </c>
      <c r="F189" s="4" t="n">
        <v>1593</v>
      </c>
      <c r="G189" s="4" t="n">
        <v>1526</v>
      </c>
      <c r="H189" s="4" t="n">
        <v>161.95</v>
      </c>
      <c r="I189" s="4" t="n">
        <v>179.03</v>
      </c>
      <c r="J189" s="14" t="n">
        <f aca="false">E189-D189</f>
        <v>-4</v>
      </c>
      <c r="K189" s="14" t="n">
        <f aca="false">IF(J189&lt;=0,1,0)</f>
        <v>1</v>
      </c>
      <c r="L189" s="15" t="n">
        <f aca="false">IFERROR(G189/F189,0)</f>
        <v>0.957940991839297</v>
      </c>
      <c r="M189" s="15" t="n">
        <f aca="false">IFERROR((I189-H189)/H189,0)</f>
        <v>0.105464649583205</v>
      </c>
      <c r="N189" s="16" t="n">
        <f aca="false">G189*I189</f>
        <v>273199.78</v>
      </c>
    </row>
    <row r="190" customFormat="false" ht="15" hidden="false" customHeight="true" outlineLevel="0" collapsed="false">
      <c r="A190" s="4" t="s">
        <v>366</v>
      </c>
      <c r="B190" s="4" t="s">
        <v>47</v>
      </c>
      <c r="C190" s="13" t="n">
        <v>45341</v>
      </c>
      <c r="D190" s="13" t="n">
        <v>45353</v>
      </c>
      <c r="E190" s="13" t="n">
        <v>45350</v>
      </c>
      <c r="F190" s="4" t="n">
        <v>1831</v>
      </c>
      <c r="G190" s="4" t="n">
        <v>1771</v>
      </c>
      <c r="H190" s="4" t="n">
        <v>228.68</v>
      </c>
      <c r="I190" s="4" t="n">
        <v>230.95</v>
      </c>
      <c r="J190" s="14" t="n">
        <f aca="false">E190-D190</f>
        <v>-3</v>
      </c>
      <c r="K190" s="14" t="n">
        <f aca="false">IF(J190&lt;=0,1,0)</f>
        <v>1</v>
      </c>
      <c r="L190" s="15" t="n">
        <f aca="false">IFERROR(G190/F190,0)</f>
        <v>0.967231021299836</v>
      </c>
      <c r="M190" s="15" t="n">
        <f aca="false">IFERROR((I190-H190)/H190,0)</f>
        <v>0.00992653489592436</v>
      </c>
      <c r="N190" s="16" t="n">
        <f aca="false">G190*I190</f>
        <v>409012.45</v>
      </c>
    </row>
    <row r="191" customFormat="false" ht="15" hidden="false" customHeight="true" outlineLevel="0" collapsed="false">
      <c r="A191" s="4" t="s">
        <v>367</v>
      </c>
      <c r="B191" s="4" t="s">
        <v>52</v>
      </c>
      <c r="C191" s="13" t="n">
        <v>45355</v>
      </c>
      <c r="D191" s="13" t="n">
        <v>45365</v>
      </c>
      <c r="E191" s="13" t="n">
        <v>45373</v>
      </c>
      <c r="F191" s="4" t="n">
        <v>1264</v>
      </c>
      <c r="G191" s="4" t="n">
        <v>1072</v>
      </c>
      <c r="H191" s="4" t="n">
        <v>170.24</v>
      </c>
      <c r="I191" s="4" t="n">
        <v>175.37</v>
      </c>
      <c r="J191" s="14" t="n">
        <f aca="false">E191-D191</f>
        <v>8</v>
      </c>
      <c r="K191" s="14" t="n">
        <f aca="false">IF(J191&lt;=0,1,0)</f>
        <v>0</v>
      </c>
      <c r="L191" s="15" t="n">
        <f aca="false">IFERROR(G191/F191,0)</f>
        <v>0.848101265822785</v>
      </c>
      <c r="M191" s="15" t="n">
        <f aca="false">IFERROR((I191-H191)/H191,0)</f>
        <v>0.0301339285714285</v>
      </c>
      <c r="N191" s="16" t="n">
        <f aca="false">G191*I191</f>
        <v>187996.64</v>
      </c>
    </row>
    <row r="192" customFormat="false" ht="15" hidden="false" customHeight="true" outlineLevel="0" collapsed="false">
      <c r="A192" s="4" t="s">
        <v>368</v>
      </c>
      <c r="B192" s="4" t="s">
        <v>70</v>
      </c>
      <c r="C192" s="13" t="n">
        <v>45574</v>
      </c>
      <c r="D192" s="13" t="n">
        <v>45580</v>
      </c>
      <c r="E192" s="13" t="n">
        <v>45582</v>
      </c>
      <c r="F192" s="4" t="n">
        <v>719</v>
      </c>
      <c r="G192" s="4" t="n">
        <v>676</v>
      </c>
      <c r="H192" s="4" t="n">
        <v>35.88</v>
      </c>
      <c r="I192" s="4" t="n">
        <v>38.13</v>
      </c>
      <c r="J192" s="14" t="n">
        <f aca="false">E192-D192</f>
        <v>2</v>
      </c>
      <c r="K192" s="14" t="n">
        <f aca="false">IF(J192&lt;=0,1,0)</f>
        <v>0</v>
      </c>
      <c r="L192" s="15" t="n">
        <f aca="false">IFERROR(G192/F192,0)</f>
        <v>0.94019471488178</v>
      </c>
      <c r="M192" s="15" t="n">
        <f aca="false">IFERROR((I192-H192)/H192,0)</f>
        <v>0.0627090301003345</v>
      </c>
      <c r="N192" s="16" t="n">
        <f aca="false">G192*I192</f>
        <v>25775.88</v>
      </c>
    </row>
    <row r="193" customFormat="false" ht="15" hidden="false" customHeight="true" outlineLevel="0" collapsed="false">
      <c r="A193" s="4" t="s">
        <v>369</v>
      </c>
      <c r="B193" s="4" t="s">
        <v>52</v>
      </c>
      <c r="C193" s="13" t="n">
        <v>44994</v>
      </c>
      <c r="D193" s="13" t="n">
        <v>45005</v>
      </c>
      <c r="E193" s="13" t="n">
        <v>45014</v>
      </c>
      <c r="F193" s="4" t="n">
        <v>765</v>
      </c>
      <c r="G193" s="4" t="n">
        <v>649</v>
      </c>
      <c r="H193" s="4" t="n">
        <v>170.24</v>
      </c>
      <c r="I193" s="4" t="n">
        <v>170.09</v>
      </c>
      <c r="J193" s="14" t="n">
        <f aca="false">E193-D193</f>
        <v>9</v>
      </c>
      <c r="K193" s="14" t="n">
        <f aca="false">IF(J193&lt;=0,1,0)</f>
        <v>0</v>
      </c>
      <c r="L193" s="15" t="n">
        <f aca="false">IFERROR(G193/F193,0)</f>
        <v>0.848366013071895</v>
      </c>
      <c r="M193" s="15" t="n">
        <f aca="false">IFERROR((I193-H193)/H193,0)</f>
        <v>-0.000881109022556424</v>
      </c>
      <c r="N193" s="16" t="n">
        <f aca="false">G193*I193</f>
        <v>110388.41</v>
      </c>
    </row>
    <row r="194" customFormat="false" ht="15" hidden="false" customHeight="true" outlineLevel="0" collapsed="false">
      <c r="A194" s="4" t="s">
        <v>370</v>
      </c>
      <c r="B194" s="4" t="s">
        <v>129</v>
      </c>
      <c r="C194" s="13" t="n">
        <v>44981</v>
      </c>
      <c r="D194" s="13" t="n">
        <v>44999</v>
      </c>
      <c r="E194" s="13" t="n">
        <v>44998</v>
      </c>
      <c r="F194" s="4" t="n">
        <v>382</v>
      </c>
      <c r="G194" s="4" t="n">
        <v>361</v>
      </c>
      <c r="H194" s="4" t="n">
        <v>709.66</v>
      </c>
      <c r="I194" s="4" t="n">
        <v>707.5</v>
      </c>
      <c r="J194" s="14" t="n">
        <f aca="false">E194-D194</f>
        <v>-1</v>
      </c>
      <c r="K194" s="14" t="n">
        <f aca="false">IF(J194&lt;=0,1,0)</f>
        <v>1</v>
      </c>
      <c r="L194" s="15" t="n">
        <f aca="false">IFERROR(G194/F194,0)</f>
        <v>0.945026178010471</v>
      </c>
      <c r="M194" s="15" t="n">
        <f aca="false">IFERROR((I194-H194)/H194,0)</f>
        <v>-0.00304371107290811</v>
      </c>
      <c r="N194" s="16" t="n">
        <f aca="false">G194*I194</f>
        <v>255407.5</v>
      </c>
    </row>
    <row r="195" customFormat="false" ht="15" hidden="false" customHeight="true" outlineLevel="0" collapsed="false">
      <c r="A195" s="4" t="s">
        <v>371</v>
      </c>
      <c r="B195" s="4" t="s">
        <v>85</v>
      </c>
      <c r="C195" s="13" t="n">
        <v>45655</v>
      </c>
      <c r="D195" s="13" t="n">
        <v>45664</v>
      </c>
      <c r="E195" s="13" t="n">
        <v>45662</v>
      </c>
      <c r="F195" s="4" t="n">
        <v>1086</v>
      </c>
      <c r="G195" s="4" t="n">
        <v>1023</v>
      </c>
      <c r="H195" s="4" t="n">
        <v>241.88</v>
      </c>
      <c r="I195" s="4" t="n">
        <v>229</v>
      </c>
      <c r="J195" s="14" t="n">
        <f aca="false">E195-D195</f>
        <v>-2</v>
      </c>
      <c r="K195" s="14" t="n">
        <f aca="false">IF(J195&lt;=0,1,0)</f>
        <v>1</v>
      </c>
      <c r="L195" s="15" t="n">
        <f aca="false">IFERROR(G195/F195,0)</f>
        <v>0.941988950276243</v>
      </c>
      <c r="M195" s="15" t="n">
        <f aca="false">IFERROR((I195-H195)/H195,0)</f>
        <v>-0.0532495452290392</v>
      </c>
      <c r="N195" s="16" t="n">
        <f aca="false">G195*I195</f>
        <v>234267</v>
      </c>
    </row>
    <row r="196" customFormat="false" ht="15" hidden="false" customHeight="true" outlineLevel="0" collapsed="false">
      <c r="A196" s="4" t="s">
        <v>372</v>
      </c>
      <c r="B196" s="4" t="s">
        <v>153</v>
      </c>
      <c r="C196" s="13" t="n">
        <v>45047</v>
      </c>
      <c r="D196" s="13" t="n">
        <v>45064</v>
      </c>
      <c r="E196" s="13" t="n">
        <v>45071</v>
      </c>
      <c r="F196" s="4" t="n">
        <v>70</v>
      </c>
      <c r="G196" s="4" t="n">
        <v>64</v>
      </c>
      <c r="H196" s="4" t="n">
        <v>1492.04</v>
      </c>
      <c r="I196" s="4" t="n">
        <v>1504.96</v>
      </c>
      <c r="J196" s="14" t="n">
        <f aca="false">E196-D196</f>
        <v>7</v>
      </c>
      <c r="K196" s="14" t="n">
        <f aca="false">IF(J196&lt;=0,1,0)</f>
        <v>0</v>
      </c>
      <c r="L196" s="15" t="n">
        <f aca="false">IFERROR(G196/F196,0)</f>
        <v>0.914285714285714</v>
      </c>
      <c r="M196" s="15" t="n">
        <f aca="false">IFERROR((I196-H196)/H196,0)</f>
        <v>0.0086592852738533</v>
      </c>
      <c r="N196" s="16" t="n">
        <f aca="false">G196*I196</f>
        <v>96317.44</v>
      </c>
    </row>
    <row r="197" customFormat="false" ht="15" hidden="false" customHeight="true" outlineLevel="0" collapsed="false">
      <c r="A197" s="4" t="s">
        <v>373</v>
      </c>
      <c r="B197" s="4" t="s">
        <v>155</v>
      </c>
      <c r="C197" s="13" t="n">
        <v>45476</v>
      </c>
      <c r="D197" s="13" t="n">
        <v>45483</v>
      </c>
      <c r="E197" s="13" t="n">
        <v>45483</v>
      </c>
      <c r="F197" s="4" t="n">
        <v>3243</v>
      </c>
      <c r="G197" s="4" t="n">
        <v>3195</v>
      </c>
      <c r="H197" s="4" t="n">
        <v>24.04</v>
      </c>
      <c r="I197" s="4" t="n">
        <v>22.52</v>
      </c>
      <c r="J197" s="14" t="n">
        <f aca="false">E197-D197</f>
        <v>0</v>
      </c>
      <c r="K197" s="14" t="n">
        <f aca="false">IF(J197&lt;=0,1,0)</f>
        <v>1</v>
      </c>
      <c r="L197" s="15" t="n">
        <f aca="false">IFERROR(G197/F197,0)</f>
        <v>0.985198889916744</v>
      </c>
      <c r="M197" s="15" t="n">
        <f aca="false">IFERROR((I197-H197)/H197,0)</f>
        <v>-0.0632279534109817</v>
      </c>
      <c r="N197" s="16" t="n">
        <f aca="false">G197*I197</f>
        <v>71951.4</v>
      </c>
    </row>
    <row r="198" customFormat="false" ht="15" hidden="false" customHeight="true" outlineLevel="0" collapsed="false">
      <c r="A198" s="4" t="s">
        <v>374</v>
      </c>
      <c r="B198" s="4" t="s">
        <v>141</v>
      </c>
      <c r="C198" s="13" t="n">
        <v>45308</v>
      </c>
      <c r="D198" s="13" t="n">
        <v>45327</v>
      </c>
      <c r="E198" s="13" t="n">
        <v>45333</v>
      </c>
      <c r="F198" s="4" t="n">
        <v>437</v>
      </c>
      <c r="G198" s="4" t="n">
        <v>425</v>
      </c>
      <c r="H198" s="4" t="n">
        <v>1252.36</v>
      </c>
      <c r="I198" s="4" t="n">
        <v>1231.7</v>
      </c>
      <c r="J198" s="14" t="n">
        <f aca="false">E198-D198</f>
        <v>6</v>
      </c>
      <c r="K198" s="14" t="n">
        <f aca="false">IF(J198&lt;=0,1,0)</f>
        <v>0</v>
      </c>
      <c r="L198" s="15" t="n">
        <f aca="false">IFERROR(G198/F198,0)</f>
        <v>0.97254004576659</v>
      </c>
      <c r="M198" s="15" t="n">
        <f aca="false">IFERROR((I198-H198)/H198,0)</f>
        <v>-0.0164968539397616</v>
      </c>
      <c r="N198" s="16" t="n">
        <f aca="false">G198*I198</f>
        <v>523472.5</v>
      </c>
    </row>
    <row r="199" customFormat="false" ht="15" hidden="false" customHeight="true" outlineLevel="0" collapsed="false">
      <c r="A199" s="4" t="s">
        <v>375</v>
      </c>
      <c r="B199" s="4" t="s">
        <v>107</v>
      </c>
      <c r="C199" s="13" t="n">
        <v>45198</v>
      </c>
      <c r="D199" s="13" t="n">
        <v>45206</v>
      </c>
      <c r="E199" s="13" t="n">
        <v>45206</v>
      </c>
      <c r="F199" s="4" t="n">
        <v>705</v>
      </c>
      <c r="G199" s="4" t="n">
        <v>694</v>
      </c>
      <c r="H199" s="4" t="n">
        <v>40.41</v>
      </c>
      <c r="I199" s="4" t="n">
        <v>40.04</v>
      </c>
      <c r="J199" s="14" t="n">
        <f aca="false">E199-D199</f>
        <v>0</v>
      </c>
      <c r="K199" s="14" t="n">
        <f aca="false">IF(J199&lt;=0,1,0)</f>
        <v>1</v>
      </c>
      <c r="L199" s="15" t="n">
        <f aca="false">IFERROR(G199/F199,0)</f>
        <v>0.984397163120567</v>
      </c>
      <c r="M199" s="15" t="n">
        <f aca="false">IFERROR((I199-H199)/H199,0)</f>
        <v>-0.00915614946795341</v>
      </c>
      <c r="N199" s="16" t="n">
        <f aca="false">G199*I199</f>
        <v>27787.76</v>
      </c>
    </row>
    <row r="200" customFormat="false" ht="15" hidden="false" customHeight="true" outlineLevel="0" collapsed="false">
      <c r="A200" s="4" t="s">
        <v>376</v>
      </c>
      <c r="B200" s="4" t="s">
        <v>115</v>
      </c>
      <c r="C200" s="13" t="n">
        <v>44973</v>
      </c>
      <c r="D200" s="13" t="n">
        <v>44984</v>
      </c>
      <c r="E200" s="13" t="n">
        <v>44990</v>
      </c>
      <c r="F200" s="4" t="n">
        <v>234</v>
      </c>
      <c r="G200" s="4" t="n">
        <v>219</v>
      </c>
      <c r="H200" s="4" t="n">
        <v>115.53</v>
      </c>
      <c r="I200" s="4" t="n">
        <v>115.75</v>
      </c>
      <c r="J200" s="14" t="n">
        <f aca="false">E200-D200</f>
        <v>6</v>
      </c>
      <c r="K200" s="14" t="n">
        <f aca="false">IF(J200&lt;=0,1,0)</f>
        <v>0</v>
      </c>
      <c r="L200" s="15" t="n">
        <f aca="false">IFERROR(G200/F200,0)</f>
        <v>0.935897435897436</v>
      </c>
      <c r="M200" s="15" t="n">
        <f aca="false">IFERROR((I200-H200)/H200,0)</f>
        <v>0.00190426728988141</v>
      </c>
      <c r="N200" s="16" t="n">
        <f aca="false">G200*I200</f>
        <v>25349.25</v>
      </c>
    </row>
    <row r="201" customFormat="false" ht="15" hidden="false" customHeight="true" outlineLevel="0" collapsed="false">
      <c r="A201" s="4" t="s">
        <v>377</v>
      </c>
      <c r="B201" s="4" t="s">
        <v>123</v>
      </c>
      <c r="C201" s="13" t="n">
        <v>45625</v>
      </c>
      <c r="D201" s="13" t="n">
        <v>45637</v>
      </c>
      <c r="E201" s="13" t="n">
        <v>45637</v>
      </c>
      <c r="F201" s="4" t="n">
        <v>294</v>
      </c>
      <c r="G201" s="4" t="n">
        <v>289</v>
      </c>
      <c r="H201" s="4" t="n">
        <v>214.07</v>
      </c>
      <c r="I201" s="4" t="n">
        <v>255.02</v>
      </c>
      <c r="J201" s="14" t="n">
        <f aca="false">E201-D201</f>
        <v>0</v>
      </c>
      <c r="K201" s="14" t="n">
        <f aca="false">IF(J201&lt;=0,1,0)</f>
        <v>1</v>
      </c>
      <c r="L201" s="15" t="n">
        <f aca="false">IFERROR(G201/F201,0)</f>
        <v>0.982993197278912</v>
      </c>
      <c r="M201" s="15" t="n">
        <f aca="false">IFERROR((I201-H201)/H201,0)</f>
        <v>0.191292567851637</v>
      </c>
      <c r="N201" s="16" t="n">
        <f aca="false">G201*I201</f>
        <v>73700.78</v>
      </c>
    </row>
    <row r="202" customFormat="false" ht="15" hidden="false" customHeight="true" outlineLevel="0" collapsed="false">
      <c r="A202" s="4" t="s">
        <v>378</v>
      </c>
      <c r="B202" s="4" t="s">
        <v>93</v>
      </c>
      <c r="C202" s="13" t="n">
        <v>45402</v>
      </c>
      <c r="D202" s="13" t="n">
        <v>45413</v>
      </c>
      <c r="E202" s="13" t="n">
        <v>45414</v>
      </c>
      <c r="F202" s="4" t="n">
        <v>604</v>
      </c>
      <c r="G202" s="4" t="n">
        <v>572</v>
      </c>
      <c r="H202" s="4" t="n">
        <v>174.25</v>
      </c>
      <c r="I202" s="4" t="n">
        <v>180.12</v>
      </c>
      <c r="J202" s="14" t="n">
        <f aca="false">E202-D202</f>
        <v>1</v>
      </c>
      <c r="K202" s="14" t="n">
        <f aca="false">IF(J202&lt;=0,1,0)</f>
        <v>0</v>
      </c>
      <c r="L202" s="15" t="n">
        <f aca="false">IFERROR(G202/F202,0)</f>
        <v>0.947019867549669</v>
      </c>
      <c r="M202" s="15" t="n">
        <f aca="false">IFERROR((I202-H202)/H202,0)</f>
        <v>0.033687230989957</v>
      </c>
      <c r="N202" s="16" t="n">
        <f aca="false">G202*I202</f>
        <v>103028.64</v>
      </c>
    </row>
    <row r="203" customFormat="false" ht="15" hidden="false" customHeight="true" outlineLevel="0" collapsed="false">
      <c r="A203" s="4" t="s">
        <v>379</v>
      </c>
      <c r="B203" s="4" t="s">
        <v>55</v>
      </c>
      <c r="C203" s="13" t="n">
        <v>45127</v>
      </c>
      <c r="D203" s="13" t="n">
        <v>45144</v>
      </c>
      <c r="E203" s="13" t="n">
        <v>45141</v>
      </c>
      <c r="F203" s="4" t="n">
        <v>230</v>
      </c>
      <c r="G203" s="4" t="n">
        <v>219</v>
      </c>
      <c r="H203" s="4" t="n">
        <v>598.09</v>
      </c>
      <c r="I203" s="4" t="n">
        <v>584.05</v>
      </c>
      <c r="J203" s="14" t="n">
        <f aca="false">E203-D203</f>
        <v>-3</v>
      </c>
      <c r="K203" s="14" t="n">
        <f aca="false">IF(J203&lt;=0,1,0)</f>
        <v>1</v>
      </c>
      <c r="L203" s="15" t="n">
        <f aca="false">IFERROR(G203/F203,0)</f>
        <v>0.952173913043478</v>
      </c>
      <c r="M203" s="15" t="n">
        <f aca="false">IFERROR((I203-H203)/H203,0)</f>
        <v>-0.0234747278837634</v>
      </c>
      <c r="N203" s="16" t="n">
        <f aca="false">G203*I203</f>
        <v>127906.95</v>
      </c>
    </row>
    <row r="204" customFormat="false" ht="15" hidden="false" customHeight="true" outlineLevel="0" collapsed="false">
      <c r="A204" s="4" t="s">
        <v>380</v>
      </c>
      <c r="B204" s="4" t="s">
        <v>83</v>
      </c>
      <c r="C204" s="13" t="n">
        <v>45088</v>
      </c>
      <c r="D204" s="13" t="n">
        <v>45098</v>
      </c>
      <c r="E204" s="13" t="n">
        <v>45103</v>
      </c>
      <c r="F204" s="4" t="n">
        <v>243</v>
      </c>
      <c r="G204" s="4" t="n">
        <v>243</v>
      </c>
      <c r="H204" s="4" t="n">
        <v>101.36</v>
      </c>
      <c r="I204" s="4" t="n">
        <v>102.58</v>
      </c>
      <c r="J204" s="14" t="n">
        <f aca="false">E204-D204</f>
        <v>5</v>
      </c>
      <c r="K204" s="14" t="n">
        <f aca="false">IF(J204&lt;=0,1,0)</f>
        <v>0</v>
      </c>
      <c r="L204" s="15" t="n">
        <f aca="false">IFERROR(G204/F204,0)</f>
        <v>1</v>
      </c>
      <c r="M204" s="15" t="n">
        <f aca="false">IFERROR((I204-H204)/H204,0)</f>
        <v>0.0120363062352013</v>
      </c>
      <c r="N204" s="16" t="n">
        <f aca="false">G204*I204</f>
        <v>24926.94</v>
      </c>
    </row>
    <row r="205" customFormat="false" ht="15" hidden="false" customHeight="true" outlineLevel="0" collapsed="false">
      <c r="A205" s="4" t="s">
        <v>381</v>
      </c>
      <c r="B205" s="4" t="s">
        <v>109</v>
      </c>
      <c r="C205" s="13" t="n">
        <v>45647</v>
      </c>
      <c r="D205" s="13" t="n">
        <v>45666</v>
      </c>
      <c r="E205" s="13" t="n">
        <v>45669</v>
      </c>
      <c r="F205" s="4" t="n">
        <v>89</v>
      </c>
      <c r="G205" s="4" t="n">
        <v>86</v>
      </c>
      <c r="H205" s="4" t="n">
        <v>858.02</v>
      </c>
      <c r="I205" s="4" t="n">
        <v>906.67</v>
      </c>
      <c r="J205" s="14" t="n">
        <f aca="false">E205-D205</f>
        <v>3</v>
      </c>
      <c r="K205" s="14" t="n">
        <f aca="false">IF(J205&lt;=0,1,0)</f>
        <v>0</v>
      </c>
      <c r="L205" s="15" t="n">
        <f aca="false">IFERROR(G205/F205,0)</f>
        <v>0.966292134831461</v>
      </c>
      <c r="M205" s="15" t="n">
        <f aca="false">IFERROR((I205-H205)/H205,0)</f>
        <v>0.0567003100160835</v>
      </c>
      <c r="N205" s="16" t="n">
        <f aca="false">G205*I205</f>
        <v>77973.62</v>
      </c>
    </row>
    <row r="206" customFormat="false" ht="15" hidden="false" customHeight="true" outlineLevel="0" collapsed="false">
      <c r="A206" s="4" t="s">
        <v>382</v>
      </c>
      <c r="B206" s="4" t="s">
        <v>163</v>
      </c>
      <c r="C206" s="13" t="n">
        <v>45279</v>
      </c>
      <c r="D206" s="13" t="n">
        <v>45297</v>
      </c>
      <c r="E206" s="13" t="n">
        <v>45297</v>
      </c>
      <c r="F206" s="4" t="n">
        <v>184</v>
      </c>
      <c r="G206" s="4" t="n">
        <v>178</v>
      </c>
      <c r="H206" s="4" t="n">
        <v>482.79</v>
      </c>
      <c r="I206" s="4" t="n">
        <v>493.25</v>
      </c>
      <c r="J206" s="14" t="n">
        <f aca="false">E206-D206</f>
        <v>0</v>
      </c>
      <c r="K206" s="14" t="n">
        <f aca="false">IF(J206&lt;=0,1,0)</f>
        <v>1</v>
      </c>
      <c r="L206" s="15" t="n">
        <f aca="false">IFERROR(G206/F206,0)</f>
        <v>0.967391304347826</v>
      </c>
      <c r="M206" s="15" t="n">
        <f aca="false">IFERROR((I206-H206)/H206,0)</f>
        <v>0.0216657345843948</v>
      </c>
      <c r="N206" s="16" t="n">
        <f aca="false">G206*I206</f>
        <v>87798.5</v>
      </c>
    </row>
    <row r="207" customFormat="false" ht="15" hidden="false" customHeight="true" outlineLevel="0" collapsed="false">
      <c r="A207" s="4" t="s">
        <v>383</v>
      </c>
      <c r="B207" s="4" t="s">
        <v>107</v>
      </c>
      <c r="C207" s="13" t="n">
        <v>45316</v>
      </c>
      <c r="D207" s="13" t="n">
        <v>45322</v>
      </c>
      <c r="E207" s="13" t="n">
        <v>45327</v>
      </c>
      <c r="F207" s="4" t="n">
        <v>3530</v>
      </c>
      <c r="G207" s="4" t="n">
        <v>3518</v>
      </c>
      <c r="H207" s="4" t="n">
        <v>40.41</v>
      </c>
      <c r="I207" s="4" t="n">
        <v>41.05</v>
      </c>
      <c r="J207" s="14" t="n">
        <f aca="false">E207-D207</f>
        <v>5</v>
      </c>
      <c r="K207" s="14" t="n">
        <f aca="false">IF(J207&lt;=0,1,0)</f>
        <v>0</v>
      </c>
      <c r="L207" s="15" t="n">
        <f aca="false">IFERROR(G207/F207,0)</f>
        <v>0.996600566572238</v>
      </c>
      <c r="M207" s="15" t="n">
        <f aca="false">IFERROR((I207-H207)/H207,0)</f>
        <v>0.0158376639445682</v>
      </c>
      <c r="N207" s="16" t="n">
        <f aca="false">G207*I207</f>
        <v>144413.9</v>
      </c>
    </row>
    <row r="208" customFormat="false" ht="15" hidden="false" customHeight="true" outlineLevel="0" collapsed="false">
      <c r="A208" s="4" t="s">
        <v>384</v>
      </c>
      <c r="B208" s="4" t="s">
        <v>32</v>
      </c>
      <c r="C208" s="13" t="n">
        <v>45564</v>
      </c>
      <c r="D208" s="13" t="n">
        <v>45570</v>
      </c>
      <c r="E208" s="13" t="n">
        <v>45569</v>
      </c>
      <c r="F208" s="4" t="n">
        <v>3217</v>
      </c>
      <c r="G208" s="4" t="n">
        <v>3000</v>
      </c>
      <c r="H208" s="4" t="n">
        <v>32.49</v>
      </c>
      <c r="I208" s="4" t="n">
        <v>33.11</v>
      </c>
      <c r="J208" s="14" t="n">
        <f aca="false">E208-D208</f>
        <v>-1</v>
      </c>
      <c r="K208" s="14" t="n">
        <f aca="false">IF(J208&lt;=0,1,0)</f>
        <v>1</v>
      </c>
      <c r="L208" s="15" t="n">
        <f aca="false">IFERROR(G208/F208,0)</f>
        <v>0.932545850170967</v>
      </c>
      <c r="M208" s="15" t="n">
        <f aca="false">IFERROR((I208-H208)/H208,0)</f>
        <v>0.0190827947060633</v>
      </c>
      <c r="N208" s="16" t="n">
        <f aca="false">G208*I208</f>
        <v>99330</v>
      </c>
    </row>
    <row r="209" customFormat="false" ht="15" hidden="false" customHeight="true" outlineLevel="0" collapsed="false">
      <c r="A209" s="4" t="s">
        <v>385</v>
      </c>
      <c r="B209" s="4" t="s">
        <v>115</v>
      </c>
      <c r="C209" s="13" t="n">
        <v>45348</v>
      </c>
      <c r="D209" s="13" t="n">
        <v>45359</v>
      </c>
      <c r="E209" s="13" t="n">
        <v>45370</v>
      </c>
      <c r="F209" s="4" t="n">
        <v>221</v>
      </c>
      <c r="G209" s="4" t="n">
        <v>204</v>
      </c>
      <c r="H209" s="4" t="n">
        <v>115.53</v>
      </c>
      <c r="I209" s="4" t="n">
        <v>121.36</v>
      </c>
      <c r="J209" s="14" t="n">
        <f aca="false">E209-D209</f>
        <v>11</v>
      </c>
      <c r="K209" s="14" t="n">
        <f aca="false">IF(J209&lt;=0,1,0)</f>
        <v>0</v>
      </c>
      <c r="L209" s="15" t="n">
        <f aca="false">IFERROR(G209/F209,0)</f>
        <v>0.923076923076923</v>
      </c>
      <c r="M209" s="15" t="n">
        <f aca="false">IFERROR((I209-H209)/H209,0)</f>
        <v>0.0504630831818575</v>
      </c>
      <c r="N209" s="16" t="n">
        <f aca="false">G209*I209</f>
        <v>24757.44</v>
      </c>
    </row>
    <row r="210" customFormat="false" ht="15" hidden="false" customHeight="true" outlineLevel="0" collapsed="false">
      <c r="A210" s="4" t="s">
        <v>386</v>
      </c>
      <c r="B210" s="4" t="s">
        <v>61</v>
      </c>
      <c r="C210" s="13" t="n">
        <v>45647</v>
      </c>
      <c r="D210" s="13" t="n">
        <v>45659</v>
      </c>
      <c r="E210" s="13" t="n">
        <v>45662</v>
      </c>
      <c r="F210" s="4" t="n">
        <v>600</v>
      </c>
      <c r="G210" s="4" t="n">
        <v>600</v>
      </c>
      <c r="H210" s="4" t="n">
        <v>107.41</v>
      </c>
      <c r="I210" s="4" t="n">
        <v>108.4</v>
      </c>
      <c r="J210" s="14" t="n">
        <f aca="false">E210-D210</f>
        <v>3</v>
      </c>
      <c r="K210" s="14" t="n">
        <f aca="false">IF(J210&lt;=0,1,0)</f>
        <v>0</v>
      </c>
      <c r="L210" s="15" t="n">
        <f aca="false">IFERROR(G210/F210,0)</f>
        <v>1</v>
      </c>
      <c r="M210" s="15" t="n">
        <f aca="false">IFERROR((I210-H210)/H210,0)</f>
        <v>0.00921701889954389</v>
      </c>
      <c r="N210" s="16" t="n">
        <f aca="false">G210*I210</f>
        <v>65040</v>
      </c>
    </row>
    <row r="211" customFormat="false" ht="15" hidden="false" customHeight="true" outlineLevel="0" collapsed="false">
      <c r="A211" s="4" t="s">
        <v>387</v>
      </c>
      <c r="B211" s="4" t="s">
        <v>149</v>
      </c>
      <c r="C211" s="13" t="n">
        <v>45605</v>
      </c>
      <c r="D211" s="13" t="n">
        <v>45609</v>
      </c>
      <c r="E211" s="13" t="n">
        <v>45611</v>
      </c>
      <c r="F211" s="4" t="n">
        <v>4</v>
      </c>
      <c r="G211" s="4" t="n">
        <v>4</v>
      </c>
      <c r="H211" s="4" t="n">
        <v>1458.52</v>
      </c>
      <c r="I211" s="4" t="n">
        <v>1480.35</v>
      </c>
      <c r="J211" s="14" t="n">
        <f aca="false">E211-D211</f>
        <v>2</v>
      </c>
      <c r="K211" s="14" t="n">
        <f aca="false">IF(J211&lt;=0,1,0)</f>
        <v>0</v>
      </c>
      <c r="L211" s="15" t="n">
        <f aca="false">IFERROR(G211/F211,0)</f>
        <v>1</v>
      </c>
      <c r="M211" s="15" t="n">
        <f aca="false">IFERROR((I211-H211)/H211,0)</f>
        <v>0.0149672270520801</v>
      </c>
      <c r="N211" s="16" t="n">
        <f aca="false">G211*I211</f>
        <v>5921.4</v>
      </c>
    </row>
    <row r="212" customFormat="false" ht="15" hidden="false" customHeight="true" outlineLevel="0" collapsed="false">
      <c r="A212" s="4" t="s">
        <v>388</v>
      </c>
      <c r="B212" s="4" t="s">
        <v>72</v>
      </c>
      <c r="C212" s="13" t="n">
        <v>45424</v>
      </c>
      <c r="D212" s="13" t="n">
        <v>45433</v>
      </c>
      <c r="E212" s="13" t="n">
        <v>45436</v>
      </c>
      <c r="F212" s="4" t="n">
        <v>3451</v>
      </c>
      <c r="G212" s="4" t="n">
        <v>3451</v>
      </c>
      <c r="H212" s="4" t="n">
        <v>34.53</v>
      </c>
      <c r="I212" s="4" t="n">
        <v>36.9</v>
      </c>
      <c r="J212" s="14" t="n">
        <f aca="false">E212-D212</f>
        <v>3</v>
      </c>
      <c r="K212" s="14" t="n">
        <f aca="false">IF(J212&lt;=0,1,0)</f>
        <v>0</v>
      </c>
      <c r="L212" s="15" t="n">
        <f aca="false">IFERROR(G212/F212,0)</f>
        <v>1</v>
      </c>
      <c r="M212" s="15" t="n">
        <f aca="false">IFERROR((I212-H212)/H212,0)</f>
        <v>0.0686359687228496</v>
      </c>
      <c r="N212" s="16" t="n">
        <f aca="false">G212*I212</f>
        <v>127341.9</v>
      </c>
    </row>
    <row r="213" customFormat="false" ht="15" hidden="false" customHeight="true" outlineLevel="0" collapsed="false">
      <c r="A213" s="4" t="s">
        <v>389</v>
      </c>
      <c r="B213" s="4" t="s">
        <v>61</v>
      </c>
      <c r="C213" s="13" t="n">
        <v>45345</v>
      </c>
      <c r="D213" s="13" t="n">
        <v>45357</v>
      </c>
      <c r="E213" s="13" t="n">
        <v>45360</v>
      </c>
      <c r="F213" s="4" t="n">
        <v>529</v>
      </c>
      <c r="G213" s="4" t="n">
        <v>525</v>
      </c>
      <c r="H213" s="4" t="n">
        <v>107.41</v>
      </c>
      <c r="I213" s="4" t="n">
        <v>107.78</v>
      </c>
      <c r="J213" s="14" t="n">
        <f aca="false">E213-D213</f>
        <v>3</v>
      </c>
      <c r="K213" s="14" t="n">
        <f aca="false">IF(J213&lt;=0,1,0)</f>
        <v>0</v>
      </c>
      <c r="L213" s="15" t="n">
        <f aca="false">IFERROR(G213/F213,0)</f>
        <v>0.992438563327032</v>
      </c>
      <c r="M213" s="15" t="n">
        <f aca="false">IFERROR((I213-H213)/H213,0)</f>
        <v>0.00344474443720328</v>
      </c>
      <c r="N213" s="16" t="n">
        <f aca="false">G213*I213</f>
        <v>56584.5</v>
      </c>
    </row>
    <row r="214" customFormat="false" ht="15" hidden="false" customHeight="true" outlineLevel="0" collapsed="false">
      <c r="A214" s="4" t="s">
        <v>390</v>
      </c>
      <c r="B214" s="4" t="s">
        <v>129</v>
      </c>
      <c r="C214" s="13" t="n">
        <v>45086</v>
      </c>
      <c r="D214" s="13" t="n">
        <v>45105</v>
      </c>
      <c r="E214" s="13" t="n">
        <v>45107</v>
      </c>
      <c r="F214" s="4" t="n">
        <v>128</v>
      </c>
      <c r="G214" s="4" t="n">
        <v>124</v>
      </c>
      <c r="H214" s="4" t="n">
        <v>709.66</v>
      </c>
      <c r="I214" s="4" t="n">
        <v>726.83</v>
      </c>
      <c r="J214" s="14" t="n">
        <f aca="false">E214-D214</f>
        <v>2</v>
      </c>
      <c r="K214" s="14" t="n">
        <f aca="false">IF(J214&lt;=0,1,0)</f>
        <v>0</v>
      </c>
      <c r="L214" s="15" t="n">
        <f aca="false">IFERROR(G214/F214,0)</f>
        <v>0.96875</v>
      </c>
      <c r="M214" s="15" t="n">
        <f aca="false">IFERROR((I214-H214)/H214,0)</f>
        <v>0.0241946847786265</v>
      </c>
      <c r="N214" s="16" t="n">
        <f aca="false">G214*I214</f>
        <v>90126.92</v>
      </c>
    </row>
    <row r="215" customFormat="false" ht="15" hidden="false" customHeight="true" outlineLevel="0" collapsed="false">
      <c r="A215" s="4" t="s">
        <v>391</v>
      </c>
      <c r="B215" s="4" t="s">
        <v>159</v>
      </c>
      <c r="C215" s="13" t="n">
        <v>45327</v>
      </c>
      <c r="D215" s="13" t="n">
        <v>45336</v>
      </c>
      <c r="E215" s="13" t="n">
        <v>45334</v>
      </c>
      <c r="F215" s="4" t="n">
        <v>1221</v>
      </c>
      <c r="G215" s="4" t="n">
        <v>1221</v>
      </c>
      <c r="H215" s="4" t="n">
        <v>32.91</v>
      </c>
      <c r="I215" s="4" t="n">
        <v>32.98</v>
      </c>
      <c r="J215" s="14" t="n">
        <f aca="false">E215-D215</f>
        <v>-2</v>
      </c>
      <c r="K215" s="14" t="n">
        <f aca="false">IF(J215&lt;=0,1,0)</f>
        <v>1</v>
      </c>
      <c r="L215" s="15" t="n">
        <f aca="false">IFERROR(G215/F215,0)</f>
        <v>1</v>
      </c>
      <c r="M215" s="15" t="n">
        <f aca="false">IFERROR((I215-H215)/H215,0)</f>
        <v>0.00212701306593741</v>
      </c>
      <c r="N215" s="16" t="n">
        <f aca="false">G215*I215</f>
        <v>40268.58</v>
      </c>
    </row>
    <row r="216" customFormat="false" ht="15" hidden="false" customHeight="true" outlineLevel="0" collapsed="false">
      <c r="A216" s="4" t="s">
        <v>392</v>
      </c>
      <c r="B216" s="4" t="s">
        <v>143</v>
      </c>
      <c r="C216" s="13" t="n">
        <v>45405</v>
      </c>
      <c r="D216" s="13" t="n">
        <v>45411</v>
      </c>
      <c r="E216" s="13" t="n">
        <v>45425</v>
      </c>
      <c r="F216" s="4" t="n">
        <v>1445</v>
      </c>
      <c r="G216" s="4" t="n">
        <v>1323</v>
      </c>
      <c r="H216" s="4" t="n">
        <v>20.6</v>
      </c>
      <c r="I216" s="4" t="n">
        <v>21.93</v>
      </c>
      <c r="J216" s="14" t="n">
        <f aca="false">E216-D216</f>
        <v>14</v>
      </c>
      <c r="K216" s="14" t="n">
        <f aca="false">IF(J216&lt;=0,1,0)</f>
        <v>0</v>
      </c>
      <c r="L216" s="15" t="n">
        <f aca="false">IFERROR(G216/F216,0)</f>
        <v>0.915570934256055</v>
      </c>
      <c r="M216" s="15" t="n">
        <f aca="false">IFERROR((I216-H216)/H216,0)</f>
        <v>0.0645631067961164</v>
      </c>
      <c r="N216" s="16" t="n">
        <f aca="false">G216*I216</f>
        <v>29013.39</v>
      </c>
    </row>
    <row r="217" customFormat="false" ht="15" hidden="false" customHeight="true" outlineLevel="0" collapsed="false">
      <c r="A217" s="4" t="s">
        <v>393</v>
      </c>
      <c r="B217" s="4" t="s">
        <v>137</v>
      </c>
      <c r="C217" s="13" t="n">
        <v>45406</v>
      </c>
      <c r="D217" s="13" t="n">
        <v>45425</v>
      </c>
      <c r="E217" s="13" t="n">
        <v>45430</v>
      </c>
      <c r="F217" s="4" t="n">
        <v>199</v>
      </c>
      <c r="G217" s="4" t="n">
        <v>182</v>
      </c>
      <c r="H217" s="4" t="n">
        <v>1047.25</v>
      </c>
      <c r="I217" s="4" t="n">
        <v>1095.41</v>
      </c>
      <c r="J217" s="14" t="n">
        <f aca="false">E217-D217</f>
        <v>5</v>
      </c>
      <c r="K217" s="14" t="n">
        <f aca="false">IF(J217&lt;=0,1,0)</f>
        <v>0</v>
      </c>
      <c r="L217" s="15" t="n">
        <f aca="false">IFERROR(G217/F217,0)</f>
        <v>0.914572864321608</v>
      </c>
      <c r="M217" s="15" t="n">
        <f aca="false">IFERROR((I217-H217)/H217,0)</f>
        <v>0.0459871090952495</v>
      </c>
      <c r="N217" s="16" t="n">
        <f aca="false">G217*I217</f>
        <v>199364.62</v>
      </c>
    </row>
    <row r="218" customFormat="false" ht="15" hidden="false" customHeight="true" outlineLevel="0" collapsed="false">
      <c r="A218" s="4" t="s">
        <v>394</v>
      </c>
      <c r="B218" s="4" t="s">
        <v>149</v>
      </c>
      <c r="C218" s="13" t="n">
        <v>45444</v>
      </c>
      <c r="D218" s="13" t="n">
        <v>45451</v>
      </c>
      <c r="E218" s="13" t="n">
        <v>45453</v>
      </c>
      <c r="F218" s="4" t="n">
        <v>19</v>
      </c>
      <c r="G218" s="4" t="n">
        <v>18</v>
      </c>
      <c r="H218" s="4" t="n">
        <v>1458.52</v>
      </c>
      <c r="I218" s="4" t="n">
        <v>1474.58</v>
      </c>
      <c r="J218" s="14" t="n">
        <f aca="false">E218-D218</f>
        <v>2</v>
      </c>
      <c r="K218" s="14" t="n">
        <f aca="false">IF(J218&lt;=0,1,0)</f>
        <v>0</v>
      </c>
      <c r="L218" s="15" t="n">
        <f aca="false">IFERROR(G218/F218,0)</f>
        <v>0.947368421052632</v>
      </c>
      <c r="M218" s="15" t="n">
        <f aca="false">IFERROR((I218-H218)/H218,0)</f>
        <v>0.0110111619998354</v>
      </c>
      <c r="N218" s="16" t="n">
        <f aca="false">G218*I218</f>
        <v>26542.44</v>
      </c>
    </row>
    <row r="219" customFormat="false" ht="15" hidden="false" customHeight="true" outlineLevel="0" collapsed="false">
      <c r="A219" s="4" t="s">
        <v>395</v>
      </c>
      <c r="B219" s="4" t="s">
        <v>58</v>
      </c>
      <c r="C219" s="13" t="n">
        <v>45211</v>
      </c>
      <c r="D219" s="13" t="n">
        <v>45223</v>
      </c>
      <c r="E219" s="13" t="n">
        <v>45226</v>
      </c>
      <c r="F219" s="4" t="n">
        <v>21</v>
      </c>
      <c r="G219" s="4" t="n">
        <v>21</v>
      </c>
      <c r="H219" s="4" t="n">
        <v>135.68</v>
      </c>
      <c r="I219" s="4" t="n">
        <v>139.85</v>
      </c>
      <c r="J219" s="14" t="n">
        <f aca="false">E219-D219</f>
        <v>3</v>
      </c>
      <c r="K219" s="14" t="n">
        <f aca="false">IF(J219&lt;=0,1,0)</f>
        <v>0</v>
      </c>
      <c r="L219" s="15" t="n">
        <f aca="false">IFERROR(G219/F219,0)</f>
        <v>1</v>
      </c>
      <c r="M219" s="15" t="n">
        <f aca="false">IFERROR((I219-H219)/H219,0)</f>
        <v>0.0307340801886792</v>
      </c>
      <c r="N219" s="16" t="n">
        <f aca="false">G219*I219</f>
        <v>2936.85</v>
      </c>
    </row>
    <row r="220" customFormat="false" ht="15" hidden="false" customHeight="true" outlineLevel="0" collapsed="false">
      <c r="A220" s="4" t="s">
        <v>396</v>
      </c>
      <c r="B220" s="4" t="s">
        <v>55</v>
      </c>
      <c r="C220" s="13" t="n">
        <v>45442</v>
      </c>
      <c r="D220" s="13" t="n">
        <v>45461</v>
      </c>
      <c r="E220" s="13" t="n">
        <v>45460</v>
      </c>
      <c r="F220" s="4" t="n">
        <v>328</v>
      </c>
      <c r="G220" s="4" t="n">
        <v>305</v>
      </c>
      <c r="H220" s="4" t="n">
        <v>598.09</v>
      </c>
      <c r="I220" s="4" t="n">
        <v>569.73</v>
      </c>
      <c r="J220" s="14" t="n">
        <f aca="false">E220-D220</f>
        <v>-1</v>
      </c>
      <c r="K220" s="14" t="n">
        <f aca="false">IF(J220&lt;=0,1,0)</f>
        <v>1</v>
      </c>
      <c r="L220" s="15" t="n">
        <f aca="false">IFERROR(G220/F220,0)</f>
        <v>0.929878048780488</v>
      </c>
      <c r="M220" s="15" t="n">
        <f aca="false">IFERROR((I220-H220)/H220,0)</f>
        <v>-0.0474176127338695</v>
      </c>
      <c r="N220" s="16" t="n">
        <f aca="false">G220*I220</f>
        <v>173767.65</v>
      </c>
    </row>
    <row r="221" customFormat="false" ht="15" hidden="false" customHeight="true" outlineLevel="0" collapsed="false">
      <c r="A221" s="4" t="s">
        <v>397</v>
      </c>
      <c r="B221" s="4" t="s">
        <v>91</v>
      </c>
      <c r="C221" s="13" t="n">
        <v>45474</v>
      </c>
      <c r="D221" s="13" t="n">
        <v>45491</v>
      </c>
      <c r="E221" s="13" t="n">
        <v>45489</v>
      </c>
      <c r="F221" s="4" t="n">
        <v>488</v>
      </c>
      <c r="G221" s="4" t="n">
        <v>478</v>
      </c>
      <c r="H221" s="4" t="n">
        <v>496.29</v>
      </c>
      <c r="I221" s="4" t="n">
        <v>479.6</v>
      </c>
      <c r="J221" s="14" t="n">
        <f aca="false">E221-D221</f>
        <v>-2</v>
      </c>
      <c r="K221" s="14" t="n">
        <f aca="false">IF(J221&lt;=0,1,0)</f>
        <v>1</v>
      </c>
      <c r="L221" s="15" t="n">
        <f aca="false">IFERROR(G221/F221,0)</f>
        <v>0.979508196721312</v>
      </c>
      <c r="M221" s="15" t="n">
        <f aca="false">IFERROR((I221-H221)/H221,0)</f>
        <v>-0.0336295311209172</v>
      </c>
      <c r="N221" s="16" t="n">
        <f aca="false">G221*I221</f>
        <v>229248.8</v>
      </c>
    </row>
    <row r="222" customFormat="false" ht="15" hidden="false" customHeight="true" outlineLevel="0" collapsed="false">
      <c r="A222" s="4" t="s">
        <v>398</v>
      </c>
      <c r="B222" s="4" t="s">
        <v>37</v>
      </c>
      <c r="C222" s="13" t="n">
        <v>45498</v>
      </c>
      <c r="D222" s="13" t="n">
        <v>45506</v>
      </c>
      <c r="E222" s="13" t="n">
        <v>45505</v>
      </c>
      <c r="F222" s="4" t="n">
        <v>3265</v>
      </c>
      <c r="G222" s="4" t="n">
        <v>3226</v>
      </c>
      <c r="H222" s="4" t="n">
        <v>22.26</v>
      </c>
      <c r="I222" s="4" t="n">
        <v>21.57</v>
      </c>
      <c r="J222" s="14" t="n">
        <f aca="false">E222-D222</f>
        <v>-1</v>
      </c>
      <c r="K222" s="14" t="n">
        <f aca="false">IF(J222&lt;=0,1,0)</f>
        <v>1</v>
      </c>
      <c r="L222" s="15" t="n">
        <f aca="false">IFERROR(G222/F222,0)</f>
        <v>0.988055130168453</v>
      </c>
      <c r="M222" s="15" t="n">
        <f aca="false">IFERROR((I222-H222)/H222,0)</f>
        <v>-0.0309973045822103</v>
      </c>
      <c r="N222" s="16" t="n">
        <f aca="false">G222*I222</f>
        <v>69584.82</v>
      </c>
    </row>
    <row r="223" customFormat="false" ht="15" hidden="false" customHeight="true" outlineLevel="0" collapsed="false">
      <c r="A223" s="4" t="s">
        <v>399</v>
      </c>
      <c r="B223" s="4" t="s">
        <v>61</v>
      </c>
      <c r="C223" s="13" t="n">
        <v>45571</v>
      </c>
      <c r="D223" s="13" t="n">
        <v>45581</v>
      </c>
      <c r="E223" s="13" t="n">
        <v>45584</v>
      </c>
      <c r="F223" s="4" t="n">
        <v>873</v>
      </c>
      <c r="G223" s="4" t="n">
        <v>873</v>
      </c>
      <c r="H223" s="4" t="n">
        <v>107.41</v>
      </c>
      <c r="I223" s="4" t="n">
        <v>106.61</v>
      </c>
      <c r="J223" s="14" t="n">
        <f aca="false">E223-D223</f>
        <v>3</v>
      </c>
      <c r="K223" s="14" t="n">
        <f aca="false">IF(J223&lt;=0,1,0)</f>
        <v>0</v>
      </c>
      <c r="L223" s="15" t="n">
        <f aca="false">IFERROR(G223/F223,0)</f>
        <v>1</v>
      </c>
      <c r="M223" s="15" t="n">
        <f aca="false">IFERROR((I223-H223)/H223,0)</f>
        <v>-0.00744809608043941</v>
      </c>
      <c r="N223" s="16" t="n">
        <f aca="false">G223*I223</f>
        <v>93070.53</v>
      </c>
    </row>
    <row r="224" customFormat="false" ht="15" hidden="false" customHeight="true" outlineLevel="0" collapsed="false">
      <c r="A224" s="4" t="s">
        <v>400</v>
      </c>
      <c r="B224" s="4" t="s">
        <v>141</v>
      </c>
      <c r="C224" s="13" t="n">
        <v>45320</v>
      </c>
      <c r="D224" s="13" t="n">
        <v>45339</v>
      </c>
      <c r="E224" s="13" t="n">
        <v>45337</v>
      </c>
      <c r="F224" s="4" t="n">
        <v>55</v>
      </c>
      <c r="G224" s="4" t="n">
        <v>55</v>
      </c>
      <c r="H224" s="4" t="n">
        <v>1252.36</v>
      </c>
      <c r="I224" s="4" t="n">
        <v>1194.82</v>
      </c>
      <c r="J224" s="14" t="n">
        <f aca="false">E224-D224</f>
        <v>-2</v>
      </c>
      <c r="K224" s="14" t="n">
        <f aca="false">IF(J224&lt;=0,1,0)</f>
        <v>1</v>
      </c>
      <c r="L224" s="15" t="n">
        <f aca="false">IFERROR(G224/F224,0)</f>
        <v>1</v>
      </c>
      <c r="M224" s="15" t="n">
        <f aca="false">IFERROR((I224-H224)/H224,0)</f>
        <v>-0.0459452553578843</v>
      </c>
      <c r="N224" s="16" t="n">
        <f aca="false">G224*I224</f>
        <v>65715.1</v>
      </c>
    </row>
    <row r="225" customFormat="false" ht="15" hidden="false" customHeight="true" outlineLevel="0" collapsed="false">
      <c r="A225" s="4" t="s">
        <v>401</v>
      </c>
      <c r="B225" s="4" t="s">
        <v>52</v>
      </c>
      <c r="C225" s="13" t="n">
        <v>45109</v>
      </c>
      <c r="D225" s="13" t="n">
        <v>45120</v>
      </c>
      <c r="E225" s="13" t="n">
        <v>45127</v>
      </c>
      <c r="F225" s="4" t="n">
        <v>1674</v>
      </c>
      <c r="G225" s="4" t="n">
        <v>1394</v>
      </c>
      <c r="H225" s="4" t="n">
        <v>170.24</v>
      </c>
      <c r="I225" s="4" t="n">
        <v>171.58</v>
      </c>
      <c r="J225" s="14" t="n">
        <f aca="false">E225-D225</f>
        <v>7</v>
      </c>
      <c r="K225" s="14" t="n">
        <f aca="false">IF(J225&lt;=0,1,0)</f>
        <v>0</v>
      </c>
      <c r="L225" s="15" t="n">
        <f aca="false">IFERROR(G225/F225,0)</f>
        <v>0.83273596176822</v>
      </c>
      <c r="M225" s="15" t="n">
        <f aca="false">IFERROR((I225-H225)/H225,0)</f>
        <v>0.00787124060150378</v>
      </c>
      <c r="N225" s="16" t="n">
        <f aca="false">G225*I225</f>
        <v>239182.52</v>
      </c>
    </row>
    <row r="226" customFormat="false" ht="15" hidden="false" customHeight="true" outlineLevel="0" collapsed="false">
      <c r="A226" s="4" t="s">
        <v>402</v>
      </c>
      <c r="B226" s="4" t="s">
        <v>63</v>
      </c>
      <c r="C226" s="13" t="n">
        <v>45595</v>
      </c>
      <c r="D226" s="13" t="n">
        <v>45604</v>
      </c>
      <c r="E226" s="13" t="n">
        <v>45607</v>
      </c>
      <c r="F226" s="4" t="n">
        <v>1730</v>
      </c>
      <c r="G226" s="4" t="n">
        <v>1547</v>
      </c>
      <c r="H226" s="4" t="n">
        <v>239.8</v>
      </c>
      <c r="I226" s="4" t="n">
        <v>266.42</v>
      </c>
      <c r="J226" s="14" t="n">
        <f aca="false">E226-D226</f>
        <v>3</v>
      </c>
      <c r="K226" s="14" t="n">
        <f aca="false">IF(J226&lt;=0,1,0)</f>
        <v>0</v>
      </c>
      <c r="L226" s="15" t="n">
        <f aca="false">IFERROR(G226/F226,0)</f>
        <v>0.894219653179191</v>
      </c>
      <c r="M226" s="15" t="n">
        <f aca="false">IFERROR((I226-H226)/H226,0)</f>
        <v>0.111009174311927</v>
      </c>
      <c r="N226" s="16" t="n">
        <f aca="false">G226*I226</f>
        <v>412151.74</v>
      </c>
    </row>
    <row r="227" customFormat="false" ht="15" hidden="false" customHeight="true" outlineLevel="0" collapsed="false">
      <c r="A227" s="4" t="s">
        <v>403</v>
      </c>
      <c r="B227" s="4" t="s">
        <v>159</v>
      </c>
      <c r="C227" s="13" t="n">
        <v>45088</v>
      </c>
      <c r="D227" s="13" t="n">
        <v>45094</v>
      </c>
      <c r="E227" s="13" t="n">
        <v>45093</v>
      </c>
      <c r="F227" s="4" t="n">
        <v>3677</v>
      </c>
      <c r="G227" s="4" t="n">
        <v>3665</v>
      </c>
      <c r="H227" s="4" t="n">
        <v>32.91</v>
      </c>
      <c r="I227" s="4" t="n">
        <v>33.22</v>
      </c>
      <c r="J227" s="14" t="n">
        <f aca="false">E227-D227</f>
        <v>-1</v>
      </c>
      <c r="K227" s="14" t="n">
        <f aca="false">IF(J227&lt;=0,1,0)</f>
        <v>1</v>
      </c>
      <c r="L227" s="15" t="n">
        <f aca="false">IFERROR(G227/F227,0)</f>
        <v>0.996736469948327</v>
      </c>
      <c r="M227" s="15" t="n">
        <f aca="false">IFERROR((I227-H227)/H227,0)</f>
        <v>0.00941962929200858</v>
      </c>
      <c r="N227" s="16" t="n">
        <f aca="false">G227*I227</f>
        <v>121751.3</v>
      </c>
    </row>
    <row r="228" customFormat="false" ht="15" hidden="false" customHeight="true" outlineLevel="0" collapsed="false">
      <c r="A228" s="4" t="s">
        <v>404</v>
      </c>
      <c r="B228" s="4" t="s">
        <v>157</v>
      </c>
      <c r="C228" s="13" t="n">
        <v>45132</v>
      </c>
      <c r="D228" s="13" t="n">
        <v>45139</v>
      </c>
      <c r="E228" s="13" t="n">
        <v>45140</v>
      </c>
      <c r="F228" s="4" t="n">
        <v>2190</v>
      </c>
      <c r="G228" s="4" t="n">
        <v>2098</v>
      </c>
      <c r="H228" s="4" t="n">
        <v>13.1</v>
      </c>
      <c r="I228" s="4" t="n">
        <v>13.45</v>
      </c>
      <c r="J228" s="14" t="n">
        <f aca="false">E228-D228</f>
        <v>1</v>
      </c>
      <c r="K228" s="14" t="n">
        <f aca="false">IF(J228&lt;=0,1,0)</f>
        <v>0</v>
      </c>
      <c r="L228" s="15" t="n">
        <f aca="false">IFERROR(G228/F228,0)</f>
        <v>0.957990867579909</v>
      </c>
      <c r="M228" s="15" t="n">
        <f aca="false">IFERROR((I228-H228)/H228,0)</f>
        <v>0.0267175572519084</v>
      </c>
      <c r="N228" s="16" t="n">
        <f aca="false">G228*I228</f>
        <v>28218.1</v>
      </c>
    </row>
    <row r="229" customFormat="false" ht="15" hidden="false" customHeight="true" outlineLevel="0" collapsed="false">
      <c r="A229" s="4" t="s">
        <v>405</v>
      </c>
      <c r="B229" s="4" t="s">
        <v>163</v>
      </c>
      <c r="C229" s="13" t="n">
        <v>45126</v>
      </c>
      <c r="D229" s="13" t="n">
        <v>45145</v>
      </c>
      <c r="E229" s="13" t="n">
        <v>45148</v>
      </c>
      <c r="F229" s="4" t="n">
        <v>122</v>
      </c>
      <c r="G229" s="4" t="n">
        <v>117</v>
      </c>
      <c r="H229" s="4" t="n">
        <v>482.79</v>
      </c>
      <c r="I229" s="4" t="n">
        <v>493.61</v>
      </c>
      <c r="J229" s="14" t="n">
        <f aca="false">E229-D229</f>
        <v>3</v>
      </c>
      <c r="K229" s="14" t="n">
        <f aca="false">IF(J229&lt;=0,1,0)</f>
        <v>0</v>
      </c>
      <c r="L229" s="15" t="n">
        <f aca="false">IFERROR(G229/F229,0)</f>
        <v>0.959016393442623</v>
      </c>
      <c r="M229" s="15" t="n">
        <f aca="false">IFERROR((I229-H229)/H229,0)</f>
        <v>0.022411400401831</v>
      </c>
      <c r="N229" s="16" t="n">
        <f aca="false">G229*I229</f>
        <v>57752.37</v>
      </c>
    </row>
    <row r="230" customFormat="false" ht="15" hidden="false" customHeight="true" outlineLevel="0" collapsed="false">
      <c r="A230" s="4" t="s">
        <v>406</v>
      </c>
      <c r="B230" s="4" t="s">
        <v>127</v>
      </c>
      <c r="C230" s="13" t="n">
        <v>45462</v>
      </c>
      <c r="D230" s="13" t="n">
        <v>45469</v>
      </c>
      <c r="E230" s="13" t="n">
        <v>45473</v>
      </c>
      <c r="F230" s="4" t="n">
        <v>5</v>
      </c>
      <c r="G230" s="4" t="n">
        <v>5</v>
      </c>
      <c r="H230" s="4" t="n">
        <v>1881</v>
      </c>
      <c r="I230" s="4" t="n">
        <v>1770.33</v>
      </c>
      <c r="J230" s="14" t="n">
        <f aca="false">E230-D230</f>
        <v>4</v>
      </c>
      <c r="K230" s="14" t="n">
        <f aca="false">IF(J230&lt;=0,1,0)</f>
        <v>0</v>
      </c>
      <c r="L230" s="15" t="n">
        <f aca="false">IFERROR(G230/F230,0)</f>
        <v>1</v>
      </c>
      <c r="M230" s="15" t="n">
        <f aca="false">IFERROR((I230-H230)/H230,0)</f>
        <v>-0.058835725677831</v>
      </c>
      <c r="N230" s="16" t="n">
        <f aca="false">G230*I230</f>
        <v>8851.65</v>
      </c>
    </row>
    <row r="231" customFormat="false" ht="15" hidden="false" customHeight="true" outlineLevel="0" collapsed="false">
      <c r="A231" s="4" t="s">
        <v>407</v>
      </c>
      <c r="B231" s="4" t="s">
        <v>47</v>
      </c>
      <c r="C231" s="13" t="n">
        <v>45494</v>
      </c>
      <c r="D231" s="13" t="n">
        <v>45503</v>
      </c>
      <c r="E231" s="13" t="n">
        <v>45504</v>
      </c>
      <c r="F231" s="4" t="n">
        <v>877</v>
      </c>
      <c r="G231" s="4" t="n">
        <v>858</v>
      </c>
      <c r="H231" s="4" t="n">
        <v>228.68</v>
      </c>
      <c r="I231" s="4" t="n">
        <v>235.02</v>
      </c>
      <c r="J231" s="14" t="n">
        <f aca="false">E231-D231</f>
        <v>1</v>
      </c>
      <c r="K231" s="14" t="n">
        <f aca="false">IF(J231&lt;=0,1,0)</f>
        <v>0</v>
      </c>
      <c r="L231" s="15" t="n">
        <f aca="false">IFERROR(G231/F231,0)</f>
        <v>0.978335233751425</v>
      </c>
      <c r="M231" s="15" t="n">
        <f aca="false">IFERROR((I231-H231)/H231,0)</f>
        <v>0.0277243309428022</v>
      </c>
      <c r="N231" s="16" t="n">
        <f aca="false">G231*I231</f>
        <v>201647.16</v>
      </c>
    </row>
    <row r="232" customFormat="false" ht="15" hidden="false" customHeight="true" outlineLevel="0" collapsed="false">
      <c r="A232" s="4" t="s">
        <v>408</v>
      </c>
      <c r="B232" s="4" t="s">
        <v>129</v>
      </c>
      <c r="C232" s="13" t="n">
        <v>45034</v>
      </c>
      <c r="D232" s="13" t="n">
        <v>45054</v>
      </c>
      <c r="E232" s="13" t="n">
        <v>45054</v>
      </c>
      <c r="F232" s="4" t="n">
        <v>201</v>
      </c>
      <c r="G232" s="4" t="n">
        <v>201</v>
      </c>
      <c r="H232" s="4" t="n">
        <v>709.66</v>
      </c>
      <c r="I232" s="4" t="n">
        <v>702.92</v>
      </c>
      <c r="J232" s="14" t="n">
        <f aca="false">E232-D232</f>
        <v>0</v>
      </c>
      <c r="K232" s="14" t="n">
        <f aca="false">IF(J232&lt;=0,1,0)</f>
        <v>1</v>
      </c>
      <c r="L232" s="15" t="n">
        <f aca="false">IFERROR(G232/F232,0)</f>
        <v>1</v>
      </c>
      <c r="M232" s="15" t="n">
        <f aca="false">IFERROR((I232-H232)/H232,0)</f>
        <v>-0.00949750584787083</v>
      </c>
      <c r="N232" s="16" t="n">
        <f aca="false">G232*I232</f>
        <v>141286.92</v>
      </c>
    </row>
    <row r="233" customFormat="false" ht="15" hidden="false" customHeight="true" outlineLevel="0" collapsed="false">
      <c r="A233" s="4" t="s">
        <v>409</v>
      </c>
      <c r="B233" s="4" t="s">
        <v>47</v>
      </c>
      <c r="C233" s="13" t="n">
        <v>45549</v>
      </c>
      <c r="D233" s="13" t="n">
        <v>45558</v>
      </c>
      <c r="E233" s="13" t="n">
        <v>45558</v>
      </c>
      <c r="F233" s="4" t="n">
        <v>1038</v>
      </c>
      <c r="G233" s="4" t="n">
        <v>1038</v>
      </c>
      <c r="H233" s="4" t="n">
        <v>228.68</v>
      </c>
      <c r="I233" s="4" t="n">
        <v>228.3</v>
      </c>
      <c r="J233" s="14" t="n">
        <f aca="false">E233-D233</f>
        <v>0</v>
      </c>
      <c r="K233" s="14" t="n">
        <f aca="false">IF(J233&lt;=0,1,0)</f>
        <v>1</v>
      </c>
      <c r="L233" s="15" t="n">
        <f aca="false">IFERROR(G233/F233,0)</f>
        <v>1</v>
      </c>
      <c r="M233" s="15" t="n">
        <f aca="false">IFERROR((I233-H233)/H233,0)</f>
        <v>-0.00166171068742345</v>
      </c>
      <c r="N233" s="16" t="n">
        <f aca="false">G233*I233</f>
        <v>236975.4</v>
      </c>
    </row>
    <row r="234" customFormat="false" ht="15" hidden="false" customHeight="true" outlineLevel="0" collapsed="false">
      <c r="A234" s="4" t="s">
        <v>410</v>
      </c>
      <c r="B234" s="4" t="s">
        <v>127</v>
      </c>
      <c r="C234" s="13" t="n">
        <v>45096</v>
      </c>
      <c r="D234" s="13" t="n">
        <v>45100</v>
      </c>
      <c r="E234" s="13" t="n">
        <v>45103</v>
      </c>
      <c r="F234" s="4" t="n">
        <v>11</v>
      </c>
      <c r="G234" s="4" t="n">
        <v>11</v>
      </c>
      <c r="H234" s="4" t="n">
        <v>1881</v>
      </c>
      <c r="I234" s="4" t="n">
        <v>1872.36</v>
      </c>
      <c r="J234" s="14" t="n">
        <f aca="false">E234-D234</f>
        <v>3</v>
      </c>
      <c r="K234" s="14" t="n">
        <f aca="false">IF(J234&lt;=0,1,0)</f>
        <v>0</v>
      </c>
      <c r="L234" s="15" t="n">
        <f aca="false">IFERROR(G234/F234,0)</f>
        <v>1</v>
      </c>
      <c r="M234" s="15" t="n">
        <f aca="false">IFERROR((I234-H234)/H234,0)</f>
        <v>-0.00459330143540675</v>
      </c>
      <c r="N234" s="16" t="n">
        <f aca="false">G234*I234</f>
        <v>20595.96</v>
      </c>
    </row>
    <row r="235" customFormat="false" ht="15" hidden="false" customHeight="true" outlineLevel="0" collapsed="false">
      <c r="A235" s="4" t="s">
        <v>411</v>
      </c>
      <c r="B235" s="4" t="s">
        <v>85</v>
      </c>
      <c r="C235" s="13" t="n">
        <v>44956</v>
      </c>
      <c r="D235" s="13" t="n">
        <v>44965</v>
      </c>
      <c r="E235" s="13" t="n">
        <v>44970</v>
      </c>
      <c r="F235" s="4" t="n">
        <v>1760</v>
      </c>
      <c r="G235" s="4" t="n">
        <v>1683</v>
      </c>
      <c r="H235" s="4" t="n">
        <v>241.88</v>
      </c>
      <c r="I235" s="4" t="n">
        <v>241.55</v>
      </c>
      <c r="J235" s="14" t="n">
        <f aca="false">E235-D235</f>
        <v>5</v>
      </c>
      <c r="K235" s="14" t="n">
        <f aca="false">IF(J235&lt;=0,1,0)</f>
        <v>0</v>
      </c>
      <c r="L235" s="15" t="n">
        <f aca="false">IFERROR(G235/F235,0)</f>
        <v>0.95625</v>
      </c>
      <c r="M235" s="15" t="n">
        <f aca="false">IFERROR((I235-H235)/H235,0)</f>
        <v>-0.00136431288242097</v>
      </c>
      <c r="N235" s="16" t="n">
        <f aca="false">G235*I235</f>
        <v>406528.65</v>
      </c>
    </row>
    <row r="236" customFormat="false" ht="15" hidden="false" customHeight="true" outlineLevel="0" collapsed="false">
      <c r="A236" s="4" t="s">
        <v>412</v>
      </c>
      <c r="B236" s="4" t="s">
        <v>43</v>
      </c>
      <c r="C236" s="13" t="n">
        <v>45650</v>
      </c>
      <c r="D236" s="13" t="n">
        <v>45667</v>
      </c>
      <c r="E236" s="13" t="n">
        <v>45672</v>
      </c>
      <c r="F236" s="4" t="n">
        <v>115</v>
      </c>
      <c r="G236" s="4" t="n">
        <v>110</v>
      </c>
      <c r="H236" s="4" t="n">
        <v>1321.6</v>
      </c>
      <c r="I236" s="4" t="n">
        <v>1350.73</v>
      </c>
      <c r="J236" s="14" t="n">
        <f aca="false">E236-D236</f>
        <v>5</v>
      </c>
      <c r="K236" s="14" t="n">
        <f aca="false">IF(J236&lt;=0,1,0)</f>
        <v>0</v>
      </c>
      <c r="L236" s="15" t="n">
        <f aca="false">IFERROR(G236/F236,0)</f>
        <v>0.956521739130435</v>
      </c>
      <c r="M236" s="15" t="n">
        <f aca="false">IFERROR((I236-H236)/H236,0)</f>
        <v>0.0220414648910412</v>
      </c>
      <c r="N236" s="16" t="n">
        <f aca="false">G236*I236</f>
        <v>148580.3</v>
      </c>
    </row>
    <row r="237" customFormat="false" ht="15" hidden="false" customHeight="true" outlineLevel="0" collapsed="false">
      <c r="A237" s="4" t="s">
        <v>413</v>
      </c>
      <c r="B237" s="4" t="s">
        <v>68</v>
      </c>
      <c r="C237" s="13" t="n">
        <v>45399</v>
      </c>
      <c r="D237" s="13" t="n">
        <v>45419</v>
      </c>
      <c r="E237" s="13" t="n">
        <v>45421</v>
      </c>
      <c r="F237" s="4" t="n">
        <v>224</v>
      </c>
      <c r="G237" s="4" t="n">
        <v>202</v>
      </c>
      <c r="H237" s="4" t="n">
        <v>1232.83</v>
      </c>
      <c r="I237" s="4" t="n">
        <v>1237.26</v>
      </c>
      <c r="J237" s="14" t="n">
        <f aca="false">E237-D237</f>
        <v>2</v>
      </c>
      <c r="K237" s="14" t="n">
        <f aca="false">IF(J237&lt;=0,1,0)</f>
        <v>0</v>
      </c>
      <c r="L237" s="15" t="n">
        <f aca="false">IFERROR(G237/F237,0)</f>
        <v>0.901785714285714</v>
      </c>
      <c r="M237" s="15" t="n">
        <f aca="false">IFERROR((I237-H237)/H237,0)</f>
        <v>0.00359335837057832</v>
      </c>
      <c r="N237" s="16" t="n">
        <f aca="false">G237*I237</f>
        <v>249926.52</v>
      </c>
    </row>
    <row r="238" customFormat="false" ht="15" hidden="false" customHeight="true" outlineLevel="0" collapsed="false">
      <c r="A238" s="4" t="s">
        <v>414</v>
      </c>
      <c r="B238" s="4" t="s">
        <v>121</v>
      </c>
      <c r="C238" s="13" t="n">
        <v>45310</v>
      </c>
      <c r="D238" s="13" t="n">
        <v>45322</v>
      </c>
      <c r="E238" s="13" t="n">
        <v>45320</v>
      </c>
      <c r="F238" s="4" t="n">
        <v>354</v>
      </c>
      <c r="G238" s="4" t="n">
        <v>328</v>
      </c>
      <c r="H238" s="4" t="n">
        <v>206.07</v>
      </c>
      <c r="I238" s="4" t="n">
        <v>219.68</v>
      </c>
      <c r="J238" s="14" t="n">
        <f aca="false">E238-D238</f>
        <v>-2</v>
      </c>
      <c r="K238" s="14" t="n">
        <f aca="false">IF(J238&lt;=0,1,0)</f>
        <v>1</v>
      </c>
      <c r="L238" s="15" t="n">
        <f aca="false">IFERROR(G238/F238,0)</f>
        <v>0.926553672316384</v>
      </c>
      <c r="M238" s="15" t="n">
        <f aca="false">IFERROR((I238-H238)/H238,0)</f>
        <v>0.0660455185131267</v>
      </c>
      <c r="N238" s="16" t="n">
        <f aca="false">G238*I238</f>
        <v>72055.04</v>
      </c>
    </row>
    <row r="239" customFormat="false" ht="15" hidden="false" customHeight="true" outlineLevel="0" collapsed="false">
      <c r="A239" s="4" t="s">
        <v>415</v>
      </c>
      <c r="B239" s="4" t="s">
        <v>139</v>
      </c>
      <c r="C239" s="13" t="n">
        <v>45638</v>
      </c>
      <c r="D239" s="13" t="n">
        <v>45649</v>
      </c>
      <c r="E239" s="13" t="n">
        <v>45649</v>
      </c>
      <c r="F239" s="4" t="n">
        <v>1734</v>
      </c>
      <c r="G239" s="4" t="n">
        <v>1571</v>
      </c>
      <c r="H239" s="4" t="n">
        <v>207.64</v>
      </c>
      <c r="I239" s="4" t="n">
        <v>221.59</v>
      </c>
      <c r="J239" s="14" t="n">
        <f aca="false">E239-D239</f>
        <v>0</v>
      </c>
      <c r="K239" s="14" t="n">
        <f aca="false">IF(J239&lt;=0,1,0)</f>
        <v>1</v>
      </c>
      <c r="L239" s="15" t="n">
        <f aca="false">IFERROR(G239/F239,0)</f>
        <v>0.905997693194925</v>
      </c>
      <c r="M239" s="15" t="n">
        <f aca="false">IFERROR((I239-H239)/H239,0)</f>
        <v>0.0671835869774611</v>
      </c>
      <c r="N239" s="16" t="n">
        <f aca="false">G239*I239</f>
        <v>348117.89</v>
      </c>
    </row>
    <row r="240" customFormat="false" ht="15" hidden="false" customHeight="true" outlineLevel="0" collapsed="false">
      <c r="A240" s="4" t="s">
        <v>416</v>
      </c>
      <c r="B240" s="4" t="s">
        <v>141</v>
      </c>
      <c r="C240" s="13" t="n">
        <v>44951</v>
      </c>
      <c r="D240" s="13" t="n">
        <v>44971</v>
      </c>
      <c r="E240" s="13" t="n">
        <v>44977</v>
      </c>
      <c r="F240" s="4" t="n">
        <v>134</v>
      </c>
      <c r="G240" s="4" t="n">
        <v>132</v>
      </c>
      <c r="H240" s="4" t="n">
        <v>1252.36</v>
      </c>
      <c r="I240" s="4" t="n">
        <v>1238.95</v>
      </c>
      <c r="J240" s="14" t="n">
        <f aca="false">E240-D240</f>
        <v>6</v>
      </c>
      <c r="K240" s="14" t="n">
        <f aca="false">IF(J240&lt;=0,1,0)</f>
        <v>0</v>
      </c>
      <c r="L240" s="15" t="n">
        <f aca="false">IFERROR(G240/F240,0)</f>
        <v>0.985074626865672</v>
      </c>
      <c r="M240" s="15" t="n">
        <f aca="false">IFERROR((I240-H240)/H240,0)</f>
        <v>-0.010707783704366</v>
      </c>
      <c r="N240" s="16" t="n">
        <f aca="false">G240*I240</f>
        <v>163541.4</v>
      </c>
    </row>
    <row r="241" customFormat="false" ht="15" hidden="false" customHeight="true" outlineLevel="0" collapsed="false">
      <c r="A241" s="4" t="s">
        <v>417</v>
      </c>
      <c r="B241" s="4" t="s">
        <v>72</v>
      </c>
      <c r="C241" s="13" t="n">
        <v>45008</v>
      </c>
      <c r="D241" s="13" t="n">
        <v>45014</v>
      </c>
      <c r="E241" s="13" t="n">
        <v>45014</v>
      </c>
      <c r="F241" s="4" t="n">
        <v>2832</v>
      </c>
      <c r="G241" s="4" t="n">
        <v>2808</v>
      </c>
      <c r="H241" s="4" t="n">
        <v>34.53</v>
      </c>
      <c r="I241" s="4" t="n">
        <v>34.84</v>
      </c>
      <c r="J241" s="14" t="n">
        <f aca="false">E241-D241</f>
        <v>0</v>
      </c>
      <c r="K241" s="14" t="n">
        <f aca="false">IF(J241&lt;=0,1,0)</f>
        <v>1</v>
      </c>
      <c r="L241" s="15" t="n">
        <f aca="false">IFERROR(G241/F241,0)</f>
        <v>0.991525423728814</v>
      </c>
      <c r="M241" s="15" t="n">
        <f aca="false">IFERROR((I241-H241)/H241,0)</f>
        <v>0.00897770055024623</v>
      </c>
      <c r="N241" s="16" t="n">
        <f aca="false">G241*I241</f>
        <v>97830.72</v>
      </c>
    </row>
    <row r="242" customFormat="false" ht="15" hidden="false" customHeight="true" outlineLevel="0" collapsed="false">
      <c r="A242" s="4" t="s">
        <v>418</v>
      </c>
      <c r="B242" s="4" t="s">
        <v>123</v>
      </c>
      <c r="C242" s="13" t="n">
        <v>45582</v>
      </c>
      <c r="D242" s="13" t="n">
        <v>45596</v>
      </c>
      <c r="E242" s="13" t="n">
        <v>45594</v>
      </c>
      <c r="F242" s="4" t="n">
        <v>177</v>
      </c>
      <c r="G242" s="4" t="n">
        <v>177</v>
      </c>
      <c r="H242" s="4" t="n">
        <v>214.07</v>
      </c>
      <c r="I242" s="4" t="n">
        <v>248.15</v>
      </c>
      <c r="J242" s="14" t="n">
        <f aca="false">E242-D242</f>
        <v>-2</v>
      </c>
      <c r="K242" s="14" t="n">
        <f aca="false">IF(J242&lt;=0,1,0)</f>
        <v>1</v>
      </c>
      <c r="L242" s="15" t="n">
        <f aca="false">IFERROR(G242/F242,0)</f>
        <v>1</v>
      </c>
      <c r="M242" s="15" t="n">
        <f aca="false">IFERROR((I242-H242)/H242,0)</f>
        <v>0.159200261596674</v>
      </c>
      <c r="N242" s="16" t="n">
        <f aca="false">G242*I242</f>
        <v>43922.55</v>
      </c>
    </row>
    <row r="243" customFormat="false" ht="15" hidden="false" customHeight="true" outlineLevel="0" collapsed="false">
      <c r="A243" s="4" t="s">
        <v>419</v>
      </c>
      <c r="B243" s="4" t="s">
        <v>81</v>
      </c>
      <c r="C243" s="13" t="n">
        <v>45271</v>
      </c>
      <c r="D243" s="13" t="n">
        <v>45275</v>
      </c>
      <c r="E243" s="13" t="n">
        <v>45280</v>
      </c>
      <c r="F243" s="4" t="n">
        <v>19</v>
      </c>
      <c r="G243" s="4" t="n">
        <v>19</v>
      </c>
      <c r="H243" s="4" t="n">
        <v>697.63</v>
      </c>
      <c r="I243" s="4" t="n">
        <v>694.71</v>
      </c>
      <c r="J243" s="14" t="n">
        <f aca="false">E243-D243</f>
        <v>5</v>
      </c>
      <c r="K243" s="14" t="n">
        <f aca="false">IF(J243&lt;=0,1,0)</f>
        <v>0</v>
      </c>
      <c r="L243" s="15" t="n">
        <f aca="false">IFERROR(G243/F243,0)</f>
        <v>1</v>
      </c>
      <c r="M243" s="15" t="n">
        <f aca="false">IFERROR((I243-H243)/H243,0)</f>
        <v>-0.00418559981652159</v>
      </c>
      <c r="N243" s="16" t="n">
        <f aca="false">G243*I243</f>
        <v>13199.49</v>
      </c>
    </row>
    <row r="244" customFormat="false" ht="15" hidden="false" customHeight="true" outlineLevel="0" collapsed="false">
      <c r="A244" s="4" t="s">
        <v>420</v>
      </c>
      <c r="B244" s="4" t="s">
        <v>77</v>
      </c>
      <c r="C244" s="13" t="n">
        <v>45339</v>
      </c>
      <c r="D244" s="13" t="n">
        <v>45345</v>
      </c>
      <c r="E244" s="13" t="n">
        <v>45352</v>
      </c>
      <c r="F244" s="4" t="n">
        <v>693</v>
      </c>
      <c r="G244" s="4" t="n">
        <v>693</v>
      </c>
      <c r="H244" s="4" t="n">
        <v>36.83</v>
      </c>
      <c r="I244" s="4" t="n">
        <v>35.3</v>
      </c>
      <c r="J244" s="14" t="n">
        <f aca="false">E244-D244</f>
        <v>7</v>
      </c>
      <c r="K244" s="14" t="n">
        <f aca="false">IF(J244&lt;=0,1,0)</f>
        <v>0</v>
      </c>
      <c r="L244" s="15" t="n">
        <f aca="false">IFERROR(G244/F244,0)</f>
        <v>1</v>
      </c>
      <c r="M244" s="15" t="n">
        <f aca="false">IFERROR((I244-H244)/H244,0)</f>
        <v>-0.0415422210154766</v>
      </c>
      <c r="N244" s="16" t="n">
        <f aca="false">G244*I244</f>
        <v>24462.9</v>
      </c>
    </row>
    <row r="245" customFormat="false" ht="15" hidden="false" customHeight="true" outlineLevel="0" collapsed="false">
      <c r="A245" s="4" t="s">
        <v>421</v>
      </c>
      <c r="B245" s="4" t="s">
        <v>135</v>
      </c>
      <c r="C245" s="13" t="n">
        <v>45178</v>
      </c>
      <c r="D245" s="13" t="n">
        <v>45192</v>
      </c>
      <c r="E245" s="13" t="n">
        <v>45194</v>
      </c>
      <c r="F245" s="4" t="n">
        <v>282</v>
      </c>
      <c r="G245" s="4" t="n">
        <v>282</v>
      </c>
      <c r="H245" s="4" t="n">
        <v>328.06</v>
      </c>
      <c r="I245" s="4" t="n">
        <v>324.37</v>
      </c>
      <c r="J245" s="14" t="n">
        <f aca="false">E245-D245</f>
        <v>2</v>
      </c>
      <c r="K245" s="14" t="n">
        <f aca="false">IF(J245&lt;=0,1,0)</f>
        <v>0</v>
      </c>
      <c r="L245" s="15" t="n">
        <f aca="false">IFERROR(G245/F245,0)</f>
        <v>1</v>
      </c>
      <c r="M245" s="15" t="n">
        <f aca="false">IFERROR((I245-H245)/H245,0)</f>
        <v>-0.0112479424495519</v>
      </c>
      <c r="N245" s="16" t="n">
        <f aca="false">G245*I245</f>
        <v>91472.34</v>
      </c>
    </row>
    <row r="246" customFormat="false" ht="15" hidden="false" customHeight="true" outlineLevel="0" collapsed="false">
      <c r="A246" s="4" t="s">
        <v>422</v>
      </c>
      <c r="B246" s="4" t="s">
        <v>103</v>
      </c>
      <c r="C246" s="13" t="n">
        <v>45230</v>
      </c>
      <c r="D246" s="13" t="n">
        <v>45249</v>
      </c>
      <c r="E246" s="13" t="n">
        <v>45255</v>
      </c>
      <c r="F246" s="4" t="n">
        <v>479</v>
      </c>
      <c r="G246" s="4" t="n">
        <v>479</v>
      </c>
      <c r="H246" s="4" t="n">
        <v>1400.22</v>
      </c>
      <c r="I246" s="4" t="n">
        <v>1431.42</v>
      </c>
      <c r="J246" s="14" t="n">
        <f aca="false">E246-D246</f>
        <v>6</v>
      </c>
      <c r="K246" s="14" t="n">
        <f aca="false">IF(J246&lt;=0,1,0)</f>
        <v>0</v>
      </c>
      <c r="L246" s="15" t="n">
        <f aca="false">IFERROR(G246/F246,0)</f>
        <v>1</v>
      </c>
      <c r="M246" s="15" t="n">
        <f aca="false">IFERROR((I246-H246)/H246,0)</f>
        <v>0.0222822127951322</v>
      </c>
      <c r="N246" s="16" t="n">
        <f aca="false">G246*I246</f>
        <v>685650.18</v>
      </c>
    </row>
    <row r="247" customFormat="false" ht="15" hidden="false" customHeight="true" outlineLevel="0" collapsed="false">
      <c r="A247" s="4" t="s">
        <v>423</v>
      </c>
      <c r="B247" s="4" t="s">
        <v>37</v>
      </c>
      <c r="C247" s="13" t="n">
        <v>45385</v>
      </c>
      <c r="D247" s="13" t="n">
        <v>45391</v>
      </c>
      <c r="E247" s="13" t="n">
        <v>45389</v>
      </c>
      <c r="F247" s="4" t="n">
        <v>2394</v>
      </c>
      <c r="G247" s="4" t="n">
        <v>2327</v>
      </c>
      <c r="H247" s="4" t="n">
        <v>22.26</v>
      </c>
      <c r="I247" s="4" t="n">
        <v>21.53</v>
      </c>
      <c r="J247" s="14" t="n">
        <f aca="false">E247-D247</f>
        <v>-2</v>
      </c>
      <c r="K247" s="14" t="n">
        <f aca="false">IF(J247&lt;=0,1,0)</f>
        <v>1</v>
      </c>
      <c r="L247" s="15" t="n">
        <f aca="false">IFERROR(G247/F247,0)</f>
        <v>0.972013366750209</v>
      </c>
      <c r="M247" s="15" t="n">
        <f aca="false">IFERROR((I247-H247)/H247,0)</f>
        <v>-0.0327942497753819</v>
      </c>
      <c r="N247" s="16" t="n">
        <f aca="false">G247*I247</f>
        <v>50100.31</v>
      </c>
    </row>
    <row r="248" customFormat="false" ht="15" hidden="false" customHeight="true" outlineLevel="0" collapsed="false">
      <c r="A248" s="4" t="s">
        <v>424</v>
      </c>
      <c r="B248" s="4" t="s">
        <v>32</v>
      </c>
      <c r="C248" s="13" t="n">
        <v>45632</v>
      </c>
      <c r="D248" s="13" t="n">
        <v>45639</v>
      </c>
      <c r="E248" s="13" t="n">
        <v>45634</v>
      </c>
      <c r="F248" s="4" t="n">
        <v>3903</v>
      </c>
      <c r="G248" s="4" t="n">
        <v>3669</v>
      </c>
      <c r="H248" s="4" t="n">
        <v>32.49</v>
      </c>
      <c r="I248" s="4" t="n">
        <v>33.03</v>
      </c>
      <c r="J248" s="14" t="n">
        <f aca="false">E248-D248</f>
        <v>-5</v>
      </c>
      <c r="K248" s="14" t="n">
        <f aca="false">IF(J248&lt;=0,1,0)</f>
        <v>1</v>
      </c>
      <c r="L248" s="15" t="n">
        <f aca="false">IFERROR(G248/F248,0)</f>
        <v>0.940046118370484</v>
      </c>
      <c r="M248" s="15" t="n">
        <f aca="false">IFERROR((I248-H248)/H248,0)</f>
        <v>0.0166204986149584</v>
      </c>
      <c r="N248" s="16" t="n">
        <f aca="false">G248*I248</f>
        <v>121187.07</v>
      </c>
    </row>
    <row r="249" customFormat="false" ht="15" hidden="false" customHeight="true" outlineLevel="0" collapsed="false">
      <c r="A249" s="4" t="s">
        <v>425</v>
      </c>
      <c r="B249" s="4" t="s">
        <v>50</v>
      </c>
      <c r="C249" s="13" t="n">
        <v>45451</v>
      </c>
      <c r="D249" s="13" t="n">
        <v>45469</v>
      </c>
      <c r="E249" s="13" t="n">
        <v>45465</v>
      </c>
      <c r="F249" s="4" t="n">
        <v>71</v>
      </c>
      <c r="G249" s="4" t="n">
        <v>71</v>
      </c>
      <c r="H249" s="4" t="n">
        <v>707.19</v>
      </c>
      <c r="I249" s="4" t="n">
        <v>763.6</v>
      </c>
      <c r="J249" s="14" t="n">
        <f aca="false">E249-D249</f>
        <v>-4</v>
      </c>
      <c r="K249" s="14" t="n">
        <f aca="false">IF(J249&lt;=0,1,0)</f>
        <v>1</v>
      </c>
      <c r="L249" s="15" t="n">
        <f aca="false">IFERROR(G249/F249,0)</f>
        <v>1</v>
      </c>
      <c r="M249" s="15" t="n">
        <f aca="false">IFERROR((I249-H249)/H249,0)</f>
        <v>0.0797663994117563</v>
      </c>
      <c r="N249" s="16" t="n">
        <f aca="false">G249*I249</f>
        <v>54215.6</v>
      </c>
    </row>
    <row r="250" customFormat="false" ht="15" hidden="false" customHeight="true" outlineLevel="0" collapsed="false">
      <c r="A250" s="4" t="s">
        <v>426</v>
      </c>
      <c r="B250" s="4" t="s">
        <v>139</v>
      </c>
      <c r="C250" s="13" t="n">
        <v>45377</v>
      </c>
      <c r="D250" s="13" t="n">
        <v>45387</v>
      </c>
      <c r="E250" s="13" t="n">
        <v>45391</v>
      </c>
      <c r="F250" s="4" t="n">
        <v>725</v>
      </c>
      <c r="G250" s="4" t="n">
        <v>662</v>
      </c>
      <c r="H250" s="4" t="n">
        <v>207.64</v>
      </c>
      <c r="I250" s="4" t="n">
        <v>219.2</v>
      </c>
      <c r="J250" s="14" t="n">
        <f aca="false">E250-D250</f>
        <v>4</v>
      </c>
      <c r="K250" s="14" t="n">
        <f aca="false">IF(J250&lt;=0,1,0)</f>
        <v>0</v>
      </c>
      <c r="L250" s="15" t="n">
        <f aca="false">IFERROR(G250/F250,0)</f>
        <v>0.913103448275862</v>
      </c>
      <c r="M250" s="15" t="n">
        <f aca="false">IFERROR((I250-H250)/H250,0)</f>
        <v>0.0556732806780967</v>
      </c>
      <c r="N250" s="16" t="n">
        <f aca="false">G250*I250</f>
        <v>145110.4</v>
      </c>
    </row>
    <row r="251" customFormat="false" ht="15" hidden="false" customHeight="true" outlineLevel="0" collapsed="false">
      <c r="A251" s="4" t="s">
        <v>427</v>
      </c>
      <c r="B251" s="4" t="s">
        <v>129</v>
      </c>
      <c r="C251" s="13" t="n">
        <v>45030</v>
      </c>
      <c r="D251" s="13" t="n">
        <v>45050</v>
      </c>
      <c r="E251" s="13" t="n">
        <v>45049</v>
      </c>
      <c r="F251" s="4" t="n">
        <v>140</v>
      </c>
      <c r="G251" s="4" t="n">
        <v>137</v>
      </c>
      <c r="H251" s="4" t="n">
        <v>709.66</v>
      </c>
      <c r="I251" s="4" t="n">
        <v>719.98</v>
      </c>
      <c r="J251" s="14" t="n">
        <f aca="false">E251-D251</f>
        <v>-1</v>
      </c>
      <c r="K251" s="14" t="n">
        <f aca="false">IF(J251&lt;=0,1,0)</f>
        <v>1</v>
      </c>
      <c r="L251" s="15" t="n">
        <f aca="false">IFERROR(G251/F251,0)</f>
        <v>0.978571428571429</v>
      </c>
      <c r="M251" s="15" t="n">
        <f aca="false">IFERROR((I251-H251)/H251,0)</f>
        <v>0.0145421751261168</v>
      </c>
      <c r="N251" s="16" t="n">
        <f aca="false">G251*I251</f>
        <v>98637.26</v>
      </c>
    </row>
    <row r="252" customFormat="false" ht="15" hidden="false" customHeight="true" outlineLevel="0" collapsed="false">
      <c r="A252" s="4" t="s">
        <v>428</v>
      </c>
      <c r="B252" s="4" t="s">
        <v>77</v>
      </c>
      <c r="C252" s="13" t="n">
        <v>45433</v>
      </c>
      <c r="D252" s="13" t="n">
        <v>45439</v>
      </c>
      <c r="E252" s="13" t="n">
        <v>45448</v>
      </c>
      <c r="F252" s="4" t="n">
        <v>2527</v>
      </c>
      <c r="G252" s="4" t="n">
        <v>2527</v>
      </c>
      <c r="H252" s="4" t="n">
        <v>36.83</v>
      </c>
      <c r="I252" s="4" t="n">
        <v>35.15</v>
      </c>
      <c r="J252" s="14" t="n">
        <f aca="false">E252-D252</f>
        <v>9</v>
      </c>
      <c r="K252" s="14" t="n">
        <f aca="false">IF(J252&lt;=0,1,0)</f>
        <v>0</v>
      </c>
      <c r="L252" s="15" t="n">
        <f aca="false">IFERROR(G252/F252,0)</f>
        <v>1</v>
      </c>
      <c r="M252" s="15" t="n">
        <f aca="false">IFERROR((I252-H252)/H252,0)</f>
        <v>-0.0456149877816997</v>
      </c>
      <c r="N252" s="16" t="n">
        <f aca="false">G252*I252</f>
        <v>88824.05</v>
      </c>
    </row>
    <row r="253" customFormat="false" ht="15" hidden="false" customHeight="true" outlineLevel="0" collapsed="false">
      <c r="A253" s="4" t="s">
        <v>429</v>
      </c>
      <c r="B253" s="4" t="s">
        <v>133</v>
      </c>
      <c r="C253" s="13" t="n">
        <v>45526</v>
      </c>
      <c r="D253" s="13" t="n">
        <v>45536</v>
      </c>
      <c r="E253" s="13" t="n">
        <v>45535</v>
      </c>
      <c r="F253" s="4" t="n">
        <v>483</v>
      </c>
      <c r="G253" s="4" t="n">
        <v>459</v>
      </c>
      <c r="H253" s="4" t="n">
        <v>138.21</v>
      </c>
      <c r="I253" s="4" t="n">
        <v>141.01</v>
      </c>
      <c r="J253" s="14" t="n">
        <f aca="false">E253-D253</f>
        <v>-1</v>
      </c>
      <c r="K253" s="14" t="n">
        <f aca="false">IF(J253&lt;=0,1,0)</f>
        <v>1</v>
      </c>
      <c r="L253" s="15" t="n">
        <f aca="false">IFERROR(G253/F253,0)</f>
        <v>0.950310559006211</v>
      </c>
      <c r="M253" s="15" t="n">
        <f aca="false">IFERROR((I253-H253)/H253,0)</f>
        <v>0.0202590261196728</v>
      </c>
      <c r="N253" s="16" t="n">
        <f aca="false">G253*I253</f>
        <v>64723.59</v>
      </c>
    </row>
    <row r="254" customFormat="false" ht="15" hidden="false" customHeight="true" outlineLevel="0" collapsed="false">
      <c r="A254" s="4" t="s">
        <v>430</v>
      </c>
      <c r="B254" s="4" t="s">
        <v>151</v>
      </c>
      <c r="C254" s="13" t="n">
        <v>44950</v>
      </c>
      <c r="D254" s="13" t="n">
        <v>44956</v>
      </c>
      <c r="E254" s="13" t="n">
        <v>44956</v>
      </c>
      <c r="F254" s="4" t="n">
        <v>3</v>
      </c>
      <c r="G254" s="4" t="n">
        <v>3</v>
      </c>
      <c r="H254" s="4" t="n">
        <v>503.46</v>
      </c>
      <c r="I254" s="4" t="n">
        <v>493.33</v>
      </c>
      <c r="J254" s="14" t="n">
        <f aca="false">E254-D254</f>
        <v>0</v>
      </c>
      <c r="K254" s="14" t="n">
        <f aca="false">IF(J254&lt;=0,1,0)</f>
        <v>1</v>
      </c>
      <c r="L254" s="15" t="n">
        <f aca="false">IFERROR(G254/F254,0)</f>
        <v>1</v>
      </c>
      <c r="M254" s="15" t="n">
        <f aca="false">IFERROR((I254-H254)/H254,0)</f>
        <v>-0.0201207643109681</v>
      </c>
      <c r="N254" s="16" t="n">
        <f aca="false">G254*I254</f>
        <v>1479.99</v>
      </c>
    </row>
    <row r="255" customFormat="false" ht="15" hidden="false" customHeight="true" outlineLevel="0" collapsed="false">
      <c r="A255" s="4" t="s">
        <v>431</v>
      </c>
      <c r="B255" s="4" t="s">
        <v>125</v>
      </c>
      <c r="C255" s="13" t="n">
        <v>45054</v>
      </c>
      <c r="D255" s="13" t="n">
        <v>45060</v>
      </c>
      <c r="E255" s="13" t="n">
        <v>45068</v>
      </c>
      <c r="F255" s="4" t="n">
        <v>4</v>
      </c>
      <c r="G255" s="4" t="n">
        <v>3</v>
      </c>
      <c r="H255" s="4" t="n">
        <v>729.32</v>
      </c>
      <c r="I255" s="4" t="n">
        <v>721.37</v>
      </c>
      <c r="J255" s="14" t="n">
        <f aca="false">E255-D255</f>
        <v>8</v>
      </c>
      <c r="K255" s="14" t="n">
        <f aca="false">IF(J255&lt;=0,1,0)</f>
        <v>0</v>
      </c>
      <c r="L255" s="15" t="n">
        <f aca="false">IFERROR(G255/F255,0)</f>
        <v>0.75</v>
      </c>
      <c r="M255" s="15" t="n">
        <f aca="false">IFERROR((I255-H255)/H255,0)</f>
        <v>-0.010900564909779</v>
      </c>
      <c r="N255" s="16" t="n">
        <f aca="false">G255*I255</f>
        <v>2164.11</v>
      </c>
    </row>
    <row r="256" customFormat="false" ht="15" hidden="false" customHeight="true" outlineLevel="0" collapsed="false">
      <c r="A256" s="4" t="s">
        <v>432</v>
      </c>
      <c r="B256" s="4" t="s">
        <v>121</v>
      </c>
      <c r="C256" s="13" t="n">
        <v>45217</v>
      </c>
      <c r="D256" s="13" t="n">
        <v>45226</v>
      </c>
      <c r="E256" s="13" t="n">
        <v>45225</v>
      </c>
      <c r="F256" s="4" t="n">
        <v>204</v>
      </c>
      <c r="G256" s="4" t="n">
        <v>189</v>
      </c>
      <c r="H256" s="4" t="n">
        <v>206.07</v>
      </c>
      <c r="I256" s="4" t="n">
        <v>218.6</v>
      </c>
      <c r="J256" s="14" t="n">
        <f aca="false">E256-D256</f>
        <v>-1</v>
      </c>
      <c r="K256" s="14" t="n">
        <f aca="false">IF(J256&lt;=0,1,0)</f>
        <v>1</v>
      </c>
      <c r="L256" s="15" t="n">
        <f aca="false">IFERROR(G256/F256,0)</f>
        <v>0.926470588235294</v>
      </c>
      <c r="M256" s="15" t="n">
        <f aca="false">IFERROR((I256-H256)/H256,0)</f>
        <v>0.0608045809676324</v>
      </c>
      <c r="N256" s="16" t="n">
        <f aca="false">G256*I256</f>
        <v>41315.4</v>
      </c>
    </row>
    <row r="257" customFormat="false" ht="15" hidden="false" customHeight="true" outlineLevel="0" collapsed="false">
      <c r="A257" s="4" t="s">
        <v>433</v>
      </c>
      <c r="B257" s="4" t="s">
        <v>32</v>
      </c>
      <c r="C257" s="13" t="n">
        <v>45407</v>
      </c>
      <c r="D257" s="13" t="n">
        <v>45416</v>
      </c>
      <c r="E257" s="13" t="n">
        <v>45420</v>
      </c>
      <c r="F257" s="4" t="n">
        <v>1837</v>
      </c>
      <c r="G257" s="4" t="n">
        <v>1623</v>
      </c>
      <c r="H257" s="4" t="n">
        <v>32.49</v>
      </c>
      <c r="I257" s="4" t="n">
        <v>33.81</v>
      </c>
      <c r="J257" s="14" t="n">
        <f aca="false">E257-D257</f>
        <v>4</v>
      </c>
      <c r="K257" s="14" t="n">
        <f aca="false">IF(J257&lt;=0,1,0)</f>
        <v>0</v>
      </c>
      <c r="L257" s="15" t="n">
        <f aca="false">IFERROR(G257/F257,0)</f>
        <v>0.883505715841045</v>
      </c>
      <c r="M257" s="15" t="n">
        <f aca="false">IFERROR((I257-H257)/H257,0)</f>
        <v>0.0406278855032318</v>
      </c>
      <c r="N257" s="16" t="n">
        <f aca="false">G257*I257</f>
        <v>54873.63</v>
      </c>
    </row>
    <row r="258" customFormat="false" ht="15" hidden="false" customHeight="true" outlineLevel="0" collapsed="false">
      <c r="A258" s="4" t="s">
        <v>434</v>
      </c>
      <c r="B258" s="4" t="s">
        <v>159</v>
      </c>
      <c r="C258" s="13" t="n">
        <v>45327</v>
      </c>
      <c r="D258" s="13" t="n">
        <v>45336</v>
      </c>
      <c r="E258" s="13" t="n">
        <v>45340</v>
      </c>
      <c r="F258" s="4" t="n">
        <v>4750</v>
      </c>
      <c r="G258" s="4" t="n">
        <v>4742</v>
      </c>
      <c r="H258" s="4" t="n">
        <v>32.91</v>
      </c>
      <c r="I258" s="4" t="n">
        <v>33.25</v>
      </c>
      <c r="J258" s="14" t="n">
        <f aca="false">E258-D258</f>
        <v>4</v>
      </c>
      <c r="K258" s="14" t="n">
        <f aca="false">IF(J258&lt;=0,1,0)</f>
        <v>0</v>
      </c>
      <c r="L258" s="15" t="n">
        <f aca="false">IFERROR(G258/F258,0)</f>
        <v>0.998315789473684</v>
      </c>
      <c r="M258" s="15" t="n">
        <f aca="false">IFERROR((I258-H258)/H258,0)</f>
        <v>0.0103312063202675</v>
      </c>
      <c r="N258" s="16" t="n">
        <f aca="false">G258*I258</f>
        <v>157671.5</v>
      </c>
    </row>
    <row r="259" customFormat="false" ht="15" hidden="false" customHeight="true" outlineLevel="0" collapsed="false">
      <c r="A259" s="4" t="s">
        <v>435</v>
      </c>
      <c r="B259" s="4" t="s">
        <v>155</v>
      </c>
      <c r="C259" s="13" t="n">
        <v>45548</v>
      </c>
      <c r="D259" s="13" t="n">
        <v>45554</v>
      </c>
      <c r="E259" s="13" t="n">
        <v>45548</v>
      </c>
      <c r="F259" s="4" t="n">
        <v>844</v>
      </c>
      <c r="G259" s="4" t="n">
        <v>817</v>
      </c>
      <c r="H259" s="4" t="n">
        <v>24.04</v>
      </c>
      <c r="I259" s="4" t="n">
        <v>22.91</v>
      </c>
      <c r="J259" s="14" t="n">
        <f aca="false">E259-D259</f>
        <v>-6</v>
      </c>
      <c r="K259" s="14" t="n">
        <f aca="false">IF(J259&lt;=0,1,0)</f>
        <v>1</v>
      </c>
      <c r="L259" s="15" t="n">
        <f aca="false">IFERROR(G259/F259,0)</f>
        <v>0.968009478672986</v>
      </c>
      <c r="M259" s="15" t="n">
        <f aca="false">IFERROR((I259-H259)/H259,0)</f>
        <v>-0.0470049916805324</v>
      </c>
      <c r="N259" s="16" t="n">
        <f aca="false">G259*I259</f>
        <v>18717.47</v>
      </c>
    </row>
    <row r="260" customFormat="false" ht="15" hidden="false" customHeight="true" outlineLevel="0" collapsed="false">
      <c r="A260" s="4" t="s">
        <v>436</v>
      </c>
      <c r="B260" s="4" t="s">
        <v>149</v>
      </c>
      <c r="C260" s="13" t="n">
        <v>45522</v>
      </c>
      <c r="D260" s="13" t="n">
        <v>45529</v>
      </c>
      <c r="E260" s="13" t="n">
        <v>45532</v>
      </c>
      <c r="F260" s="4" t="n">
        <v>8</v>
      </c>
      <c r="G260" s="4" t="n">
        <v>8</v>
      </c>
      <c r="H260" s="4" t="n">
        <v>1458.52</v>
      </c>
      <c r="I260" s="4" t="n">
        <v>1454.07</v>
      </c>
      <c r="J260" s="14" t="n">
        <f aca="false">E260-D260</f>
        <v>3</v>
      </c>
      <c r="K260" s="14" t="n">
        <f aca="false">IF(J260&lt;=0,1,0)</f>
        <v>0</v>
      </c>
      <c r="L260" s="15" t="n">
        <f aca="false">IFERROR(G260/F260,0)</f>
        <v>1</v>
      </c>
      <c r="M260" s="15" t="n">
        <f aca="false">IFERROR((I260-H260)/H260,0)</f>
        <v>-0.00305103803855967</v>
      </c>
      <c r="N260" s="16" t="n">
        <f aca="false">G260*I260</f>
        <v>11632.56</v>
      </c>
    </row>
    <row r="261" customFormat="false" ht="15" hidden="false" customHeight="true" outlineLevel="0" collapsed="false">
      <c r="A261" s="4" t="s">
        <v>437</v>
      </c>
      <c r="B261" s="4" t="s">
        <v>43</v>
      </c>
      <c r="C261" s="13" t="n">
        <v>45272</v>
      </c>
      <c r="D261" s="13" t="n">
        <v>45290</v>
      </c>
      <c r="E261" s="13" t="n">
        <v>45289</v>
      </c>
      <c r="F261" s="4" t="n">
        <v>245</v>
      </c>
      <c r="G261" s="4" t="n">
        <v>238</v>
      </c>
      <c r="H261" s="4" t="n">
        <v>1321.6</v>
      </c>
      <c r="I261" s="4" t="n">
        <v>1340.88</v>
      </c>
      <c r="J261" s="14" t="n">
        <f aca="false">E261-D261</f>
        <v>-1</v>
      </c>
      <c r="K261" s="14" t="n">
        <f aca="false">IF(J261&lt;=0,1,0)</f>
        <v>1</v>
      </c>
      <c r="L261" s="15" t="n">
        <f aca="false">IFERROR(G261/F261,0)</f>
        <v>0.971428571428571</v>
      </c>
      <c r="M261" s="15" t="n">
        <f aca="false">IFERROR((I261-H261)/H261,0)</f>
        <v>0.0145883777239711</v>
      </c>
      <c r="N261" s="16" t="n">
        <f aca="false">G261*I261</f>
        <v>319129.44</v>
      </c>
    </row>
    <row r="262" customFormat="false" ht="15" hidden="false" customHeight="true" outlineLevel="0" collapsed="false">
      <c r="A262" s="4" t="s">
        <v>438</v>
      </c>
      <c r="B262" s="4" t="s">
        <v>123</v>
      </c>
      <c r="C262" s="13" t="n">
        <v>45007</v>
      </c>
      <c r="D262" s="13" t="n">
        <v>45019</v>
      </c>
      <c r="E262" s="13" t="n">
        <v>45019</v>
      </c>
      <c r="F262" s="4" t="n">
        <v>118</v>
      </c>
      <c r="G262" s="4" t="n">
        <v>118</v>
      </c>
      <c r="H262" s="4" t="n">
        <v>214.07</v>
      </c>
      <c r="I262" s="4" t="n">
        <v>218.74</v>
      </c>
      <c r="J262" s="14" t="n">
        <f aca="false">E262-D262</f>
        <v>0</v>
      </c>
      <c r="K262" s="14" t="n">
        <f aca="false">IF(J262&lt;=0,1,0)</f>
        <v>1</v>
      </c>
      <c r="L262" s="15" t="n">
        <f aca="false">IFERROR(G262/F262,0)</f>
        <v>1</v>
      </c>
      <c r="M262" s="15" t="n">
        <f aca="false">IFERROR((I262-H262)/H262,0)</f>
        <v>0.0218152940626899</v>
      </c>
      <c r="N262" s="16" t="n">
        <f aca="false">G262*I262</f>
        <v>25811.32</v>
      </c>
    </row>
    <row r="263" customFormat="false" ht="15" hidden="false" customHeight="true" outlineLevel="0" collapsed="false">
      <c r="A263" s="4" t="s">
        <v>439</v>
      </c>
      <c r="B263" s="4" t="s">
        <v>63</v>
      </c>
      <c r="C263" s="13" t="n">
        <v>45334</v>
      </c>
      <c r="D263" s="13" t="n">
        <v>45346</v>
      </c>
      <c r="E263" s="13" t="n">
        <v>45351</v>
      </c>
      <c r="F263" s="4" t="n">
        <v>1972</v>
      </c>
      <c r="G263" s="4" t="n">
        <v>1843</v>
      </c>
      <c r="H263" s="4" t="n">
        <v>239.8</v>
      </c>
      <c r="I263" s="4" t="n">
        <v>252.77</v>
      </c>
      <c r="J263" s="14" t="n">
        <f aca="false">E263-D263</f>
        <v>5</v>
      </c>
      <c r="K263" s="14" t="n">
        <f aca="false">IF(J263&lt;=0,1,0)</f>
        <v>0</v>
      </c>
      <c r="L263" s="15" t="n">
        <f aca="false">IFERROR(G263/F263,0)</f>
        <v>0.934584178498986</v>
      </c>
      <c r="M263" s="15" t="n">
        <f aca="false">IFERROR((I263-H263)/H263,0)</f>
        <v>0.0540867389491243</v>
      </c>
      <c r="N263" s="16" t="n">
        <f aca="false">G263*I263</f>
        <v>465855.11</v>
      </c>
    </row>
    <row r="264" customFormat="false" ht="15" hidden="false" customHeight="true" outlineLevel="0" collapsed="false">
      <c r="A264" s="4" t="s">
        <v>440</v>
      </c>
      <c r="B264" s="4" t="s">
        <v>65</v>
      </c>
      <c r="C264" s="13" t="n">
        <v>44961</v>
      </c>
      <c r="D264" s="13" t="n">
        <v>44978</v>
      </c>
      <c r="E264" s="13" t="n">
        <v>44974</v>
      </c>
      <c r="F264" s="4" t="n">
        <v>95</v>
      </c>
      <c r="G264" s="4" t="n">
        <v>95</v>
      </c>
      <c r="H264" s="4" t="n">
        <v>1365.59</v>
      </c>
      <c r="I264" s="4" t="n">
        <v>1369.88</v>
      </c>
      <c r="J264" s="14" t="n">
        <f aca="false">E264-D264</f>
        <v>-4</v>
      </c>
      <c r="K264" s="14" t="n">
        <f aca="false">IF(J264&lt;=0,1,0)</f>
        <v>1</v>
      </c>
      <c r="L264" s="15" t="n">
        <f aca="false">IFERROR(G264/F264,0)</f>
        <v>1</v>
      </c>
      <c r="M264" s="15" t="n">
        <f aca="false">IFERROR((I264-H264)/H264,0)</f>
        <v>0.00314149927870019</v>
      </c>
      <c r="N264" s="16" t="n">
        <f aca="false">G264*I264</f>
        <v>130138.6</v>
      </c>
    </row>
    <row r="265" customFormat="false" ht="15" hidden="false" customHeight="true" outlineLevel="0" collapsed="false">
      <c r="A265" s="4" t="s">
        <v>441</v>
      </c>
      <c r="B265" s="4" t="s">
        <v>127</v>
      </c>
      <c r="C265" s="13" t="n">
        <v>45520</v>
      </c>
      <c r="D265" s="13" t="n">
        <v>45526</v>
      </c>
      <c r="E265" s="13" t="n">
        <v>45531</v>
      </c>
      <c r="F265" s="4" t="n">
        <v>1</v>
      </c>
      <c r="G265" s="4" t="n">
        <v>1</v>
      </c>
      <c r="H265" s="4" t="n">
        <v>1881</v>
      </c>
      <c r="I265" s="4" t="n">
        <v>1759.62</v>
      </c>
      <c r="J265" s="14" t="n">
        <f aca="false">E265-D265</f>
        <v>5</v>
      </c>
      <c r="K265" s="14" t="n">
        <f aca="false">IF(J265&lt;=0,1,0)</f>
        <v>0</v>
      </c>
      <c r="L265" s="15" t="n">
        <f aca="false">IFERROR(G265/F265,0)</f>
        <v>1</v>
      </c>
      <c r="M265" s="15" t="n">
        <f aca="false">IFERROR((I265-H265)/H265,0)</f>
        <v>-0.0645295055821372</v>
      </c>
      <c r="N265" s="16" t="n">
        <f aca="false">G265*I265</f>
        <v>1759.62</v>
      </c>
    </row>
    <row r="266" customFormat="false" ht="15" hidden="false" customHeight="true" outlineLevel="0" collapsed="false">
      <c r="A266" s="4" t="s">
        <v>442</v>
      </c>
      <c r="B266" s="4" t="s">
        <v>139</v>
      </c>
      <c r="C266" s="13" t="n">
        <v>45114</v>
      </c>
      <c r="D266" s="13" t="n">
        <v>45124</v>
      </c>
      <c r="E266" s="13" t="n">
        <v>45125</v>
      </c>
      <c r="F266" s="4" t="n">
        <v>827</v>
      </c>
      <c r="G266" s="4" t="n">
        <v>729</v>
      </c>
      <c r="H266" s="4" t="n">
        <v>207.64</v>
      </c>
      <c r="I266" s="4" t="n">
        <v>211.39</v>
      </c>
      <c r="J266" s="14" t="n">
        <f aca="false">E266-D266</f>
        <v>1</v>
      </c>
      <c r="K266" s="14" t="n">
        <f aca="false">IF(J266&lt;=0,1,0)</f>
        <v>0</v>
      </c>
      <c r="L266" s="15" t="n">
        <f aca="false">IFERROR(G266/F266,0)</f>
        <v>0.881499395405079</v>
      </c>
      <c r="M266" s="15" t="n">
        <f aca="false">IFERROR((I266-H266)/H266,0)</f>
        <v>0.0180601040261992</v>
      </c>
      <c r="N266" s="16" t="n">
        <f aca="false">G266*I266</f>
        <v>154103.31</v>
      </c>
    </row>
    <row r="267" customFormat="false" ht="15" hidden="false" customHeight="true" outlineLevel="0" collapsed="false">
      <c r="A267" s="4" t="s">
        <v>443</v>
      </c>
      <c r="B267" s="4" t="s">
        <v>139</v>
      </c>
      <c r="C267" s="13" t="n">
        <v>45632</v>
      </c>
      <c r="D267" s="13" t="n">
        <v>45644</v>
      </c>
      <c r="E267" s="13" t="n">
        <v>45641</v>
      </c>
      <c r="F267" s="4" t="n">
        <v>990</v>
      </c>
      <c r="G267" s="4" t="n">
        <v>870</v>
      </c>
      <c r="H267" s="4" t="n">
        <v>207.64</v>
      </c>
      <c r="I267" s="4" t="n">
        <v>223.31</v>
      </c>
      <c r="J267" s="14" t="n">
        <f aca="false">E267-D267</f>
        <v>-3</v>
      </c>
      <c r="K267" s="14" t="n">
        <f aca="false">IF(J267&lt;=0,1,0)</f>
        <v>1</v>
      </c>
      <c r="L267" s="15" t="n">
        <f aca="false">IFERROR(G267/F267,0)</f>
        <v>0.878787878787879</v>
      </c>
      <c r="M267" s="15" t="n">
        <f aca="false">IFERROR((I267-H267)/H267,0)</f>
        <v>0.0754671546908111</v>
      </c>
      <c r="N267" s="16" t="n">
        <f aca="false">G267*I267</f>
        <v>194279.7</v>
      </c>
    </row>
    <row r="268" customFormat="false" ht="15" hidden="false" customHeight="true" outlineLevel="0" collapsed="false">
      <c r="A268" s="4" t="s">
        <v>444</v>
      </c>
      <c r="B268" s="4" t="s">
        <v>63</v>
      </c>
      <c r="C268" s="13" t="n">
        <v>45607</v>
      </c>
      <c r="D268" s="13" t="n">
        <v>45617</v>
      </c>
      <c r="E268" s="13" t="n">
        <v>45622</v>
      </c>
      <c r="F268" s="4" t="n">
        <v>1215</v>
      </c>
      <c r="G268" s="4" t="n">
        <v>1097</v>
      </c>
      <c r="H268" s="4" t="n">
        <v>239.8</v>
      </c>
      <c r="I268" s="4" t="n">
        <v>261.79</v>
      </c>
      <c r="J268" s="14" t="n">
        <f aca="false">E268-D268</f>
        <v>5</v>
      </c>
      <c r="K268" s="14" t="n">
        <f aca="false">IF(J268&lt;=0,1,0)</f>
        <v>0</v>
      </c>
      <c r="L268" s="15" t="n">
        <f aca="false">IFERROR(G268/F268,0)</f>
        <v>0.902880658436214</v>
      </c>
      <c r="M268" s="15" t="n">
        <f aca="false">IFERROR((I268-H268)/H268,0)</f>
        <v>0.0917014178482069</v>
      </c>
      <c r="N268" s="16" t="n">
        <f aca="false">G268*I268</f>
        <v>287183.63</v>
      </c>
    </row>
    <row r="269" customFormat="false" ht="15" hidden="false" customHeight="true" outlineLevel="0" collapsed="false">
      <c r="A269" s="4" t="s">
        <v>445</v>
      </c>
      <c r="B269" s="4" t="s">
        <v>133</v>
      </c>
      <c r="C269" s="13" t="n">
        <v>45504</v>
      </c>
      <c r="D269" s="13" t="n">
        <v>45513</v>
      </c>
      <c r="E269" s="13" t="n">
        <v>45519</v>
      </c>
      <c r="F269" s="4" t="n">
        <v>1922</v>
      </c>
      <c r="G269" s="4" t="n">
        <v>1901</v>
      </c>
      <c r="H269" s="4" t="n">
        <v>138.21</v>
      </c>
      <c r="I269" s="4" t="n">
        <v>141.52</v>
      </c>
      <c r="J269" s="14" t="n">
        <f aca="false">E269-D269</f>
        <v>6</v>
      </c>
      <c r="K269" s="14" t="n">
        <f aca="false">IF(J269&lt;=0,1,0)</f>
        <v>0</v>
      </c>
      <c r="L269" s="15" t="n">
        <f aca="false">IFERROR(G269/F269,0)</f>
        <v>0.989073881373569</v>
      </c>
      <c r="M269" s="15" t="n">
        <f aca="false">IFERROR((I269-H269)/H269,0)</f>
        <v>0.023949063020042</v>
      </c>
      <c r="N269" s="16" t="n">
        <f aca="false">G269*I269</f>
        <v>269029.52</v>
      </c>
    </row>
    <row r="270" customFormat="false" ht="15" hidden="false" customHeight="true" outlineLevel="0" collapsed="false">
      <c r="A270" s="4" t="s">
        <v>446</v>
      </c>
      <c r="B270" s="4" t="s">
        <v>93</v>
      </c>
      <c r="C270" s="13" t="n">
        <v>45550</v>
      </c>
      <c r="D270" s="13" t="n">
        <v>45562</v>
      </c>
      <c r="E270" s="13" t="n">
        <v>45568</v>
      </c>
      <c r="F270" s="4" t="n">
        <v>945</v>
      </c>
      <c r="G270" s="4" t="n">
        <v>927</v>
      </c>
      <c r="H270" s="4" t="n">
        <v>174.25</v>
      </c>
      <c r="I270" s="4" t="n">
        <v>186.35</v>
      </c>
      <c r="J270" s="14" t="n">
        <f aca="false">E270-D270</f>
        <v>6</v>
      </c>
      <c r="K270" s="14" t="n">
        <f aca="false">IF(J270&lt;=0,1,0)</f>
        <v>0</v>
      </c>
      <c r="L270" s="15" t="n">
        <f aca="false">IFERROR(G270/F270,0)</f>
        <v>0.980952380952381</v>
      </c>
      <c r="M270" s="15" t="n">
        <f aca="false">IFERROR((I270-H270)/H270,0)</f>
        <v>0.0694404591104734</v>
      </c>
      <c r="N270" s="16" t="n">
        <f aca="false">G270*I270</f>
        <v>172746.45</v>
      </c>
    </row>
    <row r="271" customFormat="false" ht="15" hidden="false" customHeight="true" outlineLevel="0" collapsed="false">
      <c r="A271" s="4" t="s">
        <v>447</v>
      </c>
      <c r="B271" s="4" t="s">
        <v>125</v>
      </c>
      <c r="C271" s="13" t="n">
        <v>45265</v>
      </c>
      <c r="D271" s="13" t="n">
        <v>45270</v>
      </c>
      <c r="E271" s="13" t="n">
        <v>45279</v>
      </c>
      <c r="F271" s="4" t="n">
        <v>12</v>
      </c>
      <c r="G271" s="4" t="n">
        <v>11</v>
      </c>
      <c r="H271" s="4" t="n">
        <v>729.32</v>
      </c>
      <c r="I271" s="4" t="n">
        <v>744.93</v>
      </c>
      <c r="J271" s="14" t="n">
        <f aca="false">E271-D271</f>
        <v>9</v>
      </c>
      <c r="K271" s="14" t="n">
        <f aca="false">IF(J271&lt;=0,1,0)</f>
        <v>0</v>
      </c>
      <c r="L271" s="15" t="n">
        <f aca="false">IFERROR(G271/F271,0)</f>
        <v>0.916666666666667</v>
      </c>
      <c r="M271" s="15" t="n">
        <f aca="false">IFERROR((I271-H271)/H271,0)</f>
        <v>0.0214034991498929</v>
      </c>
      <c r="N271" s="16" t="n">
        <f aca="false">G271*I271</f>
        <v>8194.23</v>
      </c>
    </row>
    <row r="272" customFormat="false" ht="15" hidden="false" customHeight="true" outlineLevel="0" collapsed="false">
      <c r="A272" s="4" t="s">
        <v>448</v>
      </c>
      <c r="B272" s="4" t="s">
        <v>47</v>
      </c>
      <c r="C272" s="13" t="n">
        <v>45323</v>
      </c>
      <c r="D272" s="13" t="n">
        <v>45335</v>
      </c>
      <c r="E272" s="13" t="n">
        <v>45332</v>
      </c>
      <c r="F272" s="4" t="n">
        <v>1577</v>
      </c>
      <c r="G272" s="4" t="n">
        <v>1495</v>
      </c>
      <c r="H272" s="4" t="n">
        <v>228.68</v>
      </c>
      <c r="I272" s="4" t="n">
        <v>234.32</v>
      </c>
      <c r="J272" s="14" t="n">
        <f aca="false">E272-D272</f>
        <v>-3</v>
      </c>
      <c r="K272" s="14" t="n">
        <f aca="false">IF(J272&lt;=0,1,0)</f>
        <v>1</v>
      </c>
      <c r="L272" s="15" t="n">
        <f aca="false">IFERROR(G272/F272,0)</f>
        <v>0.948002536461636</v>
      </c>
      <c r="M272" s="15" t="n">
        <f aca="false">IFERROR((I272-H272)/H272,0)</f>
        <v>0.0246632849396536</v>
      </c>
      <c r="N272" s="16" t="n">
        <f aca="false">G272*I272</f>
        <v>350308.4</v>
      </c>
    </row>
    <row r="273" customFormat="false" ht="15" hidden="false" customHeight="true" outlineLevel="0" collapsed="false">
      <c r="A273" s="4" t="s">
        <v>449</v>
      </c>
      <c r="B273" s="4" t="s">
        <v>155</v>
      </c>
      <c r="C273" s="13" t="n">
        <v>45039</v>
      </c>
      <c r="D273" s="13" t="n">
        <v>45046</v>
      </c>
      <c r="E273" s="13" t="n">
        <v>45046</v>
      </c>
      <c r="F273" s="4" t="n">
        <v>4269</v>
      </c>
      <c r="G273" s="4" t="n">
        <v>4193</v>
      </c>
      <c r="H273" s="4" t="n">
        <v>24.04</v>
      </c>
      <c r="I273" s="4" t="n">
        <v>23.8</v>
      </c>
      <c r="J273" s="14" t="n">
        <f aca="false">E273-D273</f>
        <v>0</v>
      </c>
      <c r="K273" s="14" t="n">
        <f aca="false">IF(J273&lt;=0,1,0)</f>
        <v>1</v>
      </c>
      <c r="L273" s="15" t="n">
        <f aca="false">IFERROR(G273/F273,0)</f>
        <v>0.982197235886625</v>
      </c>
      <c r="M273" s="15" t="n">
        <f aca="false">IFERROR((I273-H273)/H273,0)</f>
        <v>-0.00998336106489178</v>
      </c>
      <c r="N273" s="16" t="n">
        <f aca="false">G273*I273</f>
        <v>99793.4</v>
      </c>
    </row>
    <row r="274" customFormat="false" ht="15" hidden="false" customHeight="true" outlineLevel="0" collapsed="false">
      <c r="A274" s="4" t="s">
        <v>450</v>
      </c>
      <c r="B274" s="4" t="s">
        <v>117</v>
      </c>
      <c r="C274" s="13" t="n">
        <v>45093</v>
      </c>
      <c r="D274" s="13" t="n">
        <v>45106</v>
      </c>
      <c r="E274" s="13" t="n">
        <v>45112</v>
      </c>
      <c r="F274" s="4" t="n">
        <v>185</v>
      </c>
      <c r="G274" s="4" t="n">
        <v>178</v>
      </c>
      <c r="H274" s="4" t="n">
        <v>396.01</v>
      </c>
      <c r="I274" s="4" t="n">
        <v>393.09</v>
      </c>
      <c r="J274" s="14" t="n">
        <f aca="false">E274-D274</f>
        <v>6</v>
      </c>
      <c r="K274" s="14" t="n">
        <f aca="false">IF(J274&lt;=0,1,0)</f>
        <v>0</v>
      </c>
      <c r="L274" s="15" t="n">
        <f aca="false">IFERROR(G274/F274,0)</f>
        <v>0.962162162162162</v>
      </c>
      <c r="M274" s="15" t="n">
        <f aca="false">IFERROR((I274-H274)/H274,0)</f>
        <v>-0.00737355117295022</v>
      </c>
      <c r="N274" s="16" t="n">
        <f aca="false">G274*I274</f>
        <v>69970.02</v>
      </c>
    </row>
    <row r="275" customFormat="false" ht="15" hidden="false" customHeight="true" outlineLevel="0" collapsed="false">
      <c r="A275" s="4" t="s">
        <v>451</v>
      </c>
      <c r="B275" s="4" t="s">
        <v>101</v>
      </c>
      <c r="C275" s="13" t="n">
        <v>45234</v>
      </c>
      <c r="D275" s="13" t="n">
        <v>45252</v>
      </c>
      <c r="E275" s="13" t="n">
        <v>45256</v>
      </c>
      <c r="F275" s="4" t="n">
        <v>122</v>
      </c>
      <c r="G275" s="4" t="n">
        <v>122</v>
      </c>
      <c r="H275" s="4" t="n">
        <v>442.74</v>
      </c>
      <c r="I275" s="4" t="n">
        <v>451.59</v>
      </c>
      <c r="J275" s="14" t="n">
        <f aca="false">E275-D275</f>
        <v>4</v>
      </c>
      <c r="K275" s="14" t="n">
        <f aca="false">IF(J275&lt;=0,1,0)</f>
        <v>0</v>
      </c>
      <c r="L275" s="15" t="n">
        <f aca="false">IFERROR(G275/F275,0)</f>
        <v>1</v>
      </c>
      <c r="M275" s="15" t="n">
        <f aca="false">IFERROR((I275-H275)/H275,0)</f>
        <v>0.0199891584225504</v>
      </c>
      <c r="N275" s="16" t="n">
        <f aca="false">G275*I275</f>
        <v>55093.98</v>
      </c>
    </row>
    <row r="276" customFormat="false" ht="15" hidden="false" customHeight="true" outlineLevel="0" collapsed="false">
      <c r="A276" s="4" t="s">
        <v>452</v>
      </c>
      <c r="B276" s="4" t="s">
        <v>41</v>
      </c>
      <c r="C276" s="13" t="n">
        <v>45510</v>
      </c>
      <c r="D276" s="13" t="n">
        <v>45519</v>
      </c>
      <c r="E276" s="13" t="n">
        <v>45520</v>
      </c>
      <c r="F276" s="4" t="n">
        <v>2742</v>
      </c>
      <c r="G276" s="4" t="n">
        <v>2742</v>
      </c>
      <c r="H276" s="4" t="n">
        <v>45.51</v>
      </c>
      <c r="I276" s="4" t="n">
        <v>44.07</v>
      </c>
      <c r="J276" s="14" t="n">
        <f aca="false">E276-D276</f>
        <v>1</v>
      </c>
      <c r="K276" s="14" t="n">
        <f aca="false">IF(J276&lt;=0,1,0)</f>
        <v>0</v>
      </c>
      <c r="L276" s="15" t="n">
        <f aca="false">IFERROR(G276/F276,0)</f>
        <v>1</v>
      </c>
      <c r="M276" s="15" t="n">
        <f aca="false">IFERROR((I276-H276)/H276,0)</f>
        <v>-0.031641397495056</v>
      </c>
      <c r="N276" s="16" t="n">
        <f aca="false">G276*I276</f>
        <v>120839.94</v>
      </c>
    </row>
    <row r="277" customFormat="false" ht="15" hidden="false" customHeight="true" outlineLevel="0" collapsed="false">
      <c r="A277" s="4" t="s">
        <v>453</v>
      </c>
      <c r="B277" s="4" t="s">
        <v>161</v>
      </c>
      <c r="C277" s="13" t="n">
        <v>45161</v>
      </c>
      <c r="D277" s="13" t="n">
        <v>45173</v>
      </c>
      <c r="E277" s="13" t="n">
        <v>45179</v>
      </c>
      <c r="F277" s="4" t="n">
        <v>228</v>
      </c>
      <c r="G277" s="4" t="n">
        <v>222</v>
      </c>
      <c r="H277" s="4" t="n">
        <v>101.94</v>
      </c>
      <c r="I277" s="4" t="n">
        <v>107.15</v>
      </c>
      <c r="J277" s="14" t="n">
        <f aca="false">E277-D277</f>
        <v>6</v>
      </c>
      <c r="K277" s="14" t="n">
        <f aca="false">IF(J277&lt;=0,1,0)</f>
        <v>0</v>
      </c>
      <c r="L277" s="15" t="n">
        <f aca="false">IFERROR(G277/F277,0)</f>
        <v>0.973684210526316</v>
      </c>
      <c r="M277" s="15" t="n">
        <f aca="false">IFERROR((I277-H277)/H277,0)</f>
        <v>0.051108495193251</v>
      </c>
      <c r="N277" s="16" t="n">
        <f aca="false">G277*I277</f>
        <v>23787.3</v>
      </c>
    </row>
    <row r="278" customFormat="false" ht="15" hidden="false" customHeight="true" outlineLevel="0" collapsed="false">
      <c r="A278" s="4" t="s">
        <v>454</v>
      </c>
      <c r="B278" s="4" t="s">
        <v>97</v>
      </c>
      <c r="C278" s="13" t="n">
        <v>45132</v>
      </c>
      <c r="D278" s="13" t="n">
        <v>45142</v>
      </c>
      <c r="E278" s="13" t="n">
        <v>45147</v>
      </c>
      <c r="F278" s="4" t="n">
        <v>452</v>
      </c>
      <c r="G278" s="4" t="n">
        <v>449</v>
      </c>
      <c r="H278" s="4" t="n">
        <v>123.04</v>
      </c>
      <c r="I278" s="4" t="n">
        <v>124.39</v>
      </c>
      <c r="J278" s="14" t="n">
        <f aca="false">E278-D278</f>
        <v>5</v>
      </c>
      <c r="K278" s="14" t="n">
        <f aca="false">IF(J278&lt;=0,1,0)</f>
        <v>0</v>
      </c>
      <c r="L278" s="15" t="n">
        <f aca="false">IFERROR(G278/F278,0)</f>
        <v>0.993362831858407</v>
      </c>
      <c r="M278" s="15" t="n">
        <f aca="false">IFERROR((I278-H278)/H278,0)</f>
        <v>0.0109720416124837</v>
      </c>
      <c r="N278" s="16" t="n">
        <f aca="false">G278*I278</f>
        <v>55851.11</v>
      </c>
    </row>
    <row r="279" customFormat="false" ht="15" hidden="false" customHeight="true" outlineLevel="0" collapsed="false">
      <c r="A279" s="4" t="s">
        <v>455</v>
      </c>
      <c r="B279" s="4" t="s">
        <v>115</v>
      </c>
      <c r="C279" s="13" t="n">
        <v>45454</v>
      </c>
      <c r="D279" s="13" t="n">
        <v>45466</v>
      </c>
      <c r="E279" s="13" t="n">
        <v>45468</v>
      </c>
      <c r="F279" s="4" t="n">
        <v>276</v>
      </c>
      <c r="G279" s="4" t="n">
        <v>257</v>
      </c>
      <c r="H279" s="4" t="n">
        <v>115.53</v>
      </c>
      <c r="I279" s="4" t="n">
        <v>127.76</v>
      </c>
      <c r="J279" s="14" t="n">
        <f aca="false">E279-D279</f>
        <v>2</v>
      </c>
      <c r="K279" s="14" t="n">
        <f aca="false">IF(J279&lt;=0,1,0)</f>
        <v>0</v>
      </c>
      <c r="L279" s="15" t="n">
        <f aca="false">IFERROR(G279/F279,0)</f>
        <v>0.931159420289855</v>
      </c>
      <c r="M279" s="15" t="n">
        <f aca="false">IFERROR((I279-H279)/H279,0)</f>
        <v>0.10585994979659</v>
      </c>
      <c r="N279" s="16" t="n">
        <f aca="false">G279*I279</f>
        <v>32834.32</v>
      </c>
    </row>
    <row r="280" customFormat="false" ht="15" hidden="false" customHeight="true" outlineLevel="0" collapsed="false">
      <c r="A280" s="4" t="s">
        <v>456</v>
      </c>
      <c r="B280" s="4" t="s">
        <v>141</v>
      </c>
      <c r="C280" s="13" t="n">
        <v>45269</v>
      </c>
      <c r="D280" s="13" t="n">
        <v>45286</v>
      </c>
      <c r="E280" s="13" t="n">
        <v>45286</v>
      </c>
      <c r="F280" s="4" t="n">
        <v>264</v>
      </c>
      <c r="G280" s="4" t="n">
        <v>259</v>
      </c>
      <c r="H280" s="4" t="n">
        <v>1252.36</v>
      </c>
      <c r="I280" s="4" t="n">
        <v>1219.5</v>
      </c>
      <c r="J280" s="14" t="n">
        <f aca="false">E280-D280</f>
        <v>0</v>
      </c>
      <c r="K280" s="14" t="n">
        <f aca="false">IF(J280&lt;=0,1,0)</f>
        <v>1</v>
      </c>
      <c r="L280" s="15" t="n">
        <f aca="false">IFERROR(G280/F280,0)</f>
        <v>0.981060606060606</v>
      </c>
      <c r="M280" s="15" t="n">
        <f aca="false">IFERROR((I280-H280)/H280,0)</f>
        <v>-0.0262384617841514</v>
      </c>
      <c r="N280" s="16" t="n">
        <f aca="false">G280*I280</f>
        <v>315850.5</v>
      </c>
    </row>
    <row r="281" customFormat="false" ht="15" hidden="false" customHeight="true" outlineLevel="0" collapsed="false">
      <c r="A281" s="4" t="s">
        <v>457</v>
      </c>
      <c r="B281" s="4" t="s">
        <v>70</v>
      </c>
      <c r="C281" s="13" t="n">
        <v>45248</v>
      </c>
      <c r="D281" s="13" t="n">
        <v>45257</v>
      </c>
      <c r="E281" s="13" t="n">
        <v>45259</v>
      </c>
      <c r="F281" s="4" t="n">
        <v>2752</v>
      </c>
      <c r="G281" s="4" t="n">
        <v>2611</v>
      </c>
      <c r="H281" s="4" t="n">
        <v>35.88</v>
      </c>
      <c r="I281" s="4" t="n">
        <v>36.68</v>
      </c>
      <c r="J281" s="14" t="n">
        <f aca="false">E281-D281</f>
        <v>2</v>
      </c>
      <c r="K281" s="14" t="n">
        <f aca="false">IF(J281&lt;=0,1,0)</f>
        <v>0</v>
      </c>
      <c r="L281" s="15" t="n">
        <f aca="false">IFERROR(G281/F281,0)</f>
        <v>0.948764534883721</v>
      </c>
      <c r="M281" s="15" t="n">
        <f aca="false">IFERROR((I281-H281)/H281,0)</f>
        <v>0.0222965440356744</v>
      </c>
      <c r="N281" s="16" t="n">
        <f aca="false">G281*I281</f>
        <v>95771.48</v>
      </c>
    </row>
    <row r="282" customFormat="false" ht="15" hidden="false" customHeight="true" outlineLevel="0" collapsed="false">
      <c r="A282" s="4" t="s">
        <v>458</v>
      </c>
      <c r="B282" s="4" t="s">
        <v>32</v>
      </c>
      <c r="C282" s="13" t="n">
        <v>45576</v>
      </c>
      <c r="D282" s="13" t="n">
        <v>45585</v>
      </c>
      <c r="E282" s="13" t="n">
        <v>45584</v>
      </c>
      <c r="F282" s="4" t="n">
        <v>3211</v>
      </c>
      <c r="G282" s="4" t="n">
        <v>2817</v>
      </c>
      <c r="H282" s="4" t="n">
        <v>32.49</v>
      </c>
      <c r="I282" s="4" t="n">
        <v>33.03</v>
      </c>
      <c r="J282" s="14" t="n">
        <f aca="false">E282-D282</f>
        <v>-1</v>
      </c>
      <c r="K282" s="14" t="n">
        <f aca="false">IF(J282&lt;=0,1,0)</f>
        <v>1</v>
      </c>
      <c r="L282" s="15" t="n">
        <f aca="false">IFERROR(G282/F282,0)</f>
        <v>0.877296792276549</v>
      </c>
      <c r="M282" s="15" t="n">
        <f aca="false">IFERROR((I282-H282)/H282,0)</f>
        <v>0.0166204986149584</v>
      </c>
      <c r="N282" s="16" t="n">
        <f aca="false">G282*I282</f>
        <v>93045.51</v>
      </c>
    </row>
    <row r="283" customFormat="false" ht="15" hidden="false" customHeight="true" outlineLevel="0" collapsed="false">
      <c r="A283" s="4" t="s">
        <v>459</v>
      </c>
      <c r="B283" s="4" t="s">
        <v>131</v>
      </c>
      <c r="C283" s="13" t="n">
        <v>45256</v>
      </c>
      <c r="D283" s="13" t="n">
        <v>45265</v>
      </c>
      <c r="E283" s="13" t="n">
        <v>45263</v>
      </c>
      <c r="F283" s="4" t="n">
        <v>1703</v>
      </c>
      <c r="G283" s="4" t="n">
        <v>1651</v>
      </c>
      <c r="H283" s="4" t="n">
        <v>88.52</v>
      </c>
      <c r="I283" s="4" t="n">
        <v>89.29</v>
      </c>
      <c r="J283" s="14" t="n">
        <f aca="false">E283-D283</f>
        <v>-2</v>
      </c>
      <c r="K283" s="14" t="n">
        <f aca="false">IF(J283&lt;=0,1,0)</f>
        <v>1</v>
      </c>
      <c r="L283" s="15" t="n">
        <f aca="false">IFERROR(G283/F283,0)</f>
        <v>0.969465648854962</v>
      </c>
      <c r="M283" s="15" t="n">
        <f aca="false">IFERROR((I283-H283)/H283,0)</f>
        <v>0.00869859918662461</v>
      </c>
      <c r="N283" s="16" t="n">
        <f aca="false">G283*I283</f>
        <v>147417.79</v>
      </c>
    </row>
    <row r="284" customFormat="false" ht="15" hidden="false" customHeight="true" outlineLevel="0" collapsed="false">
      <c r="A284" s="4" t="s">
        <v>460</v>
      </c>
      <c r="B284" s="4" t="s">
        <v>135</v>
      </c>
      <c r="C284" s="13" t="n">
        <v>45631</v>
      </c>
      <c r="D284" s="13" t="n">
        <v>45644</v>
      </c>
      <c r="E284" s="13" t="n">
        <v>45648</v>
      </c>
      <c r="F284" s="4" t="n">
        <v>187</v>
      </c>
      <c r="G284" s="4" t="n">
        <v>187</v>
      </c>
      <c r="H284" s="4" t="n">
        <v>328.06</v>
      </c>
      <c r="I284" s="4" t="n">
        <v>315.79</v>
      </c>
      <c r="J284" s="14" t="n">
        <f aca="false">E284-D284</f>
        <v>4</v>
      </c>
      <c r="K284" s="14" t="n">
        <f aca="false">IF(J284&lt;=0,1,0)</f>
        <v>0</v>
      </c>
      <c r="L284" s="15" t="n">
        <f aca="false">IFERROR(G284/F284,0)</f>
        <v>1</v>
      </c>
      <c r="M284" s="15" t="n">
        <f aca="false">IFERROR((I284-H284)/H284,0)</f>
        <v>-0.0374016948119246</v>
      </c>
      <c r="N284" s="16" t="n">
        <f aca="false">G284*I284</f>
        <v>59052.73</v>
      </c>
    </row>
    <row r="285" customFormat="false" ht="15" hidden="false" customHeight="true" outlineLevel="0" collapsed="false">
      <c r="A285" s="4" t="s">
        <v>461</v>
      </c>
      <c r="B285" s="4" t="s">
        <v>121</v>
      </c>
      <c r="C285" s="13" t="n">
        <v>45128</v>
      </c>
      <c r="D285" s="13" t="n">
        <v>45139</v>
      </c>
      <c r="E285" s="13" t="n">
        <v>45143</v>
      </c>
      <c r="F285" s="4" t="n">
        <v>254</v>
      </c>
      <c r="G285" s="4" t="n">
        <v>237</v>
      </c>
      <c r="H285" s="4" t="n">
        <v>206.07</v>
      </c>
      <c r="I285" s="4" t="n">
        <v>215.36</v>
      </c>
      <c r="J285" s="14" t="n">
        <f aca="false">E285-D285</f>
        <v>4</v>
      </c>
      <c r="K285" s="14" t="n">
        <f aca="false">IF(J285&lt;=0,1,0)</f>
        <v>0</v>
      </c>
      <c r="L285" s="15" t="n">
        <f aca="false">IFERROR(G285/F285,0)</f>
        <v>0.933070866141732</v>
      </c>
      <c r="M285" s="15" t="n">
        <f aca="false">IFERROR((I285-H285)/H285,0)</f>
        <v>0.0450817683311497</v>
      </c>
      <c r="N285" s="16" t="n">
        <f aca="false">G285*I285</f>
        <v>51040.32</v>
      </c>
    </row>
    <row r="286" customFormat="false" ht="15" hidden="false" customHeight="true" outlineLevel="0" collapsed="false">
      <c r="A286" s="4" t="s">
        <v>462</v>
      </c>
      <c r="B286" s="4" t="s">
        <v>147</v>
      </c>
      <c r="C286" s="13" t="n">
        <v>45483</v>
      </c>
      <c r="D286" s="13" t="n">
        <v>45495</v>
      </c>
      <c r="E286" s="13" t="n">
        <v>45495</v>
      </c>
      <c r="F286" s="4" t="n">
        <v>275</v>
      </c>
      <c r="G286" s="4" t="n">
        <v>268</v>
      </c>
      <c r="H286" s="4" t="n">
        <v>203.3</v>
      </c>
      <c r="I286" s="4" t="n">
        <v>212.62</v>
      </c>
      <c r="J286" s="14" t="n">
        <f aca="false">E286-D286</f>
        <v>0</v>
      </c>
      <c r="K286" s="14" t="n">
        <f aca="false">IF(J286&lt;=0,1,0)</f>
        <v>1</v>
      </c>
      <c r="L286" s="15" t="n">
        <f aca="false">IFERROR(G286/F286,0)</f>
        <v>0.974545454545455</v>
      </c>
      <c r="M286" s="15" t="n">
        <f aca="false">IFERROR((I286-H286)/H286,0)</f>
        <v>0.045843580914904</v>
      </c>
      <c r="N286" s="16" t="n">
        <f aca="false">G286*I286</f>
        <v>56982.16</v>
      </c>
    </row>
    <row r="287" customFormat="false" ht="15" hidden="false" customHeight="true" outlineLevel="0" collapsed="false">
      <c r="A287" s="4" t="s">
        <v>463</v>
      </c>
      <c r="B287" s="4" t="s">
        <v>43</v>
      </c>
      <c r="C287" s="13" t="n">
        <v>45088</v>
      </c>
      <c r="D287" s="13" t="n">
        <v>45105</v>
      </c>
      <c r="E287" s="13" t="n">
        <v>45107</v>
      </c>
      <c r="F287" s="4" t="n">
        <v>264</v>
      </c>
      <c r="G287" s="4" t="n">
        <v>252</v>
      </c>
      <c r="H287" s="4" t="n">
        <v>1321.6</v>
      </c>
      <c r="I287" s="4" t="n">
        <v>1308.12</v>
      </c>
      <c r="J287" s="14" t="n">
        <f aca="false">E287-D287</f>
        <v>2</v>
      </c>
      <c r="K287" s="14" t="n">
        <f aca="false">IF(J287&lt;=0,1,0)</f>
        <v>0</v>
      </c>
      <c r="L287" s="15" t="n">
        <f aca="false">IFERROR(G287/F287,0)</f>
        <v>0.954545454545455</v>
      </c>
      <c r="M287" s="15" t="n">
        <f aca="false">IFERROR((I287-H287)/H287,0)</f>
        <v>-0.0101997578692494</v>
      </c>
      <c r="N287" s="16" t="n">
        <f aca="false">G287*I287</f>
        <v>329646.24</v>
      </c>
    </row>
    <row r="288" customFormat="false" ht="15" hidden="false" customHeight="true" outlineLevel="0" collapsed="false">
      <c r="A288" s="4" t="s">
        <v>464</v>
      </c>
      <c r="B288" s="4" t="s">
        <v>52</v>
      </c>
      <c r="C288" s="13" t="n">
        <v>45347</v>
      </c>
      <c r="D288" s="13" t="n">
        <v>45359</v>
      </c>
      <c r="E288" s="13" t="n">
        <v>45363</v>
      </c>
      <c r="F288" s="4" t="n">
        <v>847</v>
      </c>
      <c r="G288" s="4" t="n">
        <v>718</v>
      </c>
      <c r="H288" s="4" t="n">
        <v>170.24</v>
      </c>
      <c r="I288" s="4" t="n">
        <v>174.17</v>
      </c>
      <c r="J288" s="14" t="n">
        <f aca="false">E288-D288</f>
        <v>4</v>
      </c>
      <c r="K288" s="14" t="n">
        <f aca="false">IF(J288&lt;=0,1,0)</f>
        <v>0</v>
      </c>
      <c r="L288" s="15" t="n">
        <f aca="false">IFERROR(G288/F288,0)</f>
        <v>0.847697756788666</v>
      </c>
      <c r="M288" s="15" t="n">
        <f aca="false">IFERROR((I288-H288)/H288,0)</f>
        <v>0.0230850563909773</v>
      </c>
      <c r="N288" s="16" t="n">
        <f aca="false">G288*I288</f>
        <v>125054.06</v>
      </c>
    </row>
    <row r="289" customFormat="false" ht="15" hidden="false" customHeight="true" outlineLevel="0" collapsed="false">
      <c r="A289" s="4" t="s">
        <v>465</v>
      </c>
      <c r="B289" s="4" t="s">
        <v>77</v>
      </c>
      <c r="C289" s="13" t="n">
        <v>45567</v>
      </c>
      <c r="D289" s="13" t="n">
        <v>45573</v>
      </c>
      <c r="E289" s="13" t="n">
        <v>45593</v>
      </c>
      <c r="F289" s="4" t="n">
        <v>506</v>
      </c>
      <c r="G289" s="4" t="n">
        <v>506</v>
      </c>
      <c r="H289" s="4" t="n">
        <v>36.83</v>
      </c>
      <c r="I289" s="4" t="n">
        <v>34.24</v>
      </c>
      <c r="J289" s="14" t="n">
        <f aca="false">E289-D289</f>
        <v>20</v>
      </c>
      <c r="K289" s="14" t="n">
        <f aca="false">IF(J289&lt;=0,1,0)</f>
        <v>0</v>
      </c>
      <c r="L289" s="15" t="n">
        <f aca="false">IFERROR(G289/F289,0)</f>
        <v>1</v>
      </c>
      <c r="M289" s="15" t="n">
        <f aca="false">IFERROR((I289-H289)/H289,0)</f>
        <v>-0.0703231061634536</v>
      </c>
      <c r="N289" s="16" t="n">
        <f aca="false">G289*I289</f>
        <v>17325.44</v>
      </c>
    </row>
    <row r="290" customFormat="false" ht="15" hidden="false" customHeight="true" outlineLevel="0" collapsed="false">
      <c r="A290" s="4" t="s">
        <v>466</v>
      </c>
      <c r="B290" s="4" t="s">
        <v>117</v>
      </c>
      <c r="C290" s="13" t="n">
        <v>45376</v>
      </c>
      <c r="D290" s="13" t="n">
        <v>45388</v>
      </c>
      <c r="E290" s="13" t="n">
        <v>45396</v>
      </c>
      <c r="F290" s="4" t="n">
        <v>126</v>
      </c>
      <c r="G290" s="4" t="n">
        <v>123</v>
      </c>
      <c r="H290" s="4" t="n">
        <v>396.01</v>
      </c>
      <c r="I290" s="4" t="n">
        <v>396.28</v>
      </c>
      <c r="J290" s="14" t="n">
        <f aca="false">E290-D290</f>
        <v>8</v>
      </c>
      <c r="K290" s="14" t="n">
        <f aca="false">IF(J290&lt;=0,1,0)</f>
        <v>0</v>
      </c>
      <c r="L290" s="15" t="n">
        <f aca="false">IFERROR(G290/F290,0)</f>
        <v>0.976190476190476</v>
      </c>
      <c r="M290" s="15" t="n">
        <f aca="false">IFERROR((I290-H290)/H290,0)</f>
        <v>0.00068180096462206</v>
      </c>
      <c r="N290" s="16" t="n">
        <f aca="false">G290*I290</f>
        <v>48742.44</v>
      </c>
    </row>
    <row r="291" customFormat="false" ht="15" hidden="false" customHeight="true" outlineLevel="0" collapsed="false">
      <c r="A291" s="4" t="s">
        <v>467</v>
      </c>
      <c r="B291" s="4" t="s">
        <v>41</v>
      </c>
      <c r="C291" s="13" t="n">
        <v>45279</v>
      </c>
      <c r="D291" s="13" t="n">
        <v>45285</v>
      </c>
      <c r="E291" s="13" t="n">
        <v>45282</v>
      </c>
      <c r="F291" s="4" t="n">
        <v>2397</v>
      </c>
      <c r="G291" s="4" t="n">
        <v>2335</v>
      </c>
      <c r="H291" s="4" t="n">
        <v>45.51</v>
      </c>
      <c r="I291" s="4" t="n">
        <v>44.39</v>
      </c>
      <c r="J291" s="14" t="n">
        <f aca="false">E291-D291</f>
        <v>-3</v>
      </c>
      <c r="K291" s="14" t="n">
        <f aca="false">IF(J291&lt;=0,1,0)</f>
        <v>1</v>
      </c>
      <c r="L291" s="15" t="n">
        <f aca="false">IFERROR(G291/F291,0)</f>
        <v>0.974134334584898</v>
      </c>
      <c r="M291" s="15" t="n">
        <f aca="false">IFERROR((I291-H291)/H291,0)</f>
        <v>-0.024609975829488</v>
      </c>
      <c r="N291" s="16" t="n">
        <f aca="false">G291*I291</f>
        <v>103650.65</v>
      </c>
    </row>
    <row r="292" customFormat="false" ht="15" hidden="false" customHeight="true" outlineLevel="0" collapsed="false">
      <c r="A292" s="4" t="s">
        <v>468</v>
      </c>
      <c r="B292" s="4" t="s">
        <v>97</v>
      </c>
      <c r="C292" s="13" t="n">
        <v>45570</v>
      </c>
      <c r="D292" s="13" t="n">
        <v>45581</v>
      </c>
      <c r="E292" s="13" t="n">
        <v>45585</v>
      </c>
      <c r="F292" s="4" t="n">
        <v>530</v>
      </c>
      <c r="G292" s="4" t="n">
        <v>504</v>
      </c>
      <c r="H292" s="4" t="n">
        <v>123.04</v>
      </c>
      <c r="I292" s="4" t="n">
        <v>123.44</v>
      </c>
      <c r="J292" s="14" t="n">
        <f aca="false">E292-D292</f>
        <v>4</v>
      </c>
      <c r="K292" s="14" t="n">
        <f aca="false">IF(J292&lt;=0,1,0)</f>
        <v>0</v>
      </c>
      <c r="L292" s="15" t="n">
        <f aca="false">IFERROR(G292/F292,0)</f>
        <v>0.950943396226415</v>
      </c>
      <c r="M292" s="15" t="n">
        <f aca="false">IFERROR((I292-H292)/H292,0)</f>
        <v>0.00325097529258771</v>
      </c>
      <c r="N292" s="16" t="n">
        <f aca="false">G292*I292</f>
        <v>62213.76</v>
      </c>
    </row>
    <row r="293" customFormat="false" ht="15" hidden="false" customHeight="true" outlineLevel="0" collapsed="false">
      <c r="A293" s="4" t="s">
        <v>469</v>
      </c>
      <c r="B293" s="4" t="s">
        <v>141</v>
      </c>
      <c r="C293" s="13" t="n">
        <v>45609</v>
      </c>
      <c r="D293" s="13" t="n">
        <v>45628</v>
      </c>
      <c r="E293" s="13" t="n">
        <v>45630</v>
      </c>
      <c r="F293" s="4" t="n">
        <v>263</v>
      </c>
      <c r="G293" s="4" t="n">
        <v>261</v>
      </c>
      <c r="H293" s="4" t="n">
        <v>1252.36</v>
      </c>
      <c r="I293" s="4" t="n">
        <v>1178.84</v>
      </c>
      <c r="J293" s="14" t="n">
        <f aca="false">E293-D293</f>
        <v>2</v>
      </c>
      <c r="K293" s="14" t="n">
        <f aca="false">IF(J293&lt;=0,1,0)</f>
        <v>0</v>
      </c>
      <c r="L293" s="15" t="n">
        <f aca="false">IFERROR(G293/F293,0)</f>
        <v>0.992395437262358</v>
      </c>
      <c r="M293" s="15" t="n">
        <f aca="false">IFERROR((I293-H293)/H293,0)</f>
        <v>-0.0587051646491424</v>
      </c>
      <c r="N293" s="16" t="n">
        <f aca="false">G293*I293</f>
        <v>307677.24</v>
      </c>
    </row>
    <row r="294" customFormat="false" ht="15" hidden="false" customHeight="true" outlineLevel="0" collapsed="false">
      <c r="A294" s="4" t="s">
        <v>470</v>
      </c>
      <c r="B294" s="4" t="s">
        <v>72</v>
      </c>
      <c r="C294" s="13" t="n">
        <v>45338</v>
      </c>
      <c r="D294" s="13" t="n">
        <v>45346</v>
      </c>
      <c r="E294" s="13" t="n">
        <v>45351</v>
      </c>
      <c r="F294" s="4" t="n">
        <v>2948</v>
      </c>
      <c r="G294" s="4" t="n">
        <v>2898</v>
      </c>
      <c r="H294" s="4" t="n">
        <v>34.53</v>
      </c>
      <c r="I294" s="4" t="n">
        <v>35.66</v>
      </c>
      <c r="J294" s="14" t="n">
        <f aca="false">E294-D294</f>
        <v>5</v>
      </c>
      <c r="K294" s="14" t="n">
        <f aca="false">IF(J294&lt;=0,1,0)</f>
        <v>0</v>
      </c>
      <c r="L294" s="15" t="n">
        <f aca="false">IFERROR(G294/F294,0)</f>
        <v>0.983039348710991</v>
      </c>
      <c r="M294" s="15" t="n">
        <f aca="false">IFERROR((I294-H294)/H294,0)</f>
        <v>0.0327251665218649</v>
      </c>
      <c r="N294" s="16" t="n">
        <f aca="false">G294*I294</f>
        <v>103342.68</v>
      </c>
    </row>
    <row r="295" customFormat="false" ht="15" hidden="false" customHeight="true" outlineLevel="0" collapsed="false">
      <c r="A295" s="4" t="s">
        <v>471</v>
      </c>
      <c r="B295" s="4" t="s">
        <v>101</v>
      </c>
      <c r="C295" s="13" t="n">
        <v>45456</v>
      </c>
      <c r="D295" s="13" t="n">
        <v>45476</v>
      </c>
      <c r="E295" s="13" t="n">
        <v>45479</v>
      </c>
      <c r="F295" s="4" t="n">
        <v>408</v>
      </c>
      <c r="G295" s="4" t="n">
        <v>386</v>
      </c>
      <c r="H295" s="4" t="n">
        <v>442.74</v>
      </c>
      <c r="I295" s="4" t="n">
        <v>449.88</v>
      </c>
      <c r="J295" s="14" t="n">
        <f aca="false">E295-D295</f>
        <v>3</v>
      </c>
      <c r="K295" s="14" t="n">
        <f aca="false">IF(J295&lt;=0,1,0)</f>
        <v>0</v>
      </c>
      <c r="L295" s="15" t="n">
        <f aca="false">IFERROR(G295/F295,0)</f>
        <v>0.946078431372549</v>
      </c>
      <c r="M295" s="15" t="n">
        <f aca="false">IFERROR((I295-H295)/H295,0)</f>
        <v>0.0161268464561593</v>
      </c>
      <c r="N295" s="16" t="n">
        <f aca="false">G295*I295</f>
        <v>173653.68</v>
      </c>
    </row>
    <row r="296" customFormat="false" ht="15" hidden="false" customHeight="true" outlineLevel="0" collapsed="false">
      <c r="A296" s="4" t="s">
        <v>472</v>
      </c>
      <c r="B296" s="4" t="s">
        <v>68</v>
      </c>
      <c r="C296" s="13" t="n">
        <v>45109</v>
      </c>
      <c r="D296" s="13" t="n">
        <v>45129</v>
      </c>
      <c r="E296" s="13" t="n">
        <v>45131</v>
      </c>
      <c r="F296" s="4" t="n">
        <v>444</v>
      </c>
      <c r="G296" s="4" t="n">
        <v>408</v>
      </c>
      <c r="H296" s="4" t="n">
        <v>1232.83</v>
      </c>
      <c r="I296" s="4" t="n">
        <v>1237.27</v>
      </c>
      <c r="J296" s="14" t="n">
        <f aca="false">E296-D296</f>
        <v>2</v>
      </c>
      <c r="K296" s="14" t="n">
        <f aca="false">IF(J296&lt;=0,1,0)</f>
        <v>0</v>
      </c>
      <c r="L296" s="15" t="n">
        <f aca="false">IFERROR(G296/F296,0)</f>
        <v>0.918918918918919</v>
      </c>
      <c r="M296" s="15" t="n">
        <f aca="false">IFERROR((I296-H296)/H296,0)</f>
        <v>0.00360146978902205</v>
      </c>
      <c r="N296" s="16" t="n">
        <f aca="false">G296*I296</f>
        <v>504806.16</v>
      </c>
    </row>
    <row r="297" customFormat="false" ht="15" hidden="false" customHeight="true" outlineLevel="0" collapsed="false">
      <c r="A297" s="4" t="s">
        <v>473</v>
      </c>
      <c r="B297" s="4" t="s">
        <v>85</v>
      </c>
      <c r="C297" s="13" t="n">
        <v>45278</v>
      </c>
      <c r="D297" s="13" t="n">
        <v>45288</v>
      </c>
      <c r="E297" s="13" t="n">
        <v>45291</v>
      </c>
      <c r="F297" s="4" t="n">
        <v>222</v>
      </c>
      <c r="G297" s="4" t="n">
        <v>209</v>
      </c>
      <c r="H297" s="4" t="n">
        <v>241.88</v>
      </c>
      <c r="I297" s="4" t="n">
        <v>232.02</v>
      </c>
      <c r="J297" s="14" t="n">
        <f aca="false">E297-D297</f>
        <v>3</v>
      </c>
      <c r="K297" s="14" t="n">
        <f aca="false">IF(J297&lt;=0,1,0)</f>
        <v>0</v>
      </c>
      <c r="L297" s="15" t="n">
        <f aca="false">IFERROR(G297/F297,0)</f>
        <v>0.941441441441442</v>
      </c>
      <c r="M297" s="15" t="n">
        <f aca="false">IFERROR((I297-H297)/H297,0)</f>
        <v>-0.0407640152141557</v>
      </c>
      <c r="N297" s="16" t="n">
        <f aca="false">G297*I297</f>
        <v>48492.18</v>
      </c>
    </row>
    <row r="298" customFormat="false" ht="15" hidden="false" customHeight="true" outlineLevel="0" collapsed="false">
      <c r="A298" s="4" t="s">
        <v>474</v>
      </c>
      <c r="B298" s="4" t="s">
        <v>95</v>
      </c>
      <c r="C298" s="13" t="n">
        <v>45503</v>
      </c>
      <c r="D298" s="13" t="n">
        <v>45512</v>
      </c>
      <c r="E298" s="13" t="n">
        <v>45511</v>
      </c>
      <c r="F298" s="4" t="n">
        <v>2806</v>
      </c>
      <c r="G298" s="4" t="n">
        <v>2759</v>
      </c>
      <c r="H298" s="4" t="n">
        <v>20.39</v>
      </c>
      <c r="I298" s="4" t="n">
        <v>21.3</v>
      </c>
      <c r="J298" s="14" t="n">
        <f aca="false">E298-D298</f>
        <v>-1</v>
      </c>
      <c r="K298" s="14" t="n">
        <f aca="false">IF(J298&lt;=0,1,0)</f>
        <v>1</v>
      </c>
      <c r="L298" s="15" t="n">
        <f aca="false">IFERROR(G298/F298,0)</f>
        <v>0.983250178189594</v>
      </c>
      <c r="M298" s="15" t="n">
        <f aca="false">IFERROR((I298-H298)/H298,0)</f>
        <v>0.0446297204512016</v>
      </c>
      <c r="N298" s="16" t="n">
        <f aca="false">G298*I298</f>
        <v>58766.7</v>
      </c>
    </row>
    <row r="299" customFormat="false" ht="15" hidden="false" customHeight="true" outlineLevel="0" collapsed="false">
      <c r="A299" s="4" t="s">
        <v>475</v>
      </c>
      <c r="B299" s="4" t="s">
        <v>101</v>
      </c>
      <c r="C299" s="13" t="n">
        <v>45505</v>
      </c>
      <c r="D299" s="13" t="n">
        <v>45523</v>
      </c>
      <c r="E299" s="13" t="n">
        <v>45527</v>
      </c>
      <c r="F299" s="4" t="n">
        <v>271</v>
      </c>
      <c r="G299" s="4" t="n">
        <v>257</v>
      </c>
      <c r="H299" s="4" t="n">
        <v>442.74</v>
      </c>
      <c r="I299" s="4" t="n">
        <v>447.11</v>
      </c>
      <c r="J299" s="14" t="n">
        <f aca="false">E299-D299</f>
        <v>4</v>
      </c>
      <c r="K299" s="14" t="n">
        <f aca="false">IF(J299&lt;=0,1,0)</f>
        <v>0</v>
      </c>
      <c r="L299" s="15" t="n">
        <f aca="false">IFERROR(G299/F299,0)</f>
        <v>0.948339483394834</v>
      </c>
      <c r="M299" s="15" t="n">
        <f aca="false">IFERROR((I299-H299)/H299,0)</f>
        <v>0.00987035280299951</v>
      </c>
      <c r="N299" s="16" t="n">
        <f aca="false">G299*I299</f>
        <v>114907.27</v>
      </c>
    </row>
    <row r="300" customFormat="false" ht="15" hidden="false" customHeight="true" outlineLevel="0" collapsed="false">
      <c r="A300" s="4" t="s">
        <v>476</v>
      </c>
      <c r="B300" s="4" t="s">
        <v>95</v>
      </c>
      <c r="C300" s="13" t="n">
        <v>45092</v>
      </c>
      <c r="D300" s="13" t="n">
        <v>45099</v>
      </c>
      <c r="E300" s="13" t="n">
        <v>45096</v>
      </c>
      <c r="F300" s="4" t="n">
        <v>2861</v>
      </c>
      <c r="G300" s="4" t="n">
        <v>2861</v>
      </c>
      <c r="H300" s="4" t="n">
        <v>20.39</v>
      </c>
      <c r="I300" s="4" t="n">
        <v>20.63</v>
      </c>
      <c r="J300" s="14" t="n">
        <f aca="false">E300-D300</f>
        <v>-3</v>
      </c>
      <c r="K300" s="14" t="n">
        <f aca="false">IF(J300&lt;=0,1,0)</f>
        <v>1</v>
      </c>
      <c r="L300" s="15" t="n">
        <f aca="false">IFERROR(G300/F300,0)</f>
        <v>1</v>
      </c>
      <c r="M300" s="15" t="n">
        <f aca="false">IFERROR((I300-H300)/H300,0)</f>
        <v>0.0117704757233937</v>
      </c>
      <c r="N300" s="16" t="n">
        <f aca="false">G300*I300</f>
        <v>59022.43</v>
      </c>
    </row>
    <row r="301" customFormat="false" ht="15" hidden="false" customHeight="true" outlineLevel="0" collapsed="false">
      <c r="A301" s="4" t="s">
        <v>477</v>
      </c>
      <c r="B301" s="4" t="s">
        <v>32</v>
      </c>
      <c r="C301" s="13" t="n">
        <v>44944</v>
      </c>
      <c r="D301" s="13" t="n">
        <v>44953</v>
      </c>
      <c r="E301" s="13" t="n">
        <v>44954</v>
      </c>
      <c r="F301" s="4" t="n">
        <v>1190</v>
      </c>
      <c r="G301" s="4" t="n">
        <v>1078</v>
      </c>
      <c r="H301" s="4" t="n">
        <v>32.49</v>
      </c>
      <c r="I301" s="4" t="n">
        <v>32.41</v>
      </c>
      <c r="J301" s="14" t="n">
        <f aca="false">E301-D301</f>
        <v>1</v>
      </c>
      <c r="K301" s="14" t="n">
        <f aca="false">IF(J301&lt;=0,1,0)</f>
        <v>0</v>
      </c>
      <c r="L301" s="15" t="n">
        <f aca="false">IFERROR(G301/F301,0)</f>
        <v>0.905882352941177</v>
      </c>
      <c r="M301" s="15" t="n">
        <f aca="false">IFERROR((I301-H301)/H301,0)</f>
        <v>-0.00246229609110512</v>
      </c>
      <c r="N301" s="16" t="n">
        <f aca="false">G301*I301</f>
        <v>34937.98</v>
      </c>
    </row>
    <row r="302" customFormat="false" ht="15" hidden="false" customHeight="true" outlineLevel="0" collapsed="false">
      <c r="A302" s="4" t="s">
        <v>478</v>
      </c>
      <c r="B302" s="4" t="s">
        <v>68</v>
      </c>
      <c r="C302" s="13" t="n">
        <v>44983</v>
      </c>
      <c r="D302" s="13" t="n">
        <v>45001</v>
      </c>
      <c r="E302" s="13" t="n">
        <v>45003</v>
      </c>
      <c r="F302" s="4" t="n">
        <v>172</v>
      </c>
      <c r="G302" s="4" t="n">
        <v>155</v>
      </c>
      <c r="H302" s="4" t="n">
        <v>1232.83</v>
      </c>
      <c r="I302" s="4" t="n">
        <v>1236.46</v>
      </c>
      <c r="J302" s="14" t="n">
        <f aca="false">E302-D302</f>
        <v>2</v>
      </c>
      <c r="K302" s="14" t="n">
        <f aca="false">IF(J302&lt;=0,1,0)</f>
        <v>0</v>
      </c>
      <c r="L302" s="15" t="n">
        <f aca="false">IFERROR(G302/F302,0)</f>
        <v>0.901162790697675</v>
      </c>
      <c r="M302" s="15" t="n">
        <f aca="false">IFERROR((I302-H302)/H302,0)</f>
        <v>0.00294444489507889</v>
      </c>
      <c r="N302" s="16" t="n">
        <f aca="false">G302*I302</f>
        <v>191651.3</v>
      </c>
    </row>
    <row r="303" customFormat="false" ht="15" hidden="false" customHeight="true" outlineLevel="0" collapsed="false">
      <c r="A303" s="4" t="s">
        <v>479</v>
      </c>
      <c r="B303" s="4" t="s">
        <v>145</v>
      </c>
      <c r="C303" s="13" t="n">
        <v>45027</v>
      </c>
      <c r="D303" s="13" t="n">
        <v>45039</v>
      </c>
      <c r="E303" s="13" t="n">
        <v>45041</v>
      </c>
      <c r="F303" s="4" t="n">
        <v>1215</v>
      </c>
      <c r="G303" s="4" t="n">
        <v>1131</v>
      </c>
      <c r="H303" s="4" t="n">
        <v>237.04</v>
      </c>
      <c r="I303" s="4" t="n">
        <v>243.02</v>
      </c>
      <c r="J303" s="14" t="n">
        <f aca="false">E303-D303</f>
        <v>2</v>
      </c>
      <c r="K303" s="14" t="n">
        <f aca="false">IF(J303&lt;=0,1,0)</f>
        <v>0</v>
      </c>
      <c r="L303" s="15" t="n">
        <f aca="false">IFERROR(G303/F303,0)</f>
        <v>0.930864197530864</v>
      </c>
      <c r="M303" s="15" t="n">
        <f aca="false">IFERROR((I303-H303)/H303,0)</f>
        <v>0.0252278096523794</v>
      </c>
      <c r="N303" s="16" t="n">
        <f aca="false">G303*I303</f>
        <v>274855.62</v>
      </c>
    </row>
    <row r="304" customFormat="false" ht="15" hidden="false" customHeight="true" outlineLevel="0" collapsed="false">
      <c r="A304" s="4" t="s">
        <v>480</v>
      </c>
      <c r="B304" s="4" t="s">
        <v>137</v>
      </c>
      <c r="C304" s="13" t="n">
        <v>45231</v>
      </c>
      <c r="D304" s="13" t="n">
        <v>45250</v>
      </c>
      <c r="E304" s="13" t="n">
        <v>45248</v>
      </c>
      <c r="F304" s="4" t="n">
        <v>300</v>
      </c>
      <c r="G304" s="4" t="n">
        <v>265</v>
      </c>
      <c r="H304" s="4" t="n">
        <v>1047.25</v>
      </c>
      <c r="I304" s="4" t="n">
        <v>1072.59</v>
      </c>
      <c r="J304" s="14" t="n">
        <f aca="false">E304-D304</f>
        <v>-2</v>
      </c>
      <c r="K304" s="14" t="n">
        <f aca="false">IF(J304&lt;=0,1,0)</f>
        <v>1</v>
      </c>
      <c r="L304" s="15" t="n">
        <f aca="false">IFERROR(G304/F304,0)</f>
        <v>0.883333333333333</v>
      </c>
      <c r="M304" s="15" t="n">
        <f aca="false">IFERROR((I304-H304)/H304,0)</f>
        <v>0.0241967056576748</v>
      </c>
      <c r="N304" s="16" t="n">
        <f aca="false">G304*I304</f>
        <v>284236.35</v>
      </c>
    </row>
    <row r="305" customFormat="false" ht="15" hidden="false" customHeight="true" outlineLevel="0" collapsed="false">
      <c r="A305" s="4" t="s">
        <v>481</v>
      </c>
      <c r="B305" s="4" t="s">
        <v>121</v>
      </c>
      <c r="C305" s="13" t="n">
        <v>45382</v>
      </c>
      <c r="D305" s="13" t="n">
        <v>45393</v>
      </c>
      <c r="E305" s="13" t="n">
        <v>45401</v>
      </c>
      <c r="F305" s="4" t="n">
        <v>1056</v>
      </c>
      <c r="G305" s="4" t="n">
        <v>974</v>
      </c>
      <c r="H305" s="4" t="n">
        <v>206.07</v>
      </c>
      <c r="I305" s="4" t="n">
        <v>219.9</v>
      </c>
      <c r="J305" s="14" t="n">
        <f aca="false">E305-D305</f>
        <v>8</v>
      </c>
      <c r="K305" s="14" t="n">
        <f aca="false">IF(J305&lt;=0,1,0)</f>
        <v>0</v>
      </c>
      <c r="L305" s="15" t="n">
        <f aca="false">IFERROR(G305/F305,0)</f>
        <v>0.922348484848485</v>
      </c>
      <c r="M305" s="15" t="n">
        <f aca="false">IFERROR((I305-H305)/H305,0)</f>
        <v>0.0671131169020237</v>
      </c>
      <c r="N305" s="16" t="n">
        <f aca="false">G305*I305</f>
        <v>214182.6</v>
      </c>
    </row>
    <row r="306" customFormat="false" ht="15" hidden="false" customHeight="true" outlineLevel="0" collapsed="false">
      <c r="A306" s="4" t="s">
        <v>482</v>
      </c>
      <c r="B306" s="4" t="s">
        <v>139</v>
      </c>
      <c r="C306" s="13" t="n">
        <v>45245</v>
      </c>
      <c r="D306" s="13" t="n">
        <v>45255</v>
      </c>
      <c r="E306" s="13" t="n">
        <v>45258</v>
      </c>
      <c r="F306" s="4" t="n">
        <v>1751</v>
      </c>
      <c r="G306" s="4" t="n">
        <v>1577</v>
      </c>
      <c r="H306" s="4" t="n">
        <v>207.64</v>
      </c>
      <c r="I306" s="4" t="n">
        <v>213.68</v>
      </c>
      <c r="J306" s="14" t="n">
        <f aca="false">E306-D306</f>
        <v>3</v>
      </c>
      <c r="K306" s="14" t="n">
        <f aca="false">IF(J306&lt;=0,1,0)</f>
        <v>0</v>
      </c>
      <c r="L306" s="15" t="n">
        <f aca="false">IFERROR(G306/F306,0)</f>
        <v>0.900628212450029</v>
      </c>
      <c r="M306" s="15" t="n">
        <f aca="false">IFERROR((I306-H306)/H306,0)</f>
        <v>0.0290888075515316</v>
      </c>
      <c r="N306" s="16" t="n">
        <f aca="false">G306*I306</f>
        <v>336973.36</v>
      </c>
    </row>
    <row r="307" customFormat="false" ht="15" hidden="false" customHeight="true" outlineLevel="0" collapsed="false">
      <c r="A307" s="4" t="s">
        <v>483</v>
      </c>
      <c r="B307" s="4" t="s">
        <v>107</v>
      </c>
      <c r="C307" s="13" t="n">
        <v>45236</v>
      </c>
      <c r="D307" s="13" t="n">
        <v>45244</v>
      </c>
      <c r="E307" s="13" t="n">
        <v>45248</v>
      </c>
      <c r="F307" s="4" t="n">
        <v>1749</v>
      </c>
      <c r="G307" s="4" t="n">
        <v>1740</v>
      </c>
      <c r="H307" s="4" t="n">
        <v>40.41</v>
      </c>
      <c r="I307" s="4" t="n">
        <v>40.93</v>
      </c>
      <c r="J307" s="14" t="n">
        <f aca="false">E307-D307</f>
        <v>4</v>
      </c>
      <c r="K307" s="14" t="n">
        <f aca="false">IF(J307&lt;=0,1,0)</f>
        <v>0</v>
      </c>
      <c r="L307" s="15" t="n">
        <f aca="false">IFERROR(G307/F307,0)</f>
        <v>0.994854202401372</v>
      </c>
      <c r="M307" s="15" t="n">
        <f aca="false">IFERROR((I307-H307)/H307,0)</f>
        <v>0.0128681019549617</v>
      </c>
      <c r="N307" s="16" t="n">
        <f aca="false">G307*I307</f>
        <v>71218.2</v>
      </c>
    </row>
    <row r="308" customFormat="false" ht="15" hidden="false" customHeight="true" outlineLevel="0" collapsed="false">
      <c r="A308" s="4" t="s">
        <v>484</v>
      </c>
      <c r="B308" s="4" t="s">
        <v>47</v>
      </c>
      <c r="C308" s="13" t="n">
        <v>44938</v>
      </c>
      <c r="D308" s="13" t="n">
        <v>44948</v>
      </c>
      <c r="E308" s="13" t="n">
        <v>44947</v>
      </c>
      <c r="F308" s="4" t="n">
        <v>1797</v>
      </c>
      <c r="G308" s="4" t="n">
        <v>1734</v>
      </c>
      <c r="H308" s="4" t="n">
        <v>228.68</v>
      </c>
      <c r="I308" s="4" t="n">
        <v>226.57</v>
      </c>
      <c r="J308" s="14" t="n">
        <f aca="false">E308-D308</f>
        <v>-1</v>
      </c>
      <c r="K308" s="14" t="n">
        <f aca="false">IF(J308&lt;=0,1,0)</f>
        <v>1</v>
      </c>
      <c r="L308" s="15" t="n">
        <f aca="false">IFERROR(G308/F308,0)</f>
        <v>0.964941569282137</v>
      </c>
      <c r="M308" s="15" t="n">
        <f aca="false">IFERROR((I308-H308)/H308,0)</f>
        <v>-0.00922686723806198</v>
      </c>
      <c r="N308" s="16" t="n">
        <f aca="false">G308*I308</f>
        <v>392872.38</v>
      </c>
    </row>
    <row r="309" customFormat="false" ht="15" hidden="false" customHeight="true" outlineLevel="0" collapsed="false">
      <c r="A309" s="4" t="s">
        <v>485</v>
      </c>
      <c r="B309" s="4" t="s">
        <v>119</v>
      </c>
      <c r="C309" s="13" t="n">
        <v>45415</v>
      </c>
      <c r="D309" s="13" t="n">
        <v>45422</v>
      </c>
      <c r="E309" s="13" t="n">
        <v>45421</v>
      </c>
      <c r="F309" s="4" t="n">
        <v>4293</v>
      </c>
      <c r="G309" s="4" t="n">
        <v>4137</v>
      </c>
      <c r="H309" s="4" t="n">
        <v>50.92</v>
      </c>
      <c r="I309" s="4" t="n">
        <v>48.22</v>
      </c>
      <c r="J309" s="14" t="n">
        <f aca="false">E309-D309</f>
        <v>-1</v>
      </c>
      <c r="K309" s="14" t="n">
        <f aca="false">IF(J309&lt;=0,1,0)</f>
        <v>1</v>
      </c>
      <c r="L309" s="15" t="n">
        <f aca="false">IFERROR(G309/F309,0)</f>
        <v>0.96366177498253</v>
      </c>
      <c r="M309" s="15" t="n">
        <f aca="false">IFERROR((I309-H309)/H309,0)</f>
        <v>-0.0530243519245876</v>
      </c>
      <c r="N309" s="16" t="n">
        <f aca="false">G309*I309</f>
        <v>199486.14</v>
      </c>
    </row>
    <row r="310" customFormat="false" ht="15" hidden="false" customHeight="true" outlineLevel="0" collapsed="false">
      <c r="A310" s="4" t="s">
        <v>486</v>
      </c>
      <c r="B310" s="4" t="s">
        <v>159</v>
      </c>
      <c r="C310" s="13" t="n">
        <v>45031</v>
      </c>
      <c r="D310" s="13" t="n">
        <v>45037</v>
      </c>
      <c r="E310" s="13" t="n">
        <v>45037</v>
      </c>
      <c r="F310" s="4" t="n">
        <v>2106</v>
      </c>
      <c r="G310" s="4" t="n">
        <v>2106</v>
      </c>
      <c r="H310" s="4" t="n">
        <v>32.91</v>
      </c>
      <c r="I310" s="4" t="n">
        <v>33.23</v>
      </c>
      <c r="J310" s="14" t="n">
        <f aca="false">E310-D310</f>
        <v>0</v>
      </c>
      <c r="K310" s="14" t="n">
        <f aca="false">IF(J310&lt;=0,1,0)</f>
        <v>1</v>
      </c>
      <c r="L310" s="15" t="n">
        <f aca="false">IFERROR(G310/F310,0)</f>
        <v>1</v>
      </c>
      <c r="M310" s="15" t="n">
        <f aca="false">IFERROR((I310-H310)/H310,0)</f>
        <v>0.00972348830142815</v>
      </c>
      <c r="N310" s="16" t="n">
        <f aca="false">G310*I310</f>
        <v>69982.38</v>
      </c>
    </row>
    <row r="311" customFormat="false" ht="15" hidden="false" customHeight="true" outlineLevel="0" collapsed="false">
      <c r="A311" s="4" t="s">
        <v>487</v>
      </c>
      <c r="B311" s="4" t="s">
        <v>163</v>
      </c>
      <c r="C311" s="13" t="n">
        <v>44990</v>
      </c>
      <c r="D311" s="13" t="n">
        <v>45010</v>
      </c>
      <c r="E311" s="13" t="n">
        <v>45014</v>
      </c>
      <c r="F311" s="4" t="n">
        <v>239</v>
      </c>
      <c r="G311" s="4" t="n">
        <v>235</v>
      </c>
      <c r="H311" s="4" t="n">
        <v>482.79</v>
      </c>
      <c r="I311" s="4" t="n">
        <v>480.4</v>
      </c>
      <c r="J311" s="14" t="n">
        <f aca="false">E311-D311</f>
        <v>4</v>
      </c>
      <c r="K311" s="14" t="n">
        <f aca="false">IF(J311&lt;=0,1,0)</f>
        <v>0</v>
      </c>
      <c r="L311" s="15" t="n">
        <f aca="false">IFERROR(G311/F311,0)</f>
        <v>0.98326359832636</v>
      </c>
      <c r="M311" s="15" t="n">
        <f aca="false">IFERROR((I311-H311)/H311,0)</f>
        <v>-0.00495039251020121</v>
      </c>
      <c r="N311" s="16" t="n">
        <f aca="false">G311*I311</f>
        <v>112894</v>
      </c>
    </row>
    <row r="312" customFormat="false" ht="15" hidden="false" customHeight="true" outlineLevel="0" collapsed="false">
      <c r="A312" s="4" t="s">
        <v>488</v>
      </c>
      <c r="B312" s="4" t="s">
        <v>133</v>
      </c>
      <c r="C312" s="13" t="n">
        <v>45154</v>
      </c>
      <c r="D312" s="13" t="n">
        <v>45163</v>
      </c>
      <c r="E312" s="13" t="n">
        <v>45169</v>
      </c>
      <c r="F312" s="4" t="n">
        <v>920</v>
      </c>
      <c r="G312" s="4" t="n">
        <v>866</v>
      </c>
      <c r="H312" s="4" t="n">
        <v>138.21</v>
      </c>
      <c r="I312" s="4" t="n">
        <v>139.81</v>
      </c>
      <c r="J312" s="14" t="n">
        <f aca="false">E312-D312</f>
        <v>6</v>
      </c>
      <c r="K312" s="14" t="n">
        <f aca="false">IF(J312&lt;=0,1,0)</f>
        <v>0</v>
      </c>
      <c r="L312" s="15" t="n">
        <f aca="false">IFERROR(G312/F312,0)</f>
        <v>0.941304347826087</v>
      </c>
      <c r="M312" s="15" t="n">
        <f aca="false">IFERROR((I312-H312)/H312,0)</f>
        <v>0.0115765863540988</v>
      </c>
      <c r="N312" s="16" t="n">
        <f aca="false">G312*I312</f>
        <v>121075.46</v>
      </c>
    </row>
    <row r="313" customFormat="false" ht="15" hidden="false" customHeight="true" outlineLevel="0" collapsed="false">
      <c r="A313" s="4" t="s">
        <v>489</v>
      </c>
      <c r="B313" s="4" t="s">
        <v>141</v>
      </c>
      <c r="C313" s="13" t="n">
        <v>45262</v>
      </c>
      <c r="D313" s="13" t="n">
        <v>45282</v>
      </c>
      <c r="E313" s="13" t="n">
        <v>45284</v>
      </c>
      <c r="F313" s="4" t="n">
        <v>361</v>
      </c>
      <c r="G313" s="4" t="n">
        <v>359</v>
      </c>
      <c r="H313" s="4" t="n">
        <v>1252.36</v>
      </c>
      <c r="I313" s="4" t="n">
        <v>1235.55</v>
      </c>
      <c r="J313" s="14" t="n">
        <f aca="false">E313-D313</f>
        <v>2</v>
      </c>
      <c r="K313" s="14" t="n">
        <f aca="false">IF(J313&lt;=0,1,0)</f>
        <v>0</v>
      </c>
      <c r="L313" s="15" t="n">
        <f aca="false">IFERROR(G313/F313,0)</f>
        <v>0.994459833795014</v>
      </c>
      <c r="M313" s="15" t="n">
        <f aca="false">IFERROR((I313-H313)/H313,0)</f>
        <v>-0.0134226580216551</v>
      </c>
      <c r="N313" s="16" t="n">
        <f aca="false">G313*I313</f>
        <v>443562.45</v>
      </c>
    </row>
    <row r="314" customFormat="false" ht="15" hidden="false" customHeight="true" outlineLevel="0" collapsed="false">
      <c r="A314" s="4" t="s">
        <v>490</v>
      </c>
      <c r="B314" s="4" t="s">
        <v>93</v>
      </c>
      <c r="C314" s="13" t="n">
        <v>45305</v>
      </c>
      <c r="D314" s="13" t="n">
        <v>45317</v>
      </c>
      <c r="E314" s="13" t="n">
        <v>45319</v>
      </c>
      <c r="F314" s="4" t="n">
        <v>1180</v>
      </c>
      <c r="G314" s="4" t="n">
        <v>1152</v>
      </c>
      <c r="H314" s="4" t="n">
        <v>174.25</v>
      </c>
      <c r="I314" s="4" t="n">
        <v>179.68</v>
      </c>
      <c r="J314" s="14" t="n">
        <f aca="false">E314-D314</f>
        <v>2</v>
      </c>
      <c r="K314" s="14" t="n">
        <f aca="false">IF(J314&lt;=0,1,0)</f>
        <v>0</v>
      </c>
      <c r="L314" s="15" t="n">
        <f aca="false">IFERROR(G314/F314,0)</f>
        <v>0.976271186440678</v>
      </c>
      <c r="M314" s="15" t="n">
        <f aca="false">IFERROR((I314-H314)/H314,0)</f>
        <v>0.0311621233859398</v>
      </c>
      <c r="N314" s="16" t="n">
        <f aca="false">G314*I314</f>
        <v>206991.36</v>
      </c>
    </row>
    <row r="315" customFormat="false" ht="15" hidden="false" customHeight="true" outlineLevel="0" collapsed="false">
      <c r="A315" s="4" t="s">
        <v>491</v>
      </c>
      <c r="B315" s="4" t="s">
        <v>111</v>
      </c>
      <c r="C315" s="13" t="n">
        <v>45108</v>
      </c>
      <c r="D315" s="13" t="n">
        <v>45119</v>
      </c>
      <c r="E315" s="13" t="n">
        <v>45125</v>
      </c>
      <c r="F315" s="4" t="n">
        <v>378</v>
      </c>
      <c r="G315" s="4" t="n">
        <v>370</v>
      </c>
      <c r="H315" s="4" t="n">
        <v>148.08</v>
      </c>
      <c r="I315" s="4" t="n">
        <v>148.12</v>
      </c>
      <c r="J315" s="14" t="n">
        <f aca="false">E315-D315</f>
        <v>6</v>
      </c>
      <c r="K315" s="14" t="n">
        <f aca="false">IF(J315&lt;=0,1,0)</f>
        <v>0</v>
      </c>
      <c r="L315" s="15" t="n">
        <f aca="false">IFERROR(G315/F315,0)</f>
        <v>0.978835978835979</v>
      </c>
      <c r="M315" s="15" t="n">
        <f aca="false">IFERROR((I315-H315)/H315,0)</f>
        <v>0.000270124257158239</v>
      </c>
      <c r="N315" s="16" t="n">
        <f aca="false">G315*I315</f>
        <v>54804.4</v>
      </c>
    </row>
    <row r="316" customFormat="false" ht="15" hidden="false" customHeight="true" outlineLevel="0" collapsed="false">
      <c r="A316" s="4" t="s">
        <v>492</v>
      </c>
      <c r="B316" s="4" t="s">
        <v>47</v>
      </c>
      <c r="C316" s="13" t="n">
        <v>45119</v>
      </c>
      <c r="D316" s="13" t="n">
        <v>45129</v>
      </c>
      <c r="E316" s="13" t="n">
        <v>45129</v>
      </c>
      <c r="F316" s="4" t="n">
        <v>816</v>
      </c>
      <c r="G316" s="4" t="n">
        <v>760</v>
      </c>
      <c r="H316" s="4" t="n">
        <v>228.68</v>
      </c>
      <c r="I316" s="4" t="n">
        <v>231.19</v>
      </c>
      <c r="J316" s="14" t="n">
        <f aca="false">E316-D316</f>
        <v>0</v>
      </c>
      <c r="K316" s="14" t="n">
        <f aca="false">IF(J316&lt;=0,1,0)</f>
        <v>1</v>
      </c>
      <c r="L316" s="15" t="n">
        <f aca="false">IFERROR(G316/F316,0)</f>
        <v>0.931372549019608</v>
      </c>
      <c r="M316" s="15" t="n">
        <f aca="false">IFERROR((I316-H316)/H316,0)</f>
        <v>0.0109760363827182</v>
      </c>
      <c r="N316" s="16" t="n">
        <f aca="false">G316*I316</f>
        <v>175704.4</v>
      </c>
    </row>
    <row r="317" customFormat="false" ht="15" hidden="false" customHeight="true" outlineLevel="0" collapsed="false">
      <c r="A317" s="4" t="s">
        <v>493</v>
      </c>
      <c r="B317" s="4" t="s">
        <v>143</v>
      </c>
      <c r="C317" s="13" t="n">
        <v>45056</v>
      </c>
      <c r="D317" s="13" t="n">
        <v>45062</v>
      </c>
      <c r="E317" s="13" t="n">
        <v>45067</v>
      </c>
      <c r="F317" s="4" t="n">
        <v>4467</v>
      </c>
      <c r="G317" s="4" t="n">
        <v>4298</v>
      </c>
      <c r="H317" s="4" t="n">
        <v>20.6</v>
      </c>
      <c r="I317" s="4" t="n">
        <v>20.9</v>
      </c>
      <c r="J317" s="14" t="n">
        <f aca="false">E317-D317</f>
        <v>5</v>
      </c>
      <c r="K317" s="14" t="n">
        <f aca="false">IF(J317&lt;=0,1,0)</f>
        <v>0</v>
      </c>
      <c r="L317" s="15" t="n">
        <f aca="false">IFERROR(G317/F317,0)</f>
        <v>0.962167002462503</v>
      </c>
      <c r="M317" s="15" t="n">
        <f aca="false">IFERROR((I317-H317)/H317,0)</f>
        <v>0.0145631067961164</v>
      </c>
      <c r="N317" s="16" t="n">
        <f aca="false">G317*I317</f>
        <v>89828.2</v>
      </c>
    </row>
    <row r="318" customFormat="false" ht="15" hidden="false" customHeight="true" outlineLevel="0" collapsed="false">
      <c r="A318" s="4" t="s">
        <v>494</v>
      </c>
      <c r="B318" s="4" t="s">
        <v>129</v>
      </c>
      <c r="C318" s="13" t="n">
        <v>45008</v>
      </c>
      <c r="D318" s="13" t="n">
        <v>45025</v>
      </c>
      <c r="E318" s="13" t="n">
        <v>45023</v>
      </c>
      <c r="F318" s="4" t="n">
        <v>140</v>
      </c>
      <c r="G318" s="4" t="n">
        <v>136</v>
      </c>
      <c r="H318" s="4" t="n">
        <v>709.66</v>
      </c>
      <c r="I318" s="4" t="n">
        <v>723.18</v>
      </c>
      <c r="J318" s="14" t="n">
        <f aca="false">E318-D318</f>
        <v>-2</v>
      </c>
      <c r="K318" s="14" t="n">
        <f aca="false">IF(J318&lt;=0,1,0)</f>
        <v>1</v>
      </c>
      <c r="L318" s="15" t="n">
        <f aca="false">IFERROR(G318/F318,0)</f>
        <v>0.971428571428571</v>
      </c>
      <c r="M318" s="15" t="n">
        <f aca="false">IFERROR((I318-H318)/H318,0)</f>
        <v>0.0190513767156103</v>
      </c>
      <c r="N318" s="16" t="n">
        <f aca="false">G318*I318</f>
        <v>98352.48</v>
      </c>
    </row>
    <row r="319" customFormat="false" ht="15" hidden="false" customHeight="true" outlineLevel="0" collapsed="false">
      <c r="A319" s="4" t="s">
        <v>495</v>
      </c>
      <c r="B319" s="4" t="s">
        <v>127</v>
      </c>
      <c r="C319" s="13" t="n">
        <v>45649</v>
      </c>
      <c r="D319" s="13" t="n">
        <v>45654</v>
      </c>
      <c r="E319" s="13" t="n">
        <v>45654</v>
      </c>
      <c r="F319" s="4" t="n">
        <v>7</v>
      </c>
      <c r="G319" s="4" t="n">
        <v>7</v>
      </c>
      <c r="H319" s="4" t="n">
        <v>1881</v>
      </c>
      <c r="I319" s="4" t="n">
        <v>1719.68</v>
      </c>
      <c r="J319" s="14" t="n">
        <f aca="false">E319-D319</f>
        <v>0</v>
      </c>
      <c r="K319" s="14" t="n">
        <f aca="false">IF(J319&lt;=0,1,0)</f>
        <v>1</v>
      </c>
      <c r="L319" s="15" t="n">
        <f aca="false">IFERROR(G319/F319,0)</f>
        <v>1</v>
      </c>
      <c r="M319" s="15" t="n">
        <f aca="false">IFERROR((I319-H319)/H319,0)</f>
        <v>-0.0857628920786815</v>
      </c>
      <c r="N319" s="16" t="n">
        <f aca="false">G319*I319</f>
        <v>12037.76</v>
      </c>
    </row>
    <row r="320" customFormat="false" ht="15" hidden="false" customHeight="true" outlineLevel="0" collapsed="false">
      <c r="A320" s="4" t="s">
        <v>496</v>
      </c>
      <c r="B320" s="4" t="s">
        <v>107</v>
      </c>
      <c r="C320" s="13" t="n">
        <v>45450</v>
      </c>
      <c r="D320" s="13" t="n">
        <v>45456</v>
      </c>
      <c r="E320" s="13" t="n">
        <v>45459</v>
      </c>
      <c r="F320" s="4" t="n">
        <v>3315</v>
      </c>
      <c r="G320" s="4" t="n">
        <v>3315</v>
      </c>
      <c r="H320" s="4" t="n">
        <v>40.41</v>
      </c>
      <c r="I320" s="4" t="n">
        <v>40.51</v>
      </c>
      <c r="J320" s="14" t="n">
        <f aca="false">E320-D320</f>
        <v>3</v>
      </c>
      <c r="K320" s="14" t="n">
        <f aca="false">IF(J320&lt;=0,1,0)</f>
        <v>0</v>
      </c>
      <c r="L320" s="15" t="n">
        <f aca="false">IFERROR(G320/F320,0)</f>
        <v>1</v>
      </c>
      <c r="M320" s="15" t="n">
        <f aca="false">IFERROR((I320-H320)/H320,0)</f>
        <v>0.00247463499133881</v>
      </c>
      <c r="N320" s="16" t="n">
        <f aca="false">G320*I320</f>
        <v>134290.65</v>
      </c>
    </row>
    <row r="321" customFormat="false" ht="15" hidden="false" customHeight="true" outlineLevel="0" collapsed="false">
      <c r="A321" s="4" t="s">
        <v>497</v>
      </c>
      <c r="B321" s="4" t="s">
        <v>43</v>
      </c>
      <c r="C321" s="13" t="n">
        <v>45351</v>
      </c>
      <c r="D321" s="13" t="n">
        <v>45368</v>
      </c>
      <c r="E321" s="13" t="n">
        <v>45364</v>
      </c>
      <c r="F321" s="4" t="n">
        <v>155</v>
      </c>
      <c r="G321" s="4" t="n">
        <v>153</v>
      </c>
      <c r="H321" s="4" t="n">
        <v>1321.6</v>
      </c>
      <c r="I321" s="4" t="n">
        <v>1341.16</v>
      </c>
      <c r="J321" s="14" t="n">
        <f aca="false">E321-D321</f>
        <v>-4</v>
      </c>
      <c r="K321" s="14" t="n">
        <f aca="false">IF(J321&lt;=0,1,0)</f>
        <v>1</v>
      </c>
      <c r="L321" s="15" t="n">
        <f aca="false">IFERROR(G321/F321,0)</f>
        <v>0.987096774193548</v>
      </c>
      <c r="M321" s="15" t="n">
        <f aca="false">IFERROR((I321-H321)/H321,0)</f>
        <v>0.0148002421307507</v>
      </c>
      <c r="N321" s="16" t="n">
        <f aca="false">G321*I321</f>
        <v>205197.48</v>
      </c>
    </row>
    <row r="322" customFormat="false" ht="15" hidden="false" customHeight="true" outlineLevel="0" collapsed="false">
      <c r="A322" s="4" t="s">
        <v>498</v>
      </c>
      <c r="B322" s="4" t="s">
        <v>109</v>
      </c>
      <c r="C322" s="13" t="n">
        <v>45235</v>
      </c>
      <c r="D322" s="13" t="n">
        <v>45254</v>
      </c>
      <c r="E322" s="13" t="n">
        <v>45256</v>
      </c>
      <c r="F322" s="4" t="n">
        <v>86</v>
      </c>
      <c r="G322" s="4" t="n">
        <v>86</v>
      </c>
      <c r="H322" s="4" t="n">
        <v>858.02</v>
      </c>
      <c r="I322" s="4" t="n">
        <v>880.69</v>
      </c>
      <c r="J322" s="14" t="n">
        <f aca="false">E322-D322</f>
        <v>2</v>
      </c>
      <c r="K322" s="14" t="n">
        <f aca="false">IF(J322&lt;=0,1,0)</f>
        <v>0</v>
      </c>
      <c r="L322" s="15" t="n">
        <f aca="false">IFERROR(G322/F322,0)</f>
        <v>1</v>
      </c>
      <c r="M322" s="15" t="n">
        <f aca="false">IFERROR((I322-H322)/H322,0)</f>
        <v>0.0264212955408966</v>
      </c>
      <c r="N322" s="16" t="n">
        <f aca="false">G322*I322</f>
        <v>75739.34</v>
      </c>
    </row>
    <row r="323" customFormat="false" ht="15" hidden="false" customHeight="true" outlineLevel="0" collapsed="false">
      <c r="A323" s="4" t="s">
        <v>499</v>
      </c>
      <c r="B323" s="4" t="s">
        <v>129</v>
      </c>
      <c r="C323" s="13" t="n">
        <v>45122</v>
      </c>
      <c r="D323" s="13" t="n">
        <v>45140</v>
      </c>
      <c r="E323" s="13" t="n">
        <v>45146</v>
      </c>
      <c r="F323" s="4" t="n">
        <v>235</v>
      </c>
      <c r="G323" s="4" t="n">
        <v>232</v>
      </c>
      <c r="H323" s="4" t="n">
        <v>709.66</v>
      </c>
      <c r="I323" s="4" t="n">
        <v>704.29</v>
      </c>
      <c r="J323" s="14" t="n">
        <f aca="false">E323-D323</f>
        <v>6</v>
      </c>
      <c r="K323" s="14" t="n">
        <f aca="false">IF(J323&lt;=0,1,0)</f>
        <v>0</v>
      </c>
      <c r="L323" s="15" t="n">
        <f aca="false">IFERROR(G323/F323,0)</f>
        <v>0.987234042553192</v>
      </c>
      <c r="M323" s="15" t="n">
        <f aca="false">IFERROR((I323-H323)/H323,0)</f>
        <v>-0.00756700391736889</v>
      </c>
      <c r="N323" s="16" t="n">
        <f aca="false">G323*I323</f>
        <v>163395.28</v>
      </c>
    </row>
    <row r="324" customFormat="false" ht="15" hidden="false" customHeight="true" outlineLevel="0" collapsed="false">
      <c r="A324" s="4" t="s">
        <v>500</v>
      </c>
      <c r="B324" s="4" t="s">
        <v>79</v>
      </c>
      <c r="C324" s="13" t="n">
        <v>45119</v>
      </c>
      <c r="D324" s="13" t="n">
        <v>45139</v>
      </c>
      <c r="E324" s="13" t="n">
        <v>45143</v>
      </c>
      <c r="F324" s="4" t="n">
        <v>127</v>
      </c>
      <c r="G324" s="4" t="n">
        <v>123</v>
      </c>
      <c r="H324" s="4" t="n">
        <v>821.48</v>
      </c>
      <c r="I324" s="4" t="n">
        <v>827.88</v>
      </c>
      <c r="J324" s="14" t="n">
        <f aca="false">E324-D324</f>
        <v>4</v>
      </c>
      <c r="K324" s="14" t="n">
        <f aca="false">IF(J324&lt;=0,1,0)</f>
        <v>0</v>
      </c>
      <c r="L324" s="15" t="n">
        <f aca="false">IFERROR(G324/F324,0)</f>
        <v>0.968503937007874</v>
      </c>
      <c r="M324" s="15" t="n">
        <f aca="false">IFERROR((I324-H324)/H324,0)</f>
        <v>0.00779081657496224</v>
      </c>
      <c r="N324" s="16" t="n">
        <f aca="false">G324*I324</f>
        <v>101829.24</v>
      </c>
    </row>
    <row r="325" customFormat="false" ht="15" hidden="false" customHeight="true" outlineLevel="0" collapsed="false">
      <c r="A325" s="4" t="s">
        <v>501</v>
      </c>
      <c r="B325" s="4" t="s">
        <v>131</v>
      </c>
      <c r="C325" s="13" t="n">
        <v>45580</v>
      </c>
      <c r="D325" s="13" t="n">
        <v>45589</v>
      </c>
      <c r="E325" s="13" t="n">
        <v>45585</v>
      </c>
      <c r="F325" s="4" t="n">
        <v>949</v>
      </c>
      <c r="G325" s="4" t="n">
        <v>912</v>
      </c>
      <c r="H325" s="4" t="n">
        <v>88.52</v>
      </c>
      <c r="I325" s="4" t="n">
        <v>90.64</v>
      </c>
      <c r="J325" s="14" t="n">
        <f aca="false">E325-D325</f>
        <v>-4</v>
      </c>
      <c r="K325" s="14" t="n">
        <f aca="false">IF(J325&lt;=0,1,0)</f>
        <v>1</v>
      </c>
      <c r="L325" s="15" t="n">
        <f aca="false">IFERROR(G325/F325,0)</f>
        <v>0.961011591148578</v>
      </c>
      <c r="M325" s="15" t="n">
        <f aca="false">IFERROR((I325-H325)/H325,0)</f>
        <v>0.0239493899683688</v>
      </c>
      <c r="N325" s="16" t="n">
        <f aca="false">G325*I325</f>
        <v>82663.68</v>
      </c>
    </row>
    <row r="326" customFormat="false" ht="15" hidden="false" customHeight="true" outlineLevel="0" collapsed="false">
      <c r="A326" s="4" t="s">
        <v>502</v>
      </c>
      <c r="B326" s="4" t="s">
        <v>101</v>
      </c>
      <c r="C326" s="13" t="n">
        <v>45399</v>
      </c>
      <c r="D326" s="13" t="n">
        <v>45419</v>
      </c>
      <c r="E326" s="13" t="n">
        <v>45421</v>
      </c>
      <c r="F326" s="4" t="n">
        <v>131</v>
      </c>
      <c r="G326" s="4" t="n">
        <v>126</v>
      </c>
      <c r="H326" s="4" t="n">
        <v>442.74</v>
      </c>
      <c r="I326" s="4" t="n">
        <v>445.26</v>
      </c>
      <c r="J326" s="14" t="n">
        <f aca="false">E326-D326</f>
        <v>2</v>
      </c>
      <c r="K326" s="14" t="n">
        <f aca="false">IF(J326&lt;=0,1,0)</f>
        <v>0</v>
      </c>
      <c r="L326" s="15" t="n">
        <f aca="false">IFERROR(G326/F326,0)</f>
        <v>0.961832061068702</v>
      </c>
      <c r="M326" s="15" t="n">
        <f aca="false">IFERROR((I326-H326)/H326,0)</f>
        <v>0.00569182816099738</v>
      </c>
      <c r="N326" s="16" t="n">
        <f aca="false">G326*I326</f>
        <v>56102.76</v>
      </c>
    </row>
    <row r="327" customFormat="false" ht="15" hidden="false" customHeight="true" outlineLevel="0" collapsed="false">
      <c r="A327" s="4" t="s">
        <v>503</v>
      </c>
      <c r="B327" s="4" t="s">
        <v>107</v>
      </c>
      <c r="C327" s="13" t="n">
        <v>45203</v>
      </c>
      <c r="D327" s="13" t="n">
        <v>45209</v>
      </c>
      <c r="E327" s="13" t="n">
        <v>45203</v>
      </c>
      <c r="F327" s="4" t="n">
        <v>4196</v>
      </c>
      <c r="G327" s="4" t="n">
        <v>4174</v>
      </c>
      <c r="H327" s="4" t="n">
        <v>40.41</v>
      </c>
      <c r="I327" s="4" t="n">
        <v>40.44</v>
      </c>
      <c r="J327" s="14" t="n">
        <f aca="false">E327-D327</f>
        <v>-6</v>
      </c>
      <c r="K327" s="14" t="n">
        <f aca="false">IF(J327&lt;=0,1,0)</f>
        <v>1</v>
      </c>
      <c r="L327" s="15" t="n">
        <f aca="false">IFERROR(G327/F327,0)</f>
        <v>0.994756911344137</v>
      </c>
      <c r="M327" s="15" t="n">
        <f aca="false">IFERROR((I327-H327)/H327,0)</f>
        <v>0.000742390497401661</v>
      </c>
      <c r="N327" s="16" t="n">
        <f aca="false">G327*I327</f>
        <v>168796.56</v>
      </c>
    </row>
    <row r="328" customFormat="false" ht="15" hidden="false" customHeight="true" outlineLevel="0" collapsed="false">
      <c r="A328" s="4" t="s">
        <v>504</v>
      </c>
      <c r="B328" s="4" t="s">
        <v>85</v>
      </c>
      <c r="C328" s="13" t="n">
        <v>45120</v>
      </c>
      <c r="D328" s="13" t="n">
        <v>45130</v>
      </c>
      <c r="E328" s="13" t="n">
        <v>45127</v>
      </c>
      <c r="F328" s="4" t="n">
        <v>860</v>
      </c>
      <c r="G328" s="4" t="n">
        <v>834</v>
      </c>
      <c r="H328" s="4" t="n">
        <v>241.88</v>
      </c>
      <c r="I328" s="4" t="n">
        <v>241.32</v>
      </c>
      <c r="J328" s="14" t="n">
        <f aca="false">E328-D328</f>
        <v>-3</v>
      </c>
      <c r="K328" s="14" t="n">
        <f aca="false">IF(J328&lt;=0,1,0)</f>
        <v>1</v>
      </c>
      <c r="L328" s="15" t="n">
        <f aca="false">IFERROR(G328/F328,0)</f>
        <v>0.969767441860465</v>
      </c>
      <c r="M328" s="15" t="n">
        <f aca="false">IFERROR((I328-H328)/H328,0)</f>
        <v>-0.00231519761865389</v>
      </c>
      <c r="N328" s="16" t="n">
        <f aca="false">G328*I328</f>
        <v>201260.88</v>
      </c>
    </row>
    <row r="329" customFormat="false" ht="15" hidden="false" customHeight="true" outlineLevel="0" collapsed="false">
      <c r="A329" s="4" t="s">
        <v>505</v>
      </c>
      <c r="B329" s="4" t="s">
        <v>65</v>
      </c>
      <c r="C329" s="13" t="n">
        <v>45140</v>
      </c>
      <c r="D329" s="13" t="n">
        <v>45158</v>
      </c>
      <c r="E329" s="13" t="n">
        <v>45157</v>
      </c>
      <c r="F329" s="4" t="n">
        <v>479</v>
      </c>
      <c r="G329" s="4" t="n">
        <v>479</v>
      </c>
      <c r="H329" s="4" t="n">
        <v>1365.59</v>
      </c>
      <c r="I329" s="4" t="n">
        <v>1352.93</v>
      </c>
      <c r="J329" s="14" t="n">
        <f aca="false">E329-D329</f>
        <v>-1</v>
      </c>
      <c r="K329" s="14" t="n">
        <f aca="false">IF(J329&lt;=0,1,0)</f>
        <v>1</v>
      </c>
      <c r="L329" s="15" t="n">
        <f aca="false">IFERROR(G329/F329,0)</f>
        <v>1</v>
      </c>
      <c r="M329" s="15" t="n">
        <f aca="false">IFERROR((I329-H329)/H329,0)</f>
        <v>-0.00927071815112871</v>
      </c>
      <c r="N329" s="16" t="n">
        <f aca="false">G329*I329</f>
        <v>648053.47</v>
      </c>
    </row>
    <row r="330" customFormat="false" ht="15" hidden="false" customHeight="true" outlineLevel="0" collapsed="false">
      <c r="A330" s="4" t="s">
        <v>506</v>
      </c>
      <c r="B330" s="4" t="s">
        <v>58</v>
      </c>
      <c r="C330" s="13" t="n">
        <v>45503</v>
      </c>
      <c r="D330" s="13" t="n">
        <v>45516</v>
      </c>
      <c r="E330" s="13" t="n">
        <v>45519</v>
      </c>
      <c r="F330" s="4" t="n">
        <v>98</v>
      </c>
      <c r="G330" s="4" t="n">
        <v>98</v>
      </c>
      <c r="H330" s="4" t="n">
        <v>135.68</v>
      </c>
      <c r="I330" s="4" t="n">
        <v>143.7</v>
      </c>
      <c r="J330" s="14" t="n">
        <f aca="false">E330-D330</f>
        <v>3</v>
      </c>
      <c r="K330" s="14" t="n">
        <f aca="false">IF(J330&lt;=0,1,0)</f>
        <v>0</v>
      </c>
      <c r="L330" s="15" t="n">
        <f aca="false">IFERROR(G330/F330,0)</f>
        <v>1</v>
      </c>
      <c r="M330" s="15" t="n">
        <f aca="false">IFERROR((I330-H330)/H330,0)</f>
        <v>0.0591096698113206</v>
      </c>
      <c r="N330" s="16" t="n">
        <f aca="false">G330*I330</f>
        <v>14082.6</v>
      </c>
    </row>
    <row r="331" customFormat="false" ht="15" hidden="false" customHeight="true" outlineLevel="0" collapsed="false">
      <c r="A331" s="4" t="s">
        <v>507</v>
      </c>
      <c r="B331" s="4" t="s">
        <v>37</v>
      </c>
      <c r="C331" s="13" t="n">
        <v>45521</v>
      </c>
      <c r="D331" s="13" t="n">
        <v>45528</v>
      </c>
      <c r="E331" s="13" t="n">
        <v>45528</v>
      </c>
      <c r="F331" s="4" t="n">
        <v>2459</v>
      </c>
      <c r="G331" s="4" t="n">
        <v>2459</v>
      </c>
      <c r="H331" s="4" t="n">
        <v>22.26</v>
      </c>
      <c r="I331" s="4" t="n">
        <v>21.06</v>
      </c>
      <c r="J331" s="14" t="n">
        <f aca="false">E331-D331</f>
        <v>0</v>
      </c>
      <c r="K331" s="14" t="n">
        <f aca="false">IF(J331&lt;=0,1,0)</f>
        <v>1</v>
      </c>
      <c r="L331" s="15" t="n">
        <f aca="false">IFERROR(G331/F331,0)</f>
        <v>1</v>
      </c>
      <c r="M331" s="15" t="n">
        <f aca="false">IFERROR((I331-H331)/H331,0)</f>
        <v>-0.0539083557951484</v>
      </c>
      <c r="N331" s="16" t="n">
        <f aca="false">G331*I331</f>
        <v>51786.54</v>
      </c>
    </row>
    <row r="332" customFormat="false" ht="15" hidden="false" customHeight="true" outlineLevel="0" collapsed="false">
      <c r="A332" s="4" t="s">
        <v>508</v>
      </c>
      <c r="B332" s="4" t="s">
        <v>81</v>
      </c>
      <c r="C332" s="13" t="n">
        <v>45268</v>
      </c>
      <c r="D332" s="13" t="n">
        <v>45274</v>
      </c>
      <c r="E332" s="13" t="n">
        <v>45273</v>
      </c>
      <c r="F332" s="4" t="n">
        <v>6</v>
      </c>
      <c r="G332" s="4" t="n">
        <v>6</v>
      </c>
      <c r="H332" s="4" t="n">
        <v>697.63</v>
      </c>
      <c r="I332" s="4" t="n">
        <v>694.6</v>
      </c>
      <c r="J332" s="14" t="n">
        <f aca="false">E332-D332</f>
        <v>-1</v>
      </c>
      <c r="K332" s="14" t="n">
        <f aca="false">IF(J332&lt;=0,1,0)</f>
        <v>1</v>
      </c>
      <c r="L332" s="15" t="n">
        <f aca="false">IFERROR(G332/F332,0)</f>
        <v>1</v>
      </c>
      <c r="M332" s="15" t="n">
        <f aca="false">IFERROR((I332-H332)/H332,0)</f>
        <v>-0.00434327652193853</v>
      </c>
      <c r="N332" s="16" t="n">
        <f aca="false">G332*I332</f>
        <v>4167.6</v>
      </c>
    </row>
    <row r="333" customFormat="false" ht="15" hidden="false" customHeight="true" outlineLevel="0" collapsed="false">
      <c r="A333" s="4" t="s">
        <v>509</v>
      </c>
      <c r="B333" s="4" t="s">
        <v>113</v>
      </c>
      <c r="C333" s="13" t="n">
        <v>45537</v>
      </c>
      <c r="D333" s="13" t="n">
        <v>45547</v>
      </c>
      <c r="E333" s="13" t="n">
        <v>45552</v>
      </c>
      <c r="F333" s="4" t="n">
        <v>535</v>
      </c>
      <c r="G333" s="4" t="n">
        <v>521</v>
      </c>
      <c r="H333" s="4" t="n">
        <v>170.42</v>
      </c>
      <c r="I333" s="4" t="n">
        <v>173.07</v>
      </c>
      <c r="J333" s="14" t="n">
        <f aca="false">E333-D333</f>
        <v>5</v>
      </c>
      <c r="K333" s="14" t="n">
        <f aca="false">IF(J333&lt;=0,1,0)</f>
        <v>0</v>
      </c>
      <c r="L333" s="15" t="n">
        <f aca="false">IFERROR(G333/F333,0)</f>
        <v>0.973831775700935</v>
      </c>
      <c r="M333" s="15" t="n">
        <f aca="false">IFERROR((I333-H333)/H333,0)</f>
        <v>0.0155498180964676</v>
      </c>
      <c r="N333" s="16" t="n">
        <f aca="false">G333*I333</f>
        <v>90169.47</v>
      </c>
    </row>
    <row r="334" customFormat="false" ht="15" hidden="false" customHeight="true" outlineLevel="0" collapsed="false">
      <c r="A334" s="4" t="s">
        <v>510</v>
      </c>
      <c r="B334" s="4" t="s">
        <v>123</v>
      </c>
      <c r="C334" s="13" t="n">
        <v>45247</v>
      </c>
      <c r="D334" s="13" t="n">
        <v>45260</v>
      </c>
      <c r="E334" s="13" t="n">
        <v>45261</v>
      </c>
      <c r="F334" s="4" t="n">
        <v>107</v>
      </c>
      <c r="G334" s="4" t="n">
        <v>104</v>
      </c>
      <c r="H334" s="4" t="n">
        <v>214.07</v>
      </c>
      <c r="I334" s="4" t="n">
        <v>233.77</v>
      </c>
      <c r="J334" s="14" t="n">
        <f aca="false">E334-D334</f>
        <v>1</v>
      </c>
      <c r="K334" s="14" t="n">
        <f aca="false">IF(J334&lt;=0,1,0)</f>
        <v>0</v>
      </c>
      <c r="L334" s="15" t="n">
        <f aca="false">IFERROR(G334/F334,0)</f>
        <v>0.97196261682243</v>
      </c>
      <c r="M334" s="15" t="n">
        <f aca="false">IFERROR((I334-H334)/H334,0)</f>
        <v>0.0920259728126315</v>
      </c>
      <c r="N334" s="16" t="n">
        <f aca="false">G334*I334</f>
        <v>24312.08</v>
      </c>
    </row>
    <row r="335" customFormat="false" ht="15" hidden="false" customHeight="true" outlineLevel="0" collapsed="false">
      <c r="A335" s="4" t="s">
        <v>511</v>
      </c>
      <c r="B335" s="4" t="s">
        <v>83</v>
      </c>
      <c r="C335" s="13" t="n">
        <v>45378</v>
      </c>
      <c r="D335" s="13" t="n">
        <v>45390</v>
      </c>
      <c r="E335" s="13" t="n">
        <v>45390</v>
      </c>
      <c r="F335" s="4" t="n">
        <v>1297</v>
      </c>
      <c r="G335" s="4" t="n">
        <v>1285</v>
      </c>
      <c r="H335" s="4" t="n">
        <v>101.36</v>
      </c>
      <c r="I335" s="4" t="n">
        <v>105.13</v>
      </c>
      <c r="J335" s="14" t="n">
        <f aca="false">E335-D335</f>
        <v>0</v>
      </c>
      <c r="K335" s="14" t="n">
        <f aca="false">IF(J335&lt;=0,1,0)</f>
        <v>1</v>
      </c>
      <c r="L335" s="15" t="n">
        <f aca="false">IFERROR(G335/F335,0)</f>
        <v>0.990747879722436</v>
      </c>
      <c r="M335" s="15" t="n">
        <f aca="false">IFERROR((I335-H335)/H335,0)</f>
        <v>0.0371941594317285</v>
      </c>
      <c r="N335" s="16" t="n">
        <f aca="false">G335*I335</f>
        <v>135092.05</v>
      </c>
    </row>
    <row r="336" customFormat="false" ht="15" hidden="false" customHeight="true" outlineLevel="0" collapsed="false">
      <c r="A336" s="4" t="s">
        <v>512</v>
      </c>
      <c r="B336" s="4" t="s">
        <v>107</v>
      </c>
      <c r="C336" s="13" t="n">
        <v>45279</v>
      </c>
      <c r="D336" s="13" t="n">
        <v>45287</v>
      </c>
      <c r="E336" s="13" t="n">
        <v>45291</v>
      </c>
      <c r="F336" s="4" t="n">
        <v>4779</v>
      </c>
      <c r="G336" s="4" t="n">
        <v>4764</v>
      </c>
      <c r="H336" s="4" t="n">
        <v>40.41</v>
      </c>
      <c r="I336" s="4" t="n">
        <v>40.54</v>
      </c>
      <c r="J336" s="14" t="n">
        <f aca="false">E336-D336</f>
        <v>4</v>
      </c>
      <c r="K336" s="14" t="n">
        <f aca="false">IF(J336&lt;=0,1,0)</f>
        <v>0</v>
      </c>
      <c r="L336" s="15" t="n">
        <f aca="false">IFERROR(G336/F336,0)</f>
        <v>0.996861268047709</v>
      </c>
      <c r="M336" s="15" t="n">
        <f aca="false">IFERROR((I336-H336)/H336,0)</f>
        <v>0.00321702548874047</v>
      </c>
      <c r="N336" s="16" t="n">
        <f aca="false">G336*I336</f>
        <v>193132.56</v>
      </c>
    </row>
    <row r="337" customFormat="false" ht="15" hidden="false" customHeight="true" outlineLevel="0" collapsed="false">
      <c r="A337" s="4" t="s">
        <v>513</v>
      </c>
      <c r="B337" s="4" t="s">
        <v>139</v>
      </c>
      <c r="C337" s="13" t="n">
        <v>45303</v>
      </c>
      <c r="D337" s="13" t="n">
        <v>45315</v>
      </c>
      <c r="E337" s="13" t="n">
        <v>45323</v>
      </c>
      <c r="F337" s="4" t="n">
        <v>1606</v>
      </c>
      <c r="G337" s="4" t="n">
        <v>1452</v>
      </c>
      <c r="H337" s="4" t="n">
        <v>207.64</v>
      </c>
      <c r="I337" s="4" t="n">
        <v>214.91</v>
      </c>
      <c r="J337" s="14" t="n">
        <f aca="false">E337-D337</f>
        <v>8</v>
      </c>
      <c r="K337" s="14" t="n">
        <f aca="false">IF(J337&lt;=0,1,0)</f>
        <v>0</v>
      </c>
      <c r="L337" s="15" t="n">
        <f aca="false">IFERROR(G337/F337,0)</f>
        <v>0.904109589041096</v>
      </c>
      <c r="M337" s="15" t="n">
        <f aca="false">IFERROR((I337-H337)/H337,0)</f>
        <v>0.0350125216721249</v>
      </c>
      <c r="N337" s="16" t="n">
        <f aca="false">G337*I337</f>
        <v>312049.32</v>
      </c>
    </row>
    <row r="338" customFormat="false" ht="15" hidden="false" customHeight="true" outlineLevel="0" collapsed="false">
      <c r="A338" s="4" t="s">
        <v>514</v>
      </c>
      <c r="B338" s="4" t="s">
        <v>135</v>
      </c>
      <c r="C338" s="13" t="n">
        <v>45444</v>
      </c>
      <c r="D338" s="13" t="n">
        <v>45455</v>
      </c>
      <c r="E338" s="13" t="n">
        <v>45457</v>
      </c>
      <c r="F338" s="4" t="n">
        <v>242</v>
      </c>
      <c r="G338" s="4" t="n">
        <v>242</v>
      </c>
      <c r="H338" s="4" t="n">
        <v>328.06</v>
      </c>
      <c r="I338" s="4" t="n">
        <v>321.26</v>
      </c>
      <c r="J338" s="14" t="n">
        <f aca="false">E338-D338</f>
        <v>2</v>
      </c>
      <c r="K338" s="14" t="n">
        <f aca="false">IF(J338&lt;=0,1,0)</f>
        <v>0</v>
      </c>
      <c r="L338" s="15" t="n">
        <f aca="false">IFERROR(G338/F338,0)</f>
        <v>1</v>
      </c>
      <c r="M338" s="15" t="n">
        <f aca="false">IFERROR((I338-H338)/H338,0)</f>
        <v>-0.0207279156251905</v>
      </c>
      <c r="N338" s="16" t="n">
        <f aca="false">G338*I338</f>
        <v>77744.92</v>
      </c>
    </row>
    <row r="339" customFormat="false" ht="15" hidden="false" customHeight="true" outlineLevel="0" collapsed="false">
      <c r="A339" s="4" t="s">
        <v>515</v>
      </c>
      <c r="B339" s="4" t="s">
        <v>127</v>
      </c>
      <c r="C339" s="13" t="n">
        <v>45500</v>
      </c>
      <c r="D339" s="13" t="n">
        <v>45505</v>
      </c>
      <c r="E339" s="13" t="n">
        <v>45510</v>
      </c>
      <c r="F339" s="4" t="n">
        <v>19</v>
      </c>
      <c r="G339" s="4" t="n">
        <v>19</v>
      </c>
      <c r="H339" s="4" t="n">
        <v>1881</v>
      </c>
      <c r="I339" s="4" t="n">
        <v>1783.79</v>
      </c>
      <c r="J339" s="14" t="n">
        <f aca="false">E339-D339</f>
        <v>5</v>
      </c>
      <c r="K339" s="14" t="n">
        <f aca="false">IF(J339&lt;=0,1,0)</f>
        <v>0</v>
      </c>
      <c r="L339" s="15" t="n">
        <f aca="false">IFERROR(G339/F339,0)</f>
        <v>1</v>
      </c>
      <c r="M339" s="15" t="n">
        <f aca="false">IFERROR((I339-H339)/H339,0)</f>
        <v>-0.0516799574694312</v>
      </c>
      <c r="N339" s="16" t="n">
        <f aca="false">G339*I339</f>
        <v>33892.01</v>
      </c>
    </row>
    <row r="340" customFormat="false" ht="15" hidden="false" customHeight="true" outlineLevel="0" collapsed="false">
      <c r="A340" s="4" t="s">
        <v>516</v>
      </c>
      <c r="B340" s="4" t="s">
        <v>41</v>
      </c>
      <c r="C340" s="13" t="n">
        <v>44978</v>
      </c>
      <c r="D340" s="13" t="n">
        <v>44986</v>
      </c>
      <c r="E340" s="13" t="n">
        <v>44985</v>
      </c>
      <c r="F340" s="4" t="n">
        <v>2529</v>
      </c>
      <c r="G340" s="4" t="n">
        <v>2514</v>
      </c>
      <c r="H340" s="4" t="n">
        <v>45.51</v>
      </c>
      <c r="I340" s="4" t="n">
        <v>45.58</v>
      </c>
      <c r="J340" s="14" t="n">
        <f aca="false">E340-D340</f>
        <v>-1</v>
      </c>
      <c r="K340" s="14" t="n">
        <f aca="false">IF(J340&lt;=0,1,0)</f>
        <v>1</v>
      </c>
      <c r="L340" s="15" t="n">
        <f aca="false">IFERROR(G340/F340,0)</f>
        <v>0.994068801897983</v>
      </c>
      <c r="M340" s="15" t="n">
        <f aca="false">IFERROR((I340-H340)/H340,0)</f>
        <v>0.00153812348934301</v>
      </c>
      <c r="N340" s="16" t="n">
        <f aca="false">G340*I340</f>
        <v>114588.12</v>
      </c>
    </row>
    <row r="341" customFormat="false" ht="15" hidden="false" customHeight="true" outlineLevel="0" collapsed="false">
      <c r="A341" s="4" t="s">
        <v>517</v>
      </c>
      <c r="B341" s="4" t="s">
        <v>129</v>
      </c>
      <c r="C341" s="13" t="n">
        <v>44941</v>
      </c>
      <c r="D341" s="13" t="n">
        <v>44961</v>
      </c>
      <c r="E341" s="13" t="n">
        <v>44963</v>
      </c>
      <c r="F341" s="4" t="n">
        <v>231</v>
      </c>
      <c r="G341" s="4" t="n">
        <v>220</v>
      </c>
      <c r="H341" s="4" t="n">
        <v>709.66</v>
      </c>
      <c r="I341" s="4" t="n">
        <v>701.32</v>
      </c>
      <c r="J341" s="14" t="n">
        <f aca="false">E341-D341</f>
        <v>2</v>
      </c>
      <c r="K341" s="14" t="n">
        <f aca="false">IF(J341&lt;=0,1,0)</f>
        <v>0</v>
      </c>
      <c r="L341" s="15" t="n">
        <f aca="false">IFERROR(G341/F341,0)</f>
        <v>0.952380952380952</v>
      </c>
      <c r="M341" s="15" t="n">
        <f aca="false">IFERROR((I341-H341)/H341,0)</f>
        <v>-0.0117521066426175</v>
      </c>
      <c r="N341" s="16" t="n">
        <f aca="false">G341*I341</f>
        <v>154290.4</v>
      </c>
    </row>
    <row r="342" customFormat="false" ht="15" hidden="false" customHeight="true" outlineLevel="0" collapsed="false">
      <c r="A342" s="4" t="s">
        <v>518</v>
      </c>
      <c r="B342" s="4" t="s">
        <v>111</v>
      </c>
      <c r="C342" s="13" t="n">
        <v>45179</v>
      </c>
      <c r="D342" s="13" t="n">
        <v>45190</v>
      </c>
      <c r="E342" s="13" t="n">
        <v>45197</v>
      </c>
      <c r="F342" s="4" t="n">
        <v>1880</v>
      </c>
      <c r="G342" s="4" t="n">
        <v>1840</v>
      </c>
      <c r="H342" s="4" t="n">
        <v>148.08</v>
      </c>
      <c r="I342" s="4" t="n">
        <v>150.01</v>
      </c>
      <c r="J342" s="14" t="n">
        <f aca="false">E342-D342</f>
        <v>7</v>
      </c>
      <c r="K342" s="14" t="n">
        <f aca="false">IF(J342&lt;=0,1,0)</f>
        <v>0</v>
      </c>
      <c r="L342" s="15" t="n">
        <f aca="false">IFERROR(G342/F342,0)</f>
        <v>0.978723404255319</v>
      </c>
      <c r="M342" s="15" t="n">
        <f aca="false">IFERROR((I342-H342)/H342,0)</f>
        <v>0.0130334954078875</v>
      </c>
      <c r="N342" s="16" t="n">
        <f aca="false">G342*I342</f>
        <v>276018.4</v>
      </c>
    </row>
    <row r="343" customFormat="false" ht="15" hidden="false" customHeight="true" outlineLevel="0" collapsed="false">
      <c r="A343" s="4" t="s">
        <v>519</v>
      </c>
      <c r="B343" s="4" t="s">
        <v>161</v>
      </c>
      <c r="C343" s="13" t="n">
        <v>45515</v>
      </c>
      <c r="D343" s="13" t="n">
        <v>45526</v>
      </c>
      <c r="E343" s="13" t="n">
        <v>45531</v>
      </c>
      <c r="F343" s="4" t="n">
        <v>387</v>
      </c>
      <c r="G343" s="4" t="n">
        <v>387</v>
      </c>
      <c r="H343" s="4" t="n">
        <v>101.94</v>
      </c>
      <c r="I343" s="4" t="n">
        <v>112.97</v>
      </c>
      <c r="J343" s="14" t="n">
        <f aca="false">E343-D343</f>
        <v>5</v>
      </c>
      <c r="K343" s="14" t="n">
        <f aca="false">IF(J343&lt;=0,1,0)</f>
        <v>0</v>
      </c>
      <c r="L343" s="15" t="n">
        <f aca="false">IFERROR(G343/F343,0)</f>
        <v>1</v>
      </c>
      <c r="M343" s="15" t="n">
        <f aca="false">IFERROR((I343-H343)/H343,0)</f>
        <v>0.108200902491662</v>
      </c>
      <c r="N343" s="16" t="n">
        <f aca="false">G343*I343</f>
        <v>43719.39</v>
      </c>
    </row>
    <row r="344" customFormat="false" ht="15" hidden="false" customHeight="true" outlineLevel="0" collapsed="false">
      <c r="A344" s="4" t="s">
        <v>520</v>
      </c>
      <c r="B344" s="4" t="s">
        <v>77</v>
      </c>
      <c r="C344" s="13" t="n">
        <v>45651</v>
      </c>
      <c r="D344" s="13" t="n">
        <v>45659</v>
      </c>
      <c r="E344" s="13" t="n">
        <v>45673</v>
      </c>
      <c r="F344" s="4" t="n">
        <v>938</v>
      </c>
      <c r="G344" s="4" t="n">
        <v>938</v>
      </c>
      <c r="H344" s="4" t="n">
        <v>36.83</v>
      </c>
      <c r="I344" s="4" t="n">
        <v>35.24</v>
      </c>
      <c r="J344" s="14" t="n">
        <f aca="false">E344-D344</f>
        <v>14</v>
      </c>
      <c r="K344" s="14" t="n">
        <f aca="false">IF(J344&lt;=0,1,0)</f>
        <v>0</v>
      </c>
      <c r="L344" s="15" t="n">
        <f aca="false">IFERROR(G344/F344,0)</f>
        <v>1</v>
      </c>
      <c r="M344" s="15" t="n">
        <f aca="false">IFERROR((I344-H344)/H344,0)</f>
        <v>-0.0431713277219657</v>
      </c>
      <c r="N344" s="16" t="n">
        <f aca="false">G344*I344</f>
        <v>33055.12</v>
      </c>
    </row>
    <row r="345" customFormat="false" ht="15" hidden="false" customHeight="true" outlineLevel="0" collapsed="false">
      <c r="A345" s="4" t="s">
        <v>521</v>
      </c>
      <c r="B345" s="4" t="s">
        <v>117</v>
      </c>
      <c r="C345" s="13" t="n">
        <v>44947</v>
      </c>
      <c r="D345" s="13" t="n">
        <v>44960</v>
      </c>
      <c r="E345" s="13" t="n">
        <v>44965</v>
      </c>
      <c r="F345" s="4" t="n">
        <v>84</v>
      </c>
      <c r="G345" s="4" t="n">
        <v>78</v>
      </c>
      <c r="H345" s="4" t="n">
        <v>396.01</v>
      </c>
      <c r="I345" s="4" t="n">
        <v>393.22</v>
      </c>
      <c r="J345" s="14" t="n">
        <f aca="false">E345-D345</f>
        <v>5</v>
      </c>
      <c r="K345" s="14" t="n">
        <f aca="false">IF(J345&lt;=0,1,0)</f>
        <v>0</v>
      </c>
      <c r="L345" s="15" t="n">
        <f aca="false">IFERROR(G345/F345,0)</f>
        <v>0.928571428571429</v>
      </c>
      <c r="M345" s="15" t="n">
        <f aca="false">IFERROR((I345-H345)/H345,0)</f>
        <v>-0.00704527663442833</v>
      </c>
      <c r="N345" s="16" t="n">
        <f aca="false">G345*I345</f>
        <v>30671.16</v>
      </c>
    </row>
    <row r="346" customFormat="false" ht="15" hidden="false" customHeight="true" outlineLevel="0" collapsed="false">
      <c r="A346" s="4" t="s">
        <v>522</v>
      </c>
      <c r="B346" s="4" t="s">
        <v>74</v>
      </c>
      <c r="C346" s="13" t="n">
        <v>45009</v>
      </c>
      <c r="D346" s="13" t="n">
        <v>45015</v>
      </c>
      <c r="E346" s="13" t="n">
        <v>45012</v>
      </c>
      <c r="F346" s="4" t="n">
        <v>11</v>
      </c>
      <c r="G346" s="4" t="n">
        <v>11</v>
      </c>
      <c r="H346" s="4" t="n">
        <v>1294.62</v>
      </c>
      <c r="I346" s="4" t="n">
        <v>1313.9</v>
      </c>
      <c r="J346" s="14" t="n">
        <f aca="false">E346-D346</f>
        <v>-3</v>
      </c>
      <c r="K346" s="14" t="n">
        <f aca="false">IF(J346&lt;=0,1,0)</f>
        <v>1</v>
      </c>
      <c r="L346" s="15" t="n">
        <f aca="false">IFERROR(G346/F346,0)</f>
        <v>1</v>
      </c>
      <c r="M346" s="15" t="n">
        <f aca="false">IFERROR((I346-H346)/H346,0)</f>
        <v>0.0148924008589395</v>
      </c>
      <c r="N346" s="16" t="n">
        <f aca="false">G346*I346</f>
        <v>14452.9</v>
      </c>
    </row>
    <row r="347" customFormat="false" ht="15" hidden="false" customHeight="true" outlineLevel="0" collapsed="false">
      <c r="A347" s="4" t="s">
        <v>523</v>
      </c>
      <c r="B347" s="4" t="s">
        <v>32</v>
      </c>
      <c r="C347" s="13" t="n">
        <v>45472</v>
      </c>
      <c r="D347" s="13" t="n">
        <v>45479</v>
      </c>
      <c r="E347" s="13" t="n">
        <v>45478</v>
      </c>
      <c r="F347" s="4" t="n">
        <v>4208</v>
      </c>
      <c r="G347" s="4" t="n">
        <v>3883</v>
      </c>
      <c r="H347" s="4" t="n">
        <v>32.49</v>
      </c>
      <c r="I347" s="4" t="n">
        <v>33.18</v>
      </c>
      <c r="J347" s="14" t="n">
        <f aca="false">E347-D347</f>
        <v>-1</v>
      </c>
      <c r="K347" s="14" t="n">
        <f aca="false">IF(J347&lt;=0,1,0)</f>
        <v>1</v>
      </c>
      <c r="L347" s="15" t="n">
        <f aca="false">IFERROR(G347/F347,0)</f>
        <v>0.922766159695818</v>
      </c>
      <c r="M347" s="15" t="n">
        <f aca="false">IFERROR((I347-H347)/H347,0)</f>
        <v>0.0212373037857802</v>
      </c>
      <c r="N347" s="16" t="n">
        <f aca="false">G347*I347</f>
        <v>128837.94</v>
      </c>
    </row>
    <row r="348" customFormat="false" ht="15" hidden="false" customHeight="true" outlineLevel="0" collapsed="false">
      <c r="A348" s="4" t="s">
        <v>524</v>
      </c>
      <c r="B348" s="4" t="s">
        <v>161</v>
      </c>
      <c r="C348" s="13" t="n">
        <v>45430</v>
      </c>
      <c r="D348" s="13" t="n">
        <v>45439</v>
      </c>
      <c r="E348" s="13" t="n">
        <v>45444</v>
      </c>
      <c r="F348" s="4" t="n">
        <v>915</v>
      </c>
      <c r="G348" s="4" t="n">
        <v>915</v>
      </c>
      <c r="H348" s="4" t="n">
        <v>101.94</v>
      </c>
      <c r="I348" s="4" t="n">
        <v>112.88</v>
      </c>
      <c r="J348" s="14" t="n">
        <f aca="false">E348-D348</f>
        <v>5</v>
      </c>
      <c r="K348" s="14" t="n">
        <f aca="false">IF(J348&lt;=0,1,0)</f>
        <v>0</v>
      </c>
      <c r="L348" s="15" t="n">
        <f aca="false">IFERROR(G348/F348,0)</f>
        <v>1</v>
      </c>
      <c r="M348" s="15" t="n">
        <f aca="false">IFERROR((I348-H348)/H348,0)</f>
        <v>0.107318030213851</v>
      </c>
      <c r="N348" s="16" t="n">
        <f aca="false">G348*I348</f>
        <v>103285.2</v>
      </c>
    </row>
    <row r="349" customFormat="false" ht="15" hidden="false" customHeight="true" outlineLevel="0" collapsed="false">
      <c r="A349" s="4" t="s">
        <v>525</v>
      </c>
      <c r="B349" s="4" t="s">
        <v>121</v>
      </c>
      <c r="C349" s="13" t="n">
        <v>45498</v>
      </c>
      <c r="D349" s="13" t="n">
        <v>45510</v>
      </c>
      <c r="E349" s="13" t="n">
        <v>45507</v>
      </c>
      <c r="F349" s="4" t="n">
        <v>1690</v>
      </c>
      <c r="G349" s="4" t="n">
        <v>1543</v>
      </c>
      <c r="H349" s="4" t="n">
        <v>206.07</v>
      </c>
      <c r="I349" s="4" t="n">
        <v>232.65</v>
      </c>
      <c r="J349" s="14" t="n">
        <f aca="false">E349-D349</f>
        <v>-3</v>
      </c>
      <c r="K349" s="14" t="n">
        <f aca="false">IF(J349&lt;=0,1,0)</f>
        <v>1</v>
      </c>
      <c r="L349" s="15" t="n">
        <f aca="false">IFERROR(G349/F349,0)</f>
        <v>0.91301775147929</v>
      </c>
      <c r="M349" s="15" t="n">
        <f aca="false">IFERROR((I349-H349)/H349,0)</f>
        <v>0.128985296258553</v>
      </c>
      <c r="N349" s="16" t="n">
        <f aca="false">G349*I349</f>
        <v>358978.95</v>
      </c>
    </row>
    <row r="350" customFormat="false" ht="15" hidden="false" customHeight="true" outlineLevel="0" collapsed="false">
      <c r="A350" s="4" t="s">
        <v>526</v>
      </c>
      <c r="B350" s="4" t="s">
        <v>117</v>
      </c>
      <c r="C350" s="13" t="n">
        <v>45511</v>
      </c>
      <c r="D350" s="13" t="n">
        <v>45523</v>
      </c>
      <c r="E350" s="13" t="n">
        <v>45525</v>
      </c>
      <c r="F350" s="4" t="n">
        <v>115</v>
      </c>
      <c r="G350" s="4" t="n">
        <v>110</v>
      </c>
      <c r="H350" s="4" t="n">
        <v>396.01</v>
      </c>
      <c r="I350" s="4" t="n">
        <v>390.31</v>
      </c>
      <c r="J350" s="14" t="n">
        <f aca="false">E350-D350</f>
        <v>2</v>
      </c>
      <c r="K350" s="14" t="n">
        <f aca="false">IF(J350&lt;=0,1,0)</f>
        <v>0</v>
      </c>
      <c r="L350" s="15" t="n">
        <f aca="false">IFERROR(G350/F350,0)</f>
        <v>0.956521739130435</v>
      </c>
      <c r="M350" s="15" t="n">
        <f aca="false">IFERROR((I350-H350)/H350,0)</f>
        <v>-0.0143935759198</v>
      </c>
      <c r="N350" s="16" t="n">
        <f aca="false">G350*I350</f>
        <v>42934.1</v>
      </c>
    </row>
    <row r="351" customFormat="false" ht="15" hidden="false" customHeight="true" outlineLevel="0" collapsed="false">
      <c r="A351" s="4" t="s">
        <v>527</v>
      </c>
      <c r="B351" s="4" t="s">
        <v>159</v>
      </c>
      <c r="C351" s="13" t="n">
        <v>45603</v>
      </c>
      <c r="D351" s="13" t="n">
        <v>45610</v>
      </c>
      <c r="E351" s="13" t="n">
        <v>45608</v>
      </c>
      <c r="F351" s="4" t="n">
        <v>3779</v>
      </c>
      <c r="G351" s="4" t="n">
        <v>3736</v>
      </c>
      <c r="H351" s="4" t="n">
        <v>32.91</v>
      </c>
      <c r="I351" s="4" t="n">
        <v>33.03</v>
      </c>
      <c r="J351" s="14" t="n">
        <f aca="false">E351-D351</f>
        <v>-2</v>
      </c>
      <c r="K351" s="14" t="n">
        <f aca="false">IF(J351&lt;=0,1,0)</f>
        <v>1</v>
      </c>
      <c r="L351" s="15" t="n">
        <f aca="false">IFERROR(G351/F351,0)</f>
        <v>0.988621328393755</v>
      </c>
      <c r="M351" s="15" t="n">
        <f aca="false">IFERROR((I351-H351)/H351,0)</f>
        <v>0.00364630811303569</v>
      </c>
      <c r="N351" s="16" t="n">
        <f aca="false">G351*I351</f>
        <v>123400.08</v>
      </c>
    </row>
    <row r="352" customFormat="false" ht="15" hidden="false" customHeight="true" outlineLevel="0" collapsed="false">
      <c r="A352" s="4" t="s">
        <v>528</v>
      </c>
      <c r="B352" s="4" t="s">
        <v>141</v>
      </c>
      <c r="C352" s="13" t="n">
        <v>45332</v>
      </c>
      <c r="D352" s="13" t="n">
        <v>45352</v>
      </c>
      <c r="E352" s="13" t="n">
        <v>45354</v>
      </c>
      <c r="F352" s="4" t="n">
        <v>278</v>
      </c>
      <c r="G352" s="4" t="n">
        <v>278</v>
      </c>
      <c r="H352" s="4" t="n">
        <v>1252.36</v>
      </c>
      <c r="I352" s="4" t="n">
        <v>1208.77</v>
      </c>
      <c r="J352" s="14" t="n">
        <f aca="false">E352-D352</f>
        <v>2</v>
      </c>
      <c r="K352" s="14" t="n">
        <f aca="false">IF(J352&lt;=0,1,0)</f>
        <v>0</v>
      </c>
      <c r="L352" s="15" t="n">
        <f aca="false">IFERROR(G352/F352,0)</f>
        <v>1</v>
      </c>
      <c r="M352" s="15" t="n">
        <f aca="false">IFERROR((I352-H352)/H352,0)</f>
        <v>-0.0348062857325369</v>
      </c>
      <c r="N352" s="16" t="n">
        <f aca="false">G352*I352</f>
        <v>336038.06</v>
      </c>
    </row>
    <row r="353" customFormat="false" ht="15" hidden="false" customHeight="true" outlineLevel="0" collapsed="false">
      <c r="A353" s="4" t="s">
        <v>529</v>
      </c>
      <c r="B353" s="4" t="s">
        <v>157</v>
      </c>
      <c r="C353" s="13" t="n">
        <v>45552</v>
      </c>
      <c r="D353" s="13" t="n">
        <v>45561</v>
      </c>
      <c r="E353" s="13" t="n">
        <v>45566</v>
      </c>
      <c r="F353" s="4" t="n">
        <v>1800</v>
      </c>
      <c r="G353" s="4" t="n">
        <v>1719</v>
      </c>
      <c r="H353" s="4" t="n">
        <v>13.1</v>
      </c>
      <c r="I353" s="4" t="n">
        <v>13.47</v>
      </c>
      <c r="J353" s="14" t="n">
        <f aca="false">E353-D353</f>
        <v>5</v>
      </c>
      <c r="K353" s="14" t="n">
        <f aca="false">IF(J353&lt;=0,1,0)</f>
        <v>0</v>
      </c>
      <c r="L353" s="15" t="n">
        <f aca="false">IFERROR(G353/F353,0)</f>
        <v>0.955</v>
      </c>
      <c r="M353" s="15" t="n">
        <f aca="false">IFERROR((I353-H353)/H353,0)</f>
        <v>0.0282442748091604</v>
      </c>
      <c r="N353" s="16" t="n">
        <f aca="false">G353*I353</f>
        <v>23154.93</v>
      </c>
    </row>
    <row r="354" customFormat="false" ht="15" hidden="false" customHeight="true" outlineLevel="0" collapsed="false">
      <c r="A354" s="4" t="s">
        <v>530</v>
      </c>
      <c r="B354" s="4" t="s">
        <v>153</v>
      </c>
      <c r="C354" s="13" t="n">
        <v>45655</v>
      </c>
      <c r="D354" s="13" t="n">
        <v>45672</v>
      </c>
      <c r="E354" s="13" t="n">
        <v>45683</v>
      </c>
      <c r="F354" s="4" t="n">
        <v>456</v>
      </c>
      <c r="G354" s="4" t="n">
        <v>413</v>
      </c>
      <c r="H354" s="4" t="n">
        <v>1492.04</v>
      </c>
      <c r="I354" s="4" t="n">
        <v>1615.74</v>
      </c>
      <c r="J354" s="14" t="n">
        <f aca="false">E354-D354</f>
        <v>11</v>
      </c>
      <c r="K354" s="14" t="n">
        <f aca="false">IF(J354&lt;=0,1,0)</f>
        <v>0</v>
      </c>
      <c r="L354" s="15" t="n">
        <f aca="false">IFERROR(G354/F354,0)</f>
        <v>0.905701754385965</v>
      </c>
      <c r="M354" s="15" t="n">
        <f aca="false">IFERROR((I354-H354)/H354,0)</f>
        <v>0.0829066244872792</v>
      </c>
      <c r="N354" s="16" t="n">
        <f aca="false">G354*I354</f>
        <v>667300.62</v>
      </c>
    </row>
    <row r="355" customFormat="false" ht="15" hidden="false" customHeight="true" outlineLevel="0" collapsed="false">
      <c r="A355" s="4" t="s">
        <v>531</v>
      </c>
      <c r="B355" s="4" t="s">
        <v>68</v>
      </c>
      <c r="C355" s="13" t="n">
        <v>45251</v>
      </c>
      <c r="D355" s="13" t="n">
        <v>45268</v>
      </c>
      <c r="E355" s="13" t="n">
        <v>45269</v>
      </c>
      <c r="F355" s="4" t="n">
        <v>315</v>
      </c>
      <c r="G355" s="4" t="n">
        <v>292</v>
      </c>
      <c r="H355" s="4" t="n">
        <v>1232.83</v>
      </c>
      <c r="I355" s="4" t="n">
        <v>1209.27</v>
      </c>
      <c r="J355" s="14" t="n">
        <f aca="false">E355-D355</f>
        <v>1</v>
      </c>
      <c r="K355" s="14" t="n">
        <f aca="false">IF(J355&lt;=0,1,0)</f>
        <v>0</v>
      </c>
      <c r="L355" s="15" t="n">
        <f aca="false">IFERROR(G355/F355,0)</f>
        <v>0.926984126984127</v>
      </c>
      <c r="M355" s="15" t="n">
        <f aca="false">IFERROR((I355-H355)/H355,0)</f>
        <v>-0.0191105018534591</v>
      </c>
      <c r="N355" s="16" t="n">
        <f aca="false">G355*I355</f>
        <v>353106.84</v>
      </c>
    </row>
    <row r="356" customFormat="false" ht="15" hidden="false" customHeight="true" outlineLevel="0" collapsed="false">
      <c r="A356" s="4" t="s">
        <v>532</v>
      </c>
      <c r="B356" s="4" t="s">
        <v>55</v>
      </c>
      <c r="C356" s="13" t="n">
        <v>45212</v>
      </c>
      <c r="D356" s="13" t="n">
        <v>45231</v>
      </c>
      <c r="E356" s="13" t="n">
        <v>45233</v>
      </c>
      <c r="F356" s="4" t="n">
        <v>397</v>
      </c>
      <c r="G356" s="4" t="n">
        <v>378</v>
      </c>
      <c r="H356" s="4" t="n">
        <v>598.09</v>
      </c>
      <c r="I356" s="4" t="n">
        <v>584.31</v>
      </c>
      <c r="J356" s="14" t="n">
        <f aca="false">E356-D356</f>
        <v>2</v>
      </c>
      <c r="K356" s="14" t="n">
        <f aca="false">IF(J356&lt;=0,1,0)</f>
        <v>0</v>
      </c>
      <c r="L356" s="15" t="n">
        <f aca="false">IFERROR(G356/F356,0)</f>
        <v>0.952141057934509</v>
      </c>
      <c r="M356" s="15" t="n">
        <f aca="false">IFERROR((I356-H356)/H356,0)</f>
        <v>-0.0230400107007308</v>
      </c>
      <c r="N356" s="16" t="n">
        <f aca="false">G356*I356</f>
        <v>220869.18</v>
      </c>
    </row>
    <row r="357" customFormat="false" ht="15" hidden="false" customHeight="true" outlineLevel="0" collapsed="false">
      <c r="A357" s="4" t="s">
        <v>533</v>
      </c>
      <c r="B357" s="4" t="s">
        <v>97</v>
      </c>
      <c r="C357" s="13" t="n">
        <v>45609</v>
      </c>
      <c r="D357" s="13" t="n">
        <v>45621</v>
      </c>
      <c r="E357" s="13" t="n">
        <v>45626</v>
      </c>
      <c r="F357" s="4" t="n">
        <v>1618</v>
      </c>
      <c r="G357" s="4" t="n">
        <v>1618</v>
      </c>
      <c r="H357" s="4" t="n">
        <v>123.04</v>
      </c>
      <c r="I357" s="4" t="n">
        <v>125.41</v>
      </c>
      <c r="J357" s="14" t="n">
        <f aca="false">E357-D357</f>
        <v>5</v>
      </c>
      <c r="K357" s="14" t="n">
        <f aca="false">IF(J357&lt;=0,1,0)</f>
        <v>0</v>
      </c>
      <c r="L357" s="15" t="n">
        <f aca="false">IFERROR(G357/F357,0)</f>
        <v>1</v>
      </c>
      <c r="M357" s="15" t="n">
        <f aca="false">IFERROR((I357-H357)/H357,0)</f>
        <v>0.0192620286085825</v>
      </c>
      <c r="N357" s="16" t="n">
        <f aca="false">G357*I357</f>
        <v>202913.38</v>
      </c>
    </row>
    <row r="358" customFormat="false" ht="15" hidden="false" customHeight="true" outlineLevel="0" collapsed="false">
      <c r="A358" s="4" t="s">
        <v>534</v>
      </c>
      <c r="B358" s="4" t="s">
        <v>111</v>
      </c>
      <c r="C358" s="13" t="n">
        <v>45162</v>
      </c>
      <c r="D358" s="13" t="n">
        <v>45171</v>
      </c>
      <c r="E358" s="13" t="n">
        <v>45181</v>
      </c>
      <c r="F358" s="4" t="n">
        <v>878</v>
      </c>
      <c r="G358" s="4" t="n">
        <v>837</v>
      </c>
      <c r="H358" s="4" t="n">
        <v>148.08</v>
      </c>
      <c r="I358" s="4" t="n">
        <v>150.19</v>
      </c>
      <c r="J358" s="14" t="n">
        <f aca="false">E358-D358</f>
        <v>10</v>
      </c>
      <c r="K358" s="14" t="n">
        <f aca="false">IF(J358&lt;=0,1,0)</f>
        <v>0</v>
      </c>
      <c r="L358" s="15" t="n">
        <f aca="false">IFERROR(G358/F358,0)</f>
        <v>0.953302961275626</v>
      </c>
      <c r="M358" s="15" t="n">
        <f aca="false">IFERROR((I358-H358)/H358,0)</f>
        <v>0.0142490545650998</v>
      </c>
      <c r="N358" s="16" t="n">
        <f aca="false">G358*I358</f>
        <v>125709.03</v>
      </c>
    </row>
    <row r="359" customFormat="false" ht="15" hidden="false" customHeight="true" outlineLevel="0" collapsed="false">
      <c r="A359" s="4" t="s">
        <v>535</v>
      </c>
      <c r="B359" s="4" t="s">
        <v>125</v>
      </c>
      <c r="C359" s="13" t="n">
        <v>44978</v>
      </c>
      <c r="D359" s="13" t="n">
        <v>44983</v>
      </c>
      <c r="E359" s="13" t="n">
        <v>44988</v>
      </c>
      <c r="F359" s="4" t="n">
        <v>1</v>
      </c>
      <c r="G359" s="4" t="n">
        <v>1</v>
      </c>
      <c r="H359" s="4" t="n">
        <v>729.32</v>
      </c>
      <c r="I359" s="4" t="n">
        <v>734.8</v>
      </c>
      <c r="J359" s="14" t="n">
        <f aca="false">E359-D359</f>
        <v>5</v>
      </c>
      <c r="K359" s="14" t="n">
        <f aca="false">IF(J359&lt;=0,1,0)</f>
        <v>0</v>
      </c>
      <c r="L359" s="15" t="n">
        <f aca="false">IFERROR(G359/F359,0)</f>
        <v>1</v>
      </c>
      <c r="M359" s="15" t="n">
        <f aca="false">IFERROR((I359-H359)/H359,0)</f>
        <v>0.00751384851642613</v>
      </c>
      <c r="N359" s="16" t="n">
        <f aca="false">G359*I359</f>
        <v>734.8</v>
      </c>
    </row>
    <row r="360" customFormat="false" ht="15" hidden="false" customHeight="true" outlineLevel="0" collapsed="false">
      <c r="A360" s="4" t="s">
        <v>536</v>
      </c>
      <c r="B360" s="4" t="s">
        <v>109</v>
      </c>
      <c r="C360" s="13" t="n">
        <v>45460</v>
      </c>
      <c r="D360" s="13" t="n">
        <v>45478</v>
      </c>
      <c r="E360" s="13" t="n">
        <v>45479</v>
      </c>
      <c r="F360" s="4" t="n">
        <v>477</v>
      </c>
      <c r="G360" s="4" t="n">
        <v>468</v>
      </c>
      <c r="H360" s="4" t="n">
        <v>858.02</v>
      </c>
      <c r="I360" s="4" t="n">
        <v>902.73</v>
      </c>
      <c r="J360" s="14" t="n">
        <f aca="false">E360-D360</f>
        <v>1</v>
      </c>
      <c r="K360" s="14" t="n">
        <f aca="false">IF(J360&lt;=0,1,0)</f>
        <v>0</v>
      </c>
      <c r="L360" s="15" t="n">
        <f aca="false">IFERROR(G360/F360,0)</f>
        <v>0.981132075471698</v>
      </c>
      <c r="M360" s="15" t="n">
        <f aca="false">IFERROR((I360-H360)/H360,0)</f>
        <v>0.0521083424628797</v>
      </c>
      <c r="N360" s="16" t="n">
        <f aca="false">G360*I360</f>
        <v>422477.64</v>
      </c>
    </row>
    <row r="361" customFormat="false" ht="15" hidden="false" customHeight="true" outlineLevel="0" collapsed="false">
      <c r="A361" s="4" t="s">
        <v>537</v>
      </c>
      <c r="B361" s="4" t="s">
        <v>43</v>
      </c>
      <c r="C361" s="13" t="n">
        <v>45286</v>
      </c>
      <c r="D361" s="13" t="n">
        <v>45306</v>
      </c>
      <c r="E361" s="13" t="n">
        <v>45303</v>
      </c>
      <c r="F361" s="4" t="n">
        <v>436</v>
      </c>
      <c r="G361" s="4" t="n">
        <v>412</v>
      </c>
      <c r="H361" s="4" t="n">
        <v>1321.6</v>
      </c>
      <c r="I361" s="4" t="n">
        <v>1307.95</v>
      </c>
      <c r="J361" s="14" t="n">
        <f aca="false">E361-D361</f>
        <v>-3</v>
      </c>
      <c r="K361" s="14" t="n">
        <f aca="false">IF(J361&lt;=0,1,0)</f>
        <v>1</v>
      </c>
      <c r="L361" s="15" t="n">
        <f aca="false">IFERROR(G361/F361,0)</f>
        <v>0.944954128440367</v>
      </c>
      <c r="M361" s="15" t="n">
        <f aca="false">IFERROR((I361-H361)/H361,0)</f>
        <v>-0.0103283898305084</v>
      </c>
      <c r="N361" s="16" t="n">
        <f aca="false">G361*I361</f>
        <v>538875.4</v>
      </c>
    </row>
    <row r="362" customFormat="false" ht="15" hidden="false" customHeight="true" outlineLevel="0" collapsed="false">
      <c r="A362" s="4" t="s">
        <v>538</v>
      </c>
      <c r="B362" s="4" t="s">
        <v>123</v>
      </c>
      <c r="C362" s="13" t="n">
        <v>45578</v>
      </c>
      <c r="D362" s="13" t="n">
        <v>45592</v>
      </c>
      <c r="E362" s="13" t="n">
        <v>45591</v>
      </c>
      <c r="F362" s="4" t="n">
        <v>128</v>
      </c>
      <c r="G362" s="4" t="n">
        <v>127</v>
      </c>
      <c r="H362" s="4" t="n">
        <v>214.07</v>
      </c>
      <c r="I362" s="4" t="n">
        <v>249.71</v>
      </c>
      <c r="J362" s="14" t="n">
        <f aca="false">E362-D362</f>
        <v>-1</v>
      </c>
      <c r="K362" s="14" t="n">
        <f aca="false">IF(J362&lt;=0,1,0)</f>
        <v>1</v>
      </c>
      <c r="L362" s="15" t="n">
        <f aca="false">IFERROR(G362/F362,0)</f>
        <v>0.9921875</v>
      </c>
      <c r="M362" s="15" t="n">
        <f aca="false">IFERROR((I362-H362)/H362,0)</f>
        <v>0.166487597514832</v>
      </c>
      <c r="N362" s="16" t="n">
        <f aca="false">G362*I362</f>
        <v>31713.17</v>
      </c>
    </row>
    <row r="363" customFormat="false" ht="15" hidden="false" customHeight="true" outlineLevel="0" collapsed="false">
      <c r="A363" s="4" t="s">
        <v>539</v>
      </c>
      <c r="B363" s="4" t="s">
        <v>105</v>
      </c>
      <c r="C363" s="13" t="n">
        <v>44988</v>
      </c>
      <c r="D363" s="13" t="n">
        <v>45005</v>
      </c>
      <c r="E363" s="13" t="n">
        <v>45005</v>
      </c>
      <c r="F363" s="4" t="n">
        <v>144</v>
      </c>
      <c r="G363" s="4" t="n">
        <v>133</v>
      </c>
      <c r="H363" s="4" t="n">
        <v>685.84</v>
      </c>
      <c r="I363" s="4" t="n">
        <v>691.77</v>
      </c>
      <c r="J363" s="14" t="n">
        <f aca="false">E363-D363</f>
        <v>0</v>
      </c>
      <c r="K363" s="14" t="n">
        <f aca="false">IF(J363&lt;=0,1,0)</f>
        <v>1</v>
      </c>
      <c r="L363" s="15" t="n">
        <f aca="false">IFERROR(G363/F363,0)</f>
        <v>0.923611111111111</v>
      </c>
      <c r="M363" s="15" t="n">
        <f aca="false">IFERROR((I363-H363)/H363,0)</f>
        <v>0.00864633150589051</v>
      </c>
      <c r="N363" s="16" t="n">
        <f aca="false">G363*I363</f>
        <v>92005.41</v>
      </c>
    </row>
    <row r="364" customFormat="false" ht="15" hidden="false" customHeight="true" outlineLevel="0" collapsed="false">
      <c r="A364" s="4" t="s">
        <v>540</v>
      </c>
      <c r="B364" s="4" t="s">
        <v>83</v>
      </c>
      <c r="C364" s="13" t="n">
        <v>45145</v>
      </c>
      <c r="D364" s="13" t="n">
        <v>45154</v>
      </c>
      <c r="E364" s="13" t="n">
        <v>45160</v>
      </c>
      <c r="F364" s="4" t="n">
        <v>390</v>
      </c>
      <c r="G364" s="4" t="n">
        <v>382</v>
      </c>
      <c r="H364" s="4" t="n">
        <v>101.36</v>
      </c>
      <c r="I364" s="4" t="n">
        <v>102.52</v>
      </c>
      <c r="J364" s="14" t="n">
        <f aca="false">E364-D364</f>
        <v>6</v>
      </c>
      <c r="K364" s="14" t="n">
        <f aca="false">IF(J364&lt;=0,1,0)</f>
        <v>0</v>
      </c>
      <c r="L364" s="15" t="n">
        <f aca="false">IFERROR(G364/F364,0)</f>
        <v>0.979487179487179</v>
      </c>
      <c r="M364" s="15" t="n">
        <f aca="false">IFERROR((I364-H364)/H364,0)</f>
        <v>0.0114443567482241</v>
      </c>
      <c r="N364" s="16" t="n">
        <f aca="false">G364*I364</f>
        <v>39162.64</v>
      </c>
    </row>
    <row r="365" customFormat="false" ht="15" hidden="false" customHeight="true" outlineLevel="0" collapsed="false">
      <c r="A365" s="4" t="s">
        <v>541</v>
      </c>
      <c r="B365" s="4" t="s">
        <v>68</v>
      </c>
      <c r="C365" s="13" t="n">
        <v>45016</v>
      </c>
      <c r="D365" s="13" t="n">
        <v>45036</v>
      </c>
      <c r="E365" s="13" t="n">
        <v>45038</v>
      </c>
      <c r="F365" s="4" t="n">
        <v>161</v>
      </c>
      <c r="G365" s="4" t="n">
        <v>152</v>
      </c>
      <c r="H365" s="4" t="n">
        <v>1232.83</v>
      </c>
      <c r="I365" s="4" t="n">
        <v>1222.43</v>
      </c>
      <c r="J365" s="14" t="n">
        <f aca="false">E365-D365</f>
        <v>2</v>
      </c>
      <c r="K365" s="14" t="n">
        <f aca="false">IF(J365&lt;=0,1,0)</f>
        <v>0</v>
      </c>
      <c r="L365" s="15" t="n">
        <f aca="false">IFERROR(G365/F365,0)</f>
        <v>0.944099378881988</v>
      </c>
      <c r="M365" s="15" t="n">
        <f aca="false">IFERROR((I365-H365)/H365,0)</f>
        <v>-0.00843587518149288</v>
      </c>
      <c r="N365" s="16" t="n">
        <f aca="false">G365*I365</f>
        <v>185809.36</v>
      </c>
    </row>
    <row r="366" customFormat="false" ht="15" hidden="false" customHeight="true" outlineLevel="0" collapsed="false">
      <c r="A366" s="4" t="s">
        <v>542</v>
      </c>
      <c r="B366" s="4" t="s">
        <v>125</v>
      </c>
      <c r="C366" s="13" t="n">
        <v>45509</v>
      </c>
      <c r="D366" s="13" t="n">
        <v>45516</v>
      </c>
      <c r="E366" s="13" t="n">
        <v>45522</v>
      </c>
      <c r="F366" s="4" t="n">
        <v>15</v>
      </c>
      <c r="G366" s="4" t="n">
        <v>13</v>
      </c>
      <c r="H366" s="4" t="n">
        <v>729.32</v>
      </c>
      <c r="I366" s="4" t="n">
        <v>746.53</v>
      </c>
      <c r="J366" s="14" t="n">
        <f aca="false">E366-D366</f>
        <v>6</v>
      </c>
      <c r="K366" s="14" t="n">
        <f aca="false">IF(J366&lt;=0,1,0)</f>
        <v>0</v>
      </c>
      <c r="L366" s="15" t="n">
        <f aca="false">IFERROR(G366/F366,0)</f>
        <v>0.866666666666667</v>
      </c>
      <c r="M366" s="15" t="n">
        <f aca="false">IFERROR((I366-H366)/H366,0)</f>
        <v>0.023597323534251</v>
      </c>
      <c r="N366" s="16" t="n">
        <f aca="false">G366*I366</f>
        <v>9704.89</v>
      </c>
    </row>
    <row r="367" customFormat="false" ht="15" hidden="false" customHeight="true" outlineLevel="0" collapsed="false">
      <c r="A367" s="4" t="s">
        <v>543</v>
      </c>
      <c r="B367" s="4" t="s">
        <v>61</v>
      </c>
      <c r="C367" s="13" t="n">
        <v>45286</v>
      </c>
      <c r="D367" s="13" t="n">
        <v>45296</v>
      </c>
      <c r="E367" s="13" t="n">
        <v>45302</v>
      </c>
      <c r="F367" s="4" t="n">
        <v>1485</v>
      </c>
      <c r="G367" s="4" t="n">
        <v>1452</v>
      </c>
      <c r="H367" s="4" t="n">
        <v>107.41</v>
      </c>
      <c r="I367" s="4" t="n">
        <v>107.73</v>
      </c>
      <c r="J367" s="14" t="n">
        <f aca="false">E367-D367</f>
        <v>6</v>
      </c>
      <c r="K367" s="14" t="n">
        <f aca="false">IF(J367&lt;=0,1,0)</f>
        <v>0</v>
      </c>
      <c r="L367" s="15" t="n">
        <f aca="false">IFERROR(G367/F367,0)</f>
        <v>0.977777777777778</v>
      </c>
      <c r="M367" s="15" t="n">
        <f aca="false">IFERROR((I367-H367)/H367,0)</f>
        <v>0.00297923843217584</v>
      </c>
      <c r="N367" s="16" t="n">
        <f aca="false">G367*I367</f>
        <v>156423.96</v>
      </c>
    </row>
    <row r="368" customFormat="false" ht="15" hidden="false" customHeight="true" outlineLevel="0" collapsed="false">
      <c r="A368" s="4" t="s">
        <v>544</v>
      </c>
      <c r="B368" s="4" t="s">
        <v>125</v>
      </c>
      <c r="C368" s="13" t="n">
        <v>45299</v>
      </c>
      <c r="D368" s="13" t="n">
        <v>45304</v>
      </c>
      <c r="E368" s="13" t="n">
        <v>45306</v>
      </c>
      <c r="F368" s="4" t="n">
        <v>6</v>
      </c>
      <c r="G368" s="4" t="n">
        <v>5</v>
      </c>
      <c r="H368" s="4" t="n">
        <v>729.32</v>
      </c>
      <c r="I368" s="4" t="n">
        <v>757.38</v>
      </c>
      <c r="J368" s="14" t="n">
        <f aca="false">E368-D368</f>
        <v>2</v>
      </c>
      <c r="K368" s="14" t="n">
        <f aca="false">IF(J368&lt;=0,1,0)</f>
        <v>0</v>
      </c>
      <c r="L368" s="15" t="n">
        <f aca="false">IFERROR(G368/F368,0)</f>
        <v>0.833333333333333</v>
      </c>
      <c r="M368" s="15" t="n">
        <f aca="false">IFERROR((I368-H368)/H368,0)</f>
        <v>0.0384741951406789</v>
      </c>
      <c r="N368" s="16" t="n">
        <f aca="false">G368*I368</f>
        <v>3786.9</v>
      </c>
    </row>
    <row r="369" customFormat="false" ht="15" hidden="false" customHeight="true" outlineLevel="0" collapsed="false">
      <c r="A369" s="4" t="s">
        <v>545</v>
      </c>
      <c r="B369" s="4" t="s">
        <v>58</v>
      </c>
      <c r="C369" s="13" t="n">
        <v>45099</v>
      </c>
      <c r="D369" s="13" t="n">
        <v>45111</v>
      </c>
      <c r="E369" s="13" t="n">
        <v>45112</v>
      </c>
      <c r="F369" s="4" t="n">
        <v>28</v>
      </c>
      <c r="G369" s="4" t="n">
        <v>27</v>
      </c>
      <c r="H369" s="4" t="n">
        <v>135.68</v>
      </c>
      <c r="I369" s="4" t="n">
        <v>138.73</v>
      </c>
      <c r="J369" s="14" t="n">
        <f aca="false">E369-D369</f>
        <v>1</v>
      </c>
      <c r="K369" s="14" t="n">
        <f aca="false">IF(J369&lt;=0,1,0)</f>
        <v>0</v>
      </c>
      <c r="L369" s="15" t="n">
        <f aca="false">IFERROR(G369/F369,0)</f>
        <v>0.964285714285714</v>
      </c>
      <c r="M369" s="15" t="n">
        <f aca="false">IFERROR((I369-H369)/H369,0)</f>
        <v>0.022479363207547</v>
      </c>
      <c r="N369" s="16" t="n">
        <f aca="false">G369*I369</f>
        <v>3745.71</v>
      </c>
    </row>
    <row r="370" customFormat="false" ht="15" hidden="false" customHeight="true" outlineLevel="0" collapsed="false">
      <c r="A370" s="4" t="s">
        <v>546</v>
      </c>
      <c r="B370" s="4" t="s">
        <v>72</v>
      </c>
      <c r="C370" s="13" t="n">
        <v>45152</v>
      </c>
      <c r="D370" s="13" t="n">
        <v>45159</v>
      </c>
      <c r="E370" s="13" t="n">
        <v>45161</v>
      </c>
      <c r="F370" s="4" t="n">
        <v>2557</v>
      </c>
      <c r="G370" s="4" t="n">
        <v>2524</v>
      </c>
      <c r="H370" s="4" t="n">
        <v>34.53</v>
      </c>
      <c r="I370" s="4" t="n">
        <v>35.45</v>
      </c>
      <c r="J370" s="14" t="n">
        <f aca="false">E370-D370</f>
        <v>2</v>
      </c>
      <c r="K370" s="14" t="n">
        <f aca="false">IF(J370&lt;=0,1,0)</f>
        <v>0</v>
      </c>
      <c r="L370" s="15" t="n">
        <f aca="false">IFERROR(G370/F370,0)</f>
        <v>0.987094251075479</v>
      </c>
      <c r="M370" s="15" t="n">
        <f aca="false">IFERROR((I370-H370)/H370,0)</f>
        <v>0.0266434984071822</v>
      </c>
      <c r="N370" s="16" t="n">
        <f aca="false">G370*I370</f>
        <v>89475.8</v>
      </c>
    </row>
    <row r="371" customFormat="false" ht="15" hidden="false" customHeight="true" outlineLevel="0" collapsed="false">
      <c r="A371" s="4" t="s">
        <v>547</v>
      </c>
      <c r="B371" s="4" t="s">
        <v>103</v>
      </c>
      <c r="C371" s="13" t="n">
        <v>45284</v>
      </c>
      <c r="D371" s="13" t="n">
        <v>45302</v>
      </c>
      <c r="E371" s="13" t="n">
        <v>45306</v>
      </c>
      <c r="F371" s="4" t="n">
        <v>299</v>
      </c>
      <c r="G371" s="4" t="n">
        <v>299</v>
      </c>
      <c r="H371" s="4" t="n">
        <v>1400.22</v>
      </c>
      <c r="I371" s="4" t="n">
        <v>1396.7</v>
      </c>
      <c r="J371" s="14" t="n">
        <f aca="false">E371-D371</f>
        <v>4</v>
      </c>
      <c r="K371" s="14" t="n">
        <f aca="false">IF(J371&lt;=0,1,0)</f>
        <v>0</v>
      </c>
      <c r="L371" s="15" t="n">
        <f aca="false">IFERROR(G371/F371,0)</f>
        <v>1</v>
      </c>
      <c r="M371" s="15" t="n">
        <f aca="false">IFERROR((I371-H371)/H371,0)</f>
        <v>-0.00251389067432259</v>
      </c>
      <c r="N371" s="16" t="n">
        <f aca="false">G371*I371</f>
        <v>417613.3</v>
      </c>
    </row>
    <row r="372" customFormat="false" ht="15" hidden="false" customHeight="true" outlineLevel="0" collapsed="false">
      <c r="A372" s="4" t="s">
        <v>548</v>
      </c>
      <c r="B372" s="4" t="s">
        <v>58</v>
      </c>
      <c r="C372" s="13" t="n">
        <v>45417</v>
      </c>
      <c r="D372" s="13" t="n">
        <v>45430</v>
      </c>
      <c r="E372" s="13" t="n">
        <v>45427</v>
      </c>
      <c r="F372" s="4" t="n">
        <v>217</v>
      </c>
      <c r="G372" s="4" t="n">
        <v>210</v>
      </c>
      <c r="H372" s="4" t="n">
        <v>135.68</v>
      </c>
      <c r="I372" s="4" t="n">
        <v>141.62</v>
      </c>
      <c r="J372" s="14" t="n">
        <f aca="false">E372-D372</f>
        <v>-3</v>
      </c>
      <c r="K372" s="14" t="n">
        <f aca="false">IF(J372&lt;=0,1,0)</f>
        <v>1</v>
      </c>
      <c r="L372" s="15" t="n">
        <f aca="false">IFERROR(G372/F372,0)</f>
        <v>0.967741935483871</v>
      </c>
      <c r="M372" s="15" t="n">
        <f aca="false">IFERROR((I372-H372)/H372,0)</f>
        <v>0.0437794811320755</v>
      </c>
      <c r="N372" s="16" t="n">
        <f aca="false">G372*I372</f>
        <v>29740.2</v>
      </c>
    </row>
    <row r="373" customFormat="false" ht="15" hidden="false" customHeight="true" outlineLevel="0" collapsed="false">
      <c r="A373" s="4" t="s">
        <v>549</v>
      </c>
      <c r="B373" s="4" t="s">
        <v>61</v>
      </c>
      <c r="C373" s="13" t="n">
        <v>45360</v>
      </c>
      <c r="D373" s="13" t="n">
        <v>45369</v>
      </c>
      <c r="E373" s="13" t="n">
        <v>45372</v>
      </c>
      <c r="F373" s="4" t="n">
        <v>1998</v>
      </c>
      <c r="G373" s="4" t="n">
        <v>1928</v>
      </c>
      <c r="H373" s="4" t="n">
        <v>107.41</v>
      </c>
      <c r="I373" s="4" t="n">
        <v>108.23</v>
      </c>
      <c r="J373" s="14" t="n">
        <f aca="false">E373-D373</f>
        <v>3</v>
      </c>
      <c r="K373" s="14" t="n">
        <f aca="false">IF(J373&lt;=0,1,0)</f>
        <v>0</v>
      </c>
      <c r="L373" s="15" t="n">
        <f aca="false">IFERROR(G373/F373,0)</f>
        <v>0.964964964964965</v>
      </c>
      <c r="M373" s="15" t="n">
        <f aca="false">IFERROR((I373-H373)/H373,0)</f>
        <v>0.00763429848245049</v>
      </c>
      <c r="N373" s="16" t="n">
        <f aca="false">G373*I373</f>
        <v>208667.44</v>
      </c>
    </row>
    <row r="374" customFormat="false" ht="15" hidden="false" customHeight="true" outlineLevel="0" collapsed="false">
      <c r="A374" s="4" t="s">
        <v>550</v>
      </c>
      <c r="B374" s="4" t="s">
        <v>52</v>
      </c>
      <c r="C374" s="13" t="n">
        <v>45404</v>
      </c>
      <c r="D374" s="13" t="n">
        <v>45414</v>
      </c>
      <c r="E374" s="13" t="n">
        <v>45424</v>
      </c>
      <c r="F374" s="4" t="n">
        <v>1165</v>
      </c>
      <c r="G374" s="4" t="n">
        <v>973</v>
      </c>
      <c r="H374" s="4" t="n">
        <v>170.24</v>
      </c>
      <c r="I374" s="4" t="n">
        <v>172.42</v>
      </c>
      <c r="J374" s="14" t="n">
        <f aca="false">E374-D374</f>
        <v>10</v>
      </c>
      <c r="K374" s="14" t="n">
        <f aca="false">IF(J374&lt;=0,1,0)</f>
        <v>0</v>
      </c>
      <c r="L374" s="15" t="n">
        <f aca="false">IFERROR(G374/F374,0)</f>
        <v>0.83519313304721</v>
      </c>
      <c r="M374" s="15" t="n">
        <f aca="false">IFERROR((I374-H374)/H374,0)</f>
        <v>0.0128054511278194</v>
      </c>
      <c r="N374" s="16" t="n">
        <f aca="false">G374*I374</f>
        <v>167764.66</v>
      </c>
    </row>
    <row r="375" customFormat="false" ht="15" hidden="false" customHeight="true" outlineLevel="0" collapsed="false">
      <c r="A375" s="4" t="s">
        <v>551</v>
      </c>
      <c r="B375" s="4" t="s">
        <v>147</v>
      </c>
      <c r="C375" s="13" t="n">
        <v>45376</v>
      </c>
      <c r="D375" s="13" t="n">
        <v>45388</v>
      </c>
      <c r="E375" s="13" t="n">
        <v>45390</v>
      </c>
      <c r="F375" s="4" t="n">
        <v>69</v>
      </c>
      <c r="G375" s="4" t="n">
        <v>67</v>
      </c>
      <c r="H375" s="4" t="n">
        <v>203.3</v>
      </c>
      <c r="I375" s="4" t="n">
        <v>208.79</v>
      </c>
      <c r="J375" s="14" t="n">
        <f aca="false">E375-D375</f>
        <v>2</v>
      </c>
      <c r="K375" s="14" t="n">
        <f aca="false">IF(J375&lt;=0,1,0)</f>
        <v>0</v>
      </c>
      <c r="L375" s="15" t="n">
        <f aca="false">IFERROR(G375/F375,0)</f>
        <v>0.971014492753623</v>
      </c>
      <c r="M375" s="15" t="n">
        <f aca="false">IFERROR((I375-H375)/H375,0)</f>
        <v>0.0270044269552385</v>
      </c>
      <c r="N375" s="16" t="n">
        <f aca="false">G375*I375</f>
        <v>13988.93</v>
      </c>
    </row>
    <row r="376" customFormat="false" ht="15" hidden="false" customHeight="true" outlineLevel="0" collapsed="false">
      <c r="A376" s="4" t="s">
        <v>552</v>
      </c>
      <c r="B376" s="4" t="s">
        <v>52</v>
      </c>
      <c r="C376" s="13" t="n">
        <v>44931</v>
      </c>
      <c r="D376" s="13" t="n">
        <v>44941</v>
      </c>
      <c r="E376" s="13" t="n">
        <v>44949</v>
      </c>
      <c r="F376" s="4" t="n">
        <v>1993</v>
      </c>
      <c r="G376" s="4" t="n">
        <v>1735</v>
      </c>
      <c r="H376" s="4" t="n">
        <v>170.24</v>
      </c>
      <c r="I376" s="4" t="n">
        <v>168.31</v>
      </c>
      <c r="J376" s="14" t="n">
        <f aca="false">E376-D376</f>
        <v>8</v>
      </c>
      <c r="K376" s="14" t="n">
        <f aca="false">IF(J376&lt;=0,1,0)</f>
        <v>0</v>
      </c>
      <c r="L376" s="15" t="n">
        <f aca="false">IFERROR(G376/F376,0)</f>
        <v>0.870546914199699</v>
      </c>
      <c r="M376" s="15" t="n">
        <f aca="false">IFERROR((I376-H376)/H376,0)</f>
        <v>-0.0113369360902256</v>
      </c>
      <c r="N376" s="16" t="n">
        <f aca="false">G376*I376</f>
        <v>292017.85</v>
      </c>
    </row>
    <row r="377" customFormat="false" ht="15" hidden="false" customHeight="true" outlineLevel="0" collapsed="false">
      <c r="A377" s="4" t="s">
        <v>553</v>
      </c>
      <c r="B377" s="4" t="s">
        <v>139</v>
      </c>
      <c r="C377" s="13" t="n">
        <v>45263</v>
      </c>
      <c r="D377" s="13" t="n">
        <v>45272</v>
      </c>
      <c r="E377" s="13" t="n">
        <v>45271</v>
      </c>
      <c r="F377" s="4" t="n">
        <v>435</v>
      </c>
      <c r="G377" s="4" t="n">
        <v>393</v>
      </c>
      <c r="H377" s="4" t="n">
        <v>207.64</v>
      </c>
      <c r="I377" s="4" t="n">
        <v>217.79</v>
      </c>
      <c r="J377" s="14" t="n">
        <f aca="false">E377-D377</f>
        <v>-1</v>
      </c>
      <c r="K377" s="14" t="n">
        <f aca="false">IF(J377&lt;=0,1,0)</f>
        <v>1</v>
      </c>
      <c r="L377" s="15" t="n">
        <f aca="false">IFERROR(G377/F377,0)</f>
        <v>0.903448275862069</v>
      </c>
      <c r="M377" s="15" t="n">
        <f aca="false">IFERROR((I377-H377)/H377,0)</f>
        <v>0.0488826815642458</v>
      </c>
      <c r="N377" s="16" t="n">
        <f aca="false">G377*I377</f>
        <v>85591.47</v>
      </c>
    </row>
    <row r="378" customFormat="false" ht="15" hidden="false" customHeight="true" outlineLevel="0" collapsed="false">
      <c r="A378" s="4" t="s">
        <v>554</v>
      </c>
      <c r="B378" s="4" t="s">
        <v>147</v>
      </c>
      <c r="C378" s="13" t="n">
        <v>45567</v>
      </c>
      <c r="D378" s="13" t="n">
        <v>45581</v>
      </c>
      <c r="E378" s="13" t="n">
        <v>45584</v>
      </c>
      <c r="F378" s="4" t="n">
        <v>54</v>
      </c>
      <c r="G378" s="4" t="n">
        <v>54</v>
      </c>
      <c r="H378" s="4" t="n">
        <v>203.3</v>
      </c>
      <c r="I378" s="4" t="n">
        <v>213.85</v>
      </c>
      <c r="J378" s="14" t="n">
        <f aca="false">E378-D378</f>
        <v>3</v>
      </c>
      <c r="K378" s="14" t="n">
        <f aca="false">IF(J378&lt;=0,1,0)</f>
        <v>0</v>
      </c>
      <c r="L378" s="15" t="n">
        <f aca="false">IFERROR(G378/F378,0)</f>
        <v>1</v>
      </c>
      <c r="M378" s="15" t="n">
        <f aca="false">IFERROR((I378-H378)/H378,0)</f>
        <v>0.0518937530742744</v>
      </c>
      <c r="N378" s="16" t="n">
        <f aca="false">G378*I378</f>
        <v>11547.9</v>
      </c>
    </row>
    <row r="379" customFormat="false" ht="15" hidden="false" customHeight="true" outlineLevel="0" collapsed="false">
      <c r="A379" s="4" t="s">
        <v>555</v>
      </c>
      <c r="B379" s="4" t="s">
        <v>93</v>
      </c>
      <c r="C379" s="13" t="n">
        <v>45626</v>
      </c>
      <c r="D379" s="13" t="n">
        <v>45638</v>
      </c>
      <c r="E379" s="13" t="n">
        <v>45642</v>
      </c>
      <c r="F379" s="4" t="n">
        <v>939</v>
      </c>
      <c r="G379" s="4" t="n">
        <v>907</v>
      </c>
      <c r="H379" s="4" t="n">
        <v>174.25</v>
      </c>
      <c r="I379" s="4" t="n">
        <v>185.4</v>
      </c>
      <c r="J379" s="14" t="n">
        <f aca="false">E379-D379</f>
        <v>4</v>
      </c>
      <c r="K379" s="14" t="n">
        <f aca="false">IF(J379&lt;=0,1,0)</f>
        <v>0</v>
      </c>
      <c r="L379" s="15" t="n">
        <f aca="false">IFERROR(G379/F379,0)</f>
        <v>0.965921192758254</v>
      </c>
      <c r="M379" s="15" t="n">
        <f aca="false">IFERROR((I379-H379)/H379,0)</f>
        <v>0.0639885222381636</v>
      </c>
      <c r="N379" s="16" t="n">
        <f aca="false">G379*I379</f>
        <v>168157.8</v>
      </c>
    </row>
    <row r="380" customFormat="false" ht="15" hidden="false" customHeight="true" outlineLevel="0" collapsed="false">
      <c r="A380" s="4" t="s">
        <v>556</v>
      </c>
      <c r="B380" s="4" t="s">
        <v>121</v>
      </c>
      <c r="C380" s="13" t="n">
        <v>45158</v>
      </c>
      <c r="D380" s="13" t="n">
        <v>45169</v>
      </c>
      <c r="E380" s="13" t="n">
        <v>45167</v>
      </c>
      <c r="F380" s="4" t="n">
        <v>1377</v>
      </c>
      <c r="G380" s="4" t="n">
        <v>1261</v>
      </c>
      <c r="H380" s="4" t="n">
        <v>206.07</v>
      </c>
      <c r="I380" s="4" t="n">
        <v>211.42</v>
      </c>
      <c r="J380" s="14" t="n">
        <f aca="false">E380-D380</f>
        <v>-2</v>
      </c>
      <c r="K380" s="14" t="n">
        <f aca="false">IF(J380&lt;=0,1,0)</f>
        <v>1</v>
      </c>
      <c r="L380" s="15" t="n">
        <f aca="false">IFERROR(G380/F380,0)</f>
        <v>0.915758896151053</v>
      </c>
      <c r="M380" s="15" t="n">
        <f aca="false">IFERROR((I380-H380)/H380,0)</f>
        <v>0.0259620517299946</v>
      </c>
      <c r="N380" s="16" t="n">
        <f aca="false">G380*I380</f>
        <v>266600.62</v>
      </c>
    </row>
    <row r="381" customFormat="false" ht="15" hidden="false" customHeight="true" outlineLevel="0" collapsed="false">
      <c r="A381" s="4" t="s">
        <v>557</v>
      </c>
      <c r="B381" s="4" t="s">
        <v>155</v>
      </c>
      <c r="C381" s="13" t="n">
        <v>44962</v>
      </c>
      <c r="D381" s="13" t="n">
        <v>44968</v>
      </c>
      <c r="E381" s="13" t="n">
        <v>44968</v>
      </c>
      <c r="F381" s="4" t="n">
        <v>633</v>
      </c>
      <c r="G381" s="4" t="n">
        <v>633</v>
      </c>
      <c r="H381" s="4" t="n">
        <v>24.04</v>
      </c>
      <c r="I381" s="4" t="n">
        <v>23.74</v>
      </c>
      <c r="J381" s="14" t="n">
        <f aca="false">E381-D381</f>
        <v>0</v>
      </c>
      <c r="K381" s="14" t="n">
        <f aca="false">IF(J381&lt;=0,1,0)</f>
        <v>1</v>
      </c>
      <c r="L381" s="15" t="n">
        <f aca="false">IFERROR(G381/F381,0)</f>
        <v>1</v>
      </c>
      <c r="M381" s="15" t="n">
        <f aca="false">IFERROR((I381-H381)/H381,0)</f>
        <v>-0.0124792013311148</v>
      </c>
      <c r="N381" s="16" t="n">
        <f aca="false">G381*I381</f>
        <v>15027.42</v>
      </c>
    </row>
    <row r="382" customFormat="false" ht="15" hidden="false" customHeight="true" outlineLevel="0" collapsed="false">
      <c r="A382" s="4" t="s">
        <v>558</v>
      </c>
      <c r="B382" s="4" t="s">
        <v>99</v>
      </c>
      <c r="C382" s="13" t="n">
        <v>45134</v>
      </c>
      <c r="D382" s="13" t="n">
        <v>45140</v>
      </c>
      <c r="E382" s="13" t="n">
        <v>45145</v>
      </c>
      <c r="F382" s="4" t="n">
        <v>817</v>
      </c>
      <c r="G382" s="4" t="n">
        <v>758</v>
      </c>
      <c r="H382" s="4" t="n">
        <v>11.5</v>
      </c>
      <c r="I382" s="4" t="n">
        <v>12.08</v>
      </c>
      <c r="J382" s="14" t="n">
        <f aca="false">E382-D382</f>
        <v>5</v>
      </c>
      <c r="K382" s="14" t="n">
        <f aca="false">IF(J382&lt;=0,1,0)</f>
        <v>0</v>
      </c>
      <c r="L382" s="15" t="n">
        <f aca="false">IFERROR(G382/F382,0)</f>
        <v>0.927784577723378</v>
      </c>
      <c r="M382" s="15" t="n">
        <f aca="false">IFERROR((I382-H382)/H382,0)</f>
        <v>0.0504347826086957</v>
      </c>
      <c r="N382" s="16" t="n">
        <f aca="false">G382*I382</f>
        <v>9156.64</v>
      </c>
    </row>
    <row r="383" customFormat="false" ht="15" hidden="false" customHeight="true" outlineLevel="0" collapsed="false">
      <c r="A383" s="4" t="s">
        <v>559</v>
      </c>
      <c r="B383" s="4" t="s">
        <v>37</v>
      </c>
      <c r="C383" s="13" t="n">
        <v>45195</v>
      </c>
      <c r="D383" s="13" t="n">
        <v>45203</v>
      </c>
      <c r="E383" s="13" t="n">
        <v>45209</v>
      </c>
      <c r="F383" s="4" t="n">
        <v>4988</v>
      </c>
      <c r="G383" s="4" t="n">
        <v>4977</v>
      </c>
      <c r="H383" s="4" t="n">
        <v>22.26</v>
      </c>
      <c r="I383" s="4" t="n">
        <v>21.65</v>
      </c>
      <c r="J383" s="14" t="n">
        <f aca="false">E383-D383</f>
        <v>6</v>
      </c>
      <c r="K383" s="14" t="n">
        <f aca="false">IF(J383&lt;=0,1,0)</f>
        <v>0</v>
      </c>
      <c r="L383" s="15" t="n">
        <f aca="false">IFERROR(G383/F383,0)</f>
        <v>0.997794707297514</v>
      </c>
      <c r="M383" s="15" t="n">
        <f aca="false">IFERROR((I383-H383)/H383,0)</f>
        <v>-0.0274034141958672</v>
      </c>
      <c r="N383" s="16" t="n">
        <f aca="false">G383*I383</f>
        <v>107752.05</v>
      </c>
    </row>
    <row r="384" customFormat="false" ht="15" hidden="false" customHeight="true" outlineLevel="0" collapsed="false">
      <c r="A384" s="4" t="s">
        <v>560</v>
      </c>
      <c r="B384" s="4" t="s">
        <v>121</v>
      </c>
      <c r="C384" s="13" t="n">
        <v>45331</v>
      </c>
      <c r="D384" s="13" t="n">
        <v>45343</v>
      </c>
      <c r="E384" s="13" t="n">
        <v>45344</v>
      </c>
      <c r="F384" s="4" t="n">
        <v>1236</v>
      </c>
      <c r="G384" s="4" t="n">
        <v>1131</v>
      </c>
      <c r="H384" s="4" t="n">
        <v>206.07</v>
      </c>
      <c r="I384" s="4" t="n">
        <v>220.96</v>
      </c>
      <c r="J384" s="14" t="n">
        <f aca="false">E384-D384</f>
        <v>1</v>
      </c>
      <c r="K384" s="14" t="n">
        <f aca="false">IF(J384&lt;=0,1,0)</f>
        <v>0</v>
      </c>
      <c r="L384" s="15" t="n">
        <f aca="false">IFERROR(G384/F384,0)</f>
        <v>0.91504854368932</v>
      </c>
      <c r="M384" s="15" t="n">
        <f aca="false">IFERROR((I384-H384)/H384,0)</f>
        <v>0.0722570000485273</v>
      </c>
      <c r="N384" s="16" t="n">
        <f aca="false">G384*I384</f>
        <v>249905.76</v>
      </c>
    </row>
    <row r="385" customFormat="false" ht="15" hidden="false" customHeight="true" outlineLevel="0" collapsed="false">
      <c r="A385" s="4" t="s">
        <v>561</v>
      </c>
      <c r="B385" s="4" t="s">
        <v>47</v>
      </c>
      <c r="C385" s="13" t="n">
        <v>45535</v>
      </c>
      <c r="D385" s="13" t="n">
        <v>45545</v>
      </c>
      <c r="E385" s="13" t="n">
        <v>45544</v>
      </c>
      <c r="F385" s="4" t="n">
        <v>1424</v>
      </c>
      <c r="G385" s="4" t="n">
        <v>1398</v>
      </c>
      <c r="H385" s="4" t="n">
        <v>228.68</v>
      </c>
      <c r="I385" s="4" t="n">
        <v>229.16</v>
      </c>
      <c r="J385" s="14" t="n">
        <f aca="false">E385-D385</f>
        <v>-1</v>
      </c>
      <c r="K385" s="14" t="n">
        <f aca="false">IF(J385&lt;=0,1,0)</f>
        <v>1</v>
      </c>
      <c r="L385" s="15" t="n">
        <f aca="false">IFERROR(G385/F385,0)</f>
        <v>0.981741573033708</v>
      </c>
      <c r="M385" s="15" t="n">
        <f aca="false">IFERROR((I385-H385)/H385,0)</f>
        <v>0.0020990029735875</v>
      </c>
      <c r="N385" s="16" t="n">
        <f aca="false">G385*I385</f>
        <v>320365.68</v>
      </c>
    </row>
    <row r="386" customFormat="false" ht="15" hidden="false" customHeight="true" outlineLevel="0" collapsed="false">
      <c r="A386" s="4" t="s">
        <v>562</v>
      </c>
      <c r="B386" s="4" t="s">
        <v>105</v>
      </c>
      <c r="C386" s="13" t="n">
        <v>45237</v>
      </c>
      <c r="D386" s="13" t="n">
        <v>45257</v>
      </c>
      <c r="E386" s="13" t="n">
        <v>45259</v>
      </c>
      <c r="F386" s="4" t="n">
        <v>132</v>
      </c>
      <c r="G386" s="4" t="n">
        <v>129</v>
      </c>
      <c r="H386" s="4" t="n">
        <v>685.84</v>
      </c>
      <c r="I386" s="4" t="n">
        <v>714.08</v>
      </c>
      <c r="J386" s="14" t="n">
        <f aca="false">E386-D386</f>
        <v>2</v>
      </c>
      <c r="K386" s="14" t="n">
        <f aca="false">IF(J386&lt;=0,1,0)</f>
        <v>0</v>
      </c>
      <c r="L386" s="15" t="n">
        <f aca="false">IFERROR(G386/F386,0)</f>
        <v>0.977272727272727</v>
      </c>
      <c r="M386" s="15" t="n">
        <f aca="false">IFERROR((I386-H386)/H386,0)</f>
        <v>0.0411757844395194</v>
      </c>
      <c r="N386" s="16" t="n">
        <f aca="false">G386*I386</f>
        <v>92116.32</v>
      </c>
    </row>
    <row r="387" customFormat="false" ht="15" hidden="false" customHeight="true" outlineLevel="0" collapsed="false">
      <c r="A387" s="4" t="s">
        <v>563</v>
      </c>
      <c r="B387" s="4" t="s">
        <v>149</v>
      </c>
      <c r="C387" s="13" t="n">
        <v>45244</v>
      </c>
      <c r="D387" s="13" t="n">
        <v>45248</v>
      </c>
      <c r="E387" s="13" t="n">
        <v>45248</v>
      </c>
      <c r="F387" s="4" t="n">
        <v>4</v>
      </c>
      <c r="G387" s="4" t="n">
        <v>4</v>
      </c>
      <c r="H387" s="4" t="n">
        <v>1458.52</v>
      </c>
      <c r="I387" s="4" t="n">
        <v>1450.84</v>
      </c>
      <c r="J387" s="14" t="n">
        <f aca="false">E387-D387</f>
        <v>0</v>
      </c>
      <c r="K387" s="14" t="n">
        <f aca="false">IF(J387&lt;=0,1,0)</f>
        <v>1</v>
      </c>
      <c r="L387" s="15" t="n">
        <f aca="false">IFERROR(G387/F387,0)</f>
        <v>1</v>
      </c>
      <c r="M387" s="15" t="n">
        <f aca="false">IFERROR((I387-H387)/H387,0)</f>
        <v>-0.00526561171598611</v>
      </c>
      <c r="N387" s="16" t="n">
        <f aca="false">G387*I387</f>
        <v>5803.36</v>
      </c>
    </row>
    <row r="388" customFormat="false" ht="15" hidden="false" customHeight="true" outlineLevel="0" collapsed="false">
      <c r="A388" s="4" t="s">
        <v>564</v>
      </c>
      <c r="B388" s="4" t="s">
        <v>127</v>
      </c>
      <c r="C388" s="13" t="n">
        <v>45471</v>
      </c>
      <c r="D388" s="13" t="n">
        <v>45476</v>
      </c>
      <c r="E388" s="13" t="n">
        <v>45482</v>
      </c>
      <c r="F388" s="4" t="n">
        <v>17</v>
      </c>
      <c r="G388" s="4" t="n">
        <v>16</v>
      </c>
      <c r="H388" s="4" t="n">
        <v>1881</v>
      </c>
      <c r="I388" s="4" t="n">
        <v>1761.74</v>
      </c>
      <c r="J388" s="14" t="n">
        <f aca="false">E388-D388</f>
        <v>6</v>
      </c>
      <c r="K388" s="14" t="n">
        <f aca="false">IF(J388&lt;=0,1,0)</f>
        <v>0</v>
      </c>
      <c r="L388" s="15" t="n">
        <f aca="false">IFERROR(G388/F388,0)</f>
        <v>0.941176470588235</v>
      </c>
      <c r="M388" s="15" t="n">
        <f aca="false">IFERROR((I388-H388)/H388,0)</f>
        <v>-0.0634024455077087</v>
      </c>
      <c r="N388" s="16" t="n">
        <f aca="false">G388*I388</f>
        <v>28187.84</v>
      </c>
    </row>
    <row r="389" customFormat="false" ht="15" hidden="false" customHeight="true" outlineLevel="0" collapsed="false">
      <c r="A389" s="4" t="s">
        <v>565</v>
      </c>
      <c r="B389" s="4" t="s">
        <v>141</v>
      </c>
      <c r="C389" s="13" t="n">
        <v>45162</v>
      </c>
      <c r="D389" s="13" t="n">
        <v>45181</v>
      </c>
      <c r="E389" s="13" t="n">
        <v>45183</v>
      </c>
      <c r="F389" s="4" t="n">
        <v>179</v>
      </c>
      <c r="G389" s="4" t="n">
        <v>172</v>
      </c>
      <c r="H389" s="4" t="n">
        <v>1252.36</v>
      </c>
      <c r="I389" s="4" t="n">
        <v>1223.11</v>
      </c>
      <c r="J389" s="14" t="n">
        <f aca="false">E389-D389</f>
        <v>2</v>
      </c>
      <c r="K389" s="14" t="n">
        <f aca="false">IF(J389&lt;=0,1,0)</f>
        <v>0</v>
      </c>
      <c r="L389" s="15" t="n">
        <f aca="false">IFERROR(G389/F389,0)</f>
        <v>0.960893854748603</v>
      </c>
      <c r="M389" s="15" t="n">
        <f aca="false">IFERROR((I389-H389)/H389,0)</f>
        <v>-0.0233559040531477</v>
      </c>
      <c r="N389" s="16" t="n">
        <f aca="false">G389*I389</f>
        <v>210374.92</v>
      </c>
    </row>
    <row r="390" customFormat="false" ht="15" hidden="false" customHeight="true" outlineLevel="0" collapsed="false">
      <c r="A390" s="4" t="s">
        <v>566</v>
      </c>
      <c r="B390" s="4" t="s">
        <v>151</v>
      </c>
      <c r="C390" s="13" t="n">
        <v>45296</v>
      </c>
      <c r="D390" s="13" t="n">
        <v>45300</v>
      </c>
      <c r="E390" s="13" t="n">
        <v>45300</v>
      </c>
      <c r="F390" s="4" t="n">
        <v>10</v>
      </c>
      <c r="G390" s="4" t="n">
        <v>10</v>
      </c>
      <c r="H390" s="4" t="n">
        <v>503.46</v>
      </c>
      <c r="I390" s="4" t="n">
        <v>511.85</v>
      </c>
      <c r="J390" s="14" t="n">
        <f aca="false">E390-D390</f>
        <v>0</v>
      </c>
      <c r="K390" s="14" t="n">
        <f aca="false">IF(J390&lt;=0,1,0)</f>
        <v>1</v>
      </c>
      <c r="L390" s="15" t="n">
        <f aca="false">IFERROR(G390/F390,0)</f>
        <v>1</v>
      </c>
      <c r="M390" s="15" t="n">
        <f aca="false">IFERROR((I390-H390)/H390,0)</f>
        <v>0.0166646804115521</v>
      </c>
      <c r="N390" s="16" t="n">
        <f aca="false">G390*I390</f>
        <v>5118.5</v>
      </c>
    </row>
    <row r="391" customFormat="false" ht="15" hidden="false" customHeight="true" outlineLevel="0" collapsed="false">
      <c r="A391" s="4" t="s">
        <v>567</v>
      </c>
      <c r="B391" s="4" t="s">
        <v>121</v>
      </c>
      <c r="C391" s="13" t="n">
        <v>45627</v>
      </c>
      <c r="D391" s="13" t="n">
        <v>45636</v>
      </c>
      <c r="E391" s="13" t="n">
        <v>45640</v>
      </c>
      <c r="F391" s="4" t="n">
        <v>318</v>
      </c>
      <c r="G391" s="4" t="n">
        <v>289</v>
      </c>
      <c r="H391" s="4" t="n">
        <v>206.07</v>
      </c>
      <c r="I391" s="4" t="n">
        <v>237.26</v>
      </c>
      <c r="J391" s="14" t="n">
        <f aca="false">E391-D391</f>
        <v>4</v>
      </c>
      <c r="K391" s="14" t="n">
        <f aca="false">IF(J391&lt;=0,1,0)</f>
        <v>0</v>
      </c>
      <c r="L391" s="15" t="n">
        <f aca="false">IFERROR(G391/F391,0)</f>
        <v>0.908805031446541</v>
      </c>
      <c r="M391" s="15" t="n">
        <f aca="false">IFERROR((I391-H391)/H391,0)</f>
        <v>0.151356335225894</v>
      </c>
      <c r="N391" s="16" t="n">
        <f aca="false">G391*I391</f>
        <v>68568.14</v>
      </c>
    </row>
    <row r="392" customFormat="false" ht="15" hidden="false" customHeight="true" outlineLevel="0" collapsed="false">
      <c r="A392" s="4" t="s">
        <v>568</v>
      </c>
      <c r="B392" s="4" t="s">
        <v>85</v>
      </c>
      <c r="C392" s="13" t="n">
        <v>45126</v>
      </c>
      <c r="D392" s="13" t="n">
        <v>45137</v>
      </c>
      <c r="E392" s="13" t="n">
        <v>45143</v>
      </c>
      <c r="F392" s="4" t="n">
        <v>1990</v>
      </c>
      <c r="G392" s="4" t="n">
        <v>1858</v>
      </c>
      <c r="H392" s="4" t="n">
        <v>241.88</v>
      </c>
      <c r="I392" s="4" t="n">
        <v>239.54</v>
      </c>
      <c r="J392" s="14" t="n">
        <f aca="false">E392-D392</f>
        <v>6</v>
      </c>
      <c r="K392" s="14" t="n">
        <f aca="false">IF(J392&lt;=0,1,0)</f>
        <v>0</v>
      </c>
      <c r="L392" s="15" t="n">
        <f aca="false">IFERROR(G392/F392,0)</f>
        <v>0.933668341708543</v>
      </c>
      <c r="M392" s="15" t="n">
        <f aca="false">IFERROR((I392-H392)/H392,0)</f>
        <v>-0.00967421862080372</v>
      </c>
      <c r="N392" s="16" t="n">
        <f aca="false">G392*I392</f>
        <v>445065.32</v>
      </c>
    </row>
    <row r="393" customFormat="false" ht="15" hidden="false" customHeight="true" outlineLevel="0" collapsed="false">
      <c r="A393" s="4" t="s">
        <v>569</v>
      </c>
      <c r="B393" s="4" t="s">
        <v>55</v>
      </c>
      <c r="C393" s="13" t="n">
        <v>45411</v>
      </c>
      <c r="D393" s="13" t="n">
        <v>45429</v>
      </c>
      <c r="E393" s="13" t="n">
        <v>45432</v>
      </c>
      <c r="F393" s="4" t="n">
        <v>233</v>
      </c>
      <c r="G393" s="4" t="n">
        <v>226</v>
      </c>
      <c r="H393" s="4" t="n">
        <v>598.09</v>
      </c>
      <c r="I393" s="4" t="n">
        <v>577.41</v>
      </c>
      <c r="J393" s="14" t="n">
        <f aca="false">E393-D393</f>
        <v>3</v>
      </c>
      <c r="K393" s="14" t="n">
        <f aca="false">IF(J393&lt;=0,1,0)</f>
        <v>0</v>
      </c>
      <c r="L393" s="15" t="n">
        <f aca="false">IFERROR(G393/F393,0)</f>
        <v>0.969957081545064</v>
      </c>
      <c r="M393" s="15" t="n">
        <f aca="false">IFERROR((I393-H393)/H393,0)</f>
        <v>-0.0345767359427512</v>
      </c>
      <c r="N393" s="16" t="n">
        <f aca="false">G393*I393</f>
        <v>130494.66</v>
      </c>
    </row>
    <row r="394" customFormat="false" ht="15" hidden="false" customHeight="true" outlineLevel="0" collapsed="false">
      <c r="A394" s="4" t="s">
        <v>570</v>
      </c>
      <c r="B394" s="4" t="s">
        <v>61</v>
      </c>
      <c r="C394" s="13" t="n">
        <v>44987</v>
      </c>
      <c r="D394" s="13" t="n">
        <v>44997</v>
      </c>
      <c r="E394" s="13" t="n">
        <v>45004</v>
      </c>
      <c r="F394" s="4" t="n">
        <v>1242</v>
      </c>
      <c r="G394" s="4" t="n">
        <v>1203</v>
      </c>
      <c r="H394" s="4" t="n">
        <v>107.41</v>
      </c>
      <c r="I394" s="4" t="n">
        <v>106.11</v>
      </c>
      <c r="J394" s="14" t="n">
        <f aca="false">E394-D394</f>
        <v>7</v>
      </c>
      <c r="K394" s="14" t="n">
        <f aca="false">IF(J394&lt;=0,1,0)</f>
        <v>0</v>
      </c>
      <c r="L394" s="15" t="n">
        <f aca="false">IFERROR(G394/F394,0)</f>
        <v>0.968599033816425</v>
      </c>
      <c r="M394" s="15" t="n">
        <f aca="false">IFERROR((I394-H394)/H394,0)</f>
        <v>-0.0121031561307141</v>
      </c>
      <c r="N394" s="16" t="n">
        <f aca="false">G394*I394</f>
        <v>127650.33</v>
      </c>
    </row>
    <row r="395" customFormat="false" ht="15" hidden="false" customHeight="true" outlineLevel="0" collapsed="false">
      <c r="A395" s="4" t="s">
        <v>571</v>
      </c>
      <c r="B395" s="4" t="s">
        <v>41</v>
      </c>
      <c r="C395" s="13" t="n">
        <v>45552</v>
      </c>
      <c r="D395" s="13" t="n">
        <v>45559</v>
      </c>
      <c r="E395" s="13" t="n">
        <v>45560</v>
      </c>
      <c r="F395" s="4" t="n">
        <v>3551</v>
      </c>
      <c r="G395" s="4" t="n">
        <v>3551</v>
      </c>
      <c r="H395" s="4" t="n">
        <v>45.51</v>
      </c>
      <c r="I395" s="4" t="n">
        <v>44.15</v>
      </c>
      <c r="J395" s="14" t="n">
        <f aca="false">E395-D395</f>
        <v>1</v>
      </c>
      <c r="K395" s="14" t="n">
        <f aca="false">IF(J395&lt;=0,1,0)</f>
        <v>0</v>
      </c>
      <c r="L395" s="15" t="n">
        <f aca="false">IFERROR(G395/F395,0)</f>
        <v>1</v>
      </c>
      <c r="M395" s="15" t="n">
        <f aca="false">IFERROR((I395-H395)/H395,0)</f>
        <v>-0.029883542078664</v>
      </c>
      <c r="N395" s="16" t="n">
        <f aca="false">G395*I395</f>
        <v>156776.65</v>
      </c>
    </row>
    <row r="396" customFormat="false" ht="15" hidden="false" customHeight="true" outlineLevel="0" collapsed="false">
      <c r="A396" s="4" t="s">
        <v>572</v>
      </c>
      <c r="B396" s="4" t="s">
        <v>85</v>
      </c>
      <c r="C396" s="13" t="n">
        <v>45481</v>
      </c>
      <c r="D396" s="13" t="n">
        <v>45491</v>
      </c>
      <c r="E396" s="13" t="n">
        <v>45496</v>
      </c>
      <c r="F396" s="4" t="n">
        <v>1526</v>
      </c>
      <c r="G396" s="4" t="n">
        <v>1443</v>
      </c>
      <c r="H396" s="4" t="n">
        <v>241.88</v>
      </c>
      <c r="I396" s="4" t="n">
        <v>235.98</v>
      </c>
      <c r="J396" s="14" t="n">
        <f aca="false">E396-D396</f>
        <v>5</v>
      </c>
      <c r="K396" s="14" t="n">
        <f aca="false">IF(J396&lt;=0,1,0)</f>
        <v>0</v>
      </c>
      <c r="L396" s="15" t="n">
        <f aca="false">IFERROR(G396/F396,0)</f>
        <v>0.945609436435125</v>
      </c>
      <c r="M396" s="15" t="n">
        <f aca="false">IFERROR((I396-H396)/H396,0)</f>
        <v>-0.0243922606251034</v>
      </c>
      <c r="N396" s="16" t="n">
        <f aca="false">G396*I396</f>
        <v>340519.14</v>
      </c>
    </row>
    <row r="397" customFormat="false" ht="15" hidden="false" customHeight="true" outlineLevel="0" collapsed="false">
      <c r="A397" s="4" t="s">
        <v>573</v>
      </c>
      <c r="B397" s="4" t="s">
        <v>147</v>
      </c>
      <c r="C397" s="13" t="n">
        <v>45240</v>
      </c>
      <c r="D397" s="13" t="n">
        <v>45252</v>
      </c>
      <c r="E397" s="13" t="n">
        <v>45254</v>
      </c>
      <c r="F397" s="4" t="n">
        <v>137</v>
      </c>
      <c r="G397" s="4" t="n">
        <v>132</v>
      </c>
      <c r="H397" s="4" t="n">
        <v>203.3</v>
      </c>
      <c r="I397" s="4" t="n">
        <v>207.07</v>
      </c>
      <c r="J397" s="14" t="n">
        <f aca="false">E397-D397</f>
        <v>2</v>
      </c>
      <c r="K397" s="14" t="n">
        <f aca="false">IF(J397&lt;=0,1,0)</f>
        <v>0</v>
      </c>
      <c r="L397" s="15" t="n">
        <f aca="false">IFERROR(G397/F397,0)</f>
        <v>0.963503649635037</v>
      </c>
      <c r="M397" s="15" t="n">
        <f aca="false">IFERROR((I397-H397)/H397,0)</f>
        <v>0.0185440236104278</v>
      </c>
      <c r="N397" s="16" t="n">
        <f aca="false">G397*I397</f>
        <v>27333.24</v>
      </c>
    </row>
    <row r="398" customFormat="false" ht="15" hidden="false" customHeight="true" outlineLevel="0" collapsed="false">
      <c r="A398" s="4" t="s">
        <v>574</v>
      </c>
      <c r="B398" s="4" t="s">
        <v>149</v>
      </c>
      <c r="C398" s="13" t="n">
        <v>45199</v>
      </c>
      <c r="D398" s="13" t="n">
        <v>45204</v>
      </c>
      <c r="E398" s="13" t="n">
        <v>45206</v>
      </c>
      <c r="F398" s="4" t="n">
        <v>3</v>
      </c>
      <c r="G398" s="4" t="n">
        <v>3</v>
      </c>
      <c r="H398" s="4" t="n">
        <v>1458.52</v>
      </c>
      <c r="I398" s="4" t="n">
        <v>1472.79</v>
      </c>
      <c r="J398" s="14" t="n">
        <f aca="false">E398-D398</f>
        <v>2</v>
      </c>
      <c r="K398" s="14" t="n">
        <f aca="false">IF(J398&lt;=0,1,0)</f>
        <v>0</v>
      </c>
      <c r="L398" s="15" t="n">
        <f aca="false">IFERROR(G398/F398,0)</f>
        <v>1</v>
      </c>
      <c r="M398" s="15" t="n">
        <f aca="false">IFERROR((I398-H398)/H398,0)</f>
        <v>0.00978389051915639</v>
      </c>
      <c r="N398" s="16" t="n">
        <f aca="false">G398*I398</f>
        <v>4418.37</v>
      </c>
    </row>
    <row r="399" customFormat="false" ht="15" hidden="false" customHeight="true" outlineLevel="0" collapsed="false">
      <c r="A399" s="4" t="s">
        <v>575</v>
      </c>
      <c r="B399" s="4" t="s">
        <v>74</v>
      </c>
      <c r="C399" s="13" t="n">
        <v>45373</v>
      </c>
      <c r="D399" s="13" t="n">
        <v>45378</v>
      </c>
      <c r="E399" s="13" t="n">
        <v>45379</v>
      </c>
      <c r="F399" s="4" t="n">
        <v>18</v>
      </c>
      <c r="G399" s="4" t="n">
        <v>17</v>
      </c>
      <c r="H399" s="4" t="n">
        <v>1294.62</v>
      </c>
      <c r="I399" s="4" t="n">
        <v>1373</v>
      </c>
      <c r="J399" s="14" t="n">
        <f aca="false">E399-D399</f>
        <v>1</v>
      </c>
      <c r="K399" s="14" t="n">
        <f aca="false">IF(J399&lt;=0,1,0)</f>
        <v>0</v>
      </c>
      <c r="L399" s="15" t="n">
        <f aca="false">IFERROR(G399/F399,0)</f>
        <v>0.944444444444444</v>
      </c>
      <c r="M399" s="15" t="n">
        <f aca="false">IFERROR((I399-H399)/H399,0)</f>
        <v>0.0605428619981154</v>
      </c>
      <c r="N399" s="16" t="n">
        <f aca="false">G399*I399</f>
        <v>23341</v>
      </c>
    </row>
    <row r="400" customFormat="false" ht="15" hidden="false" customHeight="true" outlineLevel="0" collapsed="false">
      <c r="A400" s="4" t="s">
        <v>576</v>
      </c>
      <c r="B400" s="4" t="s">
        <v>109</v>
      </c>
      <c r="C400" s="13" t="n">
        <v>45471</v>
      </c>
      <c r="D400" s="13" t="n">
        <v>45489</v>
      </c>
      <c r="E400" s="13" t="n">
        <v>45485</v>
      </c>
      <c r="F400" s="4" t="n">
        <v>397</v>
      </c>
      <c r="G400" s="4" t="n">
        <v>397</v>
      </c>
      <c r="H400" s="4" t="n">
        <v>858.02</v>
      </c>
      <c r="I400" s="4" t="n">
        <v>897.77</v>
      </c>
      <c r="J400" s="14" t="n">
        <f aca="false">E400-D400</f>
        <v>-4</v>
      </c>
      <c r="K400" s="14" t="n">
        <f aca="false">IF(J400&lt;=0,1,0)</f>
        <v>1</v>
      </c>
      <c r="L400" s="15" t="n">
        <f aca="false">IFERROR(G400/F400,0)</f>
        <v>1</v>
      </c>
      <c r="M400" s="15" t="n">
        <f aca="false">IFERROR((I400-H400)/H400,0)</f>
        <v>0.0463275914314352</v>
      </c>
      <c r="N400" s="16" t="n">
        <f aca="false">G400*I400</f>
        <v>356414.69</v>
      </c>
    </row>
    <row r="401" customFormat="false" ht="15" hidden="false" customHeight="true" outlineLevel="0" collapsed="false">
      <c r="A401" s="4" t="s">
        <v>577</v>
      </c>
      <c r="B401" s="4" t="s">
        <v>81</v>
      </c>
      <c r="C401" s="13" t="n">
        <v>45221</v>
      </c>
      <c r="D401" s="13" t="n">
        <v>45228</v>
      </c>
      <c r="E401" s="13" t="n">
        <v>45235</v>
      </c>
      <c r="F401" s="4" t="n">
        <v>13</v>
      </c>
      <c r="G401" s="4" t="n">
        <v>13</v>
      </c>
      <c r="H401" s="4" t="n">
        <v>697.63</v>
      </c>
      <c r="I401" s="4" t="n">
        <v>710.32</v>
      </c>
      <c r="J401" s="14" t="n">
        <f aca="false">E401-D401</f>
        <v>7</v>
      </c>
      <c r="K401" s="14" t="n">
        <f aca="false">IF(J401&lt;=0,1,0)</f>
        <v>0</v>
      </c>
      <c r="L401" s="15" t="n">
        <f aca="false">IFERROR(G401/F401,0)</f>
        <v>1</v>
      </c>
      <c r="M401" s="15" t="n">
        <f aca="false">IFERROR((I401-H401)/H401,0)</f>
        <v>0.0181901581067329</v>
      </c>
      <c r="N401" s="16" t="n">
        <f aca="false">G401*I401</f>
        <v>9234.16</v>
      </c>
    </row>
    <row r="402" customFormat="false" ht="15" hidden="false" customHeight="true" outlineLevel="0" collapsed="false">
      <c r="A402" s="4" t="s">
        <v>578</v>
      </c>
      <c r="B402" s="4" t="s">
        <v>121</v>
      </c>
      <c r="C402" s="13" t="n">
        <v>45356</v>
      </c>
      <c r="D402" s="13" t="n">
        <v>45365</v>
      </c>
      <c r="E402" s="13" t="n">
        <v>45370</v>
      </c>
      <c r="F402" s="4" t="n">
        <v>1018</v>
      </c>
      <c r="G402" s="4" t="n">
        <v>942</v>
      </c>
      <c r="H402" s="4" t="n">
        <v>206.07</v>
      </c>
      <c r="I402" s="4" t="n">
        <v>224.37</v>
      </c>
      <c r="J402" s="14" t="n">
        <f aca="false">E402-D402</f>
        <v>5</v>
      </c>
      <c r="K402" s="14" t="n">
        <f aca="false">IF(J402&lt;=0,1,0)</f>
        <v>0</v>
      </c>
      <c r="L402" s="15" t="n">
        <f aca="false">IFERROR(G402/F402,0)</f>
        <v>0.925343811394892</v>
      </c>
      <c r="M402" s="15" t="n">
        <f aca="false">IFERROR((I402-H402)/H402,0)</f>
        <v>0.0888047750764304</v>
      </c>
      <c r="N402" s="16" t="n">
        <f aca="false">G402*I402</f>
        <v>211356.54</v>
      </c>
    </row>
    <row r="403" customFormat="false" ht="15" hidden="false" customHeight="true" outlineLevel="0" collapsed="false">
      <c r="A403" s="4" t="s">
        <v>579</v>
      </c>
      <c r="B403" s="4" t="s">
        <v>155</v>
      </c>
      <c r="C403" s="13" t="n">
        <v>45007</v>
      </c>
      <c r="D403" s="13" t="n">
        <v>45016</v>
      </c>
      <c r="E403" s="13" t="n">
        <v>45015</v>
      </c>
      <c r="F403" s="4" t="n">
        <v>1385</v>
      </c>
      <c r="G403" s="4" t="n">
        <v>1379</v>
      </c>
      <c r="H403" s="4" t="n">
        <v>24.04</v>
      </c>
      <c r="I403" s="4" t="n">
        <v>23.12</v>
      </c>
      <c r="J403" s="14" t="n">
        <f aca="false">E403-D403</f>
        <v>-1</v>
      </c>
      <c r="K403" s="14" t="n">
        <f aca="false">IF(J403&lt;=0,1,0)</f>
        <v>1</v>
      </c>
      <c r="L403" s="15" t="n">
        <f aca="false">IFERROR(G403/F403,0)</f>
        <v>0.995667870036101</v>
      </c>
      <c r="M403" s="15" t="n">
        <f aca="false">IFERROR((I403-H403)/H403,0)</f>
        <v>-0.038269550748752</v>
      </c>
      <c r="N403" s="16" t="n">
        <f aca="false">G403*I403</f>
        <v>31882.48</v>
      </c>
    </row>
    <row r="404" customFormat="false" ht="15" hidden="false" customHeight="true" outlineLevel="0" collapsed="false">
      <c r="A404" s="4" t="s">
        <v>580</v>
      </c>
      <c r="B404" s="4" t="s">
        <v>93</v>
      </c>
      <c r="C404" s="13" t="n">
        <v>44974</v>
      </c>
      <c r="D404" s="13" t="n">
        <v>44986</v>
      </c>
      <c r="E404" s="13" t="n">
        <v>44988</v>
      </c>
      <c r="F404" s="4" t="n">
        <v>1877</v>
      </c>
      <c r="G404" s="4" t="n">
        <v>1844</v>
      </c>
      <c r="H404" s="4" t="n">
        <v>174.25</v>
      </c>
      <c r="I404" s="4" t="n">
        <v>173.72</v>
      </c>
      <c r="J404" s="14" t="n">
        <f aca="false">E404-D404</f>
        <v>2</v>
      </c>
      <c r="K404" s="14" t="n">
        <f aca="false">IF(J404&lt;=0,1,0)</f>
        <v>0</v>
      </c>
      <c r="L404" s="15" t="n">
        <f aca="false">IFERROR(G404/F404,0)</f>
        <v>0.982418753329782</v>
      </c>
      <c r="M404" s="15" t="n">
        <f aca="false">IFERROR((I404-H404)/H404,0)</f>
        <v>-0.00304160688665711</v>
      </c>
      <c r="N404" s="16" t="n">
        <f aca="false">G404*I404</f>
        <v>320339.68</v>
      </c>
    </row>
    <row r="405" customFormat="false" ht="15" hidden="false" customHeight="true" outlineLevel="0" collapsed="false">
      <c r="A405" s="4" t="s">
        <v>581</v>
      </c>
      <c r="B405" s="4" t="s">
        <v>113</v>
      </c>
      <c r="C405" s="13" t="n">
        <v>45465</v>
      </c>
      <c r="D405" s="13" t="n">
        <v>45474</v>
      </c>
      <c r="E405" s="13" t="n">
        <v>45479</v>
      </c>
      <c r="F405" s="4" t="n">
        <v>279</v>
      </c>
      <c r="G405" s="4" t="n">
        <v>276</v>
      </c>
      <c r="H405" s="4" t="n">
        <v>170.42</v>
      </c>
      <c r="I405" s="4" t="n">
        <v>172.2</v>
      </c>
      <c r="J405" s="14" t="n">
        <f aca="false">E405-D405</f>
        <v>5</v>
      </c>
      <c r="K405" s="14" t="n">
        <f aca="false">IF(J405&lt;=0,1,0)</f>
        <v>0</v>
      </c>
      <c r="L405" s="15" t="n">
        <f aca="false">IFERROR(G405/F405,0)</f>
        <v>0.989247311827957</v>
      </c>
      <c r="M405" s="15" t="n">
        <f aca="false">IFERROR((I405-H405)/H405,0)</f>
        <v>0.0104447834761178</v>
      </c>
      <c r="N405" s="16" t="n">
        <f aca="false">G405*I405</f>
        <v>47527.2</v>
      </c>
    </row>
    <row r="406" customFormat="false" ht="15" hidden="false" customHeight="true" outlineLevel="0" collapsed="false">
      <c r="A406" s="4" t="s">
        <v>582</v>
      </c>
      <c r="B406" s="4" t="s">
        <v>101</v>
      </c>
      <c r="C406" s="13" t="n">
        <v>44986</v>
      </c>
      <c r="D406" s="13" t="n">
        <v>45006</v>
      </c>
      <c r="E406" s="13" t="n">
        <v>45009</v>
      </c>
      <c r="F406" s="4" t="n">
        <v>174</v>
      </c>
      <c r="G406" s="4" t="n">
        <v>170</v>
      </c>
      <c r="H406" s="4" t="n">
        <v>442.74</v>
      </c>
      <c r="I406" s="4" t="n">
        <v>454.4</v>
      </c>
      <c r="J406" s="14" t="n">
        <f aca="false">E406-D406</f>
        <v>3</v>
      </c>
      <c r="K406" s="14" t="n">
        <f aca="false">IF(J406&lt;=0,1,0)</f>
        <v>0</v>
      </c>
      <c r="L406" s="15" t="n">
        <f aca="false">IFERROR(G406/F406,0)</f>
        <v>0.977011494252874</v>
      </c>
      <c r="M406" s="15" t="n">
        <f aca="false">IFERROR((I406-H406)/H406,0)</f>
        <v>0.0263359985544563</v>
      </c>
      <c r="N406" s="16" t="n">
        <f aca="false">G406*I406</f>
        <v>77248</v>
      </c>
    </row>
    <row r="407" customFormat="false" ht="15" hidden="false" customHeight="true" outlineLevel="0" collapsed="false">
      <c r="A407" s="4" t="s">
        <v>583</v>
      </c>
      <c r="B407" s="4" t="s">
        <v>83</v>
      </c>
      <c r="C407" s="13" t="n">
        <v>45446</v>
      </c>
      <c r="D407" s="13" t="n">
        <v>45457</v>
      </c>
      <c r="E407" s="13" t="n">
        <v>45460</v>
      </c>
      <c r="F407" s="4" t="n">
        <v>446</v>
      </c>
      <c r="G407" s="4" t="n">
        <v>439</v>
      </c>
      <c r="H407" s="4" t="n">
        <v>101.36</v>
      </c>
      <c r="I407" s="4" t="n">
        <v>105.42</v>
      </c>
      <c r="J407" s="14" t="n">
        <f aca="false">E407-D407</f>
        <v>3</v>
      </c>
      <c r="K407" s="14" t="n">
        <f aca="false">IF(J407&lt;=0,1,0)</f>
        <v>0</v>
      </c>
      <c r="L407" s="15" t="n">
        <f aca="false">IFERROR(G407/F407,0)</f>
        <v>0.984304932735426</v>
      </c>
      <c r="M407" s="15" t="n">
        <f aca="false">IFERROR((I407-H407)/H407,0)</f>
        <v>0.0400552486187846</v>
      </c>
      <c r="N407" s="16" t="n">
        <f aca="false">G407*I407</f>
        <v>46279.38</v>
      </c>
    </row>
    <row r="408" customFormat="false" ht="15" hidden="false" customHeight="true" outlineLevel="0" collapsed="false">
      <c r="A408" s="4" t="s">
        <v>584</v>
      </c>
      <c r="B408" s="4" t="s">
        <v>163</v>
      </c>
      <c r="C408" s="13" t="n">
        <v>45063</v>
      </c>
      <c r="D408" s="13" t="n">
        <v>45081</v>
      </c>
      <c r="E408" s="13" t="n">
        <v>45088</v>
      </c>
      <c r="F408" s="4" t="n">
        <v>265</v>
      </c>
      <c r="G408" s="4" t="n">
        <v>258</v>
      </c>
      <c r="H408" s="4" t="n">
        <v>482.79</v>
      </c>
      <c r="I408" s="4" t="n">
        <v>482.42</v>
      </c>
      <c r="J408" s="14" t="n">
        <f aca="false">E408-D408</f>
        <v>7</v>
      </c>
      <c r="K408" s="14" t="n">
        <f aca="false">IF(J408&lt;=0,1,0)</f>
        <v>0</v>
      </c>
      <c r="L408" s="15" t="n">
        <f aca="false">IFERROR(G408/F408,0)</f>
        <v>0.973584905660377</v>
      </c>
      <c r="M408" s="15" t="n">
        <f aca="false">IFERROR((I408-H408)/H408,0)</f>
        <v>-0.000766378756809388</v>
      </c>
      <c r="N408" s="16" t="n">
        <f aca="false">G408*I408</f>
        <v>124464.36</v>
      </c>
    </row>
    <row r="409" customFormat="false" ht="15" hidden="false" customHeight="true" outlineLevel="0" collapsed="false">
      <c r="A409" s="4" t="s">
        <v>585</v>
      </c>
      <c r="B409" s="4" t="s">
        <v>161</v>
      </c>
      <c r="C409" s="13" t="n">
        <v>45459</v>
      </c>
      <c r="D409" s="13" t="n">
        <v>45468</v>
      </c>
      <c r="E409" s="13" t="n">
        <v>45471</v>
      </c>
      <c r="F409" s="4" t="n">
        <v>935</v>
      </c>
      <c r="G409" s="4" t="n">
        <v>904</v>
      </c>
      <c r="H409" s="4" t="n">
        <v>101.94</v>
      </c>
      <c r="I409" s="4" t="n">
        <v>113.48</v>
      </c>
      <c r="J409" s="14" t="n">
        <f aca="false">E409-D409</f>
        <v>3</v>
      </c>
      <c r="K409" s="14" t="n">
        <f aca="false">IF(J409&lt;=0,1,0)</f>
        <v>0</v>
      </c>
      <c r="L409" s="15" t="n">
        <f aca="false">IFERROR(G409/F409,0)</f>
        <v>0.966844919786096</v>
      </c>
      <c r="M409" s="15" t="n">
        <f aca="false">IFERROR((I409-H409)/H409,0)</f>
        <v>0.113203845399255</v>
      </c>
      <c r="N409" s="16" t="n">
        <f aca="false">G409*I409</f>
        <v>102585.92</v>
      </c>
    </row>
    <row r="410" customFormat="false" ht="15" hidden="false" customHeight="true" outlineLevel="0" collapsed="false">
      <c r="A410" s="4" t="s">
        <v>586</v>
      </c>
      <c r="B410" s="4" t="s">
        <v>95</v>
      </c>
      <c r="C410" s="13" t="n">
        <v>44948</v>
      </c>
      <c r="D410" s="13" t="n">
        <v>44954</v>
      </c>
      <c r="E410" s="13" t="n">
        <v>44957</v>
      </c>
      <c r="F410" s="4" t="n">
        <v>3746</v>
      </c>
      <c r="G410" s="4" t="n">
        <v>3666</v>
      </c>
      <c r="H410" s="4" t="n">
        <v>20.39</v>
      </c>
      <c r="I410" s="4" t="n">
        <v>20.32</v>
      </c>
      <c r="J410" s="14" t="n">
        <f aca="false">E410-D410</f>
        <v>3</v>
      </c>
      <c r="K410" s="14" t="n">
        <f aca="false">IF(J410&lt;=0,1,0)</f>
        <v>0</v>
      </c>
      <c r="L410" s="15" t="n">
        <f aca="false">IFERROR(G410/F410,0)</f>
        <v>0.9786438868126</v>
      </c>
      <c r="M410" s="15" t="n">
        <f aca="false">IFERROR((I410-H410)/H410,0)</f>
        <v>-0.00343305541932321</v>
      </c>
      <c r="N410" s="16" t="n">
        <f aca="false">G410*I410</f>
        <v>74493.12</v>
      </c>
    </row>
    <row r="411" customFormat="false" ht="15" hidden="false" customHeight="true" outlineLevel="0" collapsed="false">
      <c r="A411" s="4" t="s">
        <v>587</v>
      </c>
      <c r="B411" s="4" t="s">
        <v>161</v>
      </c>
      <c r="C411" s="13" t="n">
        <v>45227</v>
      </c>
      <c r="D411" s="13" t="n">
        <v>45237</v>
      </c>
      <c r="E411" s="13" t="n">
        <v>45237</v>
      </c>
      <c r="F411" s="4" t="n">
        <v>923</v>
      </c>
      <c r="G411" s="4" t="n">
        <v>903</v>
      </c>
      <c r="H411" s="4" t="n">
        <v>101.94</v>
      </c>
      <c r="I411" s="4" t="n">
        <v>108.72</v>
      </c>
      <c r="J411" s="14" t="n">
        <f aca="false">E411-D411</f>
        <v>0</v>
      </c>
      <c r="K411" s="14" t="n">
        <f aca="false">IF(J411&lt;=0,1,0)</f>
        <v>1</v>
      </c>
      <c r="L411" s="15" t="n">
        <f aca="false">IFERROR(G411/F411,0)</f>
        <v>0.978331527627302</v>
      </c>
      <c r="M411" s="15" t="n">
        <f aca="false">IFERROR((I411-H411)/H411,0)</f>
        <v>0.0665097115950559</v>
      </c>
      <c r="N411" s="16" t="n">
        <f aca="false">G411*I411</f>
        <v>98174.16</v>
      </c>
    </row>
    <row r="412" customFormat="false" ht="15" hidden="false" customHeight="true" outlineLevel="0" collapsed="false">
      <c r="A412" s="4" t="s">
        <v>588</v>
      </c>
      <c r="B412" s="4" t="s">
        <v>125</v>
      </c>
      <c r="C412" s="13" t="n">
        <v>45370</v>
      </c>
      <c r="D412" s="13" t="n">
        <v>45376</v>
      </c>
      <c r="E412" s="13" t="n">
        <v>45382</v>
      </c>
      <c r="F412" s="4" t="n">
        <v>13</v>
      </c>
      <c r="G412" s="4" t="n">
        <v>11</v>
      </c>
      <c r="H412" s="4" t="n">
        <v>729.32</v>
      </c>
      <c r="I412" s="4" t="n">
        <v>737.4</v>
      </c>
      <c r="J412" s="14" t="n">
        <f aca="false">E412-D412</f>
        <v>6</v>
      </c>
      <c r="K412" s="14" t="n">
        <f aca="false">IF(J412&lt;=0,1,0)</f>
        <v>0</v>
      </c>
      <c r="L412" s="15" t="n">
        <f aca="false">IFERROR(G412/F412,0)</f>
        <v>0.846153846153846</v>
      </c>
      <c r="M412" s="15" t="n">
        <f aca="false">IFERROR((I412-H412)/H412,0)</f>
        <v>0.011078813141008</v>
      </c>
      <c r="N412" s="16" t="n">
        <f aca="false">G412*I412</f>
        <v>8111.4</v>
      </c>
    </row>
    <row r="413" customFormat="false" ht="15" hidden="false" customHeight="true" outlineLevel="0" collapsed="false">
      <c r="A413" s="4" t="s">
        <v>589</v>
      </c>
      <c r="B413" s="4" t="s">
        <v>121</v>
      </c>
      <c r="C413" s="13" t="n">
        <v>45127</v>
      </c>
      <c r="D413" s="13" t="n">
        <v>45138</v>
      </c>
      <c r="E413" s="13" t="n">
        <v>45140</v>
      </c>
      <c r="F413" s="4" t="n">
        <v>972</v>
      </c>
      <c r="G413" s="4" t="n">
        <v>910</v>
      </c>
      <c r="H413" s="4" t="n">
        <v>206.07</v>
      </c>
      <c r="I413" s="4" t="n">
        <v>214.48</v>
      </c>
      <c r="J413" s="14" t="n">
        <f aca="false">E413-D413</f>
        <v>2</v>
      </c>
      <c r="K413" s="14" t="n">
        <f aca="false">IF(J413&lt;=0,1,0)</f>
        <v>0</v>
      </c>
      <c r="L413" s="15" t="n">
        <f aca="false">IFERROR(G413/F413,0)</f>
        <v>0.936213991769547</v>
      </c>
      <c r="M413" s="15" t="n">
        <f aca="false">IFERROR((I413-H413)/H413,0)</f>
        <v>0.0408113747755617</v>
      </c>
      <c r="N413" s="16" t="n">
        <f aca="false">G413*I413</f>
        <v>195176.8</v>
      </c>
    </row>
    <row r="414" customFormat="false" ht="15" hidden="false" customHeight="true" outlineLevel="0" collapsed="false">
      <c r="A414" s="4" t="s">
        <v>590</v>
      </c>
      <c r="B414" s="4" t="s">
        <v>131</v>
      </c>
      <c r="C414" s="13" t="n">
        <v>44981</v>
      </c>
      <c r="D414" s="13" t="n">
        <v>44993</v>
      </c>
      <c r="E414" s="13" t="n">
        <v>44991</v>
      </c>
      <c r="F414" s="4" t="n">
        <v>1754</v>
      </c>
      <c r="G414" s="4" t="n">
        <v>1681</v>
      </c>
      <c r="H414" s="4" t="n">
        <v>88.52</v>
      </c>
      <c r="I414" s="4" t="n">
        <v>89.39</v>
      </c>
      <c r="J414" s="14" t="n">
        <f aca="false">E414-D414</f>
        <v>-2</v>
      </c>
      <c r="K414" s="14" t="n">
        <f aca="false">IF(J414&lt;=0,1,0)</f>
        <v>1</v>
      </c>
      <c r="L414" s="15" t="n">
        <f aca="false">IFERROR(G414/F414,0)</f>
        <v>0.958380843785633</v>
      </c>
      <c r="M414" s="15" t="n">
        <f aca="false">IFERROR((I414-H414)/H414,0)</f>
        <v>0.00982828739267967</v>
      </c>
      <c r="N414" s="16" t="n">
        <f aca="false">G414*I414</f>
        <v>150264.59</v>
      </c>
    </row>
    <row r="415" customFormat="false" ht="15" hidden="false" customHeight="true" outlineLevel="0" collapsed="false">
      <c r="A415" s="4" t="s">
        <v>591</v>
      </c>
      <c r="B415" s="4" t="s">
        <v>105</v>
      </c>
      <c r="C415" s="13" t="n">
        <v>45017</v>
      </c>
      <c r="D415" s="13" t="n">
        <v>45037</v>
      </c>
      <c r="E415" s="13" t="n">
        <v>45038</v>
      </c>
      <c r="F415" s="4" t="n">
        <v>471</v>
      </c>
      <c r="G415" s="4" t="n">
        <v>447</v>
      </c>
      <c r="H415" s="4" t="n">
        <v>685.84</v>
      </c>
      <c r="I415" s="4" t="n">
        <v>682.09</v>
      </c>
      <c r="J415" s="14" t="n">
        <f aca="false">E415-D415</f>
        <v>1</v>
      </c>
      <c r="K415" s="14" t="n">
        <f aca="false">IF(J415&lt;=0,1,0)</f>
        <v>0</v>
      </c>
      <c r="L415" s="15" t="n">
        <f aca="false">IFERROR(G415/F415,0)</f>
        <v>0.949044585987261</v>
      </c>
      <c r="M415" s="15" t="n">
        <f aca="false">IFERROR((I415-H415)/H415,0)</f>
        <v>-0.0054677475796104</v>
      </c>
      <c r="N415" s="16" t="n">
        <f aca="false">G415*I415</f>
        <v>304894.23</v>
      </c>
    </row>
    <row r="416" customFormat="false" ht="15" hidden="false" customHeight="true" outlineLevel="0" collapsed="false">
      <c r="A416" s="4" t="s">
        <v>592</v>
      </c>
      <c r="B416" s="4" t="s">
        <v>85</v>
      </c>
      <c r="C416" s="13" t="n">
        <v>45243</v>
      </c>
      <c r="D416" s="13" t="n">
        <v>45254</v>
      </c>
      <c r="E416" s="13" t="n">
        <v>45261</v>
      </c>
      <c r="F416" s="4" t="n">
        <v>640</v>
      </c>
      <c r="G416" s="4" t="n">
        <v>619</v>
      </c>
      <c r="H416" s="4" t="n">
        <v>241.88</v>
      </c>
      <c r="I416" s="4" t="n">
        <v>237.52</v>
      </c>
      <c r="J416" s="14" t="n">
        <f aca="false">E416-D416</f>
        <v>7</v>
      </c>
      <c r="K416" s="14" t="n">
        <f aca="false">IF(J416&lt;=0,1,0)</f>
        <v>0</v>
      </c>
      <c r="L416" s="15" t="n">
        <f aca="false">IFERROR(G416/F416,0)</f>
        <v>0.9671875</v>
      </c>
      <c r="M416" s="15" t="n">
        <f aca="false">IFERROR((I416-H416)/H416,0)</f>
        <v>-0.0180254671738051</v>
      </c>
      <c r="N416" s="16" t="n">
        <f aca="false">G416*I416</f>
        <v>147024.88</v>
      </c>
    </row>
    <row r="417" customFormat="false" ht="15" hidden="false" customHeight="true" outlineLevel="0" collapsed="false">
      <c r="A417" s="4" t="s">
        <v>593</v>
      </c>
      <c r="B417" s="4" t="s">
        <v>87</v>
      </c>
      <c r="C417" s="13" t="n">
        <v>45363</v>
      </c>
      <c r="D417" s="13" t="n">
        <v>45372</v>
      </c>
      <c r="E417" s="13" t="n">
        <v>45373</v>
      </c>
      <c r="F417" s="4" t="n">
        <v>1568</v>
      </c>
      <c r="G417" s="4" t="n">
        <v>1436</v>
      </c>
      <c r="H417" s="4" t="n">
        <v>161.95</v>
      </c>
      <c r="I417" s="4" t="n">
        <v>182.25</v>
      </c>
      <c r="J417" s="14" t="n">
        <f aca="false">E417-D417</f>
        <v>1</v>
      </c>
      <c r="K417" s="14" t="n">
        <f aca="false">IF(J417&lt;=0,1,0)</f>
        <v>0</v>
      </c>
      <c r="L417" s="15" t="n">
        <f aca="false">IFERROR(G417/F417,0)</f>
        <v>0.915816326530612</v>
      </c>
      <c r="M417" s="15" t="n">
        <f aca="false">IFERROR((I417-H417)/H417,0)</f>
        <v>0.125347329422661</v>
      </c>
      <c r="N417" s="16" t="n">
        <f aca="false">G417*I417</f>
        <v>261711</v>
      </c>
    </row>
    <row r="418" customFormat="false" ht="15" hidden="false" customHeight="true" outlineLevel="0" collapsed="false">
      <c r="A418" s="4" t="s">
        <v>594</v>
      </c>
      <c r="B418" s="4" t="s">
        <v>121</v>
      </c>
      <c r="C418" s="13" t="n">
        <v>45656</v>
      </c>
      <c r="D418" s="13" t="n">
        <v>45666</v>
      </c>
      <c r="E418" s="13" t="n">
        <v>45665</v>
      </c>
      <c r="F418" s="4" t="n">
        <v>605</v>
      </c>
      <c r="G418" s="4" t="n">
        <v>545</v>
      </c>
      <c r="H418" s="4" t="n">
        <v>206.07</v>
      </c>
      <c r="I418" s="4" t="n">
        <v>233.64</v>
      </c>
      <c r="J418" s="14" t="n">
        <f aca="false">E418-D418</f>
        <v>-1</v>
      </c>
      <c r="K418" s="14" t="n">
        <f aca="false">IF(J418&lt;=0,1,0)</f>
        <v>1</v>
      </c>
      <c r="L418" s="15" t="n">
        <f aca="false">IFERROR(G418/F418,0)</f>
        <v>0.900826446280992</v>
      </c>
      <c r="M418" s="15" t="n">
        <f aca="false">IFERROR((I418-H418)/H418,0)</f>
        <v>0.133789489008589</v>
      </c>
      <c r="N418" s="16" t="n">
        <f aca="false">G418*I418</f>
        <v>127333.8</v>
      </c>
    </row>
    <row r="419" customFormat="false" ht="15" hidden="false" customHeight="true" outlineLevel="0" collapsed="false">
      <c r="A419" s="4" t="s">
        <v>595</v>
      </c>
      <c r="B419" s="4" t="s">
        <v>119</v>
      </c>
      <c r="C419" s="13" t="n">
        <v>45575</v>
      </c>
      <c r="D419" s="13" t="n">
        <v>45583</v>
      </c>
      <c r="E419" s="13" t="n">
        <v>45587</v>
      </c>
      <c r="F419" s="4" t="n">
        <v>4065</v>
      </c>
      <c r="G419" s="4" t="n">
        <v>4065</v>
      </c>
      <c r="H419" s="4" t="n">
        <v>50.92</v>
      </c>
      <c r="I419" s="4" t="n">
        <v>46.33</v>
      </c>
      <c r="J419" s="14" t="n">
        <f aca="false">E419-D419</f>
        <v>4</v>
      </c>
      <c r="K419" s="14" t="n">
        <f aca="false">IF(J419&lt;=0,1,0)</f>
        <v>0</v>
      </c>
      <c r="L419" s="15" t="n">
        <f aca="false">IFERROR(G419/F419,0)</f>
        <v>1</v>
      </c>
      <c r="M419" s="15" t="n">
        <f aca="false">IFERROR((I419-H419)/H419,0)</f>
        <v>-0.090141398271799</v>
      </c>
      <c r="N419" s="16" t="n">
        <f aca="false">G419*I419</f>
        <v>188331.45</v>
      </c>
    </row>
    <row r="420" customFormat="false" ht="15" hidden="false" customHeight="true" outlineLevel="0" collapsed="false">
      <c r="A420" s="4" t="s">
        <v>596</v>
      </c>
      <c r="B420" s="4" t="s">
        <v>55</v>
      </c>
      <c r="C420" s="13" t="n">
        <v>45108</v>
      </c>
      <c r="D420" s="13" t="n">
        <v>45127</v>
      </c>
      <c r="E420" s="13" t="n">
        <v>45121</v>
      </c>
      <c r="F420" s="4" t="n">
        <v>409</v>
      </c>
      <c r="G420" s="4" t="n">
        <v>383</v>
      </c>
      <c r="H420" s="4" t="n">
        <v>598.09</v>
      </c>
      <c r="I420" s="4" t="n">
        <v>587.66</v>
      </c>
      <c r="J420" s="14" t="n">
        <f aca="false">E420-D420</f>
        <v>-6</v>
      </c>
      <c r="K420" s="14" t="n">
        <f aca="false">IF(J420&lt;=0,1,0)</f>
        <v>1</v>
      </c>
      <c r="L420" s="15" t="n">
        <f aca="false">IFERROR(G420/F420,0)</f>
        <v>0.936430317848411</v>
      </c>
      <c r="M420" s="15" t="n">
        <f aca="false">IFERROR((I420-H420)/H420,0)</f>
        <v>-0.0174388469962716</v>
      </c>
      <c r="N420" s="16" t="n">
        <f aca="false">G420*I420</f>
        <v>225073.78</v>
      </c>
    </row>
    <row r="421" customFormat="false" ht="15" hidden="false" customHeight="true" outlineLevel="0" collapsed="false">
      <c r="A421" s="4" t="s">
        <v>597</v>
      </c>
      <c r="B421" s="4" t="s">
        <v>133</v>
      </c>
      <c r="C421" s="13" t="n">
        <v>45013</v>
      </c>
      <c r="D421" s="13" t="n">
        <v>45024</v>
      </c>
      <c r="E421" s="13" t="n">
        <v>45026</v>
      </c>
      <c r="F421" s="4" t="n">
        <v>383</v>
      </c>
      <c r="G421" s="4" t="n">
        <v>363</v>
      </c>
      <c r="H421" s="4" t="n">
        <v>138.21</v>
      </c>
      <c r="I421" s="4" t="n">
        <v>139.43</v>
      </c>
      <c r="J421" s="14" t="n">
        <f aca="false">E421-D421</f>
        <v>2</v>
      </c>
      <c r="K421" s="14" t="n">
        <f aca="false">IF(J421&lt;=0,1,0)</f>
        <v>0</v>
      </c>
      <c r="L421" s="15" t="n">
        <f aca="false">IFERROR(G421/F421,0)</f>
        <v>0.947780678851175</v>
      </c>
      <c r="M421" s="15" t="n">
        <f aca="false">IFERROR((I421-H421)/H421,0)</f>
        <v>0.00882714709500035</v>
      </c>
      <c r="N421" s="16" t="n">
        <f aca="false">G421*I421</f>
        <v>50613.09</v>
      </c>
    </row>
    <row r="422" customFormat="false" ht="15" hidden="false" customHeight="true" outlineLevel="0" collapsed="false">
      <c r="A422" s="4" t="s">
        <v>598</v>
      </c>
      <c r="B422" s="4" t="s">
        <v>123</v>
      </c>
      <c r="C422" s="13" t="n">
        <v>45281</v>
      </c>
      <c r="D422" s="13" t="n">
        <v>45293</v>
      </c>
      <c r="E422" s="13" t="n">
        <v>45292</v>
      </c>
      <c r="F422" s="4" t="n">
        <v>220</v>
      </c>
      <c r="G422" s="4" t="n">
        <v>216</v>
      </c>
      <c r="H422" s="4" t="n">
        <v>214.07</v>
      </c>
      <c r="I422" s="4" t="n">
        <v>234.26</v>
      </c>
      <c r="J422" s="14" t="n">
        <f aca="false">E422-D422</f>
        <v>-1</v>
      </c>
      <c r="K422" s="14" t="n">
        <f aca="false">IF(J422&lt;=0,1,0)</f>
        <v>1</v>
      </c>
      <c r="L422" s="15" t="n">
        <f aca="false">IFERROR(G422/F422,0)</f>
        <v>0.981818181818182</v>
      </c>
      <c r="M422" s="15" t="n">
        <f aca="false">IFERROR((I422-H422)/H422,0)</f>
        <v>0.0943149437100014</v>
      </c>
      <c r="N422" s="16" t="n">
        <f aca="false">G422*I422</f>
        <v>50600.16</v>
      </c>
    </row>
    <row r="423" customFormat="false" ht="15" hidden="false" customHeight="true" outlineLevel="0" collapsed="false">
      <c r="A423" s="4" t="s">
        <v>599</v>
      </c>
      <c r="B423" s="4" t="s">
        <v>137</v>
      </c>
      <c r="C423" s="13" t="n">
        <v>45192</v>
      </c>
      <c r="D423" s="13" t="n">
        <v>45212</v>
      </c>
      <c r="E423" s="13" t="n">
        <v>45211</v>
      </c>
      <c r="F423" s="4" t="n">
        <v>375</v>
      </c>
      <c r="G423" s="4" t="n">
        <v>338</v>
      </c>
      <c r="H423" s="4" t="n">
        <v>1047.25</v>
      </c>
      <c r="I423" s="4" t="n">
        <v>1060.85</v>
      </c>
      <c r="J423" s="14" t="n">
        <f aca="false">E423-D423</f>
        <v>-1</v>
      </c>
      <c r="K423" s="14" t="n">
        <f aca="false">IF(J423&lt;=0,1,0)</f>
        <v>1</v>
      </c>
      <c r="L423" s="15" t="n">
        <f aca="false">IFERROR(G423/F423,0)</f>
        <v>0.901333333333333</v>
      </c>
      <c r="M423" s="15" t="n">
        <f aca="false">IFERROR((I423-H423)/H423,0)</f>
        <v>0.0129863929338743</v>
      </c>
      <c r="N423" s="16" t="n">
        <f aca="false">G423*I423</f>
        <v>358567.3</v>
      </c>
    </row>
    <row r="424" customFormat="false" ht="15" hidden="false" customHeight="true" outlineLevel="0" collapsed="false">
      <c r="A424" s="4" t="s">
        <v>600</v>
      </c>
      <c r="B424" s="4" t="s">
        <v>111</v>
      </c>
      <c r="C424" s="13" t="n">
        <v>45511</v>
      </c>
      <c r="D424" s="13" t="n">
        <v>45520</v>
      </c>
      <c r="E424" s="13" t="n">
        <v>45523</v>
      </c>
      <c r="F424" s="4" t="n">
        <v>1271</v>
      </c>
      <c r="G424" s="4" t="n">
        <v>1241</v>
      </c>
      <c r="H424" s="4" t="n">
        <v>148.08</v>
      </c>
      <c r="I424" s="4" t="n">
        <v>150.94</v>
      </c>
      <c r="J424" s="14" t="n">
        <f aca="false">E424-D424</f>
        <v>3</v>
      </c>
      <c r="K424" s="14" t="n">
        <f aca="false">IF(J424&lt;=0,1,0)</f>
        <v>0</v>
      </c>
      <c r="L424" s="15" t="n">
        <f aca="false">IFERROR(G424/F424,0)</f>
        <v>0.97639653815893</v>
      </c>
      <c r="M424" s="15" t="n">
        <f aca="false">IFERROR((I424-H424)/H424,0)</f>
        <v>0.0193138843868178</v>
      </c>
      <c r="N424" s="16" t="n">
        <f aca="false">G424*I424</f>
        <v>187316.54</v>
      </c>
    </row>
    <row r="425" customFormat="false" ht="15" hidden="false" customHeight="true" outlineLevel="0" collapsed="false">
      <c r="A425" s="4" t="s">
        <v>601</v>
      </c>
      <c r="B425" s="4" t="s">
        <v>70</v>
      </c>
      <c r="C425" s="13" t="n">
        <v>45611</v>
      </c>
      <c r="D425" s="13" t="n">
        <v>45617</v>
      </c>
      <c r="E425" s="13" t="n">
        <v>45617</v>
      </c>
      <c r="F425" s="4" t="n">
        <v>2843</v>
      </c>
      <c r="G425" s="4" t="n">
        <v>2665</v>
      </c>
      <c r="H425" s="4" t="n">
        <v>35.88</v>
      </c>
      <c r="I425" s="4" t="n">
        <v>38.78</v>
      </c>
      <c r="J425" s="14" t="n">
        <f aca="false">E425-D425</f>
        <v>0</v>
      </c>
      <c r="K425" s="14" t="n">
        <f aca="false">IF(J425&lt;=0,1,0)</f>
        <v>1</v>
      </c>
      <c r="L425" s="15" t="n">
        <f aca="false">IFERROR(G425/F425,0)</f>
        <v>0.937390080900457</v>
      </c>
      <c r="M425" s="15" t="n">
        <f aca="false">IFERROR((I425-H425)/H425,0)</f>
        <v>0.0808249721293199</v>
      </c>
      <c r="N425" s="16" t="n">
        <f aca="false">G425*I425</f>
        <v>103348.7</v>
      </c>
    </row>
    <row r="426" customFormat="false" ht="15" hidden="false" customHeight="true" outlineLevel="0" collapsed="false">
      <c r="A426" s="4" t="s">
        <v>602</v>
      </c>
      <c r="B426" s="4" t="s">
        <v>72</v>
      </c>
      <c r="C426" s="13" t="n">
        <v>45081</v>
      </c>
      <c r="D426" s="13" t="n">
        <v>45087</v>
      </c>
      <c r="E426" s="13" t="n">
        <v>45092</v>
      </c>
      <c r="F426" s="4" t="n">
        <v>552</v>
      </c>
      <c r="G426" s="4" t="n">
        <v>530</v>
      </c>
      <c r="H426" s="4" t="n">
        <v>34.53</v>
      </c>
      <c r="I426" s="4" t="n">
        <v>35.38</v>
      </c>
      <c r="J426" s="14" t="n">
        <f aca="false">E426-D426</f>
        <v>5</v>
      </c>
      <c r="K426" s="14" t="n">
        <f aca="false">IF(J426&lt;=0,1,0)</f>
        <v>0</v>
      </c>
      <c r="L426" s="15" t="n">
        <f aca="false">IFERROR(G426/F426,0)</f>
        <v>0.960144927536232</v>
      </c>
      <c r="M426" s="15" t="n">
        <f aca="false">IFERROR((I426-H426)/H426,0)</f>
        <v>0.0246162757022879</v>
      </c>
      <c r="N426" s="16" t="n">
        <f aca="false">G426*I426</f>
        <v>18751.4</v>
      </c>
    </row>
    <row r="427" customFormat="false" ht="15" hidden="false" customHeight="true" outlineLevel="0" collapsed="false">
      <c r="A427" s="4" t="s">
        <v>603</v>
      </c>
      <c r="B427" s="4" t="s">
        <v>127</v>
      </c>
      <c r="C427" s="13" t="n">
        <v>45564</v>
      </c>
      <c r="D427" s="13" t="n">
        <v>45571</v>
      </c>
      <c r="E427" s="13" t="n">
        <v>45573</v>
      </c>
      <c r="F427" s="4" t="n">
        <v>12</v>
      </c>
      <c r="G427" s="4" t="n">
        <v>12</v>
      </c>
      <c r="H427" s="4" t="n">
        <v>1881</v>
      </c>
      <c r="I427" s="4" t="n">
        <v>1730.17</v>
      </c>
      <c r="J427" s="14" t="n">
        <f aca="false">E427-D427</f>
        <v>2</v>
      </c>
      <c r="K427" s="14" t="n">
        <f aca="false">IF(J427&lt;=0,1,0)</f>
        <v>0</v>
      </c>
      <c r="L427" s="15" t="n">
        <f aca="false">IFERROR(G427/F427,0)</f>
        <v>1</v>
      </c>
      <c r="M427" s="15" t="n">
        <f aca="false">IFERROR((I427-H427)/H427,0)</f>
        <v>-0.0801860712387028</v>
      </c>
      <c r="N427" s="16" t="n">
        <f aca="false">G427*I427</f>
        <v>20762.04</v>
      </c>
    </row>
    <row r="428" customFormat="false" ht="15" hidden="false" customHeight="true" outlineLevel="0" collapsed="false">
      <c r="A428" s="4" t="s">
        <v>604</v>
      </c>
      <c r="B428" s="4" t="s">
        <v>81</v>
      </c>
      <c r="C428" s="13" t="n">
        <v>45510</v>
      </c>
      <c r="D428" s="13" t="n">
        <v>45514</v>
      </c>
      <c r="E428" s="13" t="n">
        <v>45520</v>
      </c>
      <c r="F428" s="4" t="n">
        <v>4</v>
      </c>
      <c r="G428" s="4" t="n">
        <v>4</v>
      </c>
      <c r="H428" s="4" t="n">
        <v>697.63</v>
      </c>
      <c r="I428" s="4" t="n">
        <v>679.18</v>
      </c>
      <c r="J428" s="14" t="n">
        <f aca="false">E428-D428</f>
        <v>6</v>
      </c>
      <c r="K428" s="14" t="n">
        <f aca="false">IF(J428&lt;=0,1,0)</f>
        <v>0</v>
      </c>
      <c r="L428" s="15" t="n">
        <f aca="false">IFERROR(G428/F428,0)</f>
        <v>1</v>
      </c>
      <c r="M428" s="15" t="n">
        <f aca="false">IFERROR((I428-H428)/H428,0)</f>
        <v>-0.0264466837722002</v>
      </c>
      <c r="N428" s="16" t="n">
        <f aca="false">G428*I428</f>
        <v>2716.72</v>
      </c>
    </row>
    <row r="429" customFormat="false" ht="15" hidden="false" customHeight="true" outlineLevel="0" collapsed="false">
      <c r="A429" s="4" t="s">
        <v>605</v>
      </c>
      <c r="B429" s="4" t="s">
        <v>147</v>
      </c>
      <c r="C429" s="13" t="n">
        <v>45122</v>
      </c>
      <c r="D429" s="13" t="n">
        <v>45135</v>
      </c>
      <c r="E429" s="13" t="n">
        <v>45134</v>
      </c>
      <c r="F429" s="4" t="n">
        <v>205</v>
      </c>
      <c r="G429" s="4" t="n">
        <v>205</v>
      </c>
      <c r="H429" s="4" t="n">
        <v>203.3</v>
      </c>
      <c r="I429" s="4" t="n">
        <v>205.12</v>
      </c>
      <c r="J429" s="14" t="n">
        <f aca="false">E429-D429</f>
        <v>-1</v>
      </c>
      <c r="K429" s="14" t="n">
        <f aca="false">IF(J429&lt;=0,1,0)</f>
        <v>1</v>
      </c>
      <c r="L429" s="15" t="n">
        <f aca="false">IFERROR(G429/F429,0)</f>
        <v>1</v>
      </c>
      <c r="M429" s="15" t="n">
        <f aca="false">IFERROR((I429-H429)/H429,0)</f>
        <v>0.00895228726020656</v>
      </c>
      <c r="N429" s="16" t="n">
        <f aca="false">G429*I429</f>
        <v>42049.6</v>
      </c>
    </row>
    <row r="430" customFormat="false" ht="15" hidden="false" customHeight="true" outlineLevel="0" collapsed="false">
      <c r="A430" s="4" t="s">
        <v>606</v>
      </c>
      <c r="B430" s="4" t="s">
        <v>70</v>
      </c>
      <c r="C430" s="13" t="n">
        <v>45306</v>
      </c>
      <c r="D430" s="13" t="n">
        <v>45314</v>
      </c>
      <c r="E430" s="13" t="n">
        <v>45317</v>
      </c>
      <c r="F430" s="4" t="n">
        <v>3374</v>
      </c>
      <c r="G430" s="4" t="n">
        <v>3113</v>
      </c>
      <c r="H430" s="4" t="n">
        <v>35.88</v>
      </c>
      <c r="I430" s="4" t="n">
        <v>37.39</v>
      </c>
      <c r="J430" s="14" t="n">
        <f aca="false">E430-D430</f>
        <v>3</v>
      </c>
      <c r="K430" s="14" t="n">
        <f aca="false">IF(J430&lt;=0,1,0)</f>
        <v>0</v>
      </c>
      <c r="L430" s="15" t="n">
        <f aca="false">IFERROR(G430/F430,0)</f>
        <v>0.922643746295199</v>
      </c>
      <c r="M430" s="15" t="n">
        <f aca="false">IFERROR((I430-H430)/H430,0)</f>
        <v>0.0420847268673355</v>
      </c>
      <c r="N430" s="16" t="n">
        <f aca="false">G430*I430</f>
        <v>116395.07</v>
      </c>
    </row>
    <row r="431" customFormat="false" ht="15" hidden="false" customHeight="true" outlineLevel="0" collapsed="false">
      <c r="A431" s="4" t="s">
        <v>607</v>
      </c>
      <c r="B431" s="4" t="s">
        <v>68</v>
      </c>
      <c r="C431" s="13" t="n">
        <v>45098</v>
      </c>
      <c r="D431" s="13" t="n">
        <v>45117</v>
      </c>
      <c r="E431" s="13" t="n">
        <v>45115</v>
      </c>
      <c r="F431" s="4" t="n">
        <v>289</v>
      </c>
      <c r="G431" s="4" t="n">
        <v>270</v>
      </c>
      <c r="H431" s="4" t="n">
        <v>1232.83</v>
      </c>
      <c r="I431" s="4" t="n">
        <v>1223.07</v>
      </c>
      <c r="J431" s="14" t="n">
        <f aca="false">E431-D431</f>
        <v>-2</v>
      </c>
      <c r="K431" s="14" t="n">
        <f aca="false">IF(J431&lt;=0,1,0)</f>
        <v>1</v>
      </c>
      <c r="L431" s="15" t="n">
        <f aca="false">IFERROR(G431/F431,0)</f>
        <v>0.934256055363322</v>
      </c>
      <c r="M431" s="15" t="n">
        <f aca="false">IFERROR((I431-H431)/H431,0)</f>
        <v>-0.00791674440109341</v>
      </c>
      <c r="N431" s="16" t="n">
        <f aca="false">G431*I431</f>
        <v>330228.9</v>
      </c>
    </row>
    <row r="432" customFormat="false" ht="15" hidden="false" customHeight="true" outlineLevel="0" collapsed="false">
      <c r="A432" s="4" t="s">
        <v>608</v>
      </c>
      <c r="B432" s="4" t="s">
        <v>159</v>
      </c>
      <c r="C432" s="13" t="n">
        <v>45246</v>
      </c>
      <c r="D432" s="13" t="n">
        <v>45254</v>
      </c>
      <c r="E432" s="13" t="n">
        <v>45250</v>
      </c>
      <c r="F432" s="4" t="n">
        <v>4637</v>
      </c>
      <c r="G432" s="4" t="n">
        <v>4606</v>
      </c>
      <c r="H432" s="4" t="n">
        <v>32.91</v>
      </c>
      <c r="I432" s="4" t="n">
        <v>33.16</v>
      </c>
      <c r="J432" s="14" t="n">
        <f aca="false">E432-D432</f>
        <v>-4</v>
      </c>
      <c r="K432" s="14" t="n">
        <f aca="false">IF(J432&lt;=0,1,0)</f>
        <v>1</v>
      </c>
      <c r="L432" s="15" t="n">
        <f aca="false">IFERROR(G432/F432,0)</f>
        <v>0.993314643088204</v>
      </c>
      <c r="M432" s="15" t="n">
        <f aca="false">IFERROR((I432-H432)/H432,0)</f>
        <v>0.00759647523549073</v>
      </c>
      <c r="N432" s="16" t="n">
        <f aca="false">G432*I432</f>
        <v>152734.96</v>
      </c>
    </row>
    <row r="433" customFormat="false" ht="15" hidden="false" customHeight="true" outlineLevel="0" collapsed="false">
      <c r="A433" s="4" t="s">
        <v>609</v>
      </c>
      <c r="B433" s="4" t="s">
        <v>131</v>
      </c>
      <c r="C433" s="13" t="n">
        <v>45359</v>
      </c>
      <c r="D433" s="13" t="n">
        <v>45370</v>
      </c>
      <c r="E433" s="13" t="n">
        <v>45368</v>
      </c>
      <c r="F433" s="4" t="n">
        <v>245</v>
      </c>
      <c r="G433" s="4" t="n">
        <v>243</v>
      </c>
      <c r="H433" s="4" t="n">
        <v>88.52</v>
      </c>
      <c r="I433" s="4" t="n">
        <v>90.16</v>
      </c>
      <c r="J433" s="14" t="n">
        <f aca="false">E433-D433</f>
        <v>-2</v>
      </c>
      <c r="K433" s="14" t="n">
        <f aca="false">IF(J433&lt;=0,1,0)</f>
        <v>1</v>
      </c>
      <c r="L433" s="15" t="n">
        <f aca="false">IFERROR(G433/F433,0)</f>
        <v>0.991836734693878</v>
      </c>
      <c r="M433" s="15" t="n">
        <f aca="false">IFERROR((I433-H433)/H433,0)</f>
        <v>0.0185268865793041</v>
      </c>
      <c r="N433" s="16" t="n">
        <f aca="false">G433*I433</f>
        <v>21908.88</v>
      </c>
    </row>
    <row r="434" customFormat="false" ht="15" hidden="false" customHeight="true" outlineLevel="0" collapsed="false">
      <c r="A434" s="4" t="s">
        <v>610</v>
      </c>
      <c r="B434" s="4" t="s">
        <v>137</v>
      </c>
      <c r="C434" s="13" t="n">
        <v>45065</v>
      </c>
      <c r="D434" s="13" t="n">
        <v>45084</v>
      </c>
      <c r="E434" s="13" t="n">
        <v>45084</v>
      </c>
      <c r="F434" s="4" t="n">
        <v>448</v>
      </c>
      <c r="G434" s="4" t="n">
        <v>400</v>
      </c>
      <c r="H434" s="4" t="n">
        <v>1047.25</v>
      </c>
      <c r="I434" s="4" t="n">
        <v>1058.47</v>
      </c>
      <c r="J434" s="14" t="n">
        <f aca="false">E434-D434</f>
        <v>0</v>
      </c>
      <c r="K434" s="14" t="n">
        <f aca="false">IF(J434&lt;=0,1,0)</f>
        <v>1</v>
      </c>
      <c r="L434" s="15" t="n">
        <f aca="false">IFERROR(G434/F434,0)</f>
        <v>0.892857142857143</v>
      </c>
      <c r="M434" s="15" t="n">
        <f aca="false">IFERROR((I434-H434)/H434,0)</f>
        <v>0.0107137741704464</v>
      </c>
      <c r="N434" s="16" t="n">
        <f aca="false">G434*I434</f>
        <v>423388</v>
      </c>
    </row>
    <row r="435" customFormat="false" ht="15" hidden="false" customHeight="true" outlineLevel="0" collapsed="false">
      <c r="A435" s="4" t="s">
        <v>611</v>
      </c>
      <c r="B435" s="4" t="s">
        <v>163</v>
      </c>
      <c r="C435" s="13" t="n">
        <v>45364</v>
      </c>
      <c r="D435" s="13" t="n">
        <v>45381</v>
      </c>
      <c r="E435" s="13" t="n">
        <v>45386</v>
      </c>
      <c r="F435" s="4" t="n">
        <v>485</v>
      </c>
      <c r="G435" s="4" t="n">
        <v>459</v>
      </c>
      <c r="H435" s="4" t="n">
        <v>482.79</v>
      </c>
      <c r="I435" s="4" t="n">
        <v>496.52</v>
      </c>
      <c r="J435" s="14" t="n">
        <f aca="false">E435-D435</f>
        <v>5</v>
      </c>
      <c r="K435" s="14" t="n">
        <f aca="false">IF(J435&lt;=0,1,0)</f>
        <v>0</v>
      </c>
      <c r="L435" s="15" t="n">
        <f aca="false">IFERROR(G435/F435,0)</f>
        <v>0.94639175257732</v>
      </c>
      <c r="M435" s="15" t="n">
        <f aca="false">IFERROR((I435-H435)/H435,0)</f>
        <v>0.0284388657594398</v>
      </c>
      <c r="N435" s="16" t="n">
        <f aca="false">G435*I435</f>
        <v>227902.68</v>
      </c>
    </row>
    <row r="436" customFormat="false" ht="15" hidden="false" customHeight="true" outlineLevel="0" collapsed="false">
      <c r="A436" s="4" t="s">
        <v>612</v>
      </c>
      <c r="B436" s="4" t="s">
        <v>109</v>
      </c>
      <c r="C436" s="13" t="n">
        <v>45127</v>
      </c>
      <c r="D436" s="13" t="n">
        <v>45144</v>
      </c>
      <c r="E436" s="13" t="n">
        <v>45145</v>
      </c>
      <c r="F436" s="4" t="n">
        <v>297</v>
      </c>
      <c r="G436" s="4" t="n">
        <v>297</v>
      </c>
      <c r="H436" s="4" t="n">
        <v>858.02</v>
      </c>
      <c r="I436" s="4" t="n">
        <v>880.18</v>
      </c>
      <c r="J436" s="14" t="n">
        <f aca="false">E436-D436</f>
        <v>1</v>
      </c>
      <c r="K436" s="14" t="n">
        <f aca="false">IF(J436&lt;=0,1,0)</f>
        <v>0</v>
      </c>
      <c r="L436" s="15" t="n">
        <f aca="false">IFERROR(G436/F436,0)</f>
        <v>1</v>
      </c>
      <c r="M436" s="15" t="n">
        <f aca="false">IFERROR((I436-H436)/H436,0)</f>
        <v>0.0258269038017761</v>
      </c>
      <c r="N436" s="16" t="n">
        <f aca="false">G436*I436</f>
        <v>261413.46</v>
      </c>
    </row>
    <row r="437" customFormat="false" ht="15" hidden="false" customHeight="true" outlineLevel="0" collapsed="false">
      <c r="A437" s="4" t="s">
        <v>613</v>
      </c>
      <c r="B437" s="4" t="s">
        <v>155</v>
      </c>
      <c r="C437" s="13" t="n">
        <v>45134</v>
      </c>
      <c r="D437" s="13" t="n">
        <v>45142</v>
      </c>
      <c r="E437" s="13" t="n">
        <v>45144</v>
      </c>
      <c r="F437" s="4" t="n">
        <v>687</v>
      </c>
      <c r="G437" s="4" t="n">
        <v>663</v>
      </c>
      <c r="H437" s="4" t="n">
        <v>24.04</v>
      </c>
      <c r="I437" s="4" t="n">
        <v>23.6</v>
      </c>
      <c r="J437" s="14" t="n">
        <f aca="false">E437-D437</f>
        <v>2</v>
      </c>
      <c r="K437" s="14" t="n">
        <f aca="false">IF(J437&lt;=0,1,0)</f>
        <v>0</v>
      </c>
      <c r="L437" s="15" t="n">
        <f aca="false">IFERROR(G437/F437,0)</f>
        <v>0.965065502183406</v>
      </c>
      <c r="M437" s="15" t="n">
        <f aca="false">IFERROR((I437-H437)/H437,0)</f>
        <v>-0.0183028286189683</v>
      </c>
      <c r="N437" s="16" t="n">
        <f aca="false">G437*I437</f>
        <v>15646.8</v>
      </c>
    </row>
    <row r="438" customFormat="false" ht="15" hidden="false" customHeight="true" outlineLevel="0" collapsed="false">
      <c r="A438" s="4" t="s">
        <v>614</v>
      </c>
      <c r="B438" s="4" t="s">
        <v>115</v>
      </c>
      <c r="C438" s="13" t="n">
        <v>45645</v>
      </c>
      <c r="D438" s="13" t="n">
        <v>45658</v>
      </c>
      <c r="E438" s="13" t="n">
        <v>45671</v>
      </c>
      <c r="F438" s="4" t="n">
        <v>82</v>
      </c>
      <c r="G438" s="4" t="n">
        <v>77</v>
      </c>
      <c r="H438" s="4" t="n">
        <v>115.53</v>
      </c>
      <c r="I438" s="4" t="n">
        <v>126.62</v>
      </c>
      <c r="J438" s="14" t="n">
        <f aca="false">E438-D438</f>
        <v>13</v>
      </c>
      <c r="K438" s="14" t="n">
        <f aca="false">IF(J438&lt;=0,1,0)</f>
        <v>0</v>
      </c>
      <c r="L438" s="15" t="n">
        <f aca="false">IFERROR(G438/F438,0)</f>
        <v>0.939024390243902</v>
      </c>
      <c r="M438" s="15" t="n">
        <f aca="false">IFERROR((I438-H438)/H438,0)</f>
        <v>0.0959923829308405</v>
      </c>
      <c r="N438" s="16" t="n">
        <f aca="false">G438*I438</f>
        <v>9749.74</v>
      </c>
    </row>
    <row r="439" customFormat="false" ht="15" hidden="false" customHeight="true" outlineLevel="0" collapsed="false">
      <c r="A439" s="4" t="s">
        <v>615</v>
      </c>
      <c r="B439" s="4" t="s">
        <v>43</v>
      </c>
      <c r="C439" s="13" t="n">
        <v>45552</v>
      </c>
      <c r="D439" s="13" t="n">
        <v>45572</v>
      </c>
      <c r="E439" s="13" t="n">
        <v>45572</v>
      </c>
      <c r="F439" s="4" t="n">
        <v>283</v>
      </c>
      <c r="G439" s="4" t="n">
        <v>275</v>
      </c>
      <c r="H439" s="4" t="n">
        <v>1321.6</v>
      </c>
      <c r="I439" s="4" t="n">
        <v>1323.26</v>
      </c>
      <c r="J439" s="14" t="n">
        <f aca="false">E439-D439</f>
        <v>0</v>
      </c>
      <c r="K439" s="14" t="n">
        <f aca="false">IF(J439&lt;=0,1,0)</f>
        <v>1</v>
      </c>
      <c r="L439" s="15" t="n">
        <f aca="false">IFERROR(G439/F439,0)</f>
        <v>0.971731448763251</v>
      </c>
      <c r="M439" s="15" t="n">
        <f aca="false">IFERROR((I439-H439)/H439,0)</f>
        <v>0.0012560532687652</v>
      </c>
      <c r="N439" s="16" t="n">
        <f aca="false">G439*I439</f>
        <v>363896.5</v>
      </c>
    </row>
    <row r="440" customFormat="false" ht="15" hidden="false" customHeight="true" outlineLevel="0" collapsed="false">
      <c r="A440" s="4" t="s">
        <v>616</v>
      </c>
      <c r="B440" s="4" t="s">
        <v>85</v>
      </c>
      <c r="C440" s="13" t="n">
        <v>45256</v>
      </c>
      <c r="D440" s="13" t="n">
        <v>45266</v>
      </c>
      <c r="E440" s="13" t="n">
        <v>45258</v>
      </c>
      <c r="F440" s="4" t="n">
        <v>240</v>
      </c>
      <c r="G440" s="4" t="n">
        <v>232</v>
      </c>
      <c r="H440" s="4" t="n">
        <v>241.88</v>
      </c>
      <c r="I440" s="4" t="n">
        <v>237.28</v>
      </c>
      <c r="J440" s="14" t="n">
        <f aca="false">E440-D440</f>
        <v>-8</v>
      </c>
      <c r="K440" s="14" t="n">
        <f aca="false">IF(J440&lt;=0,1,0)</f>
        <v>1</v>
      </c>
      <c r="L440" s="15" t="n">
        <f aca="false">IFERROR(G440/F440,0)</f>
        <v>0.966666666666667</v>
      </c>
      <c r="M440" s="15" t="n">
        <f aca="false">IFERROR((I440-H440)/H440,0)</f>
        <v>-0.0190176947246568</v>
      </c>
      <c r="N440" s="16" t="n">
        <f aca="false">G440*I440</f>
        <v>55048.96</v>
      </c>
    </row>
    <row r="441" customFormat="false" ht="15" hidden="false" customHeight="true" outlineLevel="0" collapsed="false">
      <c r="A441" s="4" t="s">
        <v>617</v>
      </c>
      <c r="B441" s="4" t="s">
        <v>79</v>
      </c>
      <c r="C441" s="13" t="n">
        <v>45419</v>
      </c>
      <c r="D441" s="13" t="n">
        <v>45436</v>
      </c>
      <c r="E441" s="13" t="n">
        <v>45435</v>
      </c>
      <c r="F441" s="4" t="n">
        <v>384</v>
      </c>
      <c r="G441" s="4" t="n">
        <v>380</v>
      </c>
      <c r="H441" s="4" t="n">
        <v>821.48</v>
      </c>
      <c r="I441" s="4" t="n">
        <v>865.11</v>
      </c>
      <c r="J441" s="14" t="n">
        <f aca="false">E441-D441</f>
        <v>-1</v>
      </c>
      <c r="K441" s="14" t="n">
        <f aca="false">IF(J441&lt;=0,1,0)</f>
        <v>1</v>
      </c>
      <c r="L441" s="15" t="n">
        <f aca="false">IFERROR(G441/F441,0)</f>
        <v>0.989583333333333</v>
      </c>
      <c r="M441" s="15" t="n">
        <f aca="false">IFERROR((I441-H441)/H441,0)</f>
        <v>0.0531114573696255</v>
      </c>
      <c r="N441" s="16" t="n">
        <f aca="false">G441*I441</f>
        <v>328741.8</v>
      </c>
    </row>
    <row r="442" customFormat="false" ht="15" hidden="false" customHeight="true" outlineLevel="0" collapsed="false">
      <c r="A442" s="4" t="s">
        <v>618</v>
      </c>
      <c r="B442" s="4" t="s">
        <v>63</v>
      </c>
      <c r="C442" s="13" t="n">
        <v>45235</v>
      </c>
      <c r="D442" s="13" t="n">
        <v>45246</v>
      </c>
      <c r="E442" s="13" t="n">
        <v>45253</v>
      </c>
      <c r="F442" s="4" t="n">
        <v>811</v>
      </c>
      <c r="G442" s="4" t="n">
        <v>760</v>
      </c>
      <c r="H442" s="4" t="n">
        <v>239.8</v>
      </c>
      <c r="I442" s="4" t="n">
        <v>252.66</v>
      </c>
      <c r="J442" s="14" t="n">
        <f aca="false">E442-D442</f>
        <v>7</v>
      </c>
      <c r="K442" s="14" t="n">
        <f aca="false">IF(J442&lt;=0,1,0)</f>
        <v>0</v>
      </c>
      <c r="L442" s="15" t="n">
        <f aca="false">IFERROR(G442/F442,0)</f>
        <v>0.93711467324291</v>
      </c>
      <c r="M442" s="15" t="n">
        <f aca="false">IFERROR((I442-H442)/H442,0)</f>
        <v>0.0536280233527939</v>
      </c>
      <c r="N442" s="16" t="n">
        <f aca="false">G442*I442</f>
        <v>192021.6</v>
      </c>
    </row>
    <row r="443" customFormat="false" ht="15" hidden="false" customHeight="true" outlineLevel="0" collapsed="false">
      <c r="A443" s="4" t="s">
        <v>619</v>
      </c>
      <c r="B443" s="4" t="s">
        <v>127</v>
      </c>
      <c r="C443" s="13" t="n">
        <v>45381</v>
      </c>
      <c r="D443" s="13" t="n">
        <v>45387</v>
      </c>
      <c r="E443" s="13" t="n">
        <v>45389</v>
      </c>
      <c r="F443" s="4" t="n">
        <v>6</v>
      </c>
      <c r="G443" s="4" t="n">
        <v>6</v>
      </c>
      <c r="H443" s="4" t="n">
        <v>1881</v>
      </c>
      <c r="I443" s="4" t="n">
        <v>1799.52</v>
      </c>
      <c r="J443" s="14" t="n">
        <f aca="false">E443-D443</f>
        <v>2</v>
      </c>
      <c r="K443" s="14" t="n">
        <f aca="false">IF(J443&lt;=0,1,0)</f>
        <v>0</v>
      </c>
      <c r="L443" s="15" t="n">
        <f aca="false">IFERROR(G443/F443,0)</f>
        <v>1</v>
      </c>
      <c r="M443" s="15" t="n">
        <f aca="false">IFERROR((I443-H443)/H443,0)</f>
        <v>-0.043317384370016</v>
      </c>
      <c r="N443" s="16" t="n">
        <f aca="false">G443*I443</f>
        <v>10797.12</v>
      </c>
    </row>
    <row r="444" customFormat="false" ht="15" hidden="false" customHeight="true" outlineLevel="0" collapsed="false">
      <c r="A444" s="4" t="s">
        <v>620</v>
      </c>
      <c r="B444" s="4" t="s">
        <v>161</v>
      </c>
      <c r="C444" s="13" t="n">
        <v>45058</v>
      </c>
      <c r="D444" s="13" t="n">
        <v>45068</v>
      </c>
      <c r="E444" s="13" t="n">
        <v>45072</v>
      </c>
      <c r="F444" s="4" t="n">
        <v>1386</v>
      </c>
      <c r="G444" s="4" t="n">
        <v>1386</v>
      </c>
      <c r="H444" s="4" t="n">
        <v>101.94</v>
      </c>
      <c r="I444" s="4" t="n">
        <v>106.45</v>
      </c>
      <c r="J444" s="14" t="n">
        <f aca="false">E444-D444</f>
        <v>4</v>
      </c>
      <c r="K444" s="14" t="n">
        <f aca="false">IF(J444&lt;=0,1,0)</f>
        <v>0</v>
      </c>
      <c r="L444" s="15" t="n">
        <f aca="false">IFERROR(G444/F444,0)</f>
        <v>1</v>
      </c>
      <c r="M444" s="15" t="n">
        <f aca="false">IFERROR((I444-H444)/H444,0)</f>
        <v>0.0442417108102806</v>
      </c>
      <c r="N444" s="16" t="n">
        <f aca="false">G444*I444</f>
        <v>147539.7</v>
      </c>
    </row>
    <row r="445" customFormat="false" ht="15" hidden="false" customHeight="true" outlineLevel="0" collapsed="false">
      <c r="A445" s="4" t="s">
        <v>621</v>
      </c>
      <c r="B445" s="4" t="s">
        <v>145</v>
      </c>
      <c r="C445" s="13" t="n">
        <v>45447</v>
      </c>
      <c r="D445" s="13" t="n">
        <v>45458</v>
      </c>
      <c r="E445" s="13" t="n">
        <v>45465</v>
      </c>
      <c r="F445" s="4" t="n">
        <v>1209</v>
      </c>
      <c r="G445" s="4" t="n">
        <v>1114</v>
      </c>
      <c r="H445" s="4" t="n">
        <v>237.04</v>
      </c>
      <c r="I445" s="4" t="n">
        <v>263.53</v>
      </c>
      <c r="J445" s="14" t="n">
        <f aca="false">E445-D445</f>
        <v>7</v>
      </c>
      <c r="K445" s="14" t="n">
        <f aca="false">IF(J445&lt;=0,1,0)</f>
        <v>0</v>
      </c>
      <c r="L445" s="15" t="n">
        <f aca="false">IFERROR(G445/F445,0)</f>
        <v>0.921422663358147</v>
      </c>
      <c r="M445" s="15" t="n">
        <f aca="false">IFERROR((I445-H445)/H445,0)</f>
        <v>0.111753290583868</v>
      </c>
      <c r="N445" s="16" t="n">
        <f aca="false">G445*I445</f>
        <v>293572.42</v>
      </c>
    </row>
    <row r="446" customFormat="false" ht="15" hidden="false" customHeight="true" outlineLevel="0" collapsed="false">
      <c r="A446" s="4" t="s">
        <v>622</v>
      </c>
      <c r="B446" s="4" t="s">
        <v>151</v>
      </c>
      <c r="C446" s="13" t="n">
        <v>45488</v>
      </c>
      <c r="D446" s="13" t="n">
        <v>45493</v>
      </c>
      <c r="E446" s="13" t="n">
        <v>45498</v>
      </c>
      <c r="F446" s="4" t="n">
        <v>3</v>
      </c>
      <c r="G446" s="4" t="n">
        <v>3</v>
      </c>
      <c r="H446" s="4" t="n">
        <v>503.46</v>
      </c>
      <c r="I446" s="4" t="n">
        <v>519.87</v>
      </c>
      <c r="J446" s="14" t="n">
        <f aca="false">E446-D446</f>
        <v>5</v>
      </c>
      <c r="K446" s="14" t="n">
        <f aca="false">IF(J446&lt;=0,1,0)</f>
        <v>0</v>
      </c>
      <c r="L446" s="15" t="n">
        <f aca="false">IFERROR(G446/F446,0)</f>
        <v>1</v>
      </c>
      <c r="M446" s="15" t="n">
        <f aca="false">IFERROR((I446-H446)/H446,0)</f>
        <v>0.0325944464306996</v>
      </c>
      <c r="N446" s="16" t="n">
        <f aca="false">G446*I446</f>
        <v>1559.61</v>
      </c>
    </row>
    <row r="447" customFormat="false" ht="15" hidden="false" customHeight="true" outlineLevel="0" collapsed="false">
      <c r="A447" s="4" t="s">
        <v>623</v>
      </c>
      <c r="B447" s="4" t="s">
        <v>115</v>
      </c>
      <c r="C447" s="13" t="n">
        <v>45152</v>
      </c>
      <c r="D447" s="13" t="n">
        <v>45164</v>
      </c>
      <c r="E447" s="13" t="n">
        <v>45167</v>
      </c>
      <c r="F447" s="4" t="n">
        <v>293</v>
      </c>
      <c r="G447" s="4" t="n">
        <v>281</v>
      </c>
      <c r="H447" s="4" t="n">
        <v>115.53</v>
      </c>
      <c r="I447" s="4" t="n">
        <v>119.87</v>
      </c>
      <c r="J447" s="14" t="n">
        <f aca="false">E447-D447</f>
        <v>3</v>
      </c>
      <c r="K447" s="14" t="n">
        <f aca="false">IF(J447&lt;=0,1,0)</f>
        <v>0</v>
      </c>
      <c r="L447" s="15" t="n">
        <f aca="false">IFERROR(G447/F447,0)</f>
        <v>0.959044368600683</v>
      </c>
      <c r="M447" s="15" t="n">
        <f aca="false">IFERROR((I447-H447)/H447,0)</f>
        <v>0.0375660001731152</v>
      </c>
      <c r="N447" s="16" t="n">
        <f aca="false">G447*I447</f>
        <v>33683.47</v>
      </c>
    </row>
    <row r="448" customFormat="false" ht="15" hidden="false" customHeight="true" outlineLevel="0" collapsed="false">
      <c r="A448" s="4" t="s">
        <v>624</v>
      </c>
      <c r="B448" s="4" t="s">
        <v>79</v>
      </c>
      <c r="C448" s="13" t="n">
        <v>45471</v>
      </c>
      <c r="D448" s="13" t="n">
        <v>45488</v>
      </c>
      <c r="E448" s="13" t="n">
        <v>45488</v>
      </c>
      <c r="F448" s="4" t="n">
        <v>105</v>
      </c>
      <c r="G448" s="4" t="n">
        <v>103</v>
      </c>
      <c r="H448" s="4" t="n">
        <v>821.48</v>
      </c>
      <c r="I448" s="4" t="n">
        <v>865.7</v>
      </c>
      <c r="J448" s="14" t="n">
        <f aca="false">E448-D448</f>
        <v>0</v>
      </c>
      <c r="K448" s="14" t="n">
        <f aca="false">IF(J448&lt;=0,1,0)</f>
        <v>1</v>
      </c>
      <c r="L448" s="15" t="n">
        <f aca="false">IFERROR(G448/F448,0)</f>
        <v>0.980952380952381</v>
      </c>
      <c r="M448" s="15" t="n">
        <f aca="false">IFERROR((I448-H448)/H448,0)</f>
        <v>0.0538296732726299</v>
      </c>
      <c r="N448" s="16" t="n">
        <f aca="false">G448*I448</f>
        <v>89167.1</v>
      </c>
    </row>
    <row r="449" customFormat="false" ht="15" hidden="false" customHeight="true" outlineLevel="0" collapsed="false">
      <c r="A449" s="4" t="s">
        <v>625</v>
      </c>
      <c r="B449" s="4" t="s">
        <v>72</v>
      </c>
      <c r="C449" s="13" t="n">
        <v>45067</v>
      </c>
      <c r="D449" s="13" t="n">
        <v>45075</v>
      </c>
      <c r="E449" s="13" t="n">
        <v>45080</v>
      </c>
      <c r="F449" s="4" t="n">
        <v>519</v>
      </c>
      <c r="G449" s="4" t="n">
        <v>510</v>
      </c>
      <c r="H449" s="4" t="n">
        <v>34.53</v>
      </c>
      <c r="I449" s="4" t="n">
        <v>34.96</v>
      </c>
      <c r="J449" s="14" t="n">
        <f aca="false">E449-D449</f>
        <v>5</v>
      </c>
      <c r="K449" s="14" t="n">
        <f aca="false">IF(J449&lt;=0,1,0)</f>
        <v>0</v>
      </c>
      <c r="L449" s="15" t="n">
        <f aca="false">IFERROR(G449/F449,0)</f>
        <v>0.982658959537572</v>
      </c>
      <c r="M449" s="15" t="n">
        <f aca="false">IFERROR((I449-H449)/H449,0)</f>
        <v>0.0124529394729221</v>
      </c>
      <c r="N449" s="16" t="n">
        <f aca="false">G449*I449</f>
        <v>17829.6</v>
      </c>
    </row>
    <row r="450" customFormat="false" ht="15" hidden="false" customHeight="true" outlineLevel="0" collapsed="false">
      <c r="A450" s="4" t="s">
        <v>626</v>
      </c>
      <c r="B450" s="4" t="s">
        <v>147</v>
      </c>
      <c r="C450" s="13" t="n">
        <v>45167</v>
      </c>
      <c r="D450" s="13" t="n">
        <v>45178</v>
      </c>
      <c r="E450" s="13" t="n">
        <v>45179</v>
      </c>
      <c r="F450" s="4" t="n">
        <v>146</v>
      </c>
      <c r="G450" s="4" t="n">
        <v>146</v>
      </c>
      <c r="H450" s="4" t="n">
        <v>203.3</v>
      </c>
      <c r="I450" s="4" t="n">
        <v>208.5</v>
      </c>
      <c r="J450" s="14" t="n">
        <f aca="false">E450-D450</f>
        <v>1</v>
      </c>
      <c r="K450" s="14" t="n">
        <f aca="false">IF(J450&lt;=0,1,0)</f>
        <v>0</v>
      </c>
      <c r="L450" s="15" t="n">
        <f aca="false">IFERROR(G450/F450,0)</f>
        <v>1</v>
      </c>
      <c r="M450" s="15" t="n">
        <f aca="false">IFERROR((I450-H450)/H450,0)</f>
        <v>0.0255779636005902</v>
      </c>
      <c r="N450" s="16" t="n">
        <f aca="false">G450*I450</f>
        <v>30441</v>
      </c>
    </row>
    <row r="451" customFormat="false" ht="15" hidden="false" customHeight="true" outlineLevel="0" collapsed="false">
      <c r="A451" s="4" t="s">
        <v>627</v>
      </c>
      <c r="B451" s="4" t="s">
        <v>149</v>
      </c>
      <c r="C451" s="13" t="n">
        <v>45006</v>
      </c>
      <c r="D451" s="13" t="n">
        <v>45013</v>
      </c>
      <c r="E451" s="13" t="n">
        <v>45014</v>
      </c>
      <c r="F451" s="4" t="n">
        <v>6</v>
      </c>
      <c r="G451" s="4" t="n">
        <v>6</v>
      </c>
      <c r="H451" s="4" t="n">
        <v>1458.52</v>
      </c>
      <c r="I451" s="4" t="n">
        <v>1467.71</v>
      </c>
      <c r="J451" s="14" t="n">
        <f aca="false">E451-D451</f>
        <v>1</v>
      </c>
      <c r="K451" s="14" t="n">
        <f aca="false">IF(J451&lt;=0,1,0)</f>
        <v>0</v>
      </c>
      <c r="L451" s="15" t="n">
        <f aca="false">IFERROR(G451/F451,0)</f>
        <v>1</v>
      </c>
      <c r="M451" s="15" t="n">
        <f aca="false">IFERROR((I451-H451)/H451,0)</f>
        <v>0.00630090776951982</v>
      </c>
      <c r="N451" s="16" t="n">
        <f aca="false">G451*I451</f>
        <v>8806.26</v>
      </c>
    </row>
    <row r="452" customFormat="false" ht="15" hidden="false" customHeight="true" outlineLevel="0" collapsed="false">
      <c r="A452" s="4" t="s">
        <v>628</v>
      </c>
      <c r="B452" s="4" t="s">
        <v>99</v>
      </c>
      <c r="C452" s="13" t="n">
        <v>45197</v>
      </c>
      <c r="D452" s="13" t="n">
        <v>45203</v>
      </c>
      <c r="E452" s="13" t="n">
        <v>45207</v>
      </c>
      <c r="F452" s="4" t="n">
        <v>4925</v>
      </c>
      <c r="G452" s="4" t="n">
        <v>4501</v>
      </c>
      <c r="H452" s="4" t="n">
        <v>11.5</v>
      </c>
      <c r="I452" s="4" t="n">
        <v>12.2</v>
      </c>
      <c r="J452" s="14" t="n">
        <f aca="false">E452-D452</f>
        <v>4</v>
      </c>
      <c r="K452" s="14" t="n">
        <f aca="false">IF(J452&lt;=0,1,0)</f>
        <v>0</v>
      </c>
      <c r="L452" s="15" t="n">
        <f aca="false">IFERROR(G452/F452,0)</f>
        <v>0.913908629441624</v>
      </c>
      <c r="M452" s="15" t="n">
        <f aca="false">IFERROR((I452-H452)/H452,0)</f>
        <v>0.0608695652173912</v>
      </c>
      <c r="N452" s="16" t="n">
        <f aca="false">G452*I452</f>
        <v>54912.2</v>
      </c>
    </row>
    <row r="453" customFormat="false" ht="15" hidden="false" customHeight="true" outlineLevel="0" collapsed="false">
      <c r="A453" s="4" t="s">
        <v>629</v>
      </c>
      <c r="B453" s="4" t="s">
        <v>135</v>
      </c>
      <c r="C453" s="13" t="n">
        <v>45592</v>
      </c>
      <c r="D453" s="13" t="n">
        <v>45604</v>
      </c>
      <c r="E453" s="13" t="n">
        <v>45603</v>
      </c>
      <c r="F453" s="4" t="n">
        <v>133</v>
      </c>
      <c r="G453" s="4" t="n">
        <v>131</v>
      </c>
      <c r="H453" s="4" t="n">
        <v>328.06</v>
      </c>
      <c r="I453" s="4" t="n">
        <v>321.68</v>
      </c>
      <c r="J453" s="14" t="n">
        <f aca="false">E453-D453</f>
        <v>-1</v>
      </c>
      <c r="K453" s="14" t="n">
        <f aca="false">IF(J453&lt;=0,1,0)</f>
        <v>1</v>
      </c>
      <c r="L453" s="15" t="n">
        <f aca="false">IFERROR(G453/F453,0)</f>
        <v>0.984962406015038</v>
      </c>
      <c r="M453" s="15" t="n">
        <f aca="false">IFERROR((I453-H453)/H453,0)</f>
        <v>-0.0194476620130464</v>
      </c>
      <c r="N453" s="16" t="n">
        <f aca="false">G453*I453</f>
        <v>42140.08</v>
      </c>
    </row>
    <row r="454" customFormat="false" ht="15" hidden="false" customHeight="true" outlineLevel="0" collapsed="false">
      <c r="A454" s="4" t="s">
        <v>630</v>
      </c>
      <c r="B454" s="4" t="s">
        <v>149</v>
      </c>
      <c r="C454" s="13" t="n">
        <v>44999</v>
      </c>
      <c r="D454" s="13" t="n">
        <v>45004</v>
      </c>
      <c r="E454" s="13" t="n">
        <v>45007</v>
      </c>
      <c r="F454" s="4" t="n">
        <v>2</v>
      </c>
      <c r="G454" s="4" t="n">
        <v>2</v>
      </c>
      <c r="H454" s="4" t="n">
        <v>1458.52</v>
      </c>
      <c r="I454" s="4" t="n">
        <v>1459.38</v>
      </c>
      <c r="J454" s="14" t="n">
        <f aca="false">E454-D454</f>
        <v>3</v>
      </c>
      <c r="K454" s="14" t="n">
        <f aca="false">IF(J454&lt;=0,1,0)</f>
        <v>0</v>
      </c>
      <c r="L454" s="15" t="n">
        <f aca="false">IFERROR(G454/F454,0)</f>
        <v>1</v>
      </c>
      <c r="M454" s="15" t="n">
        <f aca="false">IFERROR((I454-H454)/H454,0)</f>
        <v>0.000589638811946444</v>
      </c>
      <c r="N454" s="16" t="n">
        <f aca="false">G454*I454</f>
        <v>2918.76</v>
      </c>
    </row>
    <row r="455" customFormat="false" ht="15" hidden="false" customHeight="true" outlineLevel="0" collapsed="false">
      <c r="A455" s="4" t="s">
        <v>631</v>
      </c>
      <c r="B455" s="4" t="s">
        <v>37</v>
      </c>
      <c r="C455" s="13" t="n">
        <v>45595</v>
      </c>
      <c r="D455" s="13" t="n">
        <v>45601</v>
      </c>
      <c r="E455" s="13" t="n">
        <v>45601</v>
      </c>
      <c r="F455" s="4" t="n">
        <v>2326</v>
      </c>
      <c r="G455" s="4" t="n">
        <v>2319</v>
      </c>
      <c r="H455" s="4" t="n">
        <v>22.26</v>
      </c>
      <c r="I455" s="4" t="n">
        <v>21.06</v>
      </c>
      <c r="J455" s="14" t="n">
        <f aca="false">E455-D455</f>
        <v>0</v>
      </c>
      <c r="K455" s="14" t="n">
        <f aca="false">IF(J455&lt;=0,1,0)</f>
        <v>1</v>
      </c>
      <c r="L455" s="15" t="n">
        <f aca="false">IFERROR(G455/F455,0)</f>
        <v>0.996990541702494</v>
      </c>
      <c r="M455" s="15" t="n">
        <f aca="false">IFERROR((I455-H455)/H455,0)</f>
        <v>-0.0539083557951484</v>
      </c>
      <c r="N455" s="16" t="n">
        <f aca="false">G455*I455</f>
        <v>48838.14</v>
      </c>
    </row>
    <row r="456" customFormat="false" ht="15" hidden="false" customHeight="true" outlineLevel="0" collapsed="false">
      <c r="A456" s="4" t="s">
        <v>632</v>
      </c>
      <c r="B456" s="4" t="s">
        <v>77</v>
      </c>
      <c r="C456" s="13" t="n">
        <v>45028</v>
      </c>
      <c r="D456" s="13" t="n">
        <v>45037</v>
      </c>
      <c r="E456" s="13" t="n">
        <v>45051</v>
      </c>
      <c r="F456" s="4" t="n">
        <v>1819</v>
      </c>
      <c r="G456" s="4" t="n">
        <v>1808</v>
      </c>
      <c r="H456" s="4" t="n">
        <v>36.83</v>
      </c>
      <c r="I456" s="4" t="n">
        <v>36</v>
      </c>
      <c r="J456" s="14" t="n">
        <f aca="false">E456-D456</f>
        <v>14</v>
      </c>
      <c r="K456" s="14" t="n">
        <f aca="false">IF(J456&lt;=0,1,0)</f>
        <v>0</v>
      </c>
      <c r="L456" s="15" t="n">
        <f aca="false">IFERROR(G456/F456,0)</f>
        <v>0.993952721275426</v>
      </c>
      <c r="M456" s="15" t="n">
        <f aca="false">IFERROR((I456-H456)/H456,0)</f>
        <v>-0.0225359761064349</v>
      </c>
      <c r="N456" s="16" t="n">
        <f aca="false">G456*I456</f>
        <v>65088</v>
      </c>
    </row>
    <row r="457" customFormat="false" ht="15" hidden="false" customHeight="true" outlineLevel="0" collapsed="false">
      <c r="A457" s="4" t="s">
        <v>633</v>
      </c>
      <c r="B457" s="4" t="s">
        <v>143</v>
      </c>
      <c r="C457" s="13" t="n">
        <v>44994</v>
      </c>
      <c r="D457" s="13" t="n">
        <v>45001</v>
      </c>
      <c r="E457" s="13" t="n">
        <v>45013</v>
      </c>
      <c r="F457" s="4" t="n">
        <v>2251</v>
      </c>
      <c r="G457" s="4" t="n">
        <v>2156</v>
      </c>
      <c r="H457" s="4" t="n">
        <v>20.6</v>
      </c>
      <c r="I457" s="4" t="n">
        <v>20.76</v>
      </c>
      <c r="J457" s="14" t="n">
        <f aca="false">E457-D457</f>
        <v>12</v>
      </c>
      <c r="K457" s="14" t="n">
        <f aca="false">IF(J457&lt;=0,1,0)</f>
        <v>0</v>
      </c>
      <c r="L457" s="15" t="n">
        <f aca="false">IFERROR(G457/F457,0)</f>
        <v>0.95779653487339</v>
      </c>
      <c r="M457" s="15" t="n">
        <f aca="false">IFERROR((I457-H457)/H457,0)</f>
        <v>0.00776699029126214</v>
      </c>
      <c r="N457" s="16" t="n">
        <f aca="false">G457*I457</f>
        <v>44758.56</v>
      </c>
    </row>
    <row r="458" customFormat="false" ht="15" hidden="false" customHeight="true" outlineLevel="0" collapsed="false">
      <c r="A458" s="4" t="s">
        <v>634</v>
      </c>
      <c r="B458" s="4" t="s">
        <v>107</v>
      </c>
      <c r="C458" s="13" t="n">
        <v>45068</v>
      </c>
      <c r="D458" s="13" t="n">
        <v>45077</v>
      </c>
      <c r="E458" s="13" t="n">
        <v>45076</v>
      </c>
      <c r="F458" s="4" t="n">
        <v>3428</v>
      </c>
      <c r="G458" s="4" t="n">
        <v>3374</v>
      </c>
      <c r="H458" s="4" t="n">
        <v>40.41</v>
      </c>
      <c r="I458" s="4" t="n">
        <v>40.36</v>
      </c>
      <c r="J458" s="14" t="n">
        <f aca="false">E458-D458</f>
        <v>-1</v>
      </c>
      <c r="K458" s="14" t="n">
        <f aca="false">IF(J458&lt;=0,1,0)</f>
        <v>1</v>
      </c>
      <c r="L458" s="15" t="n">
        <f aca="false">IFERROR(G458/F458,0)</f>
        <v>0.984247374562427</v>
      </c>
      <c r="M458" s="15" t="n">
        <f aca="false">IFERROR((I458-H458)/H458,0)</f>
        <v>-0.00123731749566932</v>
      </c>
      <c r="N458" s="16" t="n">
        <f aca="false">G458*I458</f>
        <v>136174.64</v>
      </c>
    </row>
    <row r="459" customFormat="false" ht="15" hidden="false" customHeight="true" outlineLevel="0" collapsed="false">
      <c r="A459" s="4" t="s">
        <v>635</v>
      </c>
      <c r="B459" s="4" t="s">
        <v>55</v>
      </c>
      <c r="C459" s="13" t="n">
        <v>45596</v>
      </c>
      <c r="D459" s="13" t="n">
        <v>45613</v>
      </c>
      <c r="E459" s="13" t="n">
        <v>45610</v>
      </c>
      <c r="F459" s="4" t="n">
        <v>270</v>
      </c>
      <c r="G459" s="4" t="n">
        <v>257</v>
      </c>
      <c r="H459" s="4" t="n">
        <v>598.09</v>
      </c>
      <c r="I459" s="4" t="n">
        <v>554.32</v>
      </c>
      <c r="J459" s="14" t="n">
        <f aca="false">E459-D459</f>
        <v>-3</v>
      </c>
      <c r="K459" s="14" t="n">
        <f aca="false">IF(J459&lt;=0,1,0)</f>
        <v>1</v>
      </c>
      <c r="L459" s="15" t="n">
        <f aca="false">IFERROR(G459/F459,0)</f>
        <v>0.951851851851852</v>
      </c>
      <c r="M459" s="15" t="n">
        <f aca="false">IFERROR((I459-H459)/H459,0)</f>
        <v>-0.0731829657743817</v>
      </c>
      <c r="N459" s="16" t="n">
        <f aca="false">G459*I459</f>
        <v>142460.24</v>
      </c>
    </row>
    <row r="460" customFormat="false" ht="15" hidden="false" customHeight="true" outlineLevel="0" collapsed="false">
      <c r="A460" s="4" t="s">
        <v>636</v>
      </c>
      <c r="B460" s="4" t="s">
        <v>155</v>
      </c>
      <c r="C460" s="13" t="n">
        <v>45452</v>
      </c>
      <c r="D460" s="13" t="n">
        <v>45460</v>
      </c>
      <c r="E460" s="13" t="n">
        <v>45457</v>
      </c>
      <c r="F460" s="4" t="n">
        <v>1300</v>
      </c>
      <c r="G460" s="4" t="n">
        <v>1250</v>
      </c>
      <c r="H460" s="4" t="n">
        <v>24.04</v>
      </c>
      <c r="I460" s="4" t="n">
        <v>22.79</v>
      </c>
      <c r="J460" s="14" t="n">
        <f aca="false">E460-D460</f>
        <v>-3</v>
      </c>
      <c r="K460" s="14" t="n">
        <f aca="false">IF(J460&lt;=0,1,0)</f>
        <v>1</v>
      </c>
      <c r="L460" s="15" t="n">
        <f aca="false">IFERROR(G460/F460,0)</f>
        <v>0.961538461538462</v>
      </c>
      <c r="M460" s="15" t="n">
        <f aca="false">IFERROR((I460-H460)/H460,0)</f>
        <v>-0.0519966722129784</v>
      </c>
      <c r="N460" s="16" t="n">
        <f aca="false">G460*I460</f>
        <v>28487.5</v>
      </c>
    </row>
    <row r="461" customFormat="false" ht="15" hidden="false" customHeight="true" outlineLevel="0" collapsed="false">
      <c r="A461" s="4" t="s">
        <v>637</v>
      </c>
      <c r="B461" s="4" t="s">
        <v>63</v>
      </c>
      <c r="C461" s="13" t="n">
        <v>45500</v>
      </c>
      <c r="D461" s="13" t="n">
        <v>45511</v>
      </c>
      <c r="E461" s="13" t="n">
        <v>45518</v>
      </c>
      <c r="F461" s="4" t="n">
        <v>1198</v>
      </c>
      <c r="G461" s="4" t="n">
        <v>1152</v>
      </c>
      <c r="H461" s="4" t="n">
        <v>239.8</v>
      </c>
      <c r="I461" s="4" t="n">
        <v>258.84</v>
      </c>
      <c r="J461" s="14" t="n">
        <f aca="false">E461-D461</f>
        <v>7</v>
      </c>
      <c r="K461" s="14" t="n">
        <f aca="false">IF(J461&lt;=0,1,0)</f>
        <v>0</v>
      </c>
      <c r="L461" s="15" t="n">
        <f aca="false">IFERROR(G461/F461,0)</f>
        <v>0.961602671118531</v>
      </c>
      <c r="M461" s="15" t="n">
        <f aca="false">IFERROR((I461-H461)/H461,0)</f>
        <v>0.0793994995829857</v>
      </c>
      <c r="N461" s="16" t="n">
        <f aca="false">G461*I461</f>
        <v>298183.68</v>
      </c>
    </row>
    <row r="462" customFormat="false" ht="15" hidden="false" customHeight="true" outlineLevel="0" collapsed="false">
      <c r="A462" s="4" t="s">
        <v>638</v>
      </c>
      <c r="B462" s="4" t="s">
        <v>115</v>
      </c>
      <c r="C462" s="13" t="n">
        <v>45132</v>
      </c>
      <c r="D462" s="13" t="n">
        <v>45146</v>
      </c>
      <c r="E462" s="13" t="n">
        <v>45159</v>
      </c>
      <c r="F462" s="4" t="n">
        <v>108</v>
      </c>
      <c r="G462" s="4" t="n">
        <v>97</v>
      </c>
      <c r="H462" s="4" t="n">
        <v>115.53</v>
      </c>
      <c r="I462" s="4" t="n">
        <v>121.15</v>
      </c>
      <c r="J462" s="14" t="n">
        <f aca="false">E462-D462</f>
        <v>13</v>
      </c>
      <c r="K462" s="14" t="n">
        <f aca="false">IF(J462&lt;=0,1,0)</f>
        <v>0</v>
      </c>
      <c r="L462" s="15" t="n">
        <f aca="false">IFERROR(G462/F462,0)</f>
        <v>0.898148148148148</v>
      </c>
      <c r="M462" s="15" t="n">
        <f aca="false">IFERROR((I462-H462)/H462,0)</f>
        <v>0.0486453734960617</v>
      </c>
      <c r="N462" s="16" t="n">
        <f aca="false">G462*I462</f>
        <v>11751.55</v>
      </c>
    </row>
    <row r="463" customFormat="false" ht="15" hidden="false" customHeight="true" outlineLevel="0" collapsed="false">
      <c r="A463" s="4" t="s">
        <v>639</v>
      </c>
      <c r="B463" s="4" t="s">
        <v>87</v>
      </c>
      <c r="C463" s="13" t="n">
        <v>45388</v>
      </c>
      <c r="D463" s="13" t="n">
        <v>45397</v>
      </c>
      <c r="E463" s="13" t="n">
        <v>45396</v>
      </c>
      <c r="F463" s="4" t="n">
        <v>1997</v>
      </c>
      <c r="G463" s="4" t="n">
        <v>1886</v>
      </c>
      <c r="H463" s="4" t="n">
        <v>161.95</v>
      </c>
      <c r="I463" s="4" t="n">
        <v>185.77</v>
      </c>
      <c r="J463" s="14" t="n">
        <f aca="false">E463-D463</f>
        <v>-1</v>
      </c>
      <c r="K463" s="14" t="n">
        <f aca="false">IF(J463&lt;=0,1,0)</f>
        <v>1</v>
      </c>
      <c r="L463" s="15" t="n">
        <f aca="false">IFERROR(G463/F463,0)</f>
        <v>0.944416624937406</v>
      </c>
      <c r="M463" s="15" t="n">
        <f aca="false">IFERROR((I463-H463)/H463,0)</f>
        <v>0.147082432849645</v>
      </c>
      <c r="N463" s="16" t="n">
        <f aca="false">G463*I463</f>
        <v>350362.22</v>
      </c>
    </row>
    <row r="464" customFormat="false" ht="15" hidden="false" customHeight="true" outlineLevel="0" collapsed="false">
      <c r="A464" s="4" t="s">
        <v>640</v>
      </c>
      <c r="B464" s="4" t="s">
        <v>127</v>
      </c>
      <c r="C464" s="13" t="n">
        <v>45178</v>
      </c>
      <c r="D464" s="13" t="n">
        <v>45182</v>
      </c>
      <c r="E464" s="13" t="n">
        <v>45187</v>
      </c>
      <c r="F464" s="4" t="n">
        <v>8</v>
      </c>
      <c r="G464" s="4" t="n">
        <v>8</v>
      </c>
      <c r="H464" s="4" t="n">
        <v>1881</v>
      </c>
      <c r="I464" s="4" t="n">
        <v>1842.16</v>
      </c>
      <c r="J464" s="14" t="n">
        <f aca="false">E464-D464</f>
        <v>5</v>
      </c>
      <c r="K464" s="14" t="n">
        <f aca="false">IF(J464&lt;=0,1,0)</f>
        <v>0</v>
      </c>
      <c r="L464" s="15" t="n">
        <f aca="false">IFERROR(G464/F464,0)</f>
        <v>1</v>
      </c>
      <c r="M464" s="15" t="n">
        <f aca="false">IFERROR((I464-H464)/H464,0)</f>
        <v>-0.0206485911749069</v>
      </c>
      <c r="N464" s="16" t="n">
        <f aca="false">G464*I464</f>
        <v>14737.28</v>
      </c>
    </row>
    <row r="465" customFormat="false" ht="15" hidden="false" customHeight="true" outlineLevel="0" collapsed="false">
      <c r="A465" s="4" t="s">
        <v>641</v>
      </c>
      <c r="B465" s="4" t="s">
        <v>41</v>
      </c>
      <c r="C465" s="13" t="n">
        <v>45179</v>
      </c>
      <c r="D465" s="13" t="n">
        <v>45185</v>
      </c>
      <c r="E465" s="13" t="n">
        <v>45185</v>
      </c>
      <c r="F465" s="4" t="n">
        <v>4648</v>
      </c>
      <c r="G465" s="4" t="n">
        <v>4648</v>
      </c>
      <c r="H465" s="4" t="n">
        <v>45.51</v>
      </c>
      <c r="I465" s="4" t="n">
        <v>44.4</v>
      </c>
      <c r="J465" s="14" t="n">
        <f aca="false">E465-D465</f>
        <v>0</v>
      </c>
      <c r="K465" s="14" t="n">
        <f aca="false">IF(J465&lt;=0,1,0)</f>
        <v>1</v>
      </c>
      <c r="L465" s="15" t="n">
        <f aca="false">IFERROR(G465/F465,0)</f>
        <v>1</v>
      </c>
      <c r="M465" s="15" t="n">
        <f aca="false">IFERROR((I465-H465)/H465,0)</f>
        <v>-0.024390243902439</v>
      </c>
      <c r="N465" s="16" t="n">
        <f aca="false">G465*I465</f>
        <v>206371.2</v>
      </c>
    </row>
    <row r="466" customFormat="false" ht="15" hidden="false" customHeight="true" outlineLevel="0" collapsed="false">
      <c r="A466" s="4" t="s">
        <v>642</v>
      </c>
      <c r="B466" s="4" t="s">
        <v>72</v>
      </c>
      <c r="C466" s="13" t="n">
        <v>45253</v>
      </c>
      <c r="D466" s="13" t="n">
        <v>45259</v>
      </c>
      <c r="E466" s="13" t="n">
        <v>45259</v>
      </c>
      <c r="F466" s="4" t="n">
        <v>1760</v>
      </c>
      <c r="G466" s="4" t="n">
        <v>1695</v>
      </c>
      <c r="H466" s="4" t="n">
        <v>34.53</v>
      </c>
      <c r="I466" s="4" t="n">
        <v>35.66</v>
      </c>
      <c r="J466" s="14" t="n">
        <f aca="false">E466-D466</f>
        <v>0</v>
      </c>
      <c r="K466" s="14" t="n">
        <f aca="false">IF(J466&lt;=0,1,0)</f>
        <v>1</v>
      </c>
      <c r="L466" s="15" t="n">
        <f aca="false">IFERROR(G466/F466,0)</f>
        <v>0.963068181818182</v>
      </c>
      <c r="M466" s="15" t="n">
        <f aca="false">IFERROR((I466-H466)/H466,0)</f>
        <v>0.0327251665218649</v>
      </c>
      <c r="N466" s="16" t="n">
        <f aca="false">G466*I466</f>
        <v>60443.7</v>
      </c>
    </row>
    <row r="467" customFormat="false" ht="15" hidden="false" customHeight="true" outlineLevel="0" collapsed="false">
      <c r="A467" s="4" t="s">
        <v>643</v>
      </c>
      <c r="B467" s="4" t="s">
        <v>127</v>
      </c>
      <c r="C467" s="13" t="n">
        <v>44957</v>
      </c>
      <c r="D467" s="13" t="n">
        <v>44963</v>
      </c>
      <c r="E467" s="13" t="n">
        <v>44966</v>
      </c>
      <c r="F467" s="4" t="n">
        <v>17</v>
      </c>
      <c r="G467" s="4" t="n">
        <v>17</v>
      </c>
      <c r="H467" s="4" t="n">
        <v>1881</v>
      </c>
      <c r="I467" s="4" t="n">
        <v>1892.47</v>
      </c>
      <c r="J467" s="14" t="n">
        <f aca="false">E467-D467</f>
        <v>3</v>
      </c>
      <c r="K467" s="14" t="n">
        <f aca="false">IF(J467&lt;=0,1,0)</f>
        <v>0</v>
      </c>
      <c r="L467" s="15" t="n">
        <f aca="false">IFERROR(G467/F467,0)</f>
        <v>1</v>
      </c>
      <c r="M467" s="15" t="n">
        <f aca="false">IFERROR((I467-H467)/H467,0)</f>
        <v>0.00609782030834664</v>
      </c>
      <c r="N467" s="16" t="n">
        <f aca="false">G467*I467</f>
        <v>32171.99</v>
      </c>
    </row>
    <row r="468" customFormat="false" ht="15" hidden="false" customHeight="true" outlineLevel="0" collapsed="false">
      <c r="A468" s="4" t="s">
        <v>644</v>
      </c>
      <c r="B468" s="4" t="s">
        <v>153</v>
      </c>
      <c r="C468" s="13" t="n">
        <v>45229</v>
      </c>
      <c r="D468" s="13" t="n">
        <v>45249</v>
      </c>
      <c r="E468" s="13" t="n">
        <v>45253</v>
      </c>
      <c r="F468" s="4" t="n">
        <v>331</v>
      </c>
      <c r="G468" s="4" t="n">
        <v>307</v>
      </c>
      <c r="H468" s="4" t="n">
        <v>1492.04</v>
      </c>
      <c r="I468" s="4" t="n">
        <v>1552.88</v>
      </c>
      <c r="J468" s="14" t="n">
        <f aca="false">E468-D468</f>
        <v>4</v>
      </c>
      <c r="K468" s="14" t="n">
        <f aca="false">IF(J468&lt;=0,1,0)</f>
        <v>0</v>
      </c>
      <c r="L468" s="15" t="n">
        <f aca="false">IFERROR(G468/F468,0)</f>
        <v>0.927492447129909</v>
      </c>
      <c r="M468" s="15" t="n">
        <f aca="false">IFERROR((I468-H468)/H468,0)</f>
        <v>0.0407763866920459</v>
      </c>
      <c r="N468" s="16" t="n">
        <f aca="false">G468*I468</f>
        <v>476734.16</v>
      </c>
    </row>
    <row r="469" customFormat="false" ht="15" hidden="false" customHeight="true" outlineLevel="0" collapsed="false">
      <c r="A469" s="4" t="s">
        <v>645</v>
      </c>
      <c r="B469" s="4" t="s">
        <v>93</v>
      </c>
      <c r="C469" s="13" t="n">
        <v>45397</v>
      </c>
      <c r="D469" s="13" t="n">
        <v>45406</v>
      </c>
      <c r="E469" s="13" t="n">
        <v>45408</v>
      </c>
      <c r="F469" s="4" t="n">
        <v>339</v>
      </c>
      <c r="G469" s="4" t="n">
        <v>338</v>
      </c>
      <c r="H469" s="4" t="n">
        <v>174.25</v>
      </c>
      <c r="I469" s="4" t="n">
        <v>183.2</v>
      </c>
      <c r="J469" s="14" t="n">
        <f aca="false">E469-D469</f>
        <v>2</v>
      </c>
      <c r="K469" s="14" t="n">
        <f aca="false">IF(J469&lt;=0,1,0)</f>
        <v>0</v>
      </c>
      <c r="L469" s="15" t="n">
        <f aca="false">IFERROR(G469/F469,0)</f>
        <v>0.997050147492625</v>
      </c>
      <c r="M469" s="15" t="n">
        <f aca="false">IFERROR((I469-H469)/H469,0)</f>
        <v>0.0513629842180774</v>
      </c>
      <c r="N469" s="16" t="n">
        <f aca="false">G469*I469</f>
        <v>61921.6</v>
      </c>
    </row>
    <row r="470" customFormat="false" ht="15" hidden="false" customHeight="true" outlineLevel="0" collapsed="false">
      <c r="A470" s="4" t="s">
        <v>646</v>
      </c>
      <c r="B470" s="4" t="s">
        <v>81</v>
      </c>
      <c r="C470" s="13" t="n">
        <v>45362</v>
      </c>
      <c r="D470" s="13" t="n">
        <v>45366</v>
      </c>
      <c r="E470" s="13" t="n">
        <v>45378</v>
      </c>
      <c r="F470" s="4" t="n">
        <v>12</v>
      </c>
      <c r="G470" s="4" t="n">
        <v>12</v>
      </c>
      <c r="H470" s="4" t="n">
        <v>697.63</v>
      </c>
      <c r="I470" s="4" t="n">
        <v>682.43</v>
      </c>
      <c r="J470" s="14" t="n">
        <f aca="false">E470-D470</f>
        <v>12</v>
      </c>
      <c r="K470" s="14" t="n">
        <f aca="false">IF(J470&lt;=0,1,0)</f>
        <v>0</v>
      </c>
      <c r="L470" s="15" t="n">
        <f aca="false">IFERROR(G470/F470,0)</f>
        <v>1</v>
      </c>
      <c r="M470" s="15" t="n">
        <f aca="false">IFERROR((I470-H470)/H470,0)</f>
        <v>-0.0217880538394278</v>
      </c>
      <c r="N470" s="16" t="n">
        <f aca="false">G470*I470</f>
        <v>8189.16</v>
      </c>
    </row>
    <row r="471" customFormat="false" ht="15" hidden="false" customHeight="true" outlineLevel="0" collapsed="false">
      <c r="A471" s="4" t="s">
        <v>647</v>
      </c>
      <c r="B471" s="4" t="s">
        <v>68</v>
      </c>
      <c r="C471" s="13" t="n">
        <v>45086</v>
      </c>
      <c r="D471" s="13" t="n">
        <v>45106</v>
      </c>
      <c r="E471" s="13" t="n">
        <v>45108</v>
      </c>
      <c r="F471" s="4" t="n">
        <v>363</v>
      </c>
      <c r="G471" s="4" t="n">
        <v>340</v>
      </c>
      <c r="H471" s="4" t="n">
        <v>1232.83</v>
      </c>
      <c r="I471" s="4" t="n">
        <v>1214.97</v>
      </c>
      <c r="J471" s="14" t="n">
        <f aca="false">E471-D471</f>
        <v>2</v>
      </c>
      <c r="K471" s="14" t="n">
        <f aca="false">IF(J471&lt;=0,1,0)</f>
        <v>0</v>
      </c>
      <c r="L471" s="15" t="n">
        <f aca="false">IFERROR(G471/F471,0)</f>
        <v>0.9366391184573</v>
      </c>
      <c r="M471" s="15" t="n">
        <f aca="false">IFERROR((I471-H471)/H471,0)</f>
        <v>-0.0144869933405254</v>
      </c>
      <c r="N471" s="16" t="n">
        <f aca="false">G471*I471</f>
        <v>413089.8</v>
      </c>
    </row>
    <row r="472" customFormat="false" ht="15" hidden="false" customHeight="true" outlineLevel="0" collapsed="false">
      <c r="A472" s="4" t="s">
        <v>648</v>
      </c>
      <c r="B472" s="4" t="s">
        <v>155</v>
      </c>
      <c r="C472" s="13" t="n">
        <v>45082</v>
      </c>
      <c r="D472" s="13" t="n">
        <v>45090</v>
      </c>
      <c r="E472" s="13" t="n">
        <v>45088</v>
      </c>
      <c r="F472" s="4" t="n">
        <v>4216</v>
      </c>
      <c r="G472" s="4" t="n">
        <v>4216</v>
      </c>
      <c r="H472" s="4" t="n">
        <v>24.04</v>
      </c>
      <c r="I472" s="4" t="n">
        <v>23.89</v>
      </c>
      <c r="J472" s="14" t="n">
        <f aca="false">E472-D472</f>
        <v>-2</v>
      </c>
      <c r="K472" s="14" t="n">
        <f aca="false">IF(J472&lt;=0,1,0)</f>
        <v>1</v>
      </c>
      <c r="L472" s="15" t="n">
        <f aca="false">IFERROR(G472/F472,0)</f>
        <v>1</v>
      </c>
      <c r="M472" s="15" t="n">
        <f aca="false">IFERROR((I472-H472)/H472,0)</f>
        <v>-0.00623960066555735</v>
      </c>
      <c r="N472" s="16" t="n">
        <f aca="false">G472*I472</f>
        <v>100720.24</v>
      </c>
    </row>
    <row r="473" customFormat="false" ht="15" hidden="false" customHeight="true" outlineLevel="0" collapsed="false">
      <c r="A473" s="4" t="s">
        <v>649</v>
      </c>
      <c r="B473" s="4" t="s">
        <v>127</v>
      </c>
      <c r="C473" s="13" t="n">
        <v>44997</v>
      </c>
      <c r="D473" s="13" t="n">
        <v>45001</v>
      </c>
      <c r="E473" s="13" t="n">
        <v>45002</v>
      </c>
      <c r="F473" s="4" t="n">
        <v>5</v>
      </c>
      <c r="G473" s="4" t="n">
        <v>5</v>
      </c>
      <c r="H473" s="4" t="n">
        <v>1881</v>
      </c>
      <c r="I473" s="4" t="n">
        <v>1858.46</v>
      </c>
      <c r="J473" s="14" t="n">
        <f aca="false">E473-D473</f>
        <v>1</v>
      </c>
      <c r="K473" s="14" t="n">
        <f aca="false">IF(J473&lt;=0,1,0)</f>
        <v>0</v>
      </c>
      <c r="L473" s="15" t="n">
        <f aca="false">IFERROR(G473/F473,0)</f>
        <v>1</v>
      </c>
      <c r="M473" s="15" t="n">
        <f aca="false">IFERROR((I473-H473)/H473,0)</f>
        <v>-0.0119829877724614</v>
      </c>
      <c r="N473" s="16" t="n">
        <f aca="false">G473*I473</f>
        <v>9292.3</v>
      </c>
    </row>
    <row r="474" customFormat="false" ht="15" hidden="false" customHeight="true" outlineLevel="0" collapsed="false">
      <c r="A474" s="4" t="s">
        <v>650</v>
      </c>
      <c r="B474" s="4" t="s">
        <v>61</v>
      </c>
      <c r="C474" s="13" t="n">
        <v>45478</v>
      </c>
      <c r="D474" s="13" t="n">
        <v>45487</v>
      </c>
      <c r="E474" s="13" t="n">
        <v>45498</v>
      </c>
      <c r="F474" s="4" t="n">
        <v>1816</v>
      </c>
      <c r="G474" s="4" t="n">
        <v>1773</v>
      </c>
      <c r="H474" s="4" t="n">
        <v>107.41</v>
      </c>
      <c r="I474" s="4" t="n">
        <v>106.82</v>
      </c>
      <c r="J474" s="14" t="n">
        <f aca="false">E474-D474</f>
        <v>11</v>
      </c>
      <c r="K474" s="14" t="n">
        <f aca="false">IF(J474&lt;=0,1,0)</f>
        <v>0</v>
      </c>
      <c r="L474" s="15" t="n">
        <f aca="false">IFERROR(G474/F474,0)</f>
        <v>0.976321585903084</v>
      </c>
      <c r="M474" s="15" t="n">
        <f aca="false">IFERROR((I474-H474)/H474,0)</f>
        <v>-0.00549297085932412</v>
      </c>
      <c r="N474" s="16" t="n">
        <f aca="false">G474*I474</f>
        <v>189391.86</v>
      </c>
    </row>
    <row r="475" customFormat="false" ht="15" hidden="false" customHeight="true" outlineLevel="0" collapsed="false">
      <c r="A475" s="4" t="s">
        <v>651</v>
      </c>
      <c r="B475" s="4" t="s">
        <v>55</v>
      </c>
      <c r="C475" s="13" t="n">
        <v>45627</v>
      </c>
      <c r="D475" s="13" t="n">
        <v>45645</v>
      </c>
      <c r="E475" s="13" t="n">
        <v>45651</v>
      </c>
      <c r="F475" s="4" t="n">
        <v>116</v>
      </c>
      <c r="G475" s="4" t="n">
        <v>110</v>
      </c>
      <c r="H475" s="4" t="n">
        <v>598.09</v>
      </c>
      <c r="I475" s="4" t="n">
        <v>568.14</v>
      </c>
      <c r="J475" s="14" t="n">
        <f aca="false">E475-D475</f>
        <v>6</v>
      </c>
      <c r="K475" s="14" t="n">
        <f aca="false">IF(J475&lt;=0,1,0)</f>
        <v>0</v>
      </c>
      <c r="L475" s="15" t="n">
        <f aca="false">IFERROR(G475/F475,0)</f>
        <v>0.948275862068966</v>
      </c>
      <c r="M475" s="15" t="n">
        <f aca="false">IFERROR((I475-H475)/H475,0)</f>
        <v>-0.0500760755070308</v>
      </c>
      <c r="N475" s="16" t="n">
        <f aca="false">G475*I475</f>
        <v>62495.4</v>
      </c>
    </row>
    <row r="476" customFormat="false" ht="15" hidden="false" customHeight="true" outlineLevel="0" collapsed="false">
      <c r="A476" s="4" t="s">
        <v>652</v>
      </c>
      <c r="B476" s="4" t="s">
        <v>159</v>
      </c>
      <c r="C476" s="13" t="n">
        <v>45143</v>
      </c>
      <c r="D476" s="13" t="n">
        <v>45152</v>
      </c>
      <c r="E476" s="13" t="n">
        <v>45157</v>
      </c>
      <c r="F476" s="4" t="n">
        <v>1160</v>
      </c>
      <c r="G476" s="4" t="n">
        <v>1119</v>
      </c>
      <c r="H476" s="4" t="n">
        <v>32.91</v>
      </c>
      <c r="I476" s="4" t="n">
        <v>33.67</v>
      </c>
      <c r="J476" s="14" t="n">
        <f aca="false">E476-D476</f>
        <v>5</v>
      </c>
      <c r="K476" s="14" t="n">
        <f aca="false">IF(J476&lt;=0,1,0)</f>
        <v>0</v>
      </c>
      <c r="L476" s="15" t="n">
        <f aca="false">IFERROR(G476/F476,0)</f>
        <v>0.964655172413793</v>
      </c>
      <c r="M476" s="15" t="n">
        <f aca="false">IFERROR((I476-H476)/H476,0)</f>
        <v>0.023093284715892</v>
      </c>
      <c r="N476" s="16" t="n">
        <f aca="false">G476*I476</f>
        <v>37676.73</v>
      </c>
    </row>
    <row r="477" customFormat="false" ht="15" hidden="false" customHeight="true" outlineLevel="0" collapsed="false">
      <c r="A477" s="4" t="s">
        <v>653</v>
      </c>
      <c r="B477" s="4" t="s">
        <v>105</v>
      </c>
      <c r="C477" s="13" t="n">
        <v>45532</v>
      </c>
      <c r="D477" s="13" t="n">
        <v>45550</v>
      </c>
      <c r="E477" s="13" t="n">
        <v>45552</v>
      </c>
      <c r="F477" s="4" t="n">
        <v>141</v>
      </c>
      <c r="G477" s="4" t="n">
        <v>136</v>
      </c>
      <c r="H477" s="4" t="n">
        <v>685.84</v>
      </c>
      <c r="I477" s="4" t="n">
        <v>717.56</v>
      </c>
      <c r="J477" s="14" t="n">
        <f aca="false">E477-D477</f>
        <v>2</v>
      </c>
      <c r="K477" s="14" t="n">
        <f aca="false">IF(J477&lt;=0,1,0)</f>
        <v>0</v>
      </c>
      <c r="L477" s="15" t="n">
        <f aca="false">IFERROR(G477/F477,0)</f>
        <v>0.964539007092199</v>
      </c>
      <c r="M477" s="15" t="n">
        <f aca="false">IFERROR((I477-H477)/H477,0)</f>
        <v>0.0462498541933978</v>
      </c>
      <c r="N477" s="16" t="n">
        <f aca="false">G477*I477</f>
        <v>97588.16</v>
      </c>
    </row>
    <row r="478" customFormat="false" ht="15" hidden="false" customHeight="true" outlineLevel="0" collapsed="false">
      <c r="A478" s="4" t="s">
        <v>654</v>
      </c>
      <c r="B478" s="4" t="s">
        <v>101</v>
      </c>
      <c r="C478" s="13" t="n">
        <v>45124</v>
      </c>
      <c r="D478" s="13" t="n">
        <v>45141</v>
      </c>
      <c r="E478" s="13" t="n">
        <v>45141</v>
      </c>
      <c r="F478" s="4" t="n">
        <v>421</v>
      </c>
      <c r="G478" s="4" t="n">
        <v>410</v>
      </c>
      <c r="H478" s="4" t="n">
        <v>442.74</v>
      </c>
      <c r="I478" s="4" t="n">
        <v>440.63</v>
      </c>
      <c r="J478" s="14" t="n">
        <f aca="false">E478-D478</f>
        <v>0</v>
      </c>
      <c r="K478" s="14" t="n">
        <f aca="false">IF(J478&lt;=0,1,0)</f>
        <v>1</v>
      </c>
      <c r="L478" s="15" t="n">
        <f aca="false">IFERROR(G478/F478,0)</f>
        <v>0.973871733966746</v>
      </c>
      <c r="M478" s="15" t="n">
        <f aca="false">IFERROR((I478-H478)/H478,0)</f>
        <v>-0.00476577675385105</v>
      </c>
      <c r="N478" s="16" t="n">
        <f aca="false">G478*I478</f>
        <v>180658.3</v>
      </c>
    </row>
    <row r="479" customFormat="false" ht="15" hidden="false" customHeight="true" outlineLevel="0" collapsed="false">
      <c r="A479" s="4" t="s">
        <v>655</v>
      </c>
      <c r="B479" s="4" t="s">
        <v>159</v>
      </c>
      <c r="C479" s="13" t="n">
        <v>45607</v>
      </c>
      <c r="D479" s="13" t="n">
        <v>45615</v>
      </c>
      <c r="E479" s="13" t="n">
        <v>45618</v>
      </c>
      <c r="F479" s="4" t="n">
        <v>2886</v>
      </c>
      <c r="G479" s="4" t="n">
        <v>2848</v>
      </c>
      <c r="H479" s="4" t="n">
        <v>32.91</v>
      </c>
      <c r="I479" s="4" t="n">
        <v>33.52</v>
      </c>
      <c r="J479" s="14" t="n">
        <f aca="false">E479-D479</f>
        <v>3</v>
      </c>
      <c r="K479" s="14" t="n">
        <f aca="false">IF(J479&lt;=0,1,0)</f>
        <v>0</v>
      </c>
      <c r="L479" s="15" t="n">
        <f aca="false">IFERROR(G479/F479,0)</f>
        <v>0.986832986832987</v>
      </c>
      <c r="M479" s="15" t="n">
        <f aca="false">IFERROR((I479-H479)/H479,0)</f>
        <v>0.0185353995745976</v>
      </c>
      <c r="N479" s="16" t="n">
        <f aca="false">G479*I479</f>
        <v>95464.96</v>
      </c>
    </row>
    <row r="480" customFormat="false" ht="15" hidden="false" customHeight="true" outlineLevel="0" collapsed="false">
      <c r="A480" s="4" t="s">
        <v>656</v>
      </c>
      <c r="B480" s="4" t="s">
        <v>133</v>
      </c>
      <c r="C480" s="13" t="n">
        <v>45142</v>
      </c>
      <c r="D480" s="13" t="n">
        <v>45151</v>
      </c>
      <c r="E480" s="13" t="n">
        <v>45160</v>
      </c>
      <c r="F480" s="4" t="n">
        <v>458</v>
      </c>
      <c r="G480" s="4" t="n">
        <v>433</v>
      </c>
      <c r="H480" s="4" t="n">
        <v>138.21</v>
      </c>
      <c r="I480" s="4" t="n">
        <v>139.54</v>
      </c>
      <c r="J480" s="14" t="n">
        <f aca="false">E480-D480</f>
        <v>9</v>
      </c>
      <c r="K480" s="14" t="n">
        <f aca="false">IF(J480&lt;=0,1,0)</f>
        <v>0</v>
      </c>
      <c r="L480" s="15" t="n">
        <f aca="false">IFERROR(G480/F480,0)</f>
        <v>0.945414847161572</v>
      </c>
      <c r="M480" s="15" t="n">
        <f aca="false">IFERROR((I480-H480)/H480,0)</f>
        <v>0.00962303740684454</v>
      </c>
      <c r="N480" s="16" t="n">
        <f aca="false">G480*I480</f>
        <v>60420.82</v>
      </c>
    </row>
    <row r="481" customFormat="false" ht="15" hidden="false" customHeight="true" outlineLevel="0" collapsed="false">
      <c r="A481" s="4" t="s">
        <v>657</v>
      </c>
      <c r="B481" s="4" t="s">
        <v>139</v>
      </c>
      <c r="C481" s="13" t="n">
        <v>45078</v>
      </c>
      <c r="D481" s="13" t="n">
        <v>45090</v>
      </c>
      <c r="E481" s="13" t="n">
        <v>45093</v>
      </c>
      <c r="F481" s="4" t="n">
        <v>1429</v>
      </c>
      <c r="G481" s="4" t="n">
        <v>1289</v>
      </c>
      <c r="H481" s="4" t="n">
        <v>207.64</v>
      </c>
      <c r="I481" s="4" t="n">
        <v>211.33</v>
      </c>
      <c r="J481" s="14" t="n">
        <f aca="false">E481-D481</f>
        <v>3</v>
      </c>
      <c r="K481" s="14" t="n">
        <f aca="false">IF(J481&lt;=0,1,0)</f>
        <v>0</v>
      </c>
      <c r="L481" s="15" t="n">
        <f aca="false">IFERROR(G481/F481,0)</f>
        <v>0.902029391182645</v>
      </c>
      <c r="M481" s="15" t="n">
        <f aca="false">IFERROR((I481-H481)/H481,0)</f>
        <v>0.0177711423617801</v>
      </c>
      <c r="N481" s="16" t="n">
        <f aca="false">G481*I481</f>
        <v>272404.37</v>
      </c>
    </row>
    <row r="482" customFormat="false" ht="15" hidden="false" customHeight="true" outlineLevel="0" collapsed="false">
      <c r="A482" s="4" t="s">
        <v>658</v>
      </c>
      <c r="B482" s="4" t="s">
        <v>87</v>
      </c>
      <c r="C482" s="13" t="n">
        <v>45608</v>
      </c>
      <c r="D482" s="13" t="n">
        <v>45618</v>
      </c>
      <c r="E482" s="13" t="n">
        <v>45617</v>
      </c>
      <c r="F482" s="4" t="n">
        <v>668</v>
      </c>
      <c r="G482" s="4" t="n">
        <v>618</v>
      </c>
      <c r="H482" s="4" t="n">
        <v>161.95</v>
      </c>
      <c r="I482" s="4" t="n">
        <v>195.52</v>
      </c>
      <c r="J482" s="14" t="n">
        <f aca="false">E482-D482</f>
        <v>-1</v>
      </c>
      <c r="K482" s="14" t="n">
        <f aca="false">IF(J482&lt;=0,1,0)</f>
        <v>1</v>
      </c>
      <c r="L482" s="15" t="n">
        <f aca="false">IFERROR(G482/F482,0)</f>
        <v>0.925149700598802</v>
      </c>
      <c r="M482" s="15" t="n">
        <f aca="false">IFERROR((I482-H482)/H482,0)</f>
        <v>0.207286199444273</v>
      </c>
      <c r="N482" s="16" t="n">
        <f aca="false">G482*I482</f>
        <v>120831.36</v>
      </c>
    </row>
    <row r="483" customFormat="false" ht="15" hidden="false" customHeight="true" outlineLevel="0" collapsed="false">
      <c r="A483" s="4" t="s">
        <v>659</v>
      </c>
      <c r="B483" s="4" t="s">
        <v>123</v>
      </c>
      <c r="C483" s="13" t="n">
        <v>45573</v>
      </c>
      <c r="D483" s="13" t="n">
        <v>45584</v>
      </c>
      <c r="E483" s="13" t="n">
        <v>45583</v>
      </c>
      <c r="F483" s="4" t="n">
        <v>148</v>
      </c>
      <c r="G483" s="4" t="n">
        <v>145</v>
      </c>
      <c r="H483" s="4" t="n">
        <v>214.07</v>
      </c>
      <c r="I483" s="4" t="n">
        <v>255.09</v>
      </c>
      <c r="J483" s="14" t="n">
        <f aca="false">E483-D483</f>
        <v>-1</v>
      </c>
      <c r="K483" s="14" t="n">
        <f aca="false">IF(J483&lt;=0,1,0)</f>
        <v>1</v>
      </c>
      <c r="L483" s="15" t="n">
        <f aca="false">IFERROR(G483/F483,0)</f>
        <v>0.97972972972973</v>
      </c>
      <c r="M483" s="15" t="n">
        <f aca="false">IFERROR((I483-H483)/H483,0)</f>
        <v>0.191619563694119</v>
      </c>
      <c r="N483" s="16" t="n">
        <f aca="false">G483*I483</f>
        <v>36988.05</v>
      </c>
    </row>
    <row r="484" customFormat="false" ht="15" hidden="false" customHeight="true" outlineLevel="0" collapsed="false">
      <c r="A484" s="4" t="s">
        <v>660</v>
      </c>
      <c r="B484" s="4" t="s">
        <v>63</v>
      </c>
      <c r="C484" s="13" t="n">
        <v>45390</v>
      </c>
      <c r="D484" s="13" t="n">
        <v>45401</v>
      </c>
      <c r="E484" s="13" t="n">
        <v>45412</v>
      </c>
      <c r="F484" s="4" t="n">
        <v>1039</v>
      </c>
      <c r="G484" s="4" t="n">
        <v>967</v>
      </c>
      <c r="H484" s="4" t="n">
        <v>239.8</v>
      </c>
      <c r="I484" s="4" t="n">
        <v>256.87</v>
      </c>
      <c r="J484" s="14" t="n">
        <f aca="false">E484-D484</f>
        <v>11</v>
      </c>
      <c r="K484" s="14" t="n">
        <f aca="false">IF(J484&lt;=0,1,0)</f>
        <v>0</v>
      </c>
      <c r="L484" s="15" t="n">
        <f aca="false">IFERROR(G484/F484,0)</f>
        <v>0.930702598652551</v>
      </c>
      <c r="M484" s="15" t="n">
        <f aca="false">IFERROR((I484-H484)/H484,0)</f>
        <v>0.0711843202668891</v>
      </c>
      <c r="N484" s="16" t="n">
        <f aca="false">G484*I484</f>
        <v>248393.29</v>
      </c>
    </row>
    <row r="485" customFormat="false" ht="15" hidden="false" customHeight="true" outlineLevel="0" collapsed="false">
      <c r="A485" s="4" t="s">
        <v>661</v>
      </c>
      <c r="B485" s="4" t="s">
        <v>50</v>
      </c>
      <c r="C485" s="13" t="n">
        <v>45268</v>
      </c>
      <c r="D485" s="13" t="n">
        <v>45287</v>
      </c>
      <c r="E485" s="13" t="n">
        <v>45288</v>
      </c>
      <c r="F485" s="4" t="n">
        <v>197</v>
      </c>
      <c r="G485" s="4" t="n">
        <v>197</v>
      </c>
      <c r="H485" s="4" t="n">
        <v>707.19</v>
      </c>
      <c r="I485" s="4" t="n">
        <v>734.57</v>
      </c>
      <c r="J485" s="14" t="n">
        <f aca="false">E485-D485</f>
        <v>1</v>
      </c>
      <c r="K485" s="14" t="n">
        <f aca="false">IF(J485&lt;=0,1,0)</f>
        <v>0</v>
      </c>
      <c r="L485" s="15" t="n">
        <f aca="false">IFERROR(G485/F485,0)</f>
        <v>1</v>
      </c>
      <c r="M485" s="15" t="n">
        <f aca="false">IFERROR((I485-H485)/H485,0)</f>
        <v>0.0387166108118045</v>
      </c>
      <c r="N485" s="16" t="n">
        <f aca="false">G485*I485</f>
        <v>144710.29</v>
      </c>
    </row>
    <row r="486" customFormat="false" ht="15" hidden="false" customHeight="true" outlineLevel="0" collapsed="false">
      <c r="A486" s="4" t="s">
        <v>662</v>
      </c>
      <c r="B486" s="4" t="s">
        <v>79</v>
      </c>
      <c r="C486" s="13" t="n">
        <v>45109</v>
      </c>
      <c r="D486" s="13" t="n">
        <v>45126</v>
      </c>
      <c r="E486" s="13" t="n">
        <v>45127</v>
      </c>
      <c r="F486" s="4" t="n">
        <v>243</v>
      </c>
      <c r="G486" s="4" t="n">
        <v>232</v>
      </c>
      <c r="H486" s="4" t="n">
        <v>821.48</v>
      </c>
      <c r="I486" s="4" t="n">
        <v>841.48</v>
      </c>
      <c r="J486" s="14" t="n">
        <f aca="false">E486-D486</f>
        <v>1</v>
      </c>
      <c r="K486" s="14" t="n">
        <f aca="false">IF(J486&lt;=0,1,0)</f>
        <v>0</v>
      </c>
      <c r="L486" s="15" t="n">
        <f aca="false">IFERROR(G486/F486,0)</f>
        <v>0.954732510288066</v>
      </c>
      <c r="M486" s="15" t="n">
        <f aca="false">IFERROR((I486-H486)/H486,0)</f>
        <v>0.0243463017967571</v>
      </c>
      <c r="N486" s="16" t="n">
        <f aca="false">G486*I486</f>
        <v>195223.36</v>
      </c>
    </row>
    <row r="487" customFormat="false" ht="15" hidden="false" customHeight="true" outlineLevel="0" collapsed="false">
      <c r="A487" s="4" t="s">
        <v>663</v>
      </c>
      <c r="B487" s="4" t="s">
        <v>85</v>
      </c>
      <c r="C487" s="13" t="n">
        <v>45274</v>
      </c>
      <c r="D487" s="13" t="n">
        <v>45286</v>
      </c>
      <c r="E487" s="13" t="n">
        <v>45286</v>
      </c>
      <c r="F487" s="4" t="n">
        <v>1707</v>
      </c>
      <c r="G487" s="4" t="n">
        <v>1675</v>
      </c>
      <c r="H487" s="4" t="n">
        <v>241.88</v>
      </c>
      <c r="I487" s="4" t="n">
        <v>236.67</v>
      </c>
      <c r="J487" s="14" t="n">
        <f aca="false">E487-D487</f>
        <v>0</v>
      </c>
      <c r="K487" s="14" t="n">
        <f aca="false">IF(J487&lt;=0,1,0)</f>
        <v>1</v>
      </c>
      <c r="L487" s="15" t="n">
        <f aca="false">IFERROR(G487/F487,0)</f>
        <v>0.981253661394259</v>
      </c>
      <c r="M487" s="15" t="n">
        <f aca="false">IFERROR((I487-H487)/H487,0)</f>
        <v>-0.0215396064164049</v>
      </c>
      <c r="N487" s="16" t="n">
        <f aca="false">G487*I487</f>
        <v>396422.25</v>
      </c>
    </row>
    <row r="488" customFormat="false" ht="15" hidden="false" customHeight="true" outlineLevel="0" collapsed="false">
      <c r="A488" s="4" t="s">
        <v>664</v>
      </c>
      <c r="B488" s="4" t="s">
        <v>32</v>
      </c>
      <c r="C488" s="13" t="n">
        <v>44994</v>
      </c>
      <c r="D488" s="13" t="n">
        <v>45003</v>
      </c>
      <c r="E488" s="13" t="n">
        <v>45004</v>
      </c>
      <c r="F488" s="4" t="n">
        <v>566</v>
      </c>
      <c r="G488" s="4" t="n">
        <v>497</v>
      </c>
      <c r="H488" s="4" t="n">
        <v>32.49</v>
      </c>
      <c r="I488" s="4" t="n">
        <v>32.36</v>
      </c>
      <c r="J488" s="14" t="n">
        <f aca="false">E488-D488</f>
        <v>1</v>
      </c>
      <c r="K488" s="14" t="n">
        <f aca="false">IF(J488&lt;=0,1,0)</f>
        <v>0</v>
      </c>
      <c r="L488" s="15" t="n">
        <f aca="false">IFERROR(G488/F488,0)</f>
        <v>0.87809187279152</v>
      </c>
      <c r="M488" s="15" t="n">
        <f aca="false">IFERROR((I488-H488)/H488,0)</f>
        <v>-0.00400123114804563</v>
      </c>
      <c r="N488" s="16" t="n">
        <f aca="false">G488*I488</f>
        <v>16082.92</v>
      </c>
    </row>
    <row r="489" customFormat="false" ht="15" hidden="false" customHeight="true" outlineLevel="0" collapsed="false">
      <c r="A489" s="4" t="s">
        <v>665</v>
      </c>
      <c r="B489" s="4" t="s">
        <v>58</v>
      </c>
      <c r="C489" s="13" t="n">
        <v>45258</v>
      </c>
      <c r="D489" s="13" t="n">
        <v>45272</v>
      </c>
      <c r="E489" s="13" t="n">
        <v>45269</v>
      </c>
      <c r="F489" s="4" t="n">
        <v>100</v>
      </c>
      <c r="G489" s="4" t="n">
        <v>97</v>
      </c>
      <c r="H489" s="4" t="n">
        <v>135.68</v>
      </c>
      <c r="I489" s="4" t="n">
        <v>138.36</v>
      </c>
      <c r="J489" s="14" t="n">
        <f aca="false">E489-D489</f>
        <v>-3</v>
      </c>
      <c r="K489" s="14" t="n">
        <f aca="false">IF(J489&lt;=0,1,0)</f>
        <v>1</v>
      </c>
      <c r="L489" s="15" t="n">
        <f aca="false">IFERROR(G489/F489,0)</f>
        <v>0.97</v>
      </c>
      <c r="M489" s="15" t="n">
        <f aca="false">IFERROR((I489-H489)/H489,0)</f>
        <v>0.0197523584905661</v>
      </c>
      <c r="N489" s="16" t="n">
        <f aca="false">G489*I489</f>
        <v>13420.92</v>
      </c>
    </row>
    <row r="490" customFormat="false" ht="15" hidden="false" customHeight="true" outlineLevel="0" collapsed="false">
      <c r="A490" s="4" t="s">
        <v>666</v>
      </c>
      <c r="B490" s="4" t="s">
        <v>85</v>
      </c>
      <c r="C490" s="13" t="n">
        <v>45416</v>
      </c>
      <c r="D490" s="13" t="n">
        <v>45426</v>
      </c>
      <c r="E490" s="13" t="n">
        <v>45430</v>
      </c>
      <c r="F490" s="4" t="n">
        <v>468</v>
      </c>
      <c r="G490" s="4" t="n">
        <v>425</v>
      </c>
      <c r="H490" s="4" t="n">
        <v>241.88</v>
      </c>
      <c r="I490" s="4" t="n">
        <v>230.98</v>
      </c>
      <c r="J490" s="14" t="n">
        <f aca="false">E490-D490</f>
        <v>4</v>
      </c>
      <c r="K490" s="14" t="n">
        <f aca="false">IF(J490&lt;=0,1,0)</f>
        <v>0</v>
      </c>
      <c r="L490" s="15" t="n">
        <f aca="false">IFERROR(G490/F490,0)</f>
        <v>0.908119658119658</v>
      </c>
      <c r="M490" s="15" t="n">
        <f aca="false">IFERROR((I490-H490)/H490,0)</f>
        <v>-0.045063667934513</v>
      </c>
      <c r="N490" s="16" t="n">
        <f aca="false">G490*I490</f>
        <v>98166.5</v>
      </c>
    </row>
    <row r="491" customFormat="false" ht="15" hidden="false" customHeight="true" outlineLevel="0" collapsed="false">
      <c r="A491" s="4" t="s">
        <v>667</v>
      </c>
      <c r="B491" s="4" t="s">
        <v>61</v>
      </c>
      <c r="C491" s="13" t="n">
        <v>45464</v>
      </c>
      <c r="D491" s="13" t="n">
        <v>45473</v>
      </c>
      <c r="E491" s="13" t="n">
        <v>45480</v>
      </c>
      <c r="F491" s="4" t="n">
        <v>311</v>
      </c>
      <c r="G491" s="4" t="n">
        <v>303</v>
      </c>
      <c r="H491" s="4" t="n">
        <v>107.41</v>
      </c>
      <c r="I491" s="4" t="n">
        <v>107.83</v>
      </c>
      <c r="J491" s="14" t="n">
        <f aca="false">E491-D491</f>
        <v>7</v>
      </c>
      <c r="K491" s="14" t="n">
        <f aca="false">IF(J491&lt;=0,1,0)</f>
        <v>0</v>
      </c>
      <c r="L491" s="15" t="n">
        <f aca="false">IFERROR(G491/F491,0)</f>
        <v>0.97427652733119</v>
      </c>
      <c r="M491" s="15" t="n">
        <f aca="false">IFERROR((I491-H491)/H491,0)</f>
        <v>0.00391025044223072</v>
      </c>
      <c r="N491" s="16" t="n">
        <f aca="false">G491*I491</f>
        <v>32672.49</v>
      </c>
    </row>
    <row r="492" customFormat="false" ht="15" hidden="false" customHeight="true" outlineLevel="0" collapsed="false">
      <c r="A492" s="4" t="s">
        <v>668</v>
      </c>
      <c r="B492" s="4" t="s">
        <v>115</v>
      </c>
      <c r="C492" s="13" t="n">
        <v>45421</v>
      </c>
      <c r="D492" s="13" t="n">
        <v>45432</v>
      </c>
      <c r="E492" s="13" t="n">
        <v>45438</v>
      </c>
      <c r="F492" s="4" t="n">
        <v>258</v>
      </c>
      <c r="G492" s="4" t="n">
        <v>235</v>
      </c>
      <c r="H492" s="4" t="n">
        <v>115.53</v>
      </c>
      <c r="I492" s="4" t="n">
        <v>125.25</v>
      </c>
      <c r="J492" s="14" t="n">
        <f aca="false">E492-D492</f>
        <v>6</v>
      </c>
      <c r="K492" s="14" t="n">
        <f aca="false">IF(J492&lt;=0,1,0)</f>
        <v>0</v>
      </c>
      <c r="L492" s="15" t="n">
        <f aca="false">IFERROR(G492/F492,0)</f>
        <v>0.910852713178295</v>
      </c>
      <c r="M492" s="15" t="n">
        <f aca="false">IFERROR((I492-H492)/H492,0)</f>
        <v>0.0841339911711244</v>
      </c>
      <c r="N492" s="16" t="n">
        <f aca="false">G492*I492</f>
        <v>29433.75</v>
      </c>
    </row>
    <row r="493" customFormat="false" ht="15" hidden="false" customHeight="true" outlineLevel="0" collapsed="false">
      <c r="A493" s="4" t="s">
        <v>669</v>
      </c>
      <c r="B493" s="4" t="s">
        <v>113</v>
      </c>
      <c r="C493" s="13" t="n">
        <v>44977</v>
      </c>
      <c r="D493" s="13" t="n">
        <v>44987</v>
      </c>
      <c r="E493" s="13" t="n">
        <v>44982</v>
      </c>
      <c r="F493" s="4" t="n">
        <v>1894</v>
      </c>
      <c r="G493" s="4" t="n">
        <v>1856</v>
      </c>
      <c r="H493" s="4" t="n">
        <v>170.42</v>
      </c>
      <c r="I493" s="4" t="n">
        <v>172.13</v>
      </c>
      <c r="J493" s="14" t="n">
        <f aca="false">E493-D493</f>
        <v>-5</v>
      </c>
      <c r="K493" s="14" t="n">
        <f aca="false">IF(J493&lt;=0,1,0)</f>
        <v>1</v>
      </c>
      <c r="L493" s="15" t="n">
        <f aca="false">IFERROR(G493/F493,0)</f>
        <v>0.979936642027455</v>
      </c>
      <c r="M493" s="15" t="n">
        <f aca="false">IFERROR((I493-H493)/H493,0)</f>
        <v>0.0100340335641357</v>
      </c>
      <c r="N493" s="16" t="n">
        <f aca="false">G493*I493</f>
        <v>319473.28</v>
      </c>
    </row>
    <row r="494" customFormat="false" ht="15" hidden="false" customHeight="true" outlineLevel="0" collapsed="false">
      <c r="A494" s="4" t="s">
        <v>670</v>
      </c>
      <c r="B494" s="4" t="s">
        <v>72</v>
      </c>
      <c r="C494" s="13" t="n">
        <v>45389</v>
      </c>
      <c r="D494" s="13" t="n">
        <v>45397</v>
      </c>
      <c r="E494" s="13" t="n">
        <v>45404</v>
      </c>
      <c r="F494" s="4" t="n">
        <v>4618</v>
      </c>
      <c r="G494" s="4" t="n">
        <v>4440</v>
      </c>
      <c r="H494" s="4" t="n">
        <v>34.53</v>
      </c>
      <c r="I494" s="4" t="n">
        <v>36.94</v>
      </c>
      <c r="J494" s="14" t="n">
        <f aca="false">E494-D494</f>
        <v>7</v>
      </c>
      <c r="K494" s="14" t="n">
        <f aca="false">IF(J494&lt;=0,1,0)</f>
        <v>0</v>
      </c>
      <c r="L494" s="15" t="n">
        <f aca="false">IFERROR(G494/F494,0)</f>
        <v>0.961455175400606</v>
      </c>
      <c r="M494" s="15" t="n">
        <f aca="false">IFERROR((I494-H494)/H494,0)</f>
        <v>0.0697943816970749</v>
      </c>
      <c r="N494" s="16" t="n">
        <f aca="false">G494*I494</f>
        <v>164013.6</v>
      </c>
    </row>
    <row r="495" customFormat="false" ht="15" hidden="false" customHeight="true" outlineLevel="0" collapsed="false">
      <c r="A495" s="4" t="s">
        <v>671</v>
      </c>
      <c r="B495" s="4" t="s">
        <v>107</v>
      </c>
      <c r="C495" s="13" t="n">
        <v>45327</v>
      </c>
      <c r="D495" s="13" t="n">
        <v>45334</v>
      </c>
      <c r="E495" s="13" t="n">
        <v>45337</v>
      </c>
      <c r="F495" s="4" t="n">
        <v>3004</v>
      </c>
      <c r="G495" s="4" t="n">
        <v>3004</v>
      </c>
      <c r="H495" s="4" t="n">
        <v>40.41</v>
      </c>
      <c r="I495" s="4" t="n">
        <v>40.12</v>
      </c>
      <c r="J495" s="14" t="n">
        <f aca="false">E495-D495</f>
        <v>3</v>
      </c>
      <c r="K495" s="14" t="n">
        <f aca="false">IF(J495&lt;=0,1,0)</f>
        <v>0</v>
      </c>
      <c r="L495" s="15" t="n">
        <f aca="false">IFERROR(G495/F495,0)</f>
        <v>1</v>
      </c>
      <c r="M495" s="15" t="n">
        <f aca="false">IFERROR((I495-H495)/H495,0)</f>
        <v>-0.00717644147488243</v>
      </c>
      <c r="N495" s="16" t="n">
        <f aca="false">G495*I495</f>
        <v>120520.48</v>
      </c>
    </row>
    <row r="496" customFormat="false" ht="15" hidden="false" customHeight="true" outlineLevel="0" collapsed="false">
      <c r="A496" s="4" t="s">
        <v>672</v>
      </c>
      <c r="B496" s="4" t="s">
        <v>123</v>
      </c>
      <c r="C496" s="13" t="n">
        <v>45246</v>
      </c>
      <c r="D496" s="13" t="n">
        <v>45259</v>
      </c>
      <c r="E496" s="13" t="n">
        <v>45260</v>
      </c>
      <c r="F496" s="4" t="n">
        <v>62</v>
      </c>
      <c r="G496" s="4" t="n">
        <v>60</v>
      </c>
      <c r="H496" s="4" t="n">
        <v>214.07</v>
      </c>
      <c r="I496" s="4" t="n">
        <v>236.55</v>
      </c>
      <c r="J496" s="14" t="n">
        <f aca="false">E496-D496</f>
        <v>1</v>
      </c>
      <c r="K496" s="14" t="n">
        <f aca="false">IF(J496&lt;=0,1,0)</f>
        <v>0</v>
      </c>
      <c r="L496" s="15" t="n">
        <f aca="false">IFERROR(G496/F496,0)</f>
        <v>0.967741935483871</v>
      </c>
      <c r="M496" s="15" t="n">
        <f aca="false">IFERROR((I496-H496)/H496,0)</f>
        <v>0.105012379128323</v>
      </c>
      <c r="N496" s="16" t="n">
        <f aca="false">G496*I496</f>
        <v>14193</v>
      </c>
    </row>
    <row r="497" customFormat="false" ht="15" hidden="false" customHeight="true" outlineLevel="0" collapsed="false">
      <c r="A497" s="4" t="s">
        <v>673</v>
      </c>
      <c r="B497" s="4" t="s">
        <v>121</v>
      </c>
      <c r="C497" s="13" t="n">
        <v>45046</v>
      </c>
      <c r="D497" s="13" t="n">
        <v>45057</v>
      </c>
      <c r="E497" s="13" t="n">
        <v>45056</v>
      </c>
      <c r="F497" s="4" t="n">
        <v>1781</v>
      </c>
      <c r="G497" s="4" t="n">
        <v>1601</v>
      </c>
      <c r="H497" s="4" t="n">
        <v>206.07</v>
      </c>
      <c r="I497" s="4" t="n">
        <v>211.4</v>
      </c>
      <c r="J497" s="14" t="n">
        <f aca="false">E497-D497</f>
        <v>-1</v>
      </c>
      <c r="K497" s="14" t="n">
        <f aca="false">IF(J497&lt;=0,1,0)</f>
        <v>1</v>
      </c>
      <c r="L497" s="15" t="n">
        <f aca="false">IFERROR(G497/F497,0)</f>
        <v>0.898933183604716</v>
      </c>
      <c r="M497" s="15" t="n">
        <f aca="false">IFERROR((I497-H497)/H497,0)</f>
        <v>0.0258649973310041</v>
      </c>
      <c r="N497" s="16" t="n">
        <f aca="false">G497*I497</f>
        <v>338451.4</v>
      </c>
    </row>
    <row r="498" customFormat="false" ht="15" hidden="false" customHeight="true" outlineLevel="0" collapsed="false">
      <c r="A498" s="4" t="s">
        <v>674</v>
      </c>
      <c r="B498" s="4" t="s">
        <v>63</v>
      </c>
      <c r="C498" s="13" t="n">
        <v>45637</v>
      </c>
      <c r="D498" s="13" t="n">
        <v>45647</v>
      </c>
      <c r="E498" s="13" t="n">
        <v>45646</v>
      </c>
      <c r="F498" s="4" t="n">
        <v>1743</v>
      </c>
      <c r="G498" s="4" t="n">
        <v>1636</v>
      </c>
      <c r="H498" s="4" t="n">
        <v>239.8</v>
      </c>
      <c r="I498" s="4" t="n">
        <v>267.16</v>
      </c>
      <c r="J498" s="14" t="n">
        <f aca="false">E498-D498</f>
        <v>-1</v>
      </c>
      <c r="K498" s="14" t="n">
        <f aca="false">IF(J498&lt;=0,1,0)</f>
        <v>1</v>
      </c>
      <c r="L498" s="15" t="n">
        <f aca="false">IFERROR(G498/F498,0)</f>
        <v>0.938611589213999</v>
      </c>
      <c r="M498" s="15" t="n">
        <f aca="false">IFERROR((I498-H498)/H498,0)</f>
        <v>0.114095079232694</v>
      </c>
      <c r="N498" s="16" t="n">
        <f aca="false">G498*I498</f>
        <v>437073.76</v>
      </c>
    </row>
    <row r="499" customFormat="false" ht="15" hidden="false" customHeight="true" outlineLevel="0" collapsed="false">
      <c r="A499" s="4" t="s">
        <v>675</v>
      </c>
      <c r="B499" s="4" t="s">
        <v>63</v>
      </c>
      <c r="C499" s="13" t="n">
        <v>45212</v>
      </c>
      <c r="D499" s="13" t="n">
        <v>45221</v>
      </c>
      <c r="E499" s="13" t="n">
        <v>45230</v>
      </c>
      <c r="F499" s="4" t="n">
        <v>1634</v>
      </c>
      <c r="G499" s="4" t="n">
        <v>1509</v>
      </c>
      <c r="H499" s="4" t="n">
        <v>239.8</v>
      </c>
      <c r="I499" s="4" t="n">
        <v>246.84</v>
      </c>
      <c r="J499" s="14" t="n">
        <f aca="false">E499-D499</f>
        <v>9</v>
      </c>
      <c r="K499" s="14" t="n">
        <f aca="false">IF(J499&lt;=0,1,0)</f>
        <v>0</v>
      </c>
      <c r="L499" s="15" t="n">
        <f aca="false">IFERROR(G499/F499,0)</f>
        <v>0.923500611995104</v>
      </c>
      <c r="M499" s="15" t="n">
        <f aca="false">IFERROR((I499-H499)/H499,0)</f>
        <v>0.0293577981651376</v>
      </c>
      <c r="N499" s="16" t="n">
        <f aca="false">G499*I499</f>
        <v>372481.56</v>
      </c>
    </row>
    <row r="500" customFormat="false" ht="15" hidden="false" customHeight="true" outlineLevel="0" collapsed="false">
      <c r="A500" s="4" t="s">
        <v>676</v>
      </c>
      <c r="B500" s="4" t="s">
        <v>97</v>
      </c>
      <c r="C500" s="13" t="n">
        <v>45462</v>
      </c>
      <c r="D500" s="13" t="n">
        <v>45473</v>
      </c>
      <c r="E500" s="13" t="n">
        <v>45477</v>
      </c>
      <c r="F500" s="4" t="n">
        <v>862</v>
      </c>
      <c r="G500" s="4" t="n">
        <v>844</v>
      </c>
      <c r="H500" s="4" t="n">
        <v>123.04</v>
      </c>
      <c r="I500" s="4" t="n">
        <v>122.33</v>
      </c>
      <c r="J500" s="14" t="n">
        <f aca="false">E500-D500</f>
        <v>4</v>
      </c>
      <c r="K500" s="14" t="n">
        <f aca="false">IF(J500&lt;=0,1,0)</f>
        <v>0</v>
      </c>
      <c r="L500" s="15" t="n">
        <f aca="false">IFERROR(G500/F500,0)</f>
        <v>0.979118329466357</v>
      </c>
      <c r="M500" s="15" t="n">
        <f aca="false">IFERROR((I500-H500)/H500,0)</f>
        <v>-0.00577048114434337</v>
      </c>
      <c r="N500" s="16" t="n">
        <f aca="false">G500*I500</f>
        <v>103246.52</v>
      </c>
    </row>
    <row r="501" customFormat="false" ht="15" hidden="false" customHeight="true" outlineLevel="0" collapsed="false">
      <c r="A501" s="4" t="s">
        <v>677</v>
      </c>
      <c r="B501" s="4" t="s">
        <v>107</v>
      </c>
      <c r="C501" s="13" t="n">
        <v>44938</v>
      </c>
      <c r="D501" s="13" t="n">
        <v>44945</v>
      </c>
      <c r="E501" s="13" t="n">
        <v>44946</v>
      </c>
      <c r="F501" s="4" t="n">
        <v>2877</v>
      </c>
      <c r="G501" s="4" t="n">
        <v>2877</v>
      </c>
      <c r="H501" s="4" t="n">
        <v>40.41</v>
      </c>
      <c r="I501" s="4" t="n">
        <v>40.66</v>
      </c>
      <c r="J501" s="14" t="n">
        <f aca="false">E501-D501</f>
        <v>1</v>
      </c>
      <c r="K501" s="14" t="n">
        <f aca="false">IF(J501&lt;=0,1,0)</f>
        <v>0</v>
      </c>
      <c r="L501" s="15" t="n">
        <f aca="false">IFERROR(G501/F501,0)</f>
        <v>1</v>
      </c>
      <c r="M501" s="15" t="n">
        <f aca="false">IFERROR((I501-H501)/H501,0)</f>
        <v>0.00618658747834694</v>
      </c>
      <c r="N501" s="16" t="n">
        <f aca="false">G501*I501</f>
        <v>116978.82</v>
      </c>
    </row>
    <row r="502" customFormat="false" ht="15" hidden="false" customHeight="true" outlineLevel="0" collapsed="false">
      <c r="A502" s="4" t="s">
        <v>678</v>
      </c>
      <c r="B502" s="4" t="s">
        <v>117</v>
      </c>
      <c r="C502" s="13" t="n">
        <v>45352</v>
      </c>
      <c r="D502" s="13" t="n">
        <v>45366</v>
      </c>
      <c r="E502" s="13" t="n">
        <v>45373</v>
      </c>
      <c r="F502" s="4" t="n">
        <v>196</v>
      </c>
      <c r="G502" s="4" t="n">
        <v>184</v>
      </c>
      <c r="H502" s="4" t="n">
        <v>396.01</v>
      </c>
      <c r="I502" s="4" t="n">
        <v>392.29</v>
      </c>
      <c r="J502" s="14" t="n">
        <f aca="false">E502-D502</f>
        <v>7</v>
      </c>
      <c r="K502" s="14" t="n">
        <f aca="false">IF(J502&lt;=0,1,0)</f>
        <v>0</v>
      </c>
      <c r="L502" s="15" t="n">
        <f aca="false">IFERROR(G502/F502,0)</f>
        <v>0.938775510204082</v>
      </c>
      <c r="M502" s="15" t="n">
        <f aca="false">IFERROR((I502-H502)/H502,0)</f>
        <v>-0.00939370217923782</v>
      </c>
      <c r="N502" s="16" t="n">
        <f aca="false">G502*I502</f>
        <v>72181.36</v>
      </c>
    </row>
    <row r="503" customFormat="false" ht="15" hidden="false" customHeight="true" outlineLevel="0" collapsed="false">
      <c r="A503" s="4" t="s">
        <v>679</v>
      </c>
      <c r="B503" s="4" t="s">
        <v>145</v>
      </c>
      <c r="C503" s="13" t="n">
        <v>45560</v>
      </c>
      <c r="D503" s="13" t="n">
        <v>45571</v>
      </c>
      <c r="E503" s="13" t="n">
        <v>45573</v>
      </c>
      <c r="F503" s="4" t="n">
        <v>871</v>
      </c>
      <c r="G503" s="4" t="n">
        <v>839</v>
      </c>
      <c r="H503" s="4" t="n">
        <v>237.04</v>
      </c>
      <c r="I503" s="4" t="n">
        <v>272.52</v>
      </c>
      <c r="J503" s="14" t="n">
        <f aca="false">E503-D503</f>
        <v>2</v>
      </c>
      <c r="K503" s="14" t="n">
        <f aca="false">IF(J503&lt;=0,1,0)</f>
        <v>0</v>
      </c>
      <c r="L503" s="15" t="n">
        <f aca="false">IFERROR(G503/F503,0)</f>
        <v>0.963260619977038</v>
      </c>
      <c r="M503" s="15" t="n">
        <f aca="false">IFERROR((I503-H503)/H503,0)</f>
        <v>0.149679379007762</v>
      </c>
      <c r="N503" s="16" t="n">
        <f aca="false">G503*I503</f>
        <v>228644.28</v>
      </c>
    </row>
    <row r="504" customFormat="false" ht="15" hidden="false" customHeight="true" outlineLevel="0" collapsed="false">
      <c r="A504" s="4" t="s">
        <v>680</v>
      </c>
      <c r="B504" s="4" t="s">
        <v>151</v>
      </c>
      <c r="C504" s="13" t="n">
        <v>45110</v>
      </c>
      <c r="D504" s="13" t="n">
        <v>45116</v>
      </c>
      <c r="E504" s="13" t="n">
        <v>45121</v>
      </c>
      <c r="F504" s="4" t="n">
        <v>5</v>
      </c>
      <c r="G504" s="4" t="n">
        <v>5</v>
      </c>
      <c r="H504" s="4" t="n">
        <v>503.46</v>
      </c>
      <c r="I504" s="4" t="n">
        <v>515.68</v>
      </c>
      <c r="J504" s="14" t="n">
        <f aca="false">E504-D504</f>
        <v>5</v>
      </c>
      <c r="K504" s="14" t="n">
        <f aca="false">IF(J504&lt;=0,1,0)</f>
        <v>0</v>
      </c>
      <c r="L504" s="15" t="n">
        <f aca="false">IFERROR(G504/F504,0)</f>
        <v>1</v>
      </c>
      <c r="M504" s="15" t="n">
        <f aca="false">IFERROR((I504-H504)/H504,0)</f>
        <v>0.0242720375004965</v>
      </c>
      <c r="N504" s="16" t="n">
        <f aca="false">G504*I504</f>
        <v>2578.4</v>
      </c>
    </row>
    <row r="505" customFormat="false" ht="15" hidden="false" customHeight="true" outlineLevel="0" collapsed="false">
      <c r="A505" s="4" t="s">
        <v>681</v>
      </c>
      <c r="B505" s="4" t="s">
        <v>43</v>
      </c>
      <c r="C505" s="13" t="n">
        <v>45179</v>
      </c>
      <c r="D505" s="13" t="n">
        <v>45199</v>
      </c>
      <c r="E505" s="13" t="n">
        <v>45203</v>
      </c>
      <c r="F505" s="4" t="n">
        <v>425</v>
      </c>
      <c r="G505" s="4" t="n">
        <v>411</v>
      </c>
      <c r="H505" s="4" t="n">
        <v>1321.6</v>
      </c>
      <c r="I505" s="4" t="n">
        <v>1330.86</v>
      </c>
      <c r="J505" s="14" t="n">
        <f aca="false">E505-D505</f>
        <v>4</v>
      </c>
      <c r="K505" s="14" t="n">
        <f aca="false">IF(J505&lt;=0,1,0)</f>
        <v>0</v>
      </c>
      <c r="L505" s="15" t="n">
        <f aca="false">IFERROR(G505/F505,0)</f>
        <v>0.967058823529412</v>
      </c>
      <c r="M505" s="15" t="n">
        <f aca="false">IFERROR((I505-H505)/H505,0)</f>
        <v>0.00700665859564164</v>
      </c>
      <c r="N505" s="16" t="n">
        <f aca="false">G505*I505</f>
        <v>546983.46</v>
      </c>
    </row>
    <row r="506" customFormat="false" ht="15" hidden="false" customHeight="true" outlineLevel="0" collapsed="false">
      <c r="A506" s="4" t="s">
        <v>682</v>
      </c>
      <c r="B506" s="4" t="s">
        <v>119</v>
      </c>
      <c r="C506" s="13" t="n">
        <v>45376</v>
      </c>
      <c r="D506" s="13" t="n">
        <v>45384</v>
      </c>
      <c r="E506" s="13" t="n">
        <v>45387</v>
      </c>
      <c r="F506" s="4" t="n">
        <v>3975</v>
      </c>
      <c r="G506" s="4" t="n">
        <v>3975</v>
      </c>
      <c r="H506" s="4" t="n">
        <v>50.92</v>
      </c>
      <c r="I506" s="4" t="n">
        <v>47.24</v>
      </c>
      <c r="J506" s="14" t="n">
        <f aca="false">E506-D506</f>
        <v>3</v>
      </c>
      <c r="K506" s="14" t="n">
        <f aca="false">IF(J506&lt;=0,1,0)</f>
        <v>0</v>
      </c>
      <c r="L506" s="15" t="n">
        <f aca="false">IFERROR(G506/F506,0)</f>
        <v>1</v>
      </c>
      <c r="M506" s="15" t="n">
        <f aca="false">IFERROR((I506-H506)/H506,0)</f>
        <v>-0.0722702278083268</v>
      </c>
      <c r="N506" s="16" t="n">
        <f aca="false">G506*I506</f>
        <v>187779</v>
      </c>
    </row>
    <row r="507" customFormat="false" ht="15" hidden="false" customHeight="true" outlineLevel="0" collapsed="false">
      <c r="A507" s="4" t="s">
        <v>683</v>
      </c>
      <c r="B507" s="4" t="s">
        <v>50</v>
      </c>
      <c r="C507" s="13" t="n">
        <v>45638</v>
      </c>
      <c r="D507" s="13" t="n">
        <v>45655</v>
      </c>
      <c r="E507" s="13" t="n">
        <v>45654</v>
      </c>
      <c r="F507" s="4" t="n">
        <v>198</v>
      </c>
      <c r="G507" s="4" t="n">
        <v>193</v>
      </c>
      <c r="H507" s="4" t="n">
        <v>707.19</v>
      </c>
      <c r="I507" s="4" t="n">
        <v>766.88</v>
      </c>
      <c r="J507" s="14" t="n">
        <f aca="false">E507-D507</f>
        <v>-1</v>
      </c>
      <c r="K507" s="14" t="n">
        <f aca="false">IF(J507&lt;=0,1,0)</f>
        <v>1</v>
      </c>
      <c r="L507" s="15" t="n">
        <f aca="false">IFERROR(G507/F507,0)</f>
        <v>0.974747474747475</v>
      </c>
      <c r="M507" s="15" t="n">
        <f aca="false">IFERROR((I507-H507)/H507,0)</f>
        <v>0.0844044740451646</v>
      </c>
      <c r="N507" s="16" t="n">
        <f aca="false">G507*I507</f>
        <v>148007.84</v>
      </c>
    </row>
    <row r="508" customFormat="false" ht="15" hidden="false" customHeight="true" outlineLevel="0" collapsed="false">
      <c r="A508" s="4" t="s">
        <v>684</v>
      </c>
      <c r="B508" s="4" t="s">
        <v>83</v>
      </c>
      <c r="C508" s="13" t="n">
        <v>45228</v>
      </c>
      <c r="D508" s="13" t="n">
        <v>45240</v>
      </c>
      <c r="E508" s="13" t="n">
        <v>45242</v>
      </c>
      <c r="F508" s="4" t="n">
        <v>473</v>
      </c>
      <c r="G508" s="4" t="n">
        <v>472</v>
      </c>
      <c r="H508" s="4" t="n">
        <v>101.36</v>
      </c>
      <c r="I508" s="4" t="n">
        <v>102.88</v>
      </c>
      <c r="J508" s="14" t="n">
        <f aca="false">E508-D508</f>
        <v>2</v>
      </c>
      <c r="K508" s="14" t="n">
        <f aca="false">IF(J508&lt;=0,1,0)</f>
        <v>0</v>
      </c>
      <c r="L508" s="15" t="n">
        <f aca="false">IFERROR(G508/F508,0)</f>
        <v>0.997885835095137</v>
      </c>
      <c r="M508" s="15" t="n">
        <f aca="false">IFERROR((I508-H508)/H508,0)</f>
        <v>0.0149960536700868</v>
      </c>
      <c r="N508" s="16" t="n">
        <f aca="false">G508*I508</f>
        <v>48559.36</v>
      </c>
    </row>
    <row r="509" customFormat="false" ht="15" hidden="false" customHeight="true" outlineLevel="0" collapsed="false">
      <c r="A509" s="4" t="s">
        <v>685</v>
      </c>
      <c r="B509" s="4" t="s">
        <v>159</v>
      </c>
      <c r="C509" s="13" t="n">
        <v>45414</v>
      </c>
      <c r="D509" s="13" t="n">
        <v>45420</v>
      </c>
      <c r="E509" s="13" t="n">
        <v>45422</v>
      </c>
      <c r="F509" s="4" t="n">
        <v>4613</v>
      </c>
      <c r="G509" s="4" t="n">
        <v>4613</v>
      </c>
      <c r="H509" s="4" t="n">
        <v>32.91</v>
      </c>
      <c r="I509" s="4" t="n">
        <v>33.2</v>
      </c>
      <c r="J509" s="14" t="n">
        <f aca="false">E509-D509</f>
        <v>2</v>
      </c>
      <c r="K509" s="14" t="n">
        <f aca="false">IF(J509&lt;=0,1,0)</f>
        <v>0</v>
      </c>
      <c r="L509" s="15" t="n">
        <f aca="false">IFERROR(G509/F509,0)</f>
        <v>1</v>
      </c>
      <c r="M509" s="15" t="n">
        <f aca="false">IFERROR((I509-H509)/H509,0)</f>
        <v>0.00881191127316944</v>
      </c>
      <c r="N509" s="16" t="n">
        <f aca="false">G509*I509</f>
        <v>153151.6</v>
      </c>
    </row>
    <row r="510" customFormat="false" ht="15" hidden="false" customHeight="true" outlineLevel="0" collapsed="false">
      <c r="A510" s="4" t="s">
        <v>686</v>
      </c>
      <c r="B510" s="4" t="s">
        <v>63</v>
      </c>
      <c r="C510" s="13" t="n">
        <v>45609</v>
      </c>
      <c r="D510" s="13" t="n">
        <v>45621</v>
      </c>
      <c r="E510" s="13" t="n">
        <v>45634</v>
      </c>
      <c r="F510" s="4" t="n">
        <v>289</v>
      </c>
      <c r="G510" s="4" t="n">
        <v>269</v>
      </c>
      <c r="H510" s="4" t="n">
        <v>239.8</v>
      </c>
      <c r="I510" s="4" t="n">
        <v>265.61</v>
      </c>
      <c r="J510" s="14" t="n">
        <f aca="false">E510-D510</f>
        <v>13</v>
      </c>
      <c r="K510" s="14" t="n">
        <f aca="false">IF(J510&lt;=0,1,0)</f>
        <v>0</v>
      </c>
      <c r="L510" s="15" t="n">
        <f aca="false">IFERROR(G510/F510,0)</f>
        <v>0.930795847750865</v>
      </c>
      <c r="M510" s="15" t="n">
        <f aca="false">IFERROR((I510-H510)/H510,0)</f>
        <v>0.107631359466222</v>
      </c>
      <c r="N510" s="16" t="n">
        <f aca="false">G510*I510</f>
        <v>71449.09</v>
      </c>
    </row>
    <row r="511" customFormat="false" ht="15" hidden="false" customHeight="true" outlineLevel="0" collapsed="false">
      <c r="A511" s="4" t="s">
        <v>687</v>
      </c>
      <c r="B511" s="4" t="s">
        <v>70</v>
      </c>
      <c r="C511" s="13" t="n">
        <v>45031</v>
      </c>
      <c r="D511" s="13" t="n">
        <v>45039</v>
      </c>
      <c r="E511" s="13" t="n">
        <v>45037</v>
      </c>
      <c r="F511" s="4" t="n">
        <v>2719</v>
      </c>
      <c r="G511" s="4" t="n">
        <v>2520</v>
      </c>
      <c r="H511" s="4" t="n">
        <v>35.88</v>
      </c>
      <c r="I511" s="4" t="n">
        <v>36.7</v>
      </c>
      <c r="J511" s="14" t="n">
        <f aca="false">E511-D511</f>
        <v>-2</v>
      </c>
      <c r="K511" s="14" t="n">
        <f aca="false">IF(J511&lt;=0,1,0)</f>
        <v>1</v>
      </c>
      <c r="L511" s="15" t="n">
        <f aca="false">IFERROR(G511/F511,0)</f>
        <v>0.926811327694005</v>
      </c>
      <c r="M511" s="15" t="n">
        <f aca="false">IFERROR((I511-H511)/H511,0)</f>
        <v>0.0228539576365663</v>
      </c>
      <c r="N511" s="16" t="n">
        <f aca="false">G511*I511</f>
        <v>92484</v>
      </c>
    </row>
    <row r="512" customFormat="false" ht="15" hidden="false" customHeight="true" outlineLevel="0" collapsed="false">
      <c r="A512" s="4" t="s">
        <v>688</v>
      </c>
      <c r="B512" s="4" t="s">
        <v>127</v>
      </c>
      <c r="C512" s="13" t="n">
        <v>45228</v>
      </c>
      <c r="D512" s="13" t="n">
        <v>45235</v>
      </c>
      <c r="E512" s="13" t="n">
        <v>45234</v>
      </c>
      <c r="F512" s="4" t="n">
        <v>7</v>
      </c>
      <c r="G512" s="4" t="n">
        <v>7</v>
      </c>
      <c r="H512" s="4" t="n">
        <v>1881</v>
      </c>
      <c r="I512" s="4" t="n">
        <v>1771.39</v>
      </c>
      <c r="J512" s="14" t="n">
        <f aca="false">E512-D512</f>
        <v>-1</v>
      </c>
      <c r="K512" s="14" t="n">
        <f aca="false">IF(J512&lt;=0,1,0)</f>
        <v>1</v>
      </c>
      <c r="L512" s="15" t="n">
        <f aca="false">IFERROR(G512/F512,0)</f>
        <v>1</v>
      </c>
      <c r="M512" s="15" t="n">
        <f aca="false">IFERROR((I512-H512)/H512,0)</f>
        <v>-0.0582721956406166</v>
      </c>
      <c r="N512" s="16" t="n">
        <f aca="false">G512*I512</f>
        <v>12399.73</v>
      </c>
    </row>
    <row r="513" customFormat="false" ht="15" hidden="false" customHeight="true" outlineLevel="0" collapsed="false">
      <c r="A513" s="4" t="s">
        <v>689</v>
      </c>
      <c r="B513" s="4" t="s">
        <v>107</v>
      </c>
      <c r="C513" s="13" t="n">
        <v>45161</v>
      </c>
      <c r="D513" s="13" t="n">
        <v>45167</v>
      </c>
      <c r="E513" s="13" t="n">
        <v>45170</v>
      </c>
      <c r="F513" s="4" t="n">
        <v>3608</v>
      </c>
      <c r="G513" s="4" t="n">
        <v>3608</v>
      </c>
      <c r="H513" s="4" t="n">
        <v>40.41</v>
      </c>
      <c r="I513" s="4" t="n">
        <v>39.69</v>
      </c>
      <c r="J513" s="14" t="n">
        <f aca="false">E513-D513</f>
        <v>3</v>
      </c>
      <c r="K513" s="14" t="n">
        <f aca="false">IF(J513&lt;=0,1,0)</f>
        <v>0</v>
      </c>
      <c r="L513" s="15" t="n">
        <f aca="false">IFERROR(G513/F513,0)</f>
        <v>1</v>
      </c>
      <c r="M513" s="15" t="n">
        <f aca="false">IFERROR((I513-H513)/H513,0)</f>
        <v>-0.0178173719376392</v>
      </c>
      <c r="N513" s="16" t="n">
        <f aca="false">G513*I513</f>
        <v>143201.52</v>
      </c>
    </row>
    <row r="514" customFormat="false" ht="15" hidden="false" customHeight="true" outlineLevel="0" collapsed="false">
      <c r="A514" s="4" t="s">
        <v>690</v>
      </c>
      <c r="B514" s="4" t="s">
        <v>55</v>
      </c>
      <c r="C514" s="13" t="n">
        <v>45559</v>
      </c>
      <c r="D514" s="13" t="n">
        <v>45578</v>
      </c>
      <c r="E514" s="13" t="n">
        <v>45572</v>
      </c>
      <c r="F514" s="4" t="n">
        <v>159</v>
      </c>
      <c r="G514" s="4" t="n">
        <v>151</v>
      </c>
      <c r="H514" s="4" t="n">
        <v>598.09</v>
      </c>
      <c r="I514" s="4" t="n">
        <v>565.88</v>
      </c>
      <c r="J514" s="14" t="n">
        <f aca="false">E514-D514</f>
        <v>-6</v>
      </c>
      <c r="K514" s="14" t="n">
        <f aca="false">IF(J514&lt;=0,1,0)</f>
        <v>1</v>
      </c>
      <c r="L514" s="15" t="n">
        <f aca="false">IFERROR(G514/F514,0)</f>
        <v>0.949685534591195</v>
      </c>
      <c r="M514" s="15" t="n">
        <f aca="false">IFERROR((I514-H514)/H514,0)</f>
        <v>-0.0538547710210838</v>
      </c>
      <c r="N514" s="16" t="n">
        <f aca="false">G514*I514</f>
        <v>85447.88</v>
      </c>
    </row>
    <row r="515" customFormat="false" ht="15" hidden="false" customHeight="true" outlineLevel="0" collapsed="false">
      <c r="A515" s="4" t="s">
        <v>691</v>
      </c>
      <c r="B515" s="4" t="s">
        <v>85</v>
      </c>
      <c r="C515" s="13" t="n">
        <v>45023</v>
      </c>
      <c r="D515" s="13" t="n">
        <v>45032</v>
      </c>
      <c r="E515" s="13" t="n">
        <v>45032</v>
      </c>
      <c r="F515" s="4" t="n">
        <v>405</v>
      </c>
      <c r="G515" s="4" t="n">
        <v>387</v>
      </c>
      <c r="H515" s="4" t="n">
        <v>241.88</v>
      </c>
      <c r="I515" s="4" t="n">
        <v>240.84</v>
      </c>
      <c r="J515" s="14" t="n">
        <f aca="false">E515-D515</f>
        <v>0</v>
      </c>
      <c r="K515" s="14" t="n">
        <f aca="false">IF(J515&lt;=0,1,0)</f>
        <v>1</v>
      </c>
      <c r="L515" s="15" t="n">
        <f aca="false">IFERROR(G515/F515,0)</f>
        <v>0.955555555555556</v>
      </c>
      <c r="M515" s="15" t="n">
        <f aca="false">IFERROR((I515-H515)/H515,0)</f>
        <v>-0.00429965272035717</v>
      </c>
      <c r="N515" s="16" t="n">
        <f aca="false">G515*I515</f>
        <v>93205.08</v>
      </c>
    </row>
    <row r="516" customFormat="false" ht="15" hidden="false" customHeight="true" outlineLevel="0" collapsed="false">
      <c r="A516" s="4" t="s">
        <v>692</v>
      </c>
      <c r="B516" s="4" t="s">
        <v>139</v>
      </c>
      <c r="C516" s="13" t="n">
        <v>45368</v>
      </c>
      <c r="D516" s="13" t="n">
        <v>45379</v>
      </c>
      <c r="E516" s="13" t="n">
        <v>45381</v>
      </c>
      <c r="F516" s="4" t="n">
        <v>1568</v>
      </c>
      <c r="G516" s="4" t="n">
        <v>1402</v>
      </c>
      <c r="H516" s="4" t="n">
        <v>207.64</v>
      </c>
      <c r="I516" s="4" t="n">
        <v>215.2</v>
      </c>
      <c r="J516" s="14" t="n">
        <f aca="false">E516-D516</f>
        <v>2</v>
      </c>
      <c r="K516" s="14" t="n">
        <f aca="false">IF(J516&lt;=0,1,0)</f>
        <v>0</v>
      </c>
      <c r="L516" s="15" t="n">
        <f aca="false">IFERROR(G516/F516,0)</f>
        <v>0.894132653061225</v>
      </c>
      <c r="M516" s="15" t="n">
        <f aca="false">IFERROR((I516-H516)/H516,0)</f>
        <v>0.0364091697168176</v>
      </c>
      <c r="N516" s="16" t="n">
        <f aca="false">G516*I516</f>
        <v>301710.4</v>
      </c>
    </row>
    <row r="517" customFormat="false" ht="15" hidden="false" customHeight="true" outlineLevel="0" collapsed="false">
      <c r="A517" s="4" t="s">
        <v>693</v>
      </c>
      <c r="B517" s="4" t="s">
        <v>105</v>
      </c>
      <c r="C517" s="13" t="n">
        <v>45495</v>
      </c>
      <c r="D517" s="13" t="n">
        <v>45512</v>
      </c>
      <c r="E517" s="13" t="n">
        <v>45513</v>
      </c>
      <c r="F517" s="4" t="n">
        <v>278</v>
      </c>
      <c r="G517" s="4" t="n">
        <v>266</v>
      </c>
      <c r="H517" s="4" t="n">
        <v>685.84</v>
      </c>
      <c r="I517" s="4" t="n">
        <v>717.45</v>
      </c>
      <c r="J517" s="14" t="n">
        <f aca="false">E517-D517</f>
        <v>1</v>
      </c>
      <c r="K517" s="14" t="n">
        <f aca="false">IF(J517&lt;=0,1,0)</f>
        <v>0</v>
      </c>
      <c r="L517" s="15" t="n">
        <f aca="false">IFERROR(G517/F517,0)</f>
        <v>0.956834532374101</v>
      </c>
      <c r="M517" s="15" t="n">
        <f aca="false">IFERROR((I517-H517)/H517,0)</f>
        <v>0.0460894669310627</v>
      </c>
      <c r="N517" s="16" t="n">
        <f aca="false">G517*I517</f>
        <v>190841.7</v>
      </c>
    </row>
    <row r="518" customFormat="false" ht="15" hidden="false" customHeight="true" outlineLevel="0" collapsed="false">
      <c r="A518" s="4" t="s">
        <v>694</v>
      </c>
      <c r="B518" s="4" t="s">
        <v>105</v>
      </c>
      <c r="C518" s="13" t="n">
        <v>45435</v>
      </c>
      <c r="D518" s="13" t="n">
        <v>45453</v>
      </c>
      <c r="E518" s="13" t="n">
        <v>45452</v>
      </c>
      <c r="F518" s="4" t="n">
        <v>430</v>
      </c>
      <c r="G518" s="4" t="n">
        <v>401</v>
      </c>
      <c r="H518" s="4" t="n">
        <v>685.84</v>
      </c>
      <c r="I518" s="4" t="n">
        <v>722.4</v>
      </c>
      <c r="J518" s="14" t="n">
        <f aca="false">E518-D518</f>
        <v>-1</v>
      </c>
      <c r="K518" s="14" t="n">
        <f aca="false">IF(J518&lt;=0,1,0)</f>
        <v>1</v>
      </c>
      <c r="L518" s="15" t="n">
        <f aca="false">IFERROR(G518/F518,0)</f>
        <v>0.932558139534884</v>
      </c>
      <c r="M518" s="15" t="n">
        <f aca="false">IFERROR((I518-H518)/H518,0)</f>
        <v>0.0533068937361483</v>
      </c>
      <c r="N518" s="16" t="n">
        <f aca="false">G518*I518</f>
        <v>289682.4</v>
      </c>
    </row>
    <row r="519" customFormat="false" ht="15" hidden="false" customHeight="true" outlineLevel="0" collapsed="false">
      <c r="A519" s="4" t="s">
        <v>695</v>
      </c>
      <c r="B519" s="4" t="s">
        <v>107</v>
      </c>
      <c r="C519" s="13" t="n">
        <v>45505</v>
      </c>
      <c r="D519" s="13" t="n">
        <v>45512</v>
      </c>
      <c r="E519" s="13" t="n">
        <v>45516</v>
      </c>
      <c r="F519" s="4" t="n">
        <v>3519</v>
      </c>
      <c r="G519" s="4" t="n">
        <v>3341</v>
      </c>
      <c r="H519" s="4" t="n">
        <v>40.41</v>
      </c>
      <c r="I519" s="4" t="n">
        <v>40.6</v>
      </c>
      <c r="J519" s="14" t="n">
        <f aca="false">E519-D519</f>
        <v>4</v>
      </c>
      <c r="K519" s="14" t="n">
        <f aca="false">IF(J519&lt;=0,1,0)</f>
        <v>0</v>
      </c>
      <c r="L519" s="15" t="n">
        <f aca="false">IFERROR(G519/F519,0)</f>
        <v>0.949417448138676</v>
      </c>
      <c r="M519" s="15" t="n">
        <f aca="false">IFERROR((I519-H519)/H519,0)</f>
        <v>0.0047018064835438</v>
      </c>
      <c r="N519" s="16" t="n">
        <f aca="false">G519*I519</f>
        <v>135644.6</v>
      </c>
    </row>
    <row r="520" customFormat="false" ht="15" hidden="false" customHeight="true" outlineLevel="0" collapsed="false">
      <c r="A520" s="4" t="s">
        <v>696</v>
      </c>
      <c r="B520" s="4" t="s">
        <v>101</v>
      </c>
      <c r="C520" s="13" t="n">
        <v>44982</v>
      </c>
      <c r="D520" s="13" t="n">
        <v>44999</v>
      </c>
      <c r="E520" s="13" t="n">
        <v>45001</v>
      </c>
      <c r="F520" s="4" t="n">
        <v>472</v>
      </c>
      <c r="G520" s="4" t="n">
        <v>451</v>
      </c>
      <c r="H520" s="4" t="n">
        <v>442.74</v>
      </c>
      <c r="I520" s="4" t="n">
        <v>447.68</v>
      </c>
      <c r="J520" s="14" t="n">
        <f aca="false">E520-D520</f>
        <v>2</v>
      </c>
      <c r="K520" s="14" t="n">
        <f aca="false">IF(J520&lt;=0,1,0)</f>
        <v>0</v>
      </c>
      <c r="L520" s="15" t="n">
        <f aca="false">IFERROR(G520/F520,0)</f>
        <v>0.955508474576271</v>
      </c>
      <c r="M520" s="15" t="n">
        <f aca="false">IFERROR((I520-H520)/H520,0)</f>
        <v>0.0111577901251299</v>
      </c>
      <c r="N520" s="16" t="n">
        <f aca="false">G520*I520</f>
        <v>201903.68</v>
      </c>
    </row>
    <row r="521" customFormat="false" ht="15" hidden="false" customHeight="true" outlineLevel="0" collapsed="false">
      <c r="A521" s="4" t="s">
        <v>697</v>
      </c>
      <c r="B521" s="4" t="s">
        <v>70</v>
      </c>
      <c r="C521" s="13" t="n">
        <v>45443</v>
      </c>
      <c r="D521" s="13" t="n">
        <v>45449</v>
      </c>
      <c r="E521" s="13" t="n">
        <v>45452</v>
      </c>
      <c r="F521" s="4" t="n">
        <v>3562</v>
      </c>
      <c r="G521" s="4" t="n">
        <v>3374</v>
      </c>
      <c r="H521" s="4" t="n">
        <v>35.88</v>
      </c>
      <c r="I521" s="4" t="n">
        <v>37.63</v>
      </c>
      <c r="J521" s="14" t="n">
        <f aca="false">E521-D521</f>
        <v>3</v>
      </c>
      <c r="K521" s="14" t="n">
        <f aca="false">IF(J521&lt;=0,1,0)</f>
        <v>0</v>
      </c>
      <c r="L521" s="15" t="n">
        <f aca="false">IFERROR(G521/F521,0)</f>
        <v>0.94722066254913</v>
      </c>
      <c r="M521" s="15" t="n">
        <f aca="false">IFERROR((I521-H521)/H521,0)</f>
        <v>0.0487736900780379</v>
      </c>
      <c r="N521" s="16" t="n">
        <f aca="false">G521*I521</f>
        <v>126963.62</v>
      </c>
    </row>
    <row r="522" customFormat="false" ht="15" hidden="false" customHeight="true" outlineLevel="0" collapsed="false">
      <c r="A522" s="4" t="s">
        <v>698</v>
      </c>
      <c r="B522" s="4" t="s">
        <v>123</v>
      </c>
      <c r="C522" s="13" t="n">
        <v>45302</v>
      </c>
      <c r="D522" s="13" t="n">
        <v>45314</v>
      </c>
      <c r="E522" s="13" t="n">
        <v>45313</v>
      </c>
      <c r="F522" s="4" t="n">
        <v>175</v>
      </c>
      <c r="G522" s="4" t="n">
        <v>160</v>
      </c>
      <c r="H522" s="4" t="n">
        <v>214.07</v>
      </c>
      <c r="I522" s="4" t="n">
        <v>235.65</v>
      </c>
      <c r="J522" s="14" t="n">
        <f aca="false">E522-D522</f>
        <v>-1</v>
      </c>
      <c r="K522" s="14" t="n">
        <f aca="false">IF(J522&lt;=0,1,0)</f>
        <v>1</v>
      </c>
      <c r="L522" s="15" t="n">
        <f aca="false">IFERROR(G522/F522,0)</f>
        <v>0.914285714285714</v>
      </c>
      <c r="M522" s="15" t="n">
        <f aca="false">IFERROR((I522-H522)/H522,0)</f>
        <v>0.100808146867847</v>
      </c>
      <c r="N522" s="16" t="n">
        <f aca="false">G522*I522</f>
        <v>37704</v>
      </c>
    </row>
    <row r="523" customFormat="false" ht="15" hidden="false" customHeight="true" outlineLevel="0" collapsed="false">
      <c r="A523" s="4" t="s">
        <v>699</v>
      </c>
      <c r="B523" s="4" t="s">
        <v>83</v>
      </c>
      <c r="C523" s="13" t="n">
        <v>45197</v>
      </c>
      <c r="D523" s="13" t="n">
        <v>45209</v>
      </c>
      <c r="E523" s="13" t="n">
        <v>45206</v>
      </c>
      <c r="F523" s="4" t="n">
        <v>423</v>
      </c>
      <c r="G523" s="4" t="n">
        <v>409</v>
      </c>
      <c r="H523" s="4" t="n">
        <v>101.36</v>
      </c>
      <c r="I523" s="4" t="n">
        <v>103.43</v>
      </c>
      <c r="J523" s="14" t="n">
        <f aca="false">E523-D523</f>
        <v>-3</v>
      </c>
      <c r="K523" s="14" t="n">
        <f aca="false">IF(J523&lt;=0,1,0)</f>
        <v>1</v>
      </c>
      <c r="L523" s="15" t="n">
        <f aca="false">IFERROR(G523/F523,0)</f>
        <v>0.966903073286052</v>
      </c>
      <c r="M523" s="15" t="n">
        <f aca="false">IFERROR((I523-H523)/H523,0)</f>
        <v>0.0204222573007104</v>
      </c>
      <c r="N523" s="16" t="n">
        <f aca="false">G523*I523</f>
        <v>42302.87</v>
      </c>
    </row>
    <row r="524" customFormat="false" ht="15" hidden="false" customHeight="true" outlineLevel="0" collapsed="false">
      <c r="A524" s="4" t="s">
        <v>700</v>
      </c>
      <c r="B524" s="4" t="s">
        <v>61</v>
      </c>
      <c r="C524" s="13" t="n">
        <v>45008</v>
      </c>
      <c r="D524" s="13" t="n">
        <v>45018</v>
      </c>
      <c r="E524" s="13" t="n">
        <v>45028</v>
      </c>
      <c r="F524" s="4" t="n">
        <v>991</v>
      </c>
      <c r="G524" s="4" t="n">
        <v>953</v>
      </c>
      <c r="H524" s="4" t="n">
        <v>107.41</v>
      </c>
      <c r="I524" s="4" t="n">
        <v>108.1</v>
      </c>
      <c r="J524" s="14" t="n">
        <f aca="false">E524-D524</f>
        <v>10</v>
      </c>
      <c r="K524" s="14" t="n">
        <f aca="false">IF(J524&lt;=0,1,0)</f>
        <v>0</v>
      </c>
      <c r="L524" s="15" t="n">
        <f aca="false">IFERROR(G524/F524,0)</f>
        <v>0.961654894046418</v>
      </c>
      <c r="M524" s="15" t="n">
        <f aca="false">IFERROR((I524-H524)/H524,0)</f>
        <v>0.00642398286937899</v>
      </c>
      <c r="N524" s="16" t="n">
        <f aca="false">G524*I524</f>
        <v>103019.3</v>
      </c>
    </row>
    <row r="525" customFormat="false" ht="15" hidden="false" customHeight="true" outlineLevel="0" collapsed="false">
      <c r="A525" s="4" t="s">
        <v>701</v>
      </c>
      <c r="B525" s="4" t="s">
        <v>87</v>
      </c>
      <c r="C525" s="13" t="n">
        <v>45286</v>
      </c>
      <c r="D525" s="13" t="n">
        <v>45296</v>
      </c>
      <c r="E525" s="13" t="n">
        <v>45295</v>
      </c>
      <c r="F525" s="4" t="n">
        <v>275</v>
      </c>
      <c r="G525" s="4" t="n">
        <v>252</v>
      </c>
      <c r="H525" s="4" t="n">
        <v>161.95</v>
      </c>
      <c r="I525" s="4" t="n">
        <v>180.75</v>
      </c>
      <c r="J525" s="14" t="n">
        <f aca="false">E525-D525</f>
        <v>-1</v>
      </c>
      <c r="K525" s="14" t="n">
        <f aca="false">IF(J525&lt;=0,1,0)</f>
        <v>1</v>
      </c>
      <c r="L525" s="15" t="n">
        <f aca="false">IFERROR(G525/F525,0)</f>
        <v>0.916363636363636</v>
      </c>
      <c r="M525" s="15" t="n">
        <f aca="false">IFERROR((I525-H525)/H525,0)</f>
        <v>0.116085211485026</v>
      </c>
      <c r="N525" s="16" t="n">
        <f aca="false">G525*I525</f>
        <v>45549</v>
      </c>
    </row>
    <row r="526" customFormat="false" ht="15" hidden="false" customHeight="true" outlineLevel="0" collapsed="false">
      <c r="A526" s="4" t="s">
        <v>702</v>
      </c>
      <c r="B526" s="4" t="s">
        <v>109</v>
      </c>
      <c r="C526" s="13" t="n">
        <v>45545</v>
      </c>
      <c r="D526" s="13" t="n">
        <v>45564</v>
      </c>
      <c r="E526" s="13" t="n">
        <v>45565</v>
      </c>
      <c r="F526" s="4" t="n">
        <v>62</v>
      </c>
      <c r="G526" s="4" t="n">
        <v>62</v>
      </c>
      <c r="H526" s="4" t="n">
        <v>858.02</v>
      </c>
      <c r="I526" s="4" t="n">
        <v>929.49</v>
      </c>
      <c r="J526" s="14" t="n">
        <f aca="false">E526-D526</f>
        <v>1</v>
      </c>
      <c r="K526" s="14" t="n">
        <f aca="false">IF(J526&lt;=0,1,0)</f>
        <v>0</v>
      </c>
      <c r="L526" s="15" t="n">
        <f aca="false">IFERROR(G526/F526,0)</f>
        <v>1</v>
      </c>
      <c r="M526" s="15" t="n">
        <f aca="false">IFERROR((I526-H526)/H526,0)</f>
        <v>0.0832964266567213</v>
      </c>
      <c r="N526" s="16" t="n">
        <f aca="false">G526*I526</f>
        <v>57628.38</v>
      </c>
    </row>
    <row r="527" customFormat="false" ht="15" hidden="false" customHeight="true" outlineLevel="0" collapsed="false">
      <c r="A527" s="4" t="s">
        <v>703</v>
      </c>
      <c r="B527" s="4" t="s">
        <v>58</v>
      </c>
      <c r="C527" s="13" t="n">
        <v>45497</v>
      </c>
      <c r="D527" s="13" t="n">
        <v>45511</v>
      </c>
      <c r="E527" s="13" t="n">
        <v>45513</v>
      </c>
      <c r="F527" s="4" t="n">
        <v>94</v>
      </c>
      <c r="G527" s="4" t="n">
        <v>92</v>
      </c>
      <c r="H527" s="4" t="n">
        <v>135.68</v>
      </c>
      <c r="I527" s="4" t="n">
        <v>144.92</v>
      </c>
      <c r="J527" s="14" t="n">
        <f aca="false">E527-D527</f>
        <v>2</v>
      </c>
      <c r="K527" s="14" t="n">
        <f aca="false">IF(J527&lt;=0,1,0)</f>
        <v>0</v>
      </c>
      <c r="L527" s="15" t="n">
        <f aca="false">IFERROR(G527/F527,0)</f>
        <v>0.978723404255319</v>
      </c>
      <c r="M527" s="15" t="n">
        <f aca="false">IFERROR((I527-H527)/H527,0)</f>
        <v>0.0681014150943395</v>
      </c>
      <c r="N527" s="16" t="n">
        <f aca="false">G527*I527</f>
        <v>13332.64</v>
      </c>
    </row>
    <row r="528" customFormat="false" ht="15" hidden="false" customHeight="true" outlineLevel="0" collapsed="false">
      <c r="A528" s="4" t="s">
        <v>704</v>
      </c>
      <c r="B528" s="4" t="s">
        <v>111</v>
      </c>
      <c r="C528" s="13" t="n">
        <v>45313</v>
      </c>
      <c r="D528" s="13" t="n">
        <v>45324</v>
      </c>
      <c r="E528" s="13" t="n">
        <v>45327</v>
      </c>
      <c r="F528" s="4" t="n">
        <v>690</v>
      </c>
      <c r="G528" s="4" t="n">
        <v>652</v>
      </c>
      <c r="H528" s="4" t="n">
        <v>148.08</v>
      </c>
      <c r="I528" s="4" t="n">
        <v>147.81</v>
      </c>
      <c r="J528" s="14" t="n">
        <f aca="false">E528-D528</f>
        <v>3</v>
      </c>
      <c r="K528" s="14" t="n">
        <f aca="false">IF(J528&lt;=0,1,0)</f>
        <v>0</v>
      </c>
      <c r="L528" s="15" t="n">
        <f aca="false">IFERROR(G528/F528,0)</f>
        <v>0.944927536231884</v>
      </c>
      <c r="M528" s="15" t="n">
        <f aca="false">IFERROR((I528-H528)/H528,0)</f>
        <v>-0.00182333873581855</v>
      </c>
      <c r="N528" s="16" t="n">
        <f aca="false">G528*I528</f>
        <v>96372.12</v>
      </c>
    </row>
    <row r="529" customFormat="false" ht="15" hidden="false" customHeight="true" outlineLevel="0" collapsed="false">
      <c r="A529" s="4" t="s">
        <v>705</v>
      </c>
      <c r="B529" s="4" t="s">
        <v>32</v>
      </c>
      <c r="C529" s="13" t="n">
        <v>45028</v>
      </c>
      <c r="D529" s="13" t="n">
        <v>45036</v>
      </c>
      <c r="E529" s="13" t="n">
        <v>45037</v>
      </c>
      <c r="F529" s="4" t="n">
        <v>1899</v>
      </c>
      <c r="G529" s="4" t="n">
        <v>1743</v>
      </c>
      <c r="H529" s="4" t="n">
        <v>32.49</v>
      </c>
      <c r="I529" s="4" t="n">
        <v>33</v>
      </c>
      <c r="J529" s="14" t="n">
        <f aca="false">E529-D529</f>
        <v>1</v>
      </c>
      <c r="K529" s="14" t="n">
        <f aca="false">IF(J529&lt;=0,1,0)</f>
        <v>0</v>
      </c>
      <c r="L529" s="15" t="n">
        <f aca="false">IFERROR(G529/F529,0)</f>
        <v>0.917851500789889</v>
      </c>
      <c r="M529" s="15" t="n">
        <f aca="false">IFERROR((I529-H529)/H529,0)</f>
        <v>0.015697137580794</v>
      </c>
      <c r="N529" s="16" t="n">
        <f aca="false">G529*I529</f>
        <v>57519</v>
      </c>
    </row>
    <row r="530" customFormat="false" ht="15" hidden="false" customHeight="true" outlineLevel="0" collapsed="false">
      <c r="A530" s="4" t="s">
        <v>706</v>
      </c>
      <c r="B530" s="4" t="s">
        <v>121</v>
      </c>
      <c r="C530" s="13" t="n">
        <v>45107</v>
      </c>
      <c r="D530" s="13" t="n">
        <v>45119</v>
      </c>
      <c r="E530" s="13" t="n">
        <v>45128</v>
      </c>
      <c r="F530" s="4" t="n">
        <v>756</v>
      </c>
      <c r="G530" s="4" t="n">
        <v>688</v>
      </c>
      <c r="H530" s="4" t="n">
        <v>206.07</v>
      </c>
      <c r="I530" s="4" t="n">
        <v>211.36</v>
      </c>
      <c r="J530" s="14" t="n">
        <f aca="false">E530-D530</f>
        <v>9</v>
      </c>
      <c r="K530" s="14" t="n">
        <f aca="false">IF(J530&lt;=0,1,0)</f>
        <v>0</v>
      </c>
      <c r="L530" s="15" t="n">
        <f aca="false">IFERROR(G530/F530,0)</f>
        <v>0.91005291005291</v>
      </c>
      <c r="M530" s="15" t="n">
        <f aca="false">IFERROR((I530-H530)/H530,0)</f>
        <v>0.0256708885330229</v>
      </c>
      <c r="N530" s="16" t="n">
        <f aca="false">G530*I530</f>
        <v>145415.68</v>
      </c>
    </row>
    <row r="531" customFormat="false" ht="15" hidden="false" customHeight="true" outlineLevel="0" collapsed="false">
      <c r="A531" s="4" t="s">
        <v>707</v>
      </c>
      <c r="B531" s="4" t="s">
        <v>115</v>
      </c>
      <c r="C531" s="13" t="n">
        <v>45510</v>
      </c>
      <c r="D531" s="13" t="n">
        <v>45521</v>
      </c>
      <c r="E531" s="13" t="n">
        <v>45525</v>
      </c>
      <c r="F531" s="4" t="n">
        <v>269</v>
      </c>
      <c r="G531" s="4" t="n">
        <v>253</v>
      </c>
      <c r="H531" s="4" t="n">
        <v>115.53</v>
      </c>
      <c r="I531" s="4" t="n">
        <v>126.05</v>
      </c>
      <c r="J531" s="14" t="n">
        <f aca="false">E531-D531</f>
        <v>4</v>
      </c>
      <c r="K531" s="14" t="n">
        <f aca="false">IF(J531&lt;=0,1,0)</f>
        <v>0</v>
      </c>
      <c r="L531" s="15" t="n">
        <f aca="false">IFERROR(G531/F531,0)</f>
        <v>0.940520446096654</v>
      </c>
      <c r="M531" s="15" t="n">
        <f aca="false">IFERROR((I531-H531)/H531,0)</f>
        <v>0.0910585994979659</v>
      </c>
      <c r="N531" s="16" t="n">
        <f aca="false">G531*I531</f>
        <v>31890.65</v>
      </c>
    </row>
    <row r="532" customFormat="false" ht="15" hidden="false" customHeight="true" outlineLevel="0" collapsed="false">
      <c r="A532" s="4" t="s">
        <v>708</v>
      </c>
      <c r="B532" s="4" t="s">
        <v>72</v>
      </c>
      <c r="C532" s="13" t="n">
        <v>45259</v>
      </c>
      <c r="D532" s="13" t="n">
        <v>45267</v>
      </c>
      <c r="E532" s="13" t="n">
        <v>45270</v>
      </c>
      <c r="F532" s="4" t="n">
        <v>2560</v>
      </c>
      <c r="G532" s="4" t="n">
        <v>2489</v>
      </c>
      <c r="H532" s="4" t="n">
        <v>34.53</v>
      </c>
      <c r="I532" s="4" t="n">
        <v>35.78</v>
      </c>
      <c r="J532" s="14" t="n">
        <f aca="false">E532-D532</f>
        <v>3</v>
      </c>
      <c r="K532" s="14" t="n">
        <f aca="false">IF(J532&lt;=0,1,0)</f>
        <v>0</v>
      </c>
      <c r="L532" s="15" t="n">
        <f aca="false">IFERROR(G532/F532,0)</f>
        <v>0.972265625</v>
      </c>
      <c r="M532" s="15" t="n">
        <f aca="false">IFERROR((I532-H532)/H532,0)</f>
        <v>0.036200405444541</v>
      </c>
      <c r="N532" s="16" t="n">
        <f aca="false">G532*I532</f>
        <v>89056.42</v>
      </c>
    </row>
    <row r="533" customFormat="false" ht="15" hidden="false" customHeight="true" outlineLevel="0" collapsed="false">
      <c r="A533" s="4" t="s">
        <v>709</v>
      </c>
      <c r="B533" s="4" t="s">
        <v>147</v>
      </c>
      <c r="C533" s="13" t="n">
        <v>44937</v>
      </c>
      <c r="D533" s="13" t="n">
        <v>44948</v>
      </c>
      <c r="E533" s="13" t="n">
        <v>44947</v>
      </c>
      <c r="F533" s="4" t="n">
        <v>63</v>
      </c>
      <c r="G533" s="4" t="n">
        <v>62</v>
      </c>
      <c r="H533" s="4" t="n">
        <v>203.3</v>
      </c>
      <c r="I533" s="4" t="n">
        <v>205.4</v>
      </c>
      <c r="J533" s="14" t="n">
        <f aca="false">E533-D533</f>
        <v>-1</v>
      </c>
      <c r="K533" s="14" t="n">
        <f aca="false">IF(J533&lt;=0,1,0)</f>
        <v>1</v>
      </c>
      <c r="L533" s="15" t="n">
        <f aca="false">IFERROR(G533/F533,0)</f>
        <v>0.984126984126984</v>
      </c>
      <c r="M533" s="15" t="n">
        <f aca="false">IFERROR((I533-H533)/H533,0)</f>
        <v>0.0103295622233153</v>
      </c>
      <c r="N533" s="16" t="n">
        <f aca="false">G533*I533</f>
        <v>12734.8</v>
      </c>
    </row>
    <row r="534" customFormat="false" ht="15" hidden="false" customHeight="true" outlineLevel="0" collapsed="false">
      <c r="A534" s="4" t="s">
        <v>710</v>
      </c>
      <c r="B534" s="4" t="s">
        <v>119</v>
      </c>
      <c r="C534" s="13" t="n">
        <v>45369</v>
      </c>
      <c r="D534" s="13" t="n">
        <v>45378</v>
      </c>
      <c r="E534" s="13" t="n">
        <v>45381</v>
      </c>
      <c r="F534" s="4" t="n">
        <v>2248</v>
      </c>
      <c r="G534" s="4" t="n">
        <v>2235</v>
      </c>
      <c r="H534" s="4" t="n">
        <v>50.92</v>
      </c>
      <c r="I534" s="4" t="n">
        <v>46.75</v>
      </c>
      <c r="J534" s="14" t="n">
        <f aca="false">E534-D534</f>
        <v>3</v>
      </c>
      <c r="K534" s="14" t="n">
        <f aca="false">IF(J534&lt;=0,1,0)</f>
        <v>0</v>
      </c>
      <c r="L534" s="15" t="n">
        <f aca="false">IFERROR(G534/F534,0)</f>
        <v>0.994217081850534</v>
      </c>
      <c r="M534" s="15" t="n">
        <f aca="false">IFERROR((I534-H534)/H534,0)</f>
        <v>-0.0818931657501964</v>
      </c>
      <c r="N534" s="16" t="n">
        <f aca="false">G534*I534</f>
        <v>104486.25</v>
      </c>
    </row>
    <row r="535" customFormat="false" ht="15" hidden="false" customHeight="true" outlineLevel="0" collapsed="false">
      <c r="A535" s="4" t="s">
        <v>711</v>
      </c>
      <c r="B535" s="4" t="s">
        <v>145</v>
      </c>
      <c r="C535" s="13" t="n">
        <v>45043</v>
      </c>
      <c r="D535" s="13" t="n">
        <v>45052</v>
      </c>
      <c r="E535" s="13" t="n">
        <v>45053</v>
      </c>
      <c r="F535" s="4" t="n">
        <v>1398</v>
      </c>
      <c r="G535" s="4" t="n">
        <v>1305</v>
      </c>
      <c r="H535" s="4" t="n">
        <v>237.04</v>
      </c>
      <c r="I535" s="4" t="n">
        <v>246.69</v>
      </c>
      <c r="J535" s="14" t="n">
        <f aca="false">E535-D535</f>
        <v>1</v>
      </c>
      <c r="K535" s="14" t="n">
        <f aca="false">IF(J535&lt;=0,1,0)</f>
        <v>0</v>
      </c>
      <c r="L535" s="15" t="n">
        <f aca="false">IFERROR(G535/F535,0)</f>
        <v>0.933476394849785</v>
      </c>
      <c r="M535" s="15" t="n">
        <f aca="false">IFERROR((I535-H535)/H535,0)</f>
        <v>0.0407104286196423</v>
      </c>
      <c r="N535" s="16" t="n">
        <f aca="false">G535*I535</f>
        <v>321930.45</v>
      </c>
    </row>
    <row r="536" customFormat="false" ht="15" hidden="false" customHeight="true" outlineLevel="0" collapsed="false">
      <c r="A536" s="4" t="s">
        <v>712</v>
      </c>
      <c r="B536" s="4" t="s">
        <v>89</v>
      </c>
      <c r="C536" s="13" t="n">
        <v>45317</v>
      </c>
      <c r="D536" s="13" t="n">
        <v>45324</v>
      </c>
      <c r="E536" s="13" t="n">
        <v>45328</v>
      </c>
      <c r="F536" s="4" t="n">
        <v>13</v>
      </c>
      <c r="G536" s="4" t="n">
        <v>12</v>
      </c>
      <c r="H536" s="4" t="n">
        <v>1929.81</v>
      </c>
      <c r="I536" s="4" t="n">
        <v>1904.99</v>
      </c>
      <c r="J536" s="14" t="n">
        <f aca="false">E536-D536</f>
        <v>4</v>
      </c>
      <c r="K536" s="14" t="n">
        <f aca="false">IF(J536&lt;=0,1,0)</f>
        <v>0</v>
      </c>
      <c r="L536" s="15" t="n">
        <f aca="false">IFERROR(G536/F536,0)</f>
        <v>0.923076923076923</v>
      </c>
      <c r="M536" s="15" t="n">
        <f aca="false">IFERROR((I536-H536)/H536,0)</f>
        <v>-0.0128613697721537</v>
      </c>
      <c r="N536" s="16" t="n">
        <f aca="false">G536*I536</f>
        <v>22859.88</v>
      </c>
    </row>
    <row r="537" customFormat="false" ht="15" hidden="false" customHeight="true" outlineLevel="0" collapsed="false">
      <c r="A537" s="4" t="s">
        <v>713</v>
      </c>
      <c r="B537" s="4" t="s">
        <v>113</v>
      </c>
      <c r="C537" s="13" t="n">
        <v>45610</v>
      </c>
      <c r="D537" s="13" t="n">
        <v>45622</v>
      </c>
      <c r="E537" s="13" t="n">
        <v>45627</v>
      </c>
      <c r="F537" s="4" t="n">
        <v>843</v>
      </c>
      <c r="G537" s="4" t="n">
        <v>843</v>
      </c>
      <c r="H537" s="4" t="n">
        <v>170.42</v>
      </c>
      <c r="I537" s="4" t="n">
        <v>173.69</v>
      </c>
      <c r="J537" s="14" t="n">
        <f aca="false">E537-D537</f>
        <v>5</v>
      </c>
      <c r="K537" s="14" t="n">
        <f aca="false">IF(J537&lt;=0,1,0)</f>
        <v>0</v>
      </c>
      <c r="L537" s="15" t="n">
        <f aca="false">IFERROR(G537/F537,0)</f>
        <v>1</v>
      </c>
      <c r="M537" s="15" t="n">
        <f aca="false">IFERROR((I537-H537)/H537,0)</f>
        <v>0.0191878887454525</v>
      </c>
      <c r="N537" s="16" t="n">
        <f aca="false">G537*I537</f>
        <v>146420.67</v>
      </c>
    </row>
    <row r="538" customFormat="false" ht="15" hidden="false" customHeight="true" outlineLevel="0" collapsed="false">
      <c r="A538" s="4" t="s">
        <v>714</v>
      </c>
      <c r="B538" s="4" t="s">
        <v>89</v>
      </c>
      <c r="C538" s="13" t="n">
        <v>45498</v>
      </c>
      <c r="D538" s="13" t="n">
        <v>45502</v>
      </c>
      <c r="E538" s="13" t="n">
        <v>45506</v>
      </c>
      <c r="F538" s="4" t="n">
        <v>17</v>
      </c>
      <c r="G538" s="4" t="n">
        <v>15</v>
      </c>
      <c r="H538" s="4" t="n">
        <v>1929.81</v>
      </c>
      <c r="I538" s="4" t="n">
        <v>1920.54</v>
      </c>
      <c r="J538" s="14" t="n">
        <f aca="false">E538-D538</f>
        <v>4</v>
      </c>
      <c r="K538" s="14" t="n">
        <f aca="false">IF(J538&lt;=0,1,0)</f>
        <v>0</v>
      </c>
      <c r="L538" s="15" t="n">
        <f aca="false">IFERROR(G538/F538,0)</f>
        <v>0.882352941176471</v>
      </c>
      <c r="M538" s="15" t="n">
        <f aca="false">IFERROR((I538-H538)/H538,0)</f>
        <v>-0.00480358169975282</v>
      </c>
      <c r="N538" s="16" t="n">
        <f aca="false">G538*I538</f>
        <v>28808.1</v>
      </c>
    </row>
    <row r="539" customFormat="false" ht="15" hidden="false" customHeight="true" outlineLevel="0" collapsed="false">
      <c r="A539" s="4" t="s">
        <v>715</v>
      </c>
      <c r="B539" s="4" t="s">
        <v>97</v>
      </c>
      <c r="C539" s="13" t="n">
        <v>45528</v>
      </c>
      <c r="D539" s="13" t="n">
        <v>45539</v>
      </c>
      <c r="E539" s="13" t="n">
        <v>45545</v>
      </c>
      <c r="F539" s="4" t="n">
        <v>1538</v>
      </c>
      <c r="G539" s="4" t="n">
        <v>1491</v>
      </c>
      <c r="H539" s="4" t="n">
        <v>123.04</v>
      </c>
      <c r="I539" s="4" t="n">
        <v>122.91</v>
      </c>
      <c r="J539" s="14" t="n">
        <f aca="false">E539-D539</f>
        <v>6</v>
      </c>
      <c r="K539" s="14" t="n">
        <f aca="false">IF(J539&lt;=0,1,0)</f>
        <v>0</v>
      </c>
      <c r="L539" s="15" t="n">
        <f aca="false">IFERROR(G539/F539,0)</f>
        <v>0.969440832249675</v>
      </c>
      <c r="M539" s="15" t="n">
        <f aca="false">IFERROR((I539-H539)/H539,0)</f>
        <v>-0.00105656697009111</v>
      </c>
      <c r="N539" s="16" t="n">
        <f aca="false">G539*I539</f>
        <v>183258.81</v>
      </c>
    </row>
    <row r="540" customFormat="false" ht="15" hidden="false" customHeight="true" outlineLevel="0" collapsed="false">
      <c r="A540" s="4" t="s">
        <v>716</v>
      </c>
      <c r="B540" s="4" t="s">
        <v>61</v>
      </c>
      <c r="C540" s="13" t="n">
        <v>45457</v>
      </c>
      <c r="D540" s="13" t="n">
        <v>45466</v>
      </c>
      <c r="E540" s="13" t="n">
        <v>45477</v>
      </c>
      <c r="F540" s="4" t="n">
        <v>570</v>
      </c>
      <c r="G540" s="4" t="n">
        <v>552</v>
      </c>
      <c r="H540" s="4" t="n">
        <v>107.41</v>
      </c>
      <c r="I540" s="4" t="n">
        <v>109.67</v>
      </c>
      <c r="J540" s="14" t="n">
        <f aca="false">E540-D540</f>
        <v>11</v>
      </c>
      <c r="K540" s="14" t="n">
        <f aca="false">IF(J540&lt;=0,1,0)</f>
        <v>0</v>
      </c>
      <c r="L540" s="15" t="n">
        <f aca="false">IFERROR(G540/F540,0)</f>
        <v>0.968421052631579</v>
      </c>
      <c r="M540" s="15" t="n">
        <f aca="false">IFERROR((I540-H540)/H540,0)</f>
        <v>0.0210408714272415</v>
      </c>
      <c r="N540" s="16" t="n">
        <f aca="false">G540*I540</f>
        <v>60537.84</v>
      </c>
    </row>
    <row r="541" customFormat="false" ht="15" hidden="false" customHeight="true" outlineLevel="0" collapsed="false">
      <c r="A541" s="4" t="s">
        <v>717</v>
      </c>
      <c r="B541" s="4" t="s">
        <v>99</v>
      </c>
      <c r="C541" s="13" t="n">
        <v>45593</v>
      </c>
      <c r="D541" s="13" t="n">
        <v>45599</v>
      </c>
      <c r="E541" s="13" t="n">
        <v>45608</v>
      </c>
      <c r="F541" s="4" t="n">
        <v>1780</v>
      </c>
      <c r="G541" s="4" t="n">
        <v>1636</v>
      </c>
      <c r="H541" s="4" t="n">
        <v>11.5</v>
      </c>
      <c r="I541" s="4" t="n">
        <v>12.89</v>
      </c>
      <c r="J541" s="14" t="n">
        <f aca="false">E541-D541</f>
        <v>9</v>
      </c>
      <c r="K541" s="14" t="n">
        <f aca="false">IF(J541&lt;=0,1,0)</f>
        <v>0</v>
      </c>
      <c r="L541" s="15" t="n">
        <f aca="false">IFERROR(G541/F541,0)</f>
        <v>0.919101123595506</v>
      </c>
      <c r="M541" s="15" t="n">
        <f aca="false">IFERROR((I541-H541)/H541,0)</f>
        <v>0.120869565217391</v>
      </c>
      <c r="N541" s="16" t="n">
        <f aca="false">G541*I541</f>
        <v>21088.04</v>
      </c>
    </row>
    <row r="542" customFormat="false" ht="15" hidden="false" customHeight="true" outlineLevel="0" collapsed="false">
      <c r="A542" s="4" t="s">
        <v>718</v>
      </c>
      <c r="B542" s="4" t="s">
        <v>91</v>
      </c>
      <c r="C542" s="13" t="n">
        <v>45530</v>
      </c>
      <c r="D542" s="13" t="n">
        <v>45548</v>
      </c>
      <c r="E542" s="13" t="n">
        <v>45555</v>
      </c>
      <c r="F542" s="4" t="n">
        <v>192</v>
      </c>
      <c r="G542" s="4" t="n">
        <v>187</v>
      </c>
      <c r="H542" s="4" t="n">
        <v>496.29</v>
      </c>
      <c r="I542" s="4" t="n">
        <v>476.98</v>
      </c>
      <c r="J542" s="14" t="n">
        <f aca="false">E542-D542</f>
        <v>7</v>
      </c>
      <c r="K542" s="14" t="n">
        <f aca="false">IF(J542&lt;=0,1,0)</f>
        <v>0</v>
      </c>
      <c r="L542" s="15" t="n">
        <f aca="false">IFERROR(G542/F542,0)</f>
        <v>0.973958333333333</v>
      </c>
      <c r="M542" s="15" t="n">
        <f aca="false">IFERROR((I542-H542)/H542,0)</f>
        <v>-0.0389087025730924</v>
      </c>
      <c r="N542" s="16" t="n">
        <f aca="false">G542*I542</f>
        <v>89195.26</v>
      </c>
    </row>
    <row r="543" customFormat="false" ht="15" hidden="false" customHeight="true" outlineLevel="0" collapsed="false">
      <c r="A543" s="4" t="s">
        <v>719</v>
      </c>
      <c r="B543" s="4" t="s">
        <v>87</v>
      </c>
      <c r="C543" s="13" t="n">
        <v>44954</v>
      </c>
      <c r="D543" s="13" t="n">
        <v>44966</v>
      </c>
      <c r="E543" s="13" t="n">
        <v>44966</v>
      </c>
      <c r="F543" s="4" t="n">
        <v>441</v>
      </c>
      <c r="G543" s="4" t="n">
        <v>404</v>
      </c>
      <c r="H543" s="4" t="n">
        <v>161.95</v>
      </c>
      <c r="I543" s="4" t="n">
        <v>163.42</v>
      </c>
      <c r="J543" s="14" t="n">
        <f aca="false">E543-D543</f>
        <v>0</v>
      </c>
      <c r="K543" s="14" t="n">
        <f aca="false">IF(J543&lt;=0,1,0)</f>
        <v>1</v>
      </c>
      <c r="L543" s="15" t="n">
        <f aca="false">IFERROR(G543/F543,0)</f>
        <v>0.91609977324263</v>
      </c>
      <c r="M543" s="15" t="n">
        <f aca="false">IFERROR((I543-H543)/H543,0)</f>
        <v>0.00907687557888237</v>
      </c>
      <c r="N543" s="16" t="n">
        <f aca="false">G543*I543</f>
        <v>66021.68</v>
      </c>
    </row>
    <row r="544" customFormat="false" ht="15" hidden="false" customHeight="true" outlineLevel="0" collapsed="false">
      <c r="A544" s="4" t="s">
        <v>720</v>
      </c>
      <c r="B544" s="4" t="s">
        <v>143</v>
      </c>
      <c r="C544" s="13" t="n">
        <v>45169</v>
      </c>
      <c r="D544" s="13" t="n">
        <v>45178</v>
      </c>
      <c r="E544" s="13" t="n">
        <v>45185</v>
      </c>
      <c r="F544" s="4" t="n">
        <v>4415</v>
      </c>
      <c r="G544" s="4" t="n">
        <v>4258</v>
      </c>
      <c r="H544" s="4" t="n">
        <v>20.6</v>
      </c>
      <c r="I544" s="4" t="n">
        <v>20.96</v>
      </c>
      <c r="J544" s="14" t="n">
        <f aca="false">E544-D544</f>
        <v>7</v>
      </c>
      <c r="K544" s="14" t="n">
        <f aca="false">IF(J544&lt;=0,1,0)</f>
        <v>0</v>
      </c>
      <c r="L544" s="15" t="n">
        <f aca="false">IFERROR(G544/F544,0)</f>
        <v>0.964439411098528</v>
      </c>
      <c r="M544" s="15" t="n">
        <f aca="false">IFERROR((I544-H544)/H544,0)</f>
        <v>0.0174757281553398</v>
      </c>
      <c r="N544" s="16" t="n">
        <f aca="false">G544*I544</f>
        <v>89247.68</v>
      </c>
    </row>
    <row r="545" customFormat="false" ht="15" hidden="false" customHeight="true" outlineLevel="0" collapsed="false">
      <c r="A545" s="4" t="s">
        <v>721</v>
      </c>
      <c r="B545" s="4" t="s">
        <v>63</v>
      </c>
      <c r="C545" s="13" t="n">
        <v>45001</v>
      </c>
      <c r="D545" s="13" t="n">
        <v>45013</v>
      </c>
      <c r="E545" s="13" t="n">
        <v>45019</v>
      </c>
      <c r="F545" s="4" t="n">
        <v>1469</v>
      </c>
      <c r="G545" s="4" t="n">
        <v>1404</v>
      </c>
      <c r="H545" s="4" t="n">
        <v>239.8</v>
      </c>
      <c r="I545" s="4" t="n">
        <v>239.81</v>
      </c>
      <c r="J545" s="14" t="n">
        <f aca="false">E545-D545</f>
        <v>6</v>
      </c>
      <c r="K545" s="14" t="n">
        <f aca="false">IF(J545&lt;=0,1,0)</f>
        <v>0</v>
      </c>
      <c r="L545" s="15" t="n">
        <f aca="false">IFERROR(G545/F545,0)</f>
        <v>0.955752212389381</v>
      </c>
      <c r="M545" s="15" t="n">
        <f aca="false">IFERROR((I545-H545)/H545,0)</f>
        <v>4.17014178481689E-005</v>
      </c>
      <c r="N545" s="16" t="n">
        <f aca="false">G545*I545</f>
        <v>336693.24</v>
      </c>
    </row>
    <row r="546" customFormat="false" ht="15" hidden="false" customHeight="true" outlineLevel="0" collapsed="false">
      <c r="A546" s="4" t="s">
        <v>722</v>
      </c>
      <c r="B546" s="4" t="s">
        <v>123</v>
      </c>
      <c r="C546" s="13" t="n">
        <v>44987</v>
      </c>
      <c r="D546" s="13" t="n">
        <v>45001</v>
      </c>
      <c r="E546" s="13" t="n">
        <v>45001</v>
      </c>
      <c r="F546" s="4" t="n">
        <v>46</v>
      </c>
      <c r="G546" s="4" t="n">
        <v>46</v>
      </c>
      <c r="H546" s="4" t="n">
        <v>214.07</v>
      </c>
      <c r="I546" s="4" t="n">
        <v>220.13</v>
      </c>
      <c r="J546" s="14" t="n">
        <f aca="false">E546-D546</f>
        <v>0</v>
      </c>
      <c r="K546" s="14" t="n">
        <f aca="false">IF(J546&lt;=0,1,0)</f>
        <v>1</v>
      </c>
      <c r="L546" s="15" t="n">
        <f aca="false">IFERROR(G546/F546,0)</f>
        <v>1</v>
      </c>
      <c r="M546" s="15" t="n">
        <f aca="false">IFERROR((I546-H546)/H546,0)</f>
        <v>0.0283084972205354</v>
      </c>
      <c r="N546" s="16" t="n">
        <f aca="false">G546*I546</f>
        <v>10125.98</v>
      </c>
    </row>
    <row r="547" customFormat="false" ht="15" hidden="false" customHeight="true" outlineLevel="0" collapsed="false">
      <c r="A547" s="4" t="s">
        <v>723</v>
      </c>
      <c r="B547" s="4" t="s">
        <v>52</v>
      </c>
      <c r="C547" s="13" t="n">
        <v>44964</v>
      </c>
      <c r="D547" s="13" t="n">
        <v>44975</v>
      </c>
      <c r="E547" s="13" t="n">
        <v>44976</v>
      </c>
      <c r="F547" s="4" t="n">
        <v>517</v>
      </c>
      <c r="G547" s="4" t="n">
        <v>459</v>
      </c>
      <c r="H547" s="4" t="n">
        <v>170.24</v>
      </c>
      <c r="I547" s="4" t="n">
        <v>171.44</v>
      </c>
      <c r="J547" s="14" t="n">
        <f aca="false">E547-D547</f>
        <v>1</v>
      </c>
      <c r="K547" s="14" t="n">
        <f aca="false">IF(J547&lt;=0,1,0)</f>
        <v>0</v>
      </c>
      <c r="L547" s="15" t="n">
        <f aca="false">IFERROR(G547/F547,0)</f>
        <v>0.887814313346228</v>
      </c>
      <c r="M547" s="15" t="n">
        <f aca="false">IFERROR((I547-H547)/H547,0)</f>
        <v>0.00704887218045106</v>
      </c>
      <c r="N547" s="16" t="n">
        <f aca="false">G547*I547</f>
        <v>78690.96</v>
      </c>
    </row>
    <row r="548" customFormat="false" ht="15" hidden="false" customHeight="true" outlineLevel="0" collapsed="false">
      <c r="A548" s="4" t="s">
        <v>724</v>
      </c>
      <c r="B548" s="4" t="s">
        <v>109</v>
      </c>
      <c r="C548" s="13" t="n">
        <v>45543</v>
      </c>
      <c r="D548" s="13" t="n">
        <v>45561</v>
      </c>
      <c r="E548" s="13" t="n">
        <v>45560</v>
      </c>
      <c r="F548" s="4" t="n">
        <v>425</v>
      </c>
      <c r="G548" s="4" t="n">
        <v>425</v>
      </c>
      <c r="H548" s="4" t="n">
        <v>858.02</v>
      </c>
      <c r="I548" s="4" t="n">
        <v>921.92</v>
      </c>
      <c r="J548" s="14" t="n">
        <f aca="false">E548-D548</f>
        <v>-1</v>
      </c>
      <c r="K548" s="14" t="n">
        <f aca="false">IF(J548&lt;=0,1,0)</f>
        <v>1</v>
      </c>
      <c r="L548" s="15" t="n">
        <f aca="false">IFERROR(G548/F548,0)</f>
        <v>1</v>
      </c>
      <c r="M548" s="15" t="n">
        <f aca="false">IFERROR((I548-H548)/H548,0)</f>
        <v>0.0744737884897788</v>
      </c>
      <c r="N548" s="16" t="n">
        <f aca="false">G548*I548</f>
        <v>391816</v>
      </c>
    </row>
    <row r="549" customFormat="false" ht="15" hidden="false" customHeight="true" outlineLevel="0" collapsed="false">
      <c r="A549" s="4" t="s">
        <v>725</v>
      </c>
      <c r="B549" s="4" t="s">
        <v>105</v>
      </c>
      <c r="C549" s="13" t="n">
        <v>45206</v>
      </c>
      <c r="D549" s="13" t="n">
        <v>45224</v>
      </c>
      <c r="E549" s="13" t="n">
        <v>45228</v>
      </c>
      <c r="F549" s="4" t="n">
        <v>167</v>
      </c>
      <c r="G549" s="4" t="n">
        <v>159</v>
      </c>
      <c r="H549" s="4" t="n">
        <v>685.84</v>
      </c>
      <c r="I549" s="4" t="n">
        <v>701.79</v>
      </c>
      <c r="J549" s="14" t="n">
        <f aca="false">E549-D549</f>
        <v>4</v>
      </c>
      <c r="K549" s="14" t="n">
        <f aca="false">IF(J549&lt;=0,1,0)</f>
        <v>0</v>
      </c>
      <c r="L549" s="15" t="n">
        <f aca="false">IFERROR(G549/F549,0)</f>
        <v>0.952095808383234</v>
      </c>
      <c r="M549" s="15" t="n">
        <f aca="false">IFERROR((I549-H549)/H549,0)</f>
        <v>0.0232561530386095</v>
      </c>
      <c r="N549" s="16" t="n">
        <f aca="false">G549*I549</f>
        <v>111584.61</v>
      </c>
    </row>
    <row r="550" customFormat="false" ht="15" hidden="false" customHeight="true" outlineLevel="0" collapsed="false">
      <c r="A550" s="4" t="s">
        <v>726</v>
      </c>
      <c r="B550" s="4" t="s">
        <v>43</v>
      </c>
      <c r="C550" s="13" t="n">
        <v>45292</v>
      </c>
      <c r="D550" s="13" t="n">
        <v>45310</v>
      </c>
      <c r="E550" s="13" t="n">
        <v>45310</v>
      </c>
      <c r="F550" s="4" t="n">
        <v>129</v>
      </c>
      <c r="G550" s="4" t="n">
        <v>126</v>
      </c>
      <c r="H550" s="4" t="n">
        <v>1321.6</v>
      </c>
      <c r="I550" s="4" t="n">
        <v>1351.18</v>
      </c>
      <c r="J550" s="14" t="n">
        <f aca="false">E550-D550</f>
        <v>0</v>
      </c>
      <c r="K550" s="14" t="n">
        <f aca="false">IF(J550&lt;=0,1,0)</f>
        <v>1</v>
      </c>
      <c r="L550" s="15" t="n">
        <f aca="false">IFERROR(G550/F550,0)</f>
        <v>0.976744186046512</v>
      </c>
      <c r="M550" s="15" t="n">
        <f aca="false">IFERROR((I550-H550)/H550,0)</f>
        <v>0.02238196125908</v>
      </c>
      <c r="N550" s="16" t="n">
        <f aca="false">G550*I550</f>
        <v>170248.68</v>
      </c>
    </row>
    <row r="551" customFormat="false" ht="15" hidden="false" customHeight="true" outlineLevel="0" collapsed="false">
      <c r="A551" s="4" t="s">
        <v>727</v>
      </c>
      <c r="B551" s="4" t="s">
        <v>52</v>
      </c>
      <c r="C551" s="13" t="n">
        <v>45002</v>
      </c>
      <c r="D551" s="13" t="n">
        <v>45012</v>
      </c>
      <c r="E551" s="13" t="n">
        <v>45017</v>
      </c>
      <c r="F551" s="4" t="n">
        <v>760</v>
      </c>
      <c r="G551" s="4" t="n">
        <v>645</v>
      </c>
      <c r="H551" s="4" t="n">
        <v>170.24</v>
      </c>
      <c r="I551" s="4" t="n">
        <v>170.34</v>
      </c>
      <c r="J551" s="14" t="n">
        <f aca="false">E551-D551</f>
        <v>5</v>
      </c>
      <c r="K551" s="14" t="n">
        <f aca="false">IF(J551&lt;=0,1,0)</f>
        <v>0</v>
      </c>
      <c r="L551" s="15" t="n">
        <f aca="false">IFERROR(G551/F551,0)</f>
        <v>0.848684210526316</v>
      </c>
      <c r="M551" s="15" t="n">
        <f aca="false">IFERROR((I551-H551)/H551,0)</f>
        <v>0.000587406015037561</v>
      </c>
      <c r="N551" s="16" t="n">
        <f aca="false">G551*I551</f>
        <v>109869.3</v>
      </c>
    </row>
    <row r="552" customFormat="false" ht="15" hidden="false" customHeight="true" outlineLevel="0" collapsed="false">
      <c r="A552" s="4" t="s">
        <v>728</v>
      </c>
      <c r="B552" s="4" t="s">
        <v>61</v>
      </c>
      <c r="C552" s="13" t="n">
        <v>45251</v>
      </c>
      <c r="D552" s="13" t="n">
        <v>45262</v>
      </c>
      <c r="E552" s="13" t="n">
        <v>45268</v>
      </c>
      <c r="F552" s="4" t="n">
        <v>540</v>
      </c>
      <c r="G552" s="4" t="n">
        <v>514</v>
      </c>
      <c r="H552" s="4" t="n">
        <v>107.41</v>
      </c>
      <c r="I552" s="4" t="n">
        <v>107.88</v>
      </c>
      <c r="J552" s="14" t="n">
        <f aca="false">E552-D552</f>
        <v>6</v>
      </c>
      <c r="K552" s="14" t="n">
        <f aca="false">IF(J552&lt;=0,1,0)</f>
        <v>0</v>
      </c>
      <c r="L552" s="15" t="n">
        <f aca="false">IFERROR(G552/F552,0)</f>
        <v>0.951851851851852</v>
      </c>
      <c r="M552" s="15" t="n">
        <f aca="false">IFERROR((I552-H552)/H552,0)</f>
        <v>0.00437575644725816</v>
      </c>
      <c r="N552" s="16" t="n">
        <f aca="false">G552*I552</f>
        <v>55450.32</v>
      </c>
    </row>
    <row r="553" customFormat="false" ht="15" hidden="false" customHeight="true" outlineLevel="0" collapsed="false">
      <c r="A553" s="4" t="s">
        <v>729</v>
      </c>
      <c r="B553" s="4" t="s">
        <v>155</v>
      </c>
      <c r="C553" s="13" t="n">
        <v>45523</v>
      </c>
      <c r="D553" s="13" t="n">
        <v>45531</v>
      </c>
      <c r="E553" s="13" t="n">
        <v>45530</v>
      </c>
      <c r="F553" s="4" t="n">
        <v>1801</v>
      </c>
      <c r="G553" s="4" t="n">
        <v>1801</v>
      </c>
      <c r="H553" s="4" t="n">
        <v>24.04</v>
      </c>
      <c r="I553" s="4" t="n">
        <v>22.74</v>
      </c>
      <c r="J553" s="14" t="n">
        <f aca="false">E553-D553</f>
        <v>-1</v>
      </c>
      <c r="K553" s="14" t="n">
        <f aca="false">IF(J553&lt;=0,1,0)</f>
        <v>1</v>
      </c>
      <c r="L553" s="15" t="n">
        <f aca="false">IFERROR(G553/F553,0)</f>
        <v>1</v>
      </c>
      <c r="M553" s="15" t="n">
        <f aca="false">IFERROR((I553-H553)/H553,0)</f>
        <v>-0.0540765391014975</v>
      </c>
      <c r="N553" s="16" t="n">
        <f aca="false">G553*I553</f>
        <v>40954.74</v>
      </c>
    </row>
    <row r="554" customFormat="false" ht="15" hidden="false" customHeight="true" outlineLevel="0" collapsed="false">
      <c r="A554" s="4" t="s">
        <v>730</v>
      </c>
      <c r="B554" s="4" t="s">
        <v>41</v>
      </c>
      <c r="C554" s="13" t="n">
        <v>45122</v>
      </c>
      <c r="D554" s="13" t="n">
        <v>45128</v>
      </c>
      <c r="E554" s="13" t="n">
        <v>45126</v>
      </c>
      <c r="F554" s="4" t="n">
        <v>1185</v>
      </c>
      <c r="G554" s="4" t="n">
        <v>1158</v>
      </c>
      <c r="H554" s="4" t="n">
        <v>45.51</v>
      </c>
      <c r="I554" s="4" t="n">
        <v>44.38</v>
      </c>
      <c r="J554" s="14" t="n">
        <f aca="false">E554-D554</f>
        <v>-2</v>
      </c>
      <c r="K554" s="14" t="n">
        <f aca="false">IF(J554&lt;=0,1,0)</f>
        <v>1</v>
      </c>
      <c r="L554" s="15" t="n">
        <f aca="false">IFERROR(G554/F554,0)</f>
        <v>0.977215189873418</v>
      </c>
      <c r="M554" s="15" t="n">
        <f aca="false">IFERROR((I554-H554)/H554,0)</f>
        <v>-0.0248297077565369</v>
      </c>
      <c r="N554" s="16" t="n">
        <f aca="false">G554*I554</f>
        <v>51392.04</v>
      </c>
    </row>
    <row r="555" customFormat="false" ht="15" hidden="false" customHeight="true" outlineLevel="0" collapsed="false">
      <c r="A555" s="4" t="s">
        <v>731</v>
      </c>
      <c r="B555" s="4" t="s">
        <v>117</v>
      </c>
      <c r="C555" s="13" t="n">
        <v>45463</v>
      </c>
      <c r="D555" s="13" t="n">
        <v>45475</v>
      </c>
      <c r="E555" s="13" t="n">
        <v>45475</v>
      </c>
      <c r="F555" s="4" t="n">
        <v>22</v>
      </c>
      <c r="G555" s="4" t="n">
        <v>21</v>
      </c>
      <c r="H555" s="4" t="n">
        <v>396.01</v>
      </c>
      <c r="I555" s="4" t="n">
        <v>391.43</v>
      </c>
      <c r="J555" s="14" t="n">
        <f aca="false">E555-D555</f>
        <v>0</v>
      </c>
      <c r="K555" s="14" t="n">
        <f aca="false">IF(J555&lt;=0,1,0)</f>
        <v>1</v>
      </c>
      <c r="L555" s="15" t="n">
        <f aca="false">IFERROR(G555/F555,0)</f>
        <v>0.954545454545455</v>
      </c>
      <c r="M555" s="15" t="n">
        <f aca="false">IFERROR((I555-H555)/H555,0)</f>
        <v>-0.0115653645109972</v>
      </c>
      <c r="N555" s="16" t="n">
        <f aca="false">G555*I555</f>
        <v>8220.03</v>
      </c>
    </row>
    <row r="556" customFormat="false" ht="15" hidden="false" customHeight="true" outlineLevel="0" collapsed="false">
      <c r="A556" s="4" t="s">
        <v>732</v>
      </c>
      <c r="B556" s="4" t="s">
        <v>163</v>
      </c>
      <c r="C556" s="13" t="n">
        <v>45311</v>
      </c>
      <c r="D556" s="13" t="n">
        <v>45330</v>
      </c>
      <c r="E556" s="13" t="n">
        <v>45337</v>
      </c>
      <c r="F556" s="4" t="n">
        <v>487</v>
      </c>
      <c r="G556" s="4" t="n">
        <v>472</v>
      </c>
      <c r="H556" s="4" t="n">
        <v>482.79</v>
      </c>
      <c r="I556" s="4" t="n">
        <v>488.82</v>
      </c>
      <c r="J556" s="14" t="n">
        <f aca="false">E556-D556</f>
        <v>7</v>
      </c>
      <c r="K556" s="14" t="n">
        <f aca="false">IF(J556&lt;=0,1,0)</f>
        <v>0</v>
      </c>
      <c r="L556" s="15" t="n">
        <f aca="false">IFERROR(G556/F556,0)</f>
        <v>0.969199178644764</v>
      </c>
      <c r="M556" s="15" t="n">
        <f aca="false">IFERROR((I556-H556)/H556,0)</f>
        <v>0.0124899024420555</v>
      </c>
      <c r="N556" s="16" t="n">
        <f aca="false">G556*I556</f>
        <v>230723.04</v>
      </c>
    </row>
    <row r="557" customFormat="false" ht="15" hidden="false" customHeight="true" outlineLevel="0" collapsed="false">
      <c r="A557" s="4" t="s">
        <v>733</v>
      </c>
      <c r="B557" s="4" t="s">
        <v>50</v>
      </c>
      <c r="C557" s="13" t="n">
        <v>45458</v>
      </c>
      <c r="D557" s="13" t="n">
        <v>45475</v>
      </c>
      <c r="E557" s="13" t="n">
        <v>45473</v>
      </c>
      <c r="F557" s="4" t="n">
        <v>373</v>
      </c>
      <c r="G557" s="4" t="n">
        <v>373</v>
      </c>
      <c r="H557" s="4" t="n">
        <v>707.19</v>
      </c>
      <c r="I557" s="4" t="n">
        <v>742.72</v>
      </c>
      <c r="J557" s="14" t="n">
        <f aca="false">E557-D557</f>
        <v>-2</v>
      </c>
      <c r="K557" s="14" t="n">
        <f aca="false">IF(J557&lt;=0,1,0)</f>
        <v>1</v>
      </c>
      <c r="L557" s="15" t="n">
        <f aca="false">IFERROR(G557/F557,0)</f>
        <v>1</v>
      </c>
      <c r="M557" s="15" t="n">
        <f aca="false">IFERROR((I557-H557)/H557,0)</f>
        <v>0.0502410950381085</v>
      </c>
      <c r="N557" s="16" t="n">
        <f aca="false">G557*I557</f>
        <v>277034.56</v>
      </c>
    </row>
    <row r="558" customFormat="false" ht="15" hidden="false" customHeight="true" outlineLevel="0" collapsed="false">
      <c r="A558" s="4" t="s">
        <v>734</v>
      </c>
      <c r="B558" s="4" t="s">
        <v>137</v>
      </c>
      <c r="C558" s="13" t="n">
        <v>44959</v>
      </c>
      <c r="D558" s="13" t="n">
        <v>44976</v>
      </c>
      <c r="E558" s="13" t="n">
        <v>44973</v>
      </c>
      <c r="F558" s="4" t="n">
        <v>237</v>
      </c>
      <c r="G558" s="4" t="n">
        <v>218</v>
      </c>
      <c r="H558" s="4" t="n">
        <v>1047.25</v>
      </c>
      <c r="I558" s="4" t="n">
        <v>1038.11</v>
      </c>
      <c r="J558" s="14" t="n">
        <f aca="false">E558-D558</f>
        <v>-3</v>
      </c>
      <c r="K558" s="14" t="n">
        <f aca="false">IF(J558&lt;=0,1,0)</f>
        <v>1</v>
      </c>
      <c r="L558" s="15" t="n">
        <f aca="false">IFERROR(G558/F558,0)</f>
        <v>0.919831223628692</v>
      </c>
      <c r="M558" s="15" t="n">
        <f aca="false">IFERROR((I558-H558)/H558,0)</f>
        <v>-0.00872761995703041</v>
      </c>
      <c r="N558" s="16" t="n">
        <f aca="false">G558*I558</f>
        <v>226307.98</v>
      </c>
    </row>
    <row r="559" customFormat="false" ht="15" hidden="false" customHeight="true" outlineLevel="0" collapsed="false">
      <c r="A559" s="4" t="s">
        <v>735</v>
      </c>
      <c r="B559" s="4" t="s">
        <v>145</v>
      </c>
      <c r="C559" s="13" t="n">
        <v>45421</v>
      </c>
      <c r="D559" s="13" t="n">
        <v>45431</v>
      </c>
      <c r="E559" s="13" t="n">
        <v>45436</v>
      </c>
      <c r="F559" s="4" t="n">
        <v>912</v>
      </c>
      <c r="G559" s="4" t="n">
        <v>870</v>
      </c>
      <c r="H559" s="4" t="n">
        <v>237.04</v>
      </c>
      <c r="I559" s="4" t="n">
        <v>260.92</v>
      </c>
      <c r="J559" s="14" t="n">
        <f aca="false">E559-D559</f>
        <v>5</v>
      </c>
      <c r="K559" s="14" t="n">
        <f aca="false">IF(J559&lt;=0,1,0)</f>
        <v>0</v>
      </c>
      <c r="L559" s="15" t="n">
        <f aca="false">IFERROR(G559/F559,0)</f>
        <v>0.953947368421053</v>
      </c>
      <c r="M559" s="15" t="n">
        <f aca="false">IFERROR((I559-H559)/H559,0)</f>
        <v>0.100742490718866</v>
      </c>
      <c r="N559" s="16" t="n">
        <f aca="false">G559*I559</f>
        <v>227000.4</v>
      </c>
    </row>
    <row r="560" customFormat="false" ht="15" hidden="false" customHeight="true" outlineLevel="0" collapsed="false">
      <c r="A560" s="4" t="s">
        <v>736</v>
      </c>
      <c r="B560" s="4" t="s">
        <v>72</v>
      </c>
      <c r="C560" s="13" t="n">
        <v>45128</v>
      </c>
      <c r="D560" s="13" t="n">
        <v>45134</v>
      </c>
      <c r="E560" s="13" t="n">
        <v>45141</v>
      </c>
      <c r="F560" s="4" t="n">
        <v>2061</v>
      </c>
      <c r="G560" s="4" t="n">
        <v>2061</v>
      </c>
      <c r="H560" s="4" t="n">
        <v>34.53</v>
      </c>
      <c r="I560" s="4" t="n">
        <v>35.01</v>
      </c>
      <c r="J560" s="14" t="n">
        <f aca="false">E560-D560</f>
        <v>7</v>
      </c>
      <c r="K560" s="14" t="n">
        <f aca="false">IF(J560&lt;=0,1,0)</f>
        <v>0</v>
      </c>
      <c r="L560" s="15" t="n">
        <f aca="false">IFERROR(G560/F560,0)</f>
        <v>1</v>
      </c>
      <c r="M560" s="15" t="n">
        <f aca="false">IFERROR((I560-H560)/H560,0)</f>
        <v>0.0139009556907036</v>
      </c>
      <c r="N560" s="16" t="n">
        <f aca="false">G560*I560</f>
        <v>72155.61</v>
      </c>
    </row>
    <row r="561" customFormat="false" ht="15" hidden="false" customHeight="true" outlineLevel="0" collapsed="false">
      <c r="A561" s="4" t="s">
        <v>737</v>
      </c>
      <c r="B561" s="4" t="s">
        <v>111</v>
      </c>
      <c r="C561" s="13" t="n">
        <v>45299</v>
      </c>
      <c r="D561" s="13" t="n">
        <v>45310</v>
      </c>
      <c r="E561" s="13" t="n">
        <v>45318</v>
      </c>
      <c r="F561" s="4" t="n">
        <v>404</v>
      </c>
      <c r="G561" s="4" t="n">
        <v>400</v>
      </c>
      <c r="H561" s="4" t="n">
        <v>148.08</v>
      </c>
      <c r="I561" s="4" t="n">
        <v>151.73</v>
      </c>
      <c r="J561" s="14" t="n">
        <f aca="false">E561-D561</f>
        <v>8</v>
      </c>
      <c r="K561" s="14" t="n">
        <f aca="false">IF(J561&lt;=0,1,0)</f>
        <v>0</v>
      </c>
      <c r="L561" s="15" t="n">
        <f aca="false">IFERROR(G561/F561,0)</f>
        <v>0.99009900990099</v>
      </c>
      <c r="M561" s="15" t="n">
        <f aca="false">IFERROR((I561-H561)/H561,0)</f>
        <v>0.0246488384656941</v>
      </c>
      <c r="N561" s="16" t="n">
        <f aca="false">G561*I561</f>
        <v>60692</v>
      </c>
    </row>
    <row r="562" customFormat="false" ht="15" hidden="false" customHeight="true" outlineLevel="0" collapsed="false">
      <c r="A562" s="4" t="s">
        <v>738</v>
      </c>
      <c r="B562" s="4" t="s">
        <v>70</v>
      </c>
      <c r="C562" s="13" t="n">
        <v>45247</v>
      </c>
      <c r="D562" s="13" t="n">
        <v>45254</v>
      </c>
      <c r="E562" s="13" t="n">
        <v>45253</v>
      </c>
      <c r="F562" s="4" t="n">
        <v>3300</v>
      </c>
      <c r="G562" s="4" t="n">
        <v>2980</v>
      </c>
      <c r="H562" s="4" t="n">
        <v>35.88</v>
      </c>
      <c r="I562" s="4" t="n">
        <v>37.69</v>
      </c>
      <c r="J562" s="14" t="n">
        <f aca="false">E562-D562</f>
        <v>-1</v>
      </c>
      <c r="K562" s="14" t="n">
        <f aca="false">IF(J562&lt;=0,1,0)</f>
        <v>1</v>
      </c>
      <c r="L562" s="15" t="n">
        <f aca="false">IFERROR(G562/F562,0)</f>
        <v>0.903030303030303</v>
      </c>
      <c r="M562" s="15" t="n">
        <f aca="false">IFERROR((I562-H562)/H562,0)</f>
        <v>0.0504459308807134</v>
      </c>
      <c r="N562" s="16" t="n">
        <f aca="false">G562*I562</f>
        <v>112316.2</v>
      </c>
    </row>
    <row r="563" customFormat="false" ht="15" hidden="false" customHeight="true" outlineLevel="0" collapsed="false">
      <c r="A563" s="4" t="s">
        <v>739</v>
      </c>
      <c r="B563" s="4" t="s">
        <v>41</v>
      </c>
      <c r="C563" s="13" t="n">
        <v>45049</v>
      </c>
      <c r="D563" s="13" t="n">
        <v>45058</v>
      </c>
      <c r="E563" s="13" t="n">
        <v>45059</v>
      </c>
      <c r="F563" s="4" t="n">
        <v>2771</v>
      </c>
      <c r="G563" s="4" t="n">
        <v>2710</v>
      </c>
      <c r="H563" s="4" t="n">
        <v>45.51</v>
      </c>
      <c r="I563" s="4" t="n">
        <v>44.85</v>
      </c>
      <c r="J563" s="14" t="n">
        <f aca="false">E563-D563</f>
        <v>1</v>
      </c>
      <c r="K563" s="14" t="n">
        <f aca="false">IF(J563&lt;=0,1,0)</f>
        <v>0</v>
      </c>
      <c r="L563" s="15" t="n">
        <f aca="false">IFERROR(G563/F563,0)</f>
        <v>0.977986286539156</v>
      </c>
      <c r="M563" s="15" t="n">
        <f aca="false">IFERROR((I563-H563)/H563,0)</f>
        <v>-0.0145023071852339</v>
      </c>
      <c r="N563" s="16" t="n">
        <f aca="false">G563*I563</f>
        <v>121543.5</v>
      </c>
    </row>
    <row r="564" customFormat="false" ht="15" hidden="false" customHeight="true" outlineLevel="0" collapsed="false">
      <c r="A564" s="4" t="s">
        <v>740</v>
      </c>
      <c r="B564" s="4" t="s">
        <v>99</v>
      </c>
      <c r="C564" s="13" t="n">
        <v>45240</v>
      </c>
      <c r="D564" s="13" t="n">
        <v>45247</v>
      </c>
      <c r="E564" s="13" t="n">
        <v>45252</v>
      </c>
      <c r="F564" s="4" t="n">
        <v>2106</v>
      </c>
      <c r="G564" s="4" t="n">
        <v>1947</v>
      </c>
      <c r="H564" s="4" t="n">
        <v>11.5</v>
      </c>
      <c r="I564" s="4" t="n">
        <v>12.09</v>
      </c>
      <c r="J564" s="14" t="n">
        <f aca="false">E564-D564</f>
        <v>5</v>
      </c>
      <c r="K564" s="14" t="n">
        <f aca="false">IF(J564&lt;=0,1,0)</f>
        <v>0</v>
      </c>
      <c r="L564" s="15" t="n">
        <f aca="false">IFERROR(G564/F564,0)</f>
        <v>0.924501424501425</v>
      </c>
      <c r="M564" s="15" t="n">
        <f aca="false">IFERROR((I564-H564)/H564,0)</f>
        <v>0.0513043478260869</v>
      </c>
      <c r="N564" s="16" t="n">
        <f aca="false">G564*I564</f>
        <v>23539.23</v>
      </c>
    </row>
    <row r="565" customFormat="false" ht="15" hidden="false" customHeight="true" outlineLevel="0" collapsed="false">
      <c r="A565" s="4" t="s">
        <v>741</v>
      </c>
      <c r="B565" s="4" t="s">
        <v>58</v>
      </c>
      <c r="C565" s="13" t="n">
        <v>45407</v>
      </c>
      <c r="D565" s="13" t="n">
        <v>45418</v>
      </c>
      <c r="E565" s="13" t="n">
        <v>45416</v>
      </c>
      <c r="F565" s="4" t="n">
        <v>221</v>
      </c>
      <c r="G565" s="4" t="n">
        <v>211</v>
      </c>
      <c r="H565" s="4" t="n">
        <v>135.68</v>
      </c>
      <c r="I565" s="4" t="n">
        <v>140.14</v>
      </c>
      <c r="J565" s="14" t="n">
        <f aca="false">E565-D565</f>
        <v>-2</v>
      </c>
      <c r="K565" s="14" t="n">
        <f aca="false">IF(J565&lt;=0,1,0)</f>
        <v>1</v>
      </c>
      <c r="L565" s="15" t="n">
        <f aca="false">IFERROR(G565/F565,0)</f>
        <v>0.95475113122172</v>
      </c>
      <c r="M565" s="15" t="n">
        <f aca="false">IFERROR((I565-H565)/H565,0)</f>
        <v>0.0328714622641508</v>
      </c>
      <c r="N565" s="16" t="n">
        <f aca="false">G565*I565</f>
        <v>29569.54</v>
      </c>
    </row>
    <row r="566" customFormat="false" ht="15" hidden="false" customHeight="true" outlineLevel="0" collapsed="false">
      <c r="A566" s="4" t="s">
        <v>742</v>
      </c>
      <c r="B566" s="4" t="s">
        <v>99</v>
      </c>
      <c r="C566" s="13" t="n">
        <v>44976</v>
      </c>
      <c r="D566" s="13" t="n">
        <v>44982</v>
      </c>
      <c r="E566" s="13" t="n">
        <v>44989</v>
      </c>
      <c r="F566" s="4" t="n">
        <v>4186</v>
      </c>
      <c r="G566" s="4" t="n">
        <v>3909</v>
      </c>
      <c r="H566" s="4" t="n">
        <v>11.5</v>
      </c>
      <c r="I566" s="4" t="n">
        <v>11.43</v>
      </c>
      <c r="J566" s="14" t="n">
        <f aca="false">E566-D566</f>
        <v>7</v>
      </c>
      <c r="K566" s="14" t="n">
        <f aca="false">IF(J566&lt;=0,1,0)</f>
        <v>0</v>
      </c>
      <c r="L566" s="15" t="n">
        <f aca="false">IFERROR(G566/F566,0)</f>
        <v>0.933827042522695</v>
      </c>
      <c r="M566" s="15" t="n">
        <f aca="false">IFERROR((I566-H566)/H566,0)</f>
        <v>-0.00608695652173916</v>
      </c>
      <c r="N566" s="16" t="n">
        <f aca="false">G566*I566</f>
        <v>44679.87</v>
      </c>
    </row>
    <row r="567" customFormat="false" ht="15" hidden="false" customHeight="true" outlineLevel="0" collapsed="false">
      <c r="A567" s="4" t="s">
        <v>743</v>
      </c>
      <c r="B567" s="4" t="s">
        <v>127</v>
      </c>
      <c r="C567" s="13" t="n">
        <v>45122</v>
      </c>
      <c r="D567" s="13" t="n">
        <v>45129</v>
      </c>
      <c r="E567" s="13" t="n">
        <v>45135</v>
      </c>
      <c r="F567" s="4" t="n">
        <v>8</v>
      </c>
      <c r="G567" s="4" t="n">
        <v>8</v>
      </c>
      <c r="H567" s="4" t="n">
        <v>1881</v>
      </c>
      <c r="I567" s="4" t="n">
        <v>1856.27</v>
      </c>
      <c r="J567" s="14" t="n">
        <f aca="false">E567-D567</f>
        <v>6</v>
      </c>
      <c r="K567" s="14" t="n">
        <f aca="false">IF(J567&lt;=0,1,0)</f>
        <v>0</v>
      </c>
      <c r="L567" s="15" t="n">
        <f aca="false">IFERROR(G567/F567,0)</f>
        <v>1</v>
      </c>
      <c r="M567" s="15" t="n">
        <f aca="false">IFERROR((I567-H567)/H567,0)</f>
        <v>-0.0131472620946305</v>
      </c>
      <c r="N567" s="16" t="n">
        <f aca="false">G567*I567</f>
        <v>14850.16</v>
      </c>
    </row>
    <row r="568" customFormat="false" ht="15" hidden="false" customHeight="true" outlineLevel="0" collapsed="false">
      <c r="A568" s="4" t="s">
        <v>744</v>
      </c>
      <c r="B568" s="4" t="s">
        <v>131</v>
      </c>
      <c r="C568" s="13" t="n">
        <v>45584</v>
      </c>
      <c r="D568" s="13" t="n">
        <v>45596</v>
      </c>
      <c r="E568" s="13" t="n">
        <v>45595</v>
      </c>
      <c r="F568" s="4" t="n">
        <v>1906</v>
      </c>
      <c r="G568" s="4" t="n">
        <v>1862</v>
      </c>
      <c r="H568" s="4" t="n">
        <v>88.52</v>
      </c>
      <c r="I568" s="4" t="n">
        <v>91.2</v>
      </c>
      <c r="J568" s="14" t="n">
        <f aca="false">E568-D568</f>
        <v>-1</v>
      </c>
      <c r="K568" s="14" t="n">
        <f aca="false">IF(J568&lt;=0,1,0)</f>
        <v>1</v>
      </c>
      <c r="L568" s="15" t="n">
        <f aca="false">IFERROR(G568/F568,0)</f>
        <v>0.97691500524659</v>
      </c>
      <c r="M568" s="15" t="n">
        <f aca="false">IFERROR((I568-H568)/H568,0)</f>
        <v>0.0302756439222775</v>
      </c>
      <c r="N568" s="16" t="n">
        <f aca="false">G568*I568</f>
        <v>169814.4</v>
      </c>
    </row>
    <row r="569" customFormat="false" ht="15" hidden="false" customHeight="true" outlineLevel="0" collapsed="false">
      <c r="A569" s="4" t="s">
        <v>745</v>
      </c>
      <c r="B569" s="4" t="s">
        <v>159</v>
      </c>
      <c r="C569" s="13" t="n">
        <v>45523</v>
      </c>
      <c r="D569" s="13" t="n">
        <v>45529</v>
      </c>
      <c r="E569" s="13" t="n">
        <v>45529</v>
      </c>
      <c r="F569" s="4" t="n">
        <v>2023</v>
      </c>
      <c r="G569" s="4" t="n">
        <v>2023</v>
      </c>
      <c r="H569" s="4" t="n">
        <v>32.91</v>
      </c>
      <c r="I569" s="4" t="n">
        <v>33.29</v>
      </c>
      <c r="J569" s="14" t="n">
        <f aca="false">E569-D569</f>
        <v>0</v>
      </c>
      <c r="K569" s="14" t="n">
        <f aca="false">IF(J569&lt;=0,1,0)</f>
        <v>1</v>
      </c>
      <c r="L569" s="15" t="n">
        <f aca="false">IFERROR(G569/F569,0)</f>
        <v>1</v>
      </c>
      <c r="M569" s="15" t="n">
        <f aca="false">IFERROR((I569-H569)/H569,0)</f>
        <v>0.011546642357946</v>
      </c>
      <c r="N569" s="16" t="n">
        <f aca="false">G569*I569</f>
        <v>67345.67</v>
      </c>
    </row>
    <row r="570" customFormat="false" ht="15" hidden="false" customHeight="true" outlineLevel="0" collapsed="false">
      <c r="A570" s="4" t="s">
        <v>746</v>
      </c>
      <c r="B570" s="4" t="s">
        <v>147</v>
      </c>
      <c r="C570" s="13" t="n">
        <v>45041</v>
      </c>
      <c r="D570" s="13" t="n">
        <v>45053</v>
      </c>
      <c r="E570" s="13" t="n">
        <v>45056</v>
      </c>
      <c r="F570" s="4" t="n">
        <v>256</v>
      </c>
      <c r="G570" s="4" t="n">
        <v>252</v>
      </c>
      <c r="H570" s="4" t="n">
        <v>203.3</v>
      </c>
      <c r="I570" s="4" t="n">
        <v>203.59</v>
      </c>
      <c r="J570" s="14" t="n">
        <f aca="false">E570-D570</f>
        <v>3</v>
      </c>
      <c r="K570" s="14" t="n">
        <f aca="false">IF(J570&lt;=0,1,0)</f>
        <v>0</v>
      </c>
      <c r="L570" s="15" t="n">
        <f aca="false">IFERROR(G570/F570,0)</f>
        <v>0.984375</v>
      </c>
      <c r="M570" s="15" t="n">
        <f aca="false">IFERROR((I570-H570)/H570,0)</f>
        <v>0.00142646335464826</v>
      </c>
      <c r="N570" s="16" t="n">
        <f aca="false">G570*I570</f>
        <v>51304.68</v>
      </c>
    </row>
    <row r="571" customFormat="false" ht="15" hidden="false" customHeight="true" outlineLevel="0" collapsed="false">
      <c r="A571" s="4" t="s">
        <v>747</v>
      </c>
      <c r="B571" s="4" t="s">
        <v>117</v>
      </c>
      <c r="C571" s="13" t="n">
        <v>45645</v>
      </c>
      <c r="D571" s="13" t="n">
        <v>45656</v>
      </c>
      <c r="E571" s="13" t="n">
        <v>45660</v>
      </c>
      <c r="F571" s="4" t="n">
        <v>226</v>
      </c>
      <c r="G571" s="4" t="n">
        <v>207</v>
      </c>
      <c r="H571" s="4" t="n">
        <v>396.01</v>
      </c>
      <c r="I571" s="4" t="n">
        <v>380.12</v>
      </c>
      <c r="J571" s="14" t="n">
        <f aca="false">E571-D571</f>
        <v>4</v>
      </c>
      <c r="K571" s="14" t="n">
        <f aca="false">IF(J571&lt;=0,1,0)</f>
        <v>0</v>
      </c>
      <c r="L571" s="15" t="n">
        <f aca="false">IFERROR(G571/F571,0)</f>
        <v>0.915929203539823</v>
      </c>
      <c r="M571" s="15" t="n">
        <f aca="false">IFERROR((I571-H571)/H571,0)</f>
        <v>-0.0401252493623898</v>
      </c>
      <c r="N571" s="16" t="n">
        <f aca="false">G571*I571</f>
        <v>78684.84</v>
      </c>
    </row>
    <row r="572" customFormat="false" ht="15" hidden="false" customHeight="true" outlineLevel="0" collapsed="false">
      <c r="A572" s="4" t="s">
        <v>748</v>
      </c>
      <c r="B572" s="4" t="s">
        <v>47</v>
      </c>
      <c r="C572" s="13" t="n">
        <v>45109</v>
      </c>
      <c r="D572" s="13" t="n">
        <v>45119</v>
      </c>
      <c r="E572" s="13" t="n">
        <v>45118</v>
      </c>
      <c r="F572" s="4" t="n">
        <v>986</v>
      </c>
      <c r="G572" s="4" t="n">
        <v>972</v>
      </c>
      <c r="H572" s="4" t="n">
        <v>228.68</v>
      </c>
      <c r="I572" s="4" t="n">
        <v>223.2</v>
      </c>
      <c r="J572" s="14" t="n">
        <f aca="false">E572-D572</f>
        <v>-1</v>
      </c>
      <c r="K572" s="14" t="n">
        <f aca="false">IF(J572&lt;=0,1,0)</f>
        <v>1</v>
      </c>
      <c r="L572" s="15" t="n">
        <f aca="false">IFERROR(G572/F572,0)</f>
        <v>0.98580121703854</v>
      </c>
      <c r="M572" s="15" t="n">
        <f aca="false">IFERROR((I572-H572)/H572,0)</f>
        <v>-0.0239636172817912</v>
      </c>
      <c r="N572" s="16" t="n">
        <f aca="false">G572*I572</f>
        <v>216950.4</v>
      </c>
    </row>
    <row r="573" customFormat="false" ht="15" hidden="false" customHeight="true" outlineLevel="0" collapsed="false">
      <c r="A573" s="4" t="s">
        <v>749</v>
      </c>
      <c r="B573" s="4" t="s">
        <v>99</v>
      </c>
      <c r="C573" s="13" t="n">
        <v>45037</v>
      </c>
      <c r="D573" s="13" t="n">
        <v>45045</v>
      </c>
      <c r="E573" s="13" t="n">
        <v>45044</v>
      </c>
      <c r="F573" s="4" t="n">
        <v>3712</v>
      </c>
      <c r="G573" s="4" t="n">
        <v>3428</v>
      </c>
      <c r="H573" s="4" t="n">
        <v>11.5</v>
      </c>
      <c r="I573" s="4" t="n">
        <v>11.73</v>
      </c>
      <c r="J573" s="14" t="n">
        <f aca="false">E573-D573</f>
        <v>-1</v>
      </c>
      <c r="K573" s="14" t="n">
        <f aca="false">IF(J573&lt;=0,1,0)</f>
        <v>1</v>
      </c>
      <c r="L573" s="15" t="n">
        <f aca="false">IFERROR(G573/F573,0)</f>
        <v>0.923491379310345</v>
      </c>
      <c r="M573" s="15" t="n">
        <f aca="false">IFERROR((I573-H573)/H573,0)</f>
        <v>0.02</v>
      </c>
      <c r="N573" s="16" t="n">
        <f aca="false">G573*I573</f>
        <v>40210.44</v>
      </c>
    </row>
    <row r="574" customFormat="false" ht="15" hidden="false" customHeight="true" outlineLevel="0" collapsed="false">
      <c r="A574" s="4" t="s">
        <v>750</v>
      </c>
      <c r="B574" s="4" t="s">
        <v>95</v>
      </c>
      <c r="C574" s="13" t="n">
        <v>45457</v>
      </c>
      <c r="D574" s="13" t="n">
        <v>45465</v>
      </c>
      <c r="E574" s="13" t="n">
        <v>45467</v>
      </c>
      <c r="F574" s="4" t="n">
        <v>2726</v>
      </c>
      <c r="G574" s="4" t="n">
        <v>2723</v>
      </c>
      <c r="H574" s="4" t="n">
        <v>20.39</v>
      </c>
      <c r="I574" s="4" t="n">
        <v>21.1</v>
      </c>
      <c r="J574" s="14" t="n">
        <f aca="false">E574-D574</f>
        <v>2</v>
      </c>
      <c r="K574" s="14" t="n">
        <f aca="false">IF(J574&lt;=0,1,0)</f>
        <v>0</v>
      </c>
      <c r="L574" s="15" t="n">
        <f aca="false">IFERROR(G574/F574,0)</f>
        <v>0.998899486426999</v>
      </c>
      <c r="M574" s="15" t="n">
        <f aca="false">IFERROR((I574-H574)/H574,0)</f>
        <v>0.0348209906817068</v>
      </c>
      <c r="N574" s="16" t="n">
        <f aca="false">G574*I574</f>
        <v>57455.3</v>
      </c>
    </row>
    <row r="575" customFormat="false" ht="15" hidden="false" customHeight="true" outlineLevel="0" collapsed="false">
      <c r="A575" s="4" t="s">
        <v>751</v>
      </c>
      <c r="B575" s="4" t="s">
        <v>105</v>
      </c>
      <c r="C575" s="13" t="n">
        <v>45536</v>
      </c>
      <c r="D575" s="13" t="n">
        <v>45554</v>
      </c>
      <c r="E575" s="13" t="n">
        <v>45554</v>
      </c>
      <c r="F575" s="4" t="n">
        <v>111</v>
      </c>
      <c r="G575" s="4" t="n">
        <v>107</v>
      </c>
      <c r="H575" s="4" t="n">
        <v>685.84</v>
      </c>
      <c r="I575" s="4" t="n">
        <v>717.51</v>
      </c>
      <c r="J575" s="14" t="n">
        <f aca="false">E575-D575</f>
        <v>0</v>
      </c>
      <c r="K575" s="14" t="n">
        <f aca="false">IF(J575&lt;=0,1,0)</f>
        <v>1</v>
      </c>
      <c r="L575" s="15" t="n">
        <f aca="false">IFERROR(G575/F575,0)</f>
        <v>0.963963963963964</v>
      </c>
      <c r="M575" s="15" t="n">
        <f aca="false">IFERROR((I575-H575)/H575,0)</f>
        <v>0.0461769508923363</v>
      </c>
      <c r="N575" s="16" t="n">
        <f aca="false">G575*I575</f>
        <v>76773.57</v>
      </c>
    </row>
    <row r="576" customFormat="false" ht="15" hidden="false" customHeight="true" outlineLevel="0" collapsed="false">
      <c r="A576" s="4" t="s">
        <v>752</v>
      </c>
      <c r="B576" s="4" t="s">
        <v>68</v>
      </c>
      <c r="C576" s="13" t="n">
        <v>45207</v>
      </c>
      <c r="D576" s="13" t="n">
        <v>45226</v>
      </c>
      <c r="E576" s="13" t="n">
        <v>45226</v>
      </c>
      <c r="F576" s="4" t="n">
        <v>190</v>
      </c>
      <c r="G576" s="4" t="n">
        <v>169</v>
      </c>
      <c r="H576" s="4" t="n">
        <v>1232.83</v>
      </c>
      <c r="I576" s="4" t="n">
        <v>1236.26</v>
      </c>
      <c r="J576" s="14" t="n">
        <f aca="false">E576-D576</f>
        <v>0</v>
      </c>
      <c r="K576" s="14" t="n">
        <f aca="false">IF(J576&lt;=0,1,0)</f>
        <v>1</v>
      </c>
      <c r="L576" s="15" t="n">
        <f aca="false">IFERROR(G576/F576,0)</f>
        <v>0.889473684210526</v>
      </c>
      <c r="M576" s="15" t="n">
        <f aca="false">IFERROR((I576-H576)/H576,0)</f>
        <v>0.00278221652620399</v>
      </c>
      <c r="N576" s="16" t="n">
        <f aca="false">G576*I576</f>
        <v>208927.94</v>
      </c>
    </row>
    <row r="577" customFormat="false" ht="15" hidden="false" customHeight="true" outlineLevel="0" collapsed="false">
      <c r="A577" s="4" t="s">
        <v>753</v>
      </c>
      <c r="B577" s="4" t="s">
        <v>79</v>
      </c>
      <c r="C577" s="13" t="n">
        <v>45526</v>
      </c>
      <c r="D577" s="13" t="n">
        <v>45544</v>
      </c>
      <c r="E577" s="13" t="n">
        <v>45545</v>
      </c>
      <c r="F577" s="4" t="n">
        <v>111</v>
      </c>
      <c r="G577" s="4" t="n">
        <v>107</v>
      </c>
      <c r="H577" s="4" t="n">
        <v>821.48</v>
      </c>
      <c r="I577" s="4" t="n">
        <v>870.38</v>
      </c>
      <c r="J577" s="14" t="n">
        <f aca="false">E577-D577</f>
        <v>1</v>
      </c>
      <c r="K577" s="14" t="n">
        <f aca="false">IF(J577&lt;=0,1,0)</f>
        <v>0</v>
      </c>
      <c r="L577" s="15" t="n">
        <f aca="false">IFERROR(G577/F577,0)</f>
        <v>0.963963963963964</v>
      </c>
      <c r="M577" s="15" t="n">
        <f aca="false">IFERROR((I577-H577)/H577,0)</f>
        <v>0.059526707893071</v>
      </c>
      <c r="N577" s="16" t="n">
        <f aca="false">G577*I577</f>
        <v>93130.66</v>
      </c>
    </row>
    <row r="578" customFormat="false" ht="15" hidden="false" customHeight="true" outlineLevel="0" collapsed="false">
      <c r="A578" s="4" t="s">
        <v>754</v>
      </c>
      <c r="B578" s="4" t="s">
        <v>155</v>
      </c>
      <c r="C578" s="13" t="n">
        <v>45639</v>
      </c>
      <c r="D578" s="13" t="n">
        <v>45646</v>
      </c>
      <c r="E578" s="13" t="n">
        <v>45644</v>
      </c>
      <c r="F578" s="4" t="n">
        <v>1407</v>
      </c>
      <c r="G578" s="4" t="n">
        <v>1367</v>
      </c>
      <c r="H578" s="4" t="n">
        <v>24.04</v>
      </c>
      <c r="I578" s="4" t="n">
        <v>22.74</v>
      </c>
      <c r="J578" s="14" t="n">
        <f aca="false">E578-D578</f>
        <v>-2</v>
      </c>
      <c r="K578" s="14" t="n">
        <f aca="false">IF(J578&lt;=0,1,0)</f>
        <v>1</v>
      </c>
      <c r="L578" s="15" t="n">
        <f aca="false">IFERROR(G578/F578,0)</f>
        <v>0.971570717839375</v>
      </c>
      <c r="M578" s="15" t="n">
        <f aca="false">IFERROR((I578-H578)/H578,0)</f>
        <v>-0.0540765391014975</v>
      </c>
      <c r="N578" s="16" t="n">
        <f aca="false">G578*I578</f>
        <v>31085.58</v>
      </c>
    </row>
    <row r="579" customFormat="false" ht="15" hidden="false" customHeight="true" outlineLevel="0" collapsed="false">
      <c r="A579" s="4" t="s">
        <v>755</v>
      </c>
      <c r="B579" s="4" t="s">
        <v>99</v>
      </c>
      <c r="C579" s="13" t="n">
        <v>45040</v>
      </c>
      <c r="D579" s="13" t="n">
        <v>45046</v>
      </c>
      <c r="E579" s="13" t="n">
        <v>45046</v>
      </c>
      <c r="F579" s="4" t="n">
        <v>3005</v>
      </c>
      <c r="G579" s="4" t="n">
        <v>2821</v>
      </c>
      <c r="H579" s="4" t="n">
        <v>11.5</v>
      </c>
      <c r="I579" s="4" t="n">
        <v>11.86</v>
      </c>
      <c r="J579" s="14" t="n">
        <f aca="false">E579-D579</f>
        <v>0</v>
      </c>
      <c r="K579" s="14" t="n">
        <f aca="false">IF(J579&lt;=0,1,0)</f>
        <v>1</v>
      </c>
      <c r="L579" s="15" t="n">
        <f aca="false">IFERROR(G579/F579,0)</f>
        <v>0.938768718801997</v>
      </c>
      <c r="M579" s="15" t="n">
        <f aca="false">IFERROR((I579-H579)/H579,0)</f>
        <v>0.0313043478260869</v>
      </c>
      <c r="N579" s="16" t="n">
        <f aca="false">G579*I579</f>
        <v>33457.06</v>
      </c>
    </row>
    <row r="580" customFormat="false" ht="15" hidden="false" customHeight="true" outlineLevel="0" collapsed="false">
      <c r="A580" s="4" t="s">
        <v>756</v>
      </c>
      <c r="B580" s="4" t="s">
        <v>121</v>
      </c>
      <c r="C580" s="13" t="n">
        <v>45629</v>
      </c>
      <c r="D580" s="13" t="n">
        <v>45638</v>
      </c>
      <c r="E580" s="13" t="n">
        <v>45637</v>
      </c>
      <c r="F580" s="4" t="n">
        <v>575</v>
      </c>
      <c r="G580" s="4" t="n">
        <v>505</v>
      </c>
      <c r="H580" s="4" t="n">
        <v>206.07</v>
      </c>
      <c r="I580" s="4" t="n">
        <v>233.71</v>
      </c>
      <c r="J580" s="14" t="n">
        <f aca="false">E580-D580</f>
        <v>-1</v>
      </c>
      <c r="K580" s="14" t="n">
        <f aca="false">IF(J580&lt;=0,1,0)</f>
        <v>1</v>
      </c>
      <c r="L580" s="15" t="n">
        <f aca="false">IFERROR(G580/F580,0)</f>
        <v>0.878260869565217</v>
      </c>
      <c r="M580" s="15" t="n">
        <f aca="false">IFERROR((I580-H580)/H580,0)</f>
        <v>0.134129179405057</v>
      </c>
      <c r="N580" s="16" t="n">
        <f aca="false">G580*I580</f>
        <v>118023.55</v>
      </c>
    </row>
    <row r="581" customFormat="false" ht="15" hidden="false" customHeight="true" outlineLevel="0" collapsed="false">
      <c r="A581" s="4" t="s">
        <v>757</v>
      </c>
      <c r="B581" s="4" t="s">
        <v>155</v>
      </c>
      <c r="C581" s="13" t="n">
        <v>45041</v>
      </c>
      <c r="D581" s="13" t="n">
        <v>45047</v>
      </c>
      <c r="E581" s="13" t="n">
        <v>45042</v>
      </c>
      <c r="F581" s="4" t="n">
        <v>2523</v>
      </c>
      <c r="G581" s="4" t="n">
        <v>2450</v>
      </c>
      <c r="H581" s="4" t="n">
        <v>24.04</v>
      </c>
      <c r="I581" s="4" t="n">
        <v>23.54</v>
      </c>
      <c r="J581" s="14" t="n">
        <f aca="false">E581-D581</f>
        <v>-5</v>
      </c>
      <c r="K581" s="14" t="n">
        <f aca="false">IF(J581&lt;=0,1,0)</f>
        <v>1</v>
      </c>
      <c r="L581" s="15" t="n">
        <f aca="false">IFERROR(G581/F581,0)</f>
        <v>0.97106619104241</v>
      </c>
      <c r="M581" s="15" t="n">
        <f aca="false">IFERROR((I581-H581)/H581,0)</f>
        <v>-0.0207986688851914</v>
      </c>
      <c r="N581" s="16" t="n">
        <f aca="false">G581*I581</f>
        <v>57673</v>
      </c>
    </row>
    <row r="582" customFormat="false" ht="15" hidden="false" customHeight="true" outlineLevel="0" collapsed="false">
      <c r="A582" s="4" t="s">
        <v>758</v>
      </c>
      <c r="B582" s="4" t="s">
        <v>74</v>
      </c>
      <c r="C582" s="13" t="n">
        <v>44985</v>
      </c>
      <c r="D582" s="13" t="n">
        <v>44992</v>
      </c>
      <c r="E582" s="13" t="n">
        <v>44988</v>
      </c>
      <c r="F582" s="4" t="n">
        <v>1</v>
      </c>
      <c r="G582" s="4" t="n">
        <v>1</v>
      </c>
      <c r="H582" s="4" t="n">
        <v>1294.62</v>
      </c>
      <c r="I582" s="4" t="n">
        <v>1316.22</v>
      </c>
      <c r="J582" s="14" t="n">
        <f aca="false">E582-D582</f>
        <v>-4</v>
      </c>
      <c r="K582" s="14" t="n">
        <f aca="false">IF(J582&lt;=0,1,0)</f>
        <v>1</v>
      </c>
      <c r="L582" s="15" t="n">
        <f aca="false">IFERROR(G582/F582,0)</f>
        <v>1</v>
      </c>
      <c r="M582" s="15" t="n">
        <f aca="false">IFERROR((I582-H582)/H582,0)</f>
        <v>0.016684432497567</v>
      </c>
      <c r="N582" s="16" t="n">
        <f aca="false">G582*I582</f>
        <v>1316.22</v>
      </c>
    </row>
    <row r="583" customFormat="false" ht="15" hidden="false" customHeight="true" outlineLevel="0" collapsed="false">
      <c r="A583" s="4" t="s">
        <v>759</v>
      </c>
      <c r="B583" s="4" t="s">
        <v>52</v>
      </c>
      <c r="C583" s="13" t="n">
        <v>45360</v>
      </c>
      <c r="D583" s="13" t="n">
        <v>45372</v>
      </c>
      <c r="E583" s="13" t="n">
        <v>45384</v>
      </c>
      <c r="F583" s="4" t="n">
        <v>1358</v>
      </c>
      <c r="G583" s="4" t="n">
        <v>1161</v>
      </c>
      <c r="H583" s="4" t="n">
        <v>170.24</v>
      </c>
      <c r="I583" s="4" t="n">
        <v>177.05</v>
      </c>
      <c r="J583" s="14" t="n">
        <f aca="false">E583-D583</f>
        <v>12</v>
      </c>
      <c r="K583" s="14" t="n">
        <f aca="false">IF(J583&lt;=0,1,0)</f>
        <v>0</v>
      </c>
      <c r="L583" s="15" t="n">
        <f aca="false">IFERROR(G583/F583,0)</f>
        <v>0.854933726067747</v>
      </c>
      <c r="M583" s="15" t="n">
        <f aca="false">IFERROR((I583-H583)/H583,0)</f>
        <v>0.0400023496240602</v>
      </c>
      <c r="N583" s="16" t="n">
        <f aca="false">G583*I583</f>
        <v>205555.05</v>
      </c>
    </row>
    <row r="584" customFormat="false" ht="15" hidden="false" customHeight="true" outlineLevel="0" collapsed="false">
      <c r="A584" s="4" t="s">
        <v>760</v>
      </c>
      <c r="B584" s="4" t="s">
        <v>119</v>
      </c>
      <c r="C584" s="13" t="n">
        <v>45538</v>
      </c>
      <c r="D584" s="13" t="n">
        <v>45547</v>
      </c>
      <c r="E584" s="13" t="n">
        <v>45547</v>
      </c>
      <c r="F584" s="4" t="n">
        <v>4157</v>
      </c>
      <c r="G584" s="4" t="n">
        <v>4095</v>
      </c>
      <c r="H584" s="4" t="n">
        <v>50.92</v>
      </c>
      <c r="I584" s="4" t="n">
        <v>45.86</v>
      </c>
      <c r="J584" s="14" t="n">
        <f aca="false">E584-D584</f>
        <v>0</v>
      </c>
      <c r="K584" s="14" t="n">
        <f aca="false">IF(J584&lt;=0,1,0)</f>
        <v>1</v>
      </c>
      <c r="L584" s="15" t="n">
        <f aca="false">IFERROR(G584/F584,0)</f>
        <v>0.985085398123647</v>
      </c>
      <c r="M584" s="15" t="n">
        <f aca="false">IFERROR((I584-H584)/H584,0)</f>
        <v>-0.0993715632364494</v>
      </c>
      <c r="N584" s="16" t="n">
        <f aca="false">G584*I584</f>
        <v>187796.7</v>
      </c>
    </row>
    <row r="585" customFormat="false" ht="15" hidden="false" customHeight="true" outlineLevel="0" collapsed="false">
      <c r="A585" s="4" t="s">
        <v>761</v>
      </c>
      <c r="B585" s="4" t="s">
        <v>43</v>
      </c>
      <c r="C585" s="13" t="n">
        <v>45134</v>
      </c>
      <c r="D585" s="13" t="n">
        <v>45154</v>
      </c>
      <c r="E585" s="13" t="n">
        <v>45156</v>
      </c>
      <c r="F585" s="4" t="n">
        <v>270</v>
      </c>
      <c r="G585" s="4" t="n">
        <v>264</v>
      </c>
      <c r="H585" s="4" t="n">
        <v>1321.6</v>
      </c>
      <c r="I585" s="4" t="n">
        <v>1311.87</v>
      </c>
      <c r="J585" s="14" t="n">
        <f aca="false">E585-D585</f>
        <v>2</v>
      </c>
      <c r="K585" s="14" t="n">
        <f aca="false">IF(J585&lt;=0,1,0)</f>
        <v>0</v>
      </c>
      <c r="L585" s="15" t="n">
        <f aca="false">IFERROR(G585/F585,0)</f>
        <v>0.977777777777778</v>
      </c>
      <c r="M585" s="15" t="n">
        <f aca="false">IFERROR((I585-H585)/H585,0)</f>
        <v>-0.00736228813559323</v>
      </c>
      <c r="N585" s="16" t="n">
        <f aca="false">G585*I585</f>
        <v>346333.68</v>
      </c>
    </row>
    <row r="586" customFormat="false" ht="15" hidden="false" customHeight="true" outlineLevel="0" collapsed="false">
      <c r="A586" s="4" t="s">
        <v>762</v>
      </c>
      <c r="B586" s="4" t="s">
        <v>70</v>
      </c>
      <c r="C586" s="13" t="n">
        <v>45043</v>
      </c>
      <c r="D586" s="13" t="n">
        <v>45051</v>
      </c>
      <c r="E586" s="13" t="n">
        <v>45051</v>
      </c>
      <c r="F586" s="4" t="n">
        <v>3664</v>
      </c>
      <c r="G586" s="4" t="n">
        <v>3440</v>
      </c>
      <c r="H586" s="4" t="n">
        <v>35.88</v>
      </c>
      <c r="I586" s="4" t="n">
        <v>36.65</v>
      </c>
      <c r="J586" s="14" t="n">
        <f aca="false">E586-D586</f>
        <v>0</v>
      </c>
      <c r="K586" s="14" t="n">
        <f aca="false">IF(J586&lt;=0,1,0)</f>
        <v>1</v>
      </c>
      <c r="L586" s="15" t="n">
        <f aca="false">IFERROR(G586/F586,0)</f>
        <v>0.938864628820961</v>
      </c>
      <c r="M586" s="15" t="n">
        <f aca="false">IFERROR((I586-H586)/H586,0)</f>
        <v>0.0214604236343366</v>
      </c>
      <c r="N586" s="16" t="n">
        <f aca="false">G586*I586</f>
        <v>126076</v>
      </c>
    </row>
    <row r="587" customFormat="false" ht="15" hidden="false" customHeight="true" outlineLevel="0" collapsed="false">
      <c r="A587" s="4" t="s">
        <v>763</v>
      </c>
      <c r="B587" s="4" t="s">
        <v>147</v>
      </c>
      <c r="C587" s="13" t="n">
        <v>45510</v>
      </c>
      <c r="D587" s="13" t="n">
        <v>45522</v>
      </c>
      <c r="E587" s="13" t="n">
        <v>45525</v>
      </c>
      <c r="F587" s="4" t="n">
        <v>234</v>
      </c>
      <c r="G587" s="4" t="n">
        <v>229</v>
      </c>
      <c r="H587" s="4" t="n">
        <v>203.3</v>
      </c>
      <c r="I587" s="4" t="n">
        <v>214.05</v>
      </c>
      <c r="J587" s="14" t="n">
        <f aca="false">E587-D587</f>
        <v>3</v>
      </c>
      <c r="K587" s="14" t="n">
        <f aca="false">IF(J587&lt;=0,1,0)</f>
        <v>0</v>
      </c>
      <c r="L587" s="15" t="n">
        <f aca="false">IFERROR(G587/F587,0)</f>
        <v>0.978632478632479</v>
      </c>
      <c r="M587" s="15" t="n">
        <f aca="false">IFERROR((I587-H587)/H587,0)</f>
        <v>0.0528775209050664</v>
      </c>
      <c r="N587" s="16" t="n">
        <f aca="false">G587*I587</f>
        <v>49017.45</v>
      </c>
    </row>
    <row r="588" customFormat="false" ht="15" hidden="false" customHeight="true" outlineLevel="0" collapsed="false">
      <c r="A588" s="4" t="s">
        <v>764</v>
      </c>
      <c r="B588" s="4" t="s">
        <v>95</v>
      </c>
      <c r="C588" s="13" t="n">
        <v>45180</v>
      </c>
      <c r="D588" s="13" t="n">
        <v>45188</v>
      </c>
      <c r="E588" s="13" t="n">
        <v>45187</v>
      </c>
      <c r="F588" s="4" t="n">
        <v>3908</v>
      </c>
      <c r="G588" s="4" t="n">
        <v>3908</v>
      </c>
      <c r="H588" s="4" t="n">
        <v>20.39</v>
      </c>
      <c r="I588" s="4" t="n">
        <v>20.98</v>
      </c>
      <c r="J588" s="14" t="n">
        <f aca="false">E588-D588</f>
        <v>-1</v>
      </c>
      <c r="K588" s="14" t="n">
        <f aca="false">IF(J588&lt;=0,1,0)</f>
        <v>1</v>
      </c>
      <c r="L588" s="15" t="n">
        <f aca="false">IFERROR(G588/F588,0)</f>
        <v>1</v>
      </c>
      <c r="M588" s="15" t="n">
        <f aca="false">IFERROR((I588-H588)/H588,0)</f>
        <v>0.0289357528200098</v>
      </c>
      <c r="N588" s="16" t="n">
        <f aca="false">G588*I588</f>
        <v>81989.84</v>
      </c>
    </row>
    <row r="589" customFormat="false" ht="15" hidden="false" customHeight="true" outlineLevel="0" collapsed="false">
      <c r="A589" s="4" t="s">
        <v>765</v>
      </c>
      <c r="B589" s="4" t="s">
        <v>99</v>
      </c>
      <c r="C589" s="13" t="n">
        <v>44941</v>
      </c>
      <c r="D589" s="13" t="n">
        <v>44948</v>
      </c>
      <c r="E589" s="13" t="n">
        <v>44951</v>
      </c>
      <c r="F589" s="4" t="n">
        <v>4959</v>
      </c>
      <c r="G589" s="4" t="n">
        <v>4645</v>
      </c>
      <c r="H589" s="4" t="n">
        <v>11.5</v>
      </c>
      <c r="I589" s="4" t="n">
        <v>11.65</v>
      </c>
      <c r="J589" s="14" t="n">
        <f aca="false">E589-D589</f>
        <v>3</v>
      </c>
      <c r="K589" s="14" t="n">
        <f aca="false">IF(J589&lt;=0,1,0)</f>
        <v>0</v>
      </c>
      <c r="L589" s="15" t="n">
        <f aca="false">IFERROR(G589/F589,0)</f>
        <v>0.93668078241581</v>
      </c>
      <c r="M589" s="15" t="n">
        <f aca="false">IFERROR((I589-H589)/H589,0)</f>
        <v>0.0130434782608696</v>
      </c>
      <c r="N589" s="16" t="n">
        <f aca="false">G589*I589</f>
        <v>54114.25</v>
      </c>
    </row>
    <row r="590" customFormat="false" ht="15" hidden="false" customHeight="true" outlineLevel="0" collapsed="false">
      <c r="A590" s="4" t="s">
        <v>766</v>
      </c>
      <c r="B590" s="4" t="s">
        <v>101</v>
      </c>
      <c r="C590" s="13" t="n">
        <v>45061</v>
      </c>
      <c r="D590" s="13" t="n">
        <v>45079</v>
      </c>
      <c r="E590" s="13" t="n">
        <v>45079</v>
      </c>
      <c r="F590" s="4" t="n">
        <v>353</v>
      </c>
      <c r="G590" s="4" t="n">
        <v>349</v>
      </c>
      <c r="H590" s="4" t="n">
        <v>442.74</v>
      </c>
      <c r="I590" s="4" t="n">
        <v>449.41</v>
      </c>
      <c r="J590" s="14" t="n">
        <f aca="false">E590-D590</f>
        <v>0</v>
      </c>
      <c r="K590" s="14" t="n">
        <f aca="false">IF(J590&lt;=0,1,0)</f>
        <v>1</v>
      </c>
      <c r="L590" s="15" t="n">
        <f aca="false">IFERROR(G590/F590,0)</f>
        <v>0.988668555240793</v>
      </c>
      <c r="M590" s="15" t="n">
        <f aca="false">IFERROR((I590-H590)/H590,0)</f>
        <v>0.015065275330894</v>
      </c>
      <c r="N590" s="16" t="n">
        <f aca="false">G590*I590</f>
        <v>156844.09</v>
      </c>
    </row>
    <row r="591" customFormat="false" ht="15" hidden="false" customHeight="true" outlineLevel="0" collapsed="false">
      <c r="A591" s="4" t="s">
        <v>767</v>
      </c>
      <c r="B591" s="4" t="s">
        <v>151</v>
      </c>
      <c r="C591" s="13" t="n">
        <v>45615</v>
      </c>
      <c r="D591" s="13" t="n">
        <v>45620</v>
      </c>
      <c r="E591" s="13" t="n">
        <v>45621</v>
      </c>
      <c r="F591" s="4" t="n">
        <v>1</v>
      </c>
      <c r="G591" s="4" t="n">
        <v>1</v>
      </c>
      <c r="H591" s="4" t="n">
        <v>503.46</v>
      </c>
      <c r="I591" s="4" t="n">
        <v>520.24</v>
      </c>
      <c r="J591" s="14" t="n">
        <f aca="false">E591-D591</f>
        <v>1</v>
      </c>
      <c r="K591" s="14" t="n">
        <f aca="false">IF(J591&lt;=0,1,0)</f>
        <v>0</v>
      </c>
      <c r="L591" s="15" t="n">
        <f aca="false">IFERROR(G591/F591,0)</f>
        <v>1</v>
      </c>
      <c r="M591" s="15" t="n">
        <f aca="false">IFERROR((I591-H591)/H591,0)</f>
        <v>0.0333293608231042</v>
      </c>
      <c r="N591" s="16" t="n">
        <f aca="false">G591*I591</f>
        <v>520.24</v>
      </c>
    </row>
    <row r="592" customFormat="false" ht="15" hidden="false" customHeight="true" outlineLevel="0" collapsed="false">
      <c r="A592" s="4" t="s">
        <v>768</v>
      </c>
      <c r="B592" s="4" t="s">
        <v>32</v>
      </c>
      <c r="C592" s="13" t="n">
        <v>45269</v>
      </c>
      <c r="D592" s="13" t="n">
        <v>45277</v>
      </c>
      <c r="E592" s="13" t="n">
        <v>45275</v>
      </c>
      <c r="F592" s="4" t="n">
        <v>3792</v>
      </c>
      <c r="G592" s="4" t="n">
        <v>3307</v>
      </c>
      <c r="H592" s="4" t="n">
        <v>32.49</v>
      </c>
      <c r="I592" s="4" t="n">
        <v>32.65</v>
      </c>
      <c r="J592" s="14" t="n">
        <f aca="false">E592-D592</f>
        <v>-2</v>
      </c>
      <c r="K592" s="14" t="n">
        <f aca="false">IF(J592&lt;=0,1,0)</f>
        <v>1</v>
      </c>
      <c r="L592" s="15" t="n">
        <f aca="false">IFERROR(G592/F592,0)</f>
        <v>0.872099156118144</v>
      </c>
      <c r="M592" s="15" t="n">
        <f aca="false">IFERROR((I592-H592)/H592,0)</f>
        <v>0.00492459218220981</v>
      </c>
      <c r="N592" s="16" t="n">
        <f aca="false">G592*I592</f>
        <v>107973.55</v>
      </c>
    </row>
    <row r="593" customFormat="false" ht="15" hidden="false" customHeight="true" outlineLevel="0" collapsed="false">
      <c r="A593" s="4" t="s">
        <v>769</v>
      </c>
      <c r="B593" s="4" t="s">
        <v>52</v>
      </c>
      <c r="C593" s="13" t="n">
        <v>45176</v>
      </c>
      <c r="D593" s="13" t="n">
        <v>45185</v>
      </c>
      <c r="E593" s="13" t="n">
        <v>45194</v>
      </c>
      <c r="F593" s="4" t="n">
        <v>1999</v>
      </c>
      <c r="G593" s="4" t="n">
        <v>1714</v>
      </c>
      <c r="H593" s="4" t="n">
        <v>170.24</v>
      </c>
      <c r="I593" s="4" t="n">
        <v>173.46</v>
      </c>
      <c r="J593" s="14" t="n">
        <f aca="false">E593-D593</f>
        <v>9</v>
      </c>
      <c r="K593" s="14" t="n">
        <f aca="false">IF(J593&lt;=0,1,0)</f>
        <v>0</v>
      </c>
      <c r="L593" s="15" t="n">
        <f aca="false">IFERROR(G593/F593,0)</f>
        <v>0.857428714357179</v>
      </c>
      <c r="M593" s="15" t="n">
        <f aca="false">IFERROR((I593-H593)/H593,0)</f>
        <v>0.0189144736842105</v>
      </c>
      <c r="N593" s="16" t="n">
        <f aca="false">G593*I593</f>
        <v>297310.44</v>
      </c>
    </row>
    <row r="594" customFormat="false" ht="15" hidden="false" customHeight="true" outlineLevel="0" collapsed="false">
      <c r="A594" s="4" t="s">
        <v>770</v>
      </c>
      <c r="B594" s="4" t="s">
        <v>43</v>
      </c>
      <c r="C594" s="13" t="n">
        <v>45292</v>
      </c>
      <c r="D594" s="13" t="n">
        <v>45310</v>
      </c>
      <c r="E594" s="13" t="n">
        <v>45313</v>
      </c>
      <c r="F594" s="4" t="n">
        <v>259</v>
      </c>
      <c r="G594" s="4" t="n">
        <v>252</v>
      </c>
      <c r="H594" s="4" t="n">
        <v>1321.6</v>
      </c>
      <c r="I594" s="4" t="n">
        <v>1332.92</v>
      </c>
      <c r="J594" s="14" t="n">
        <f aca="false">E594-D594</f>
        <v>3</v>
      </c>
      <c r="K594" s="14" t="n">
        <f aca="false">IF(J594&lt;=0,1,0)</f>
        <v>0</v>
      </c>
      <c r="L594" s="15" t="n">
        <f aca="false">IFERROR(G594/F594,0)</f>
        <v>0.972972972972973</v>
      </c>
      <c r="M594" s="15" t="n">
        <f aca="false">IFERROR((I594-H594)/H594,0)</f>
        <v>0.00856537530266356</v>
      </c>
      <c r="N594" s="16" t="n">
        <f aca="false">G594*I594</f>
        <v>335895.84</v>
      </c>
    </row>
    <row r="595" customFormat="false" ht="15" hidden="false" customHeight="true" outlineLevel="0" collapsed="false">
      <c r="A595" s="4" t="s">
        <v>771</v>
      </c>
      <c r="B595" s="4" t="s">
        <v>131</v>
      </c>
      <c r="C595" s="13" t="n">
        <v>45305</v>
      </c>
      <c r="D595" s="13" t="n">
        <v>45316</v>
      </c>
      <c r="E595" s="13" t="n">
        <v>45313</v>
      </c>
      <c r="F595" s="4" t="n">
        <v>665</v>
      </c>
      <c r="G595" s="4" t="n">
        <v>661</v>
      </c>
      <c r="H595" s="4" t="n">
        <v>88.52</v>
      </c>
      <c r="I595" s="4" t="n">
        <v>90.22</v>
      </c>
      <c r="J595" s="14" t="n">
        <f aca="false">E595-D595</f>
        <v>-3</v>
      </c>
      <c r="K595" s="14" t="n">
        <f aca="false">IF(J595&lt;=0,1,0)</f>
        <v>1</v>
      </c>
      <c r="L595" s="15" t="n">
        <f aca="false">IFERROR(G595/F595,0)</f>
        <v>0.993984962406015</v>
      </c>
      <c r="M595" s="15" t="n">
        <f aca="false">IFERROR((I595-H595)/H595,0)</f>
        <v>0.0192046995029372</v>
      </c>
      <c r="N595" s="16" t="n">
        <f aca="false">G595*I595</f>
        <v>59635.42</v>
      </c>
    </row>
    <row r="596" customFormat="false" ht="15" hidden="false" customHeight="true" outlineLevel="0" collapsed="false">
      <c r="A596" s="4" t="s">
        <v>772</v>
      </c>
      <c r="B596" s="4" t="s">
        <v>50</v>
      </c>
      <c r="C596" s="13" t="n">
        <v>45540</v>
      </c>
      <c r="D596" s="13" t="n">
        <v>45560</v>
      </c>
      <c r="E596" s="13" t="n">
        <v>45559</v>
      </c>
      <c r="F596" s="4" t="n">
        <v>85</v>
      </c>
      <c r="G596" s="4" t="n">
        <v>84</v>
      </c>
      <c r="H596" s="4" t="n">
        <v>707.19</v>
      </c>
      <c r="I596" s="4" t="n">
        <v>749.26</v>
      </c>
      <c r="J596" s="14" t="n">
        <f aca="false">E596-D596</f>
        <v>-1</v>
      </c>
      <c r="K596" s="14" t="n">
        <f aca="false">IF(J596&lt;=0,1,0)</f>
        <v>1</v>
      </c>
      <c r="L596" s="15" t="n">
        <f aca="false">IFERROR(G596/F596,0)</f>
        <v>0.988235294117647</v>
      </c>
      <c r="M596" s="15" t="n">
        <f aca="false">IFERROR((I596-H596)/H596,0)</f>
        <v>0.0594889633620384</v>
      </c>
      <c r="N596" s="16" t="n">
        <f aca="false">G596*I596</f>
        <v>62937.84</v>
      </c>
    </row>
    <row r="597" customFormat="false" ht="15" hidden="false" customHeight="true" outlineLevel="0" collapsed="false">
      <c r="A597" s="4" t="s">
        <v>773</v>
      </c>
      <c r="B597" s="4" t="s">
        <v>101</v>
      </c>
      <c r="C597" s="13" t="n">
        <v>45184</v>
      </c>
      <c r="D597" s="13" t="n">
        <v>45201</v>
      </c>
      <c r="E597" s="13" t="n">
        <v>45202</v>
      </c>
      <c r="F597" s="4" t="n">
        <v>103</v>
      </c>
      <c r="G597" s="4" t="n">
        <v>97</v>
      </c>
      <c r="H597" s="4" t="n">
        <v>442.74</v>
      </c>
      <c r="I597" s="4" t="n">
        <v>449.67</v>
      </c>
      <c r="J597" s="14" t="n">
        <f aca="false">E597-D597</f>
        <v>1</v>
      </c>
      <c r="K597" s="14" t="n">
        <f aca="false">IF(J597&lt;=0,1,0)</f>
        <v>0</v>
      </c>
      <c r="L597" s="15" t="n">
        <f aca="false">IFERROR(G597/F597,0)</f>
        <v>0.941747572815534</v>
      </c>
      <c r="M597" s="15" t="n">
        <f aca="false">IFERROR((I597-H597)/H597,0)</f>
        <v>0.0156525274427429</v>
      </c>
      <c r="N597" s="16" t="n">
        <f aca="false">G597*I597</f>
        <v>43617.99</v>
      </c>
    </row>
    <row r="598" customFormat="false" ht="15" hidden="false" customHeight="true" outlineLevel="0" collapsed="false">
      <c r="A598" s="4" t="s">
        <v>774</v>
      </c>
      <c r="B598" s="4" t="s">
        <v>127</v>
      </c>
      <c r="C598" s="13" t="n">
        <v>44950</v>
      </c>
      <c r="D598" s="13" t="n">
        <v>44956</v>
      </c>
      <c r="E598" s="13" t="n">
        <v>44958</v>
      </c>
      <c r="F598" s="4" t="n">
        <v>6</v>
      </c>
      <c r="G598" s="4" t="n">
        <v>6</v>
      </c>
      <c r="H598" s="4" t="n">
        <v>1881</v>
      </c>
      <c r="I598" s="4" t="n">
        <v>1909.47</v>
      </c>
      <c r="J598" s="14" t="n">
        <f aca="false">E598-D598</f>
        <v>2</v>
      </c>
      <c r="K598" s="14" t="n">
        <f aca="false">IF(J598&lt;=0,1,0)</f>
        <v>0</v>
      </c>
      <c r="L598" s="15" t="n">
        <f aca="false">IFERROR(G598/F598,0)</f>
        <v>1</v>
      </c>
      <c r="M598" s="15" t="n">
        <f aca="false">IFERROR((I598-H598)/H598,0)</f>
        <v>0.0151355661881978</v>
      </c>
      <c r="N598" s="16" t="n">
        <f aca="false">G598*I598</f>
        <v>11456.82</v>
      </c>
    </row>
    <row r="599" customFormat="false" ht="15" hidden="false" customHeight="true" outlineLevel="0" collapsed="false">
      <c r="A599" s="4" t="s">
        <v>775</v>
      </c>
      <c r="B599" s="4" t="s">
        <v>157</v>
      </c>
      <c r="C599" s="13" t="n">
        <v>45366</v>
      </c>
      <c r="D599" s="13" t="n">
        <v>45374</v>
      </c>
      <c r="E599" s="13" t="n">
        <v>45375</v>
      </c>
      <c r="F599" s="4" t="n">
        <v>3871</v>
      </c>
      <c r="G599" s="4" t="n">
        <v>3556</v>
      </c>
      <c r="H599" s="4" t="n">
        <v>13.1</v>
      </c>
      <c r="I599" s="4" t="n">
        <v>13.48</v>
      </c>
      <c r="J599" s="14" t="n">
        <f aca="false">E599-D599</f>
        <v>1</v>
      </c>
      <c r="K599" s="14" t="n">
        <f aca="false">IF(J599&lt;=0,1,0)</f>
        <v>0</v>
      </c>
      <c r="L599" s="15" t="n">
        <f aca="false">IFERROR(G599/F599,0)</f>
        <v>0.918625678119349</v>
      </c>
      <c r="M599" s="15" t="n">
        <f aca="false">IFERROR((I599-H599)/H599,0)</f>
        <v>0.0290076335877863</v>
      </c>
      <c r="N599" s="16" t="n">
        <f aca="false">G599*I599</f>
        <v>47934.88</v>
      </c>
    </row>
    <row r="600" customFormat="false" ht="15" hidden="false" customHeight="true" outlineLevel="0" collapsed="false">
      <c r="A600" s="4" t="s">
        <v>776</v>
      </c>
      <c r="B600" s="4" t="s">
        <v>74</v>
      </c>
      <c r="C600" s="13" t="n">
        <v>45470</v>
      </c>
      <c r="D600" s="13" t="n">
        <v>45476</v>
      </c>
      <c r="E600" s="13" t="n">
        <v>45481</v>
      </c>
      <c r="F600" s="4" t="n">
        <v>6</v>
      </c>
      <c r="G600" s="4" t="n">
        <v>6</v>
      </c>
      <c r="H600" s="4" t="n">
        <v>1294.62</v>
      </c>
      <c r="I600" s="4" t="n">
        <v>1355.47</v>
      </c>
      <c r="J600" s="14" t="n">
        <f aca="false">E600-D600</f>
        <v>5</v>
      </c>
      <c r="K600" s="14" t="n">
        <f aca="false">IF(J600&lt;=0,1,0)</f>
        <v>0</v>
      </c>
      <c r="L600" s="15" t="n">
        <f aca="false">IFERROR(G600/F600,0)</f>
        <v>1</v>
      </c>
      <c r="M600" s="15" t="n">
        <f aca="false">IFERROR((I600-H600)/H600,0)</f>
        <v>0.0470022091424512</v>
      </c>
      <c r="N600" s="16" t="n">
        <f aca="false">G600*I600</f>
        <v>8132.82</v>
      </c>
    </row>
    <row r="601" customFormat="false" ht="15" hidden="false" customHeight="true" outlineLevel="0" collapsed="false">
      <c r="A601" s="4" t="s">
        <v>777</v>
      </c>
      <c r="B601" s="4" t="s">
        <v>52</v>
      </c>
      <c r="C601" s="13" t="n">
        <v>45655</v>
      </c>
      <c r="D601" s="13" t="n">
        <v>45665</v>
      </c>
      <c r="E601" s="13" t="n">
        <v>45671</v>
      </c>
      <c r="F601" s="4" t="n">
        <v>1683</v>
      </c>
      <c r="G601" s="4" t="n">
        <v>1398</v>
      </c>
      <c r="H601" s="4" t="n">
        <v>170.24</v>
      </c>
      <c r="I601" s="4" t="n">
        <v>180.9</v>
      </c>
      <c r="J601" s="14" t="n">
        <f aca="false">E601-D601</f>
        <v>6</v>
      </c>
      <c r="K601" s="14" t="n">
        <f aca="false">IF(J601&lt;=0,1,0)</f>
        <v>0</v>
      </c>
      <c r="L601" s="15" t="n">
        <f aca="false">IFERROR(G601/F601,0)</f>
        <v>0.83065953654189</v>
      </c>
      <c r="M601" s="15" t="n">
        <f aca="false">IFERROR((I601-H601)/H601,0)</f>
        <v>0.0626174812030075</v>
      </c>
      <c r="N601" s="16" t="n">
        <f aca="false">G601*I601</f>
        <v>252898.2</v>
      </c>
    </row>
    <row r="602" customFormat="false" ht="15" hidden="false" customHeight="true" outlineLevel="0" collapsed="false">
      <c r="A602" s="4" t="s">
        <v>778</v>
      </c>
      <c r="B602" s="4" t="s">
        <v>93</v>
      </c>
      <c r="C602" s="13" t="n">
        <v>45114</v>
      </c>
      <c r="D602" s="13" t="n">
        <v>45124</v>
      </c>
      <c r="E602" s="13" t="n">
        <v>45131</v>
      </c>
      <c r="F602" s="4" t="n">
        <v>1117</v>
      </c>
      <c r="G602" s="4" t="n">
        <v>1060</v>
      </c>
      <c r="H602" s="4" t="n">
        <v>174.25</v>
      </c>
      <c r="I602" s="4" t="n">
        <v>177.93</v>
      </c>
      <c r="J602" s="14" t="n">
        <f aca="false">E602-D602</f>
        <v>7</v>
      </c>
      <c r="K602" s="14" t="n">
        <f aca="false">IF(J602&lt;=0,1,0)</f>
        <v>0</v>
      </c>
      <c r="L602" s="15" t="n">
        <f aca="false">IFERROR(G602/F602,0)</f>
        <v>0.948970456580125</v>
      </c>
      <c r="M602" s="15" t="n">
        <f aca="false">IFERROR((I602-H602)/H602,0)</f>
        <v>0.0211190817790531</v>
      </c>
      <c r="N602" s="16" t="n">
        <f aca="false">G602*I602</f>
        <v>188605.8</v>
      </c>
    </row>
    <row r="603" customFormat="false" ht="15" hidden="false" customHeight="true" outlineLevel="0" collapsed="false">
      <c r="A603" s="4" t="s">
        <v>779</v>
      </c>
      <c r="B603" s="4" t="s">
        <v>141</v>
      </c>
      <c r="C603" s="13" t="n">
        <v>45174</v>
      </c>
      <c r="D603" s="13" t="n">
        <v>45192</v>
      </c>
      <c r="E603" s="13" t="n">
        <v>45194</v>
      </c>
      <c r="F603" s="4" t="n">
        <v>56</v>
      </c>
      <c r="G603" s="4" t="n">
        <v>55</v>
      </c>
      <c r="H603" s="4" t="n">
        <v>1252.36</v>
      </c>
      <c r="I603" s="4" t="n">
        <v>1234.58</v>
      </c>
      <c r="J603" s="14" t="n">
        <f aca="false">E603-D603</f>
        <v>2</v>
      </c>
      <c r="K603" s="14" t="n">
        <f aca="false">IF(J603&lt;=0,1,0)</f>
        <v>0</v>
      </c>
      <c r="L603" s="15" t="n">
        <f aca="false">IFERROR(G603/F603,0)</f>
        <v>0.982142857142857</v>
      </c>
      <c r="M603" s="15" t="n">
        <f aca="false">IFERROR((I603-H603)/H603,0)</f>
        <v>-0.0141971956945287</v>
      </c>
      <c r="N603" s="16" t="n">
        <f aca="false">G603*I603</f>
        <v>67901.9</v>
      </c>
    </row>
    <row r="604" customFormat="false" ht="15" hidden="false" customHeight="true" outlineLevel="0" collapsed="false">
      <c r="A604" s="4" t="s">
        <v>780</v>
      </c>
      <c r="B604" s="4" t="s">
        <v>123</v>
      </c>
      <c r="C604" s="13" t="n">
        <v>45421</v>
      </c>
      <c r="D604" s="13" t="n">
        <v>45434</v>
      </c>
      <c r="E604" s="13" t="n">
        <v>45433</v>
      </c>
      <c r="F604" s="4" t="n">
        <v>36</v>
      </c>
      <c r="G604" s="4" t="n">
        <v>36</v>
      </c>
      <c r="H604" s="4" t="n">
        <v>214.07</v>
      </c>
      <c r="I604" s="4" t="n">
        <v>243.65</v>
      </c>
      <c r="J604" s="14" t="n">
        <f aca="false">E604-D604</f>
        <v>-1</v>
      </c>
      <c r="K604" s="14" t="n">
        <f aca="false">IF(J604&lt;=0,1,0)</f>
        <v>1</v>
      </c>
      <c r="L604" s="15" t="n">
        <f aca="false">IFERROR(G604/F604,0)</f>
        <v>1</v>
      </c>
      <c r="M604" s="15" t="n">
        <f aca="false">IFERROR((I604-H604)/H604,0)</f>
        <v>0.138179100294296</v>
      </c>
      <c r="N604" s="16" t="n">
        <f aca="false">G604*I604</f>
        <v>8771.4</v>
      </c>
    </row>
    <row r="605" customFormat="false" ht="15" hidden="false" customHeight="true" outlineLevel="0" collapsed="false">
      <c r="A605" s="4" t="s">
        <v>781</v>
      </c>
      <c r="B605" s="4" t="s">
        <v>43</v>
      </c>
      <c r="C605" s="13" t="n">
        <v>45208</v>
      </c>
      <c r="D605" s="13" t="n">
        <v>45227</v>
      </c>
      <c r="E605" s="13" t="n">
        <v>45226</v>
      </c>
      <c r="F605" s="4" t="n">
        <v>60</v>
      </c>
      <c r="G605" s="4" t="n">
        <v>60</v>
      </c>
      <c r="H605" s="4" t="n">
        <v>1321.6</v>
      </c>
      <c r="I605" s="4" t="n">
        <v>1317.42</v>
      </c>
      <c r="J605" s="14" t="n">
        <f aca="false">E605-D605</f>
        <v>-1</v>
      </c>
      <c r="K605" s="14" t="n">
        <f aca="false">IF(J605&lt;=0,1,0)</f>
        <v>1</v>
      </c>
      <c r="L605" s="15" t="n">
        <f aca="false">IFERROR(G605/F605,0)</f>
        <v>1</v>
      </c>
      <c r="M605" s="15" t="n">
        <f aca="false">IFERROR((I605-H605)/H605,0)</f>
        <v>-0.00316283292978196</v>
      </c>
      <c r="N605" s="16" t="n">
        <f aca="false">G605*I605</f>
        <v>79045.2</v>
      </c>
    </row>
    <row r="606" customFormat="false" ht="15" hidden="false" customHeight="true" outlineLevel="0" collapsed="false">
      <c r="A606" s="4" t="s">
        <v>782</v>
      </c>
      <c r="B606" s="4" t="s">
        <v>157</v>
      </c>
      <c r="C606" s="13" t="n">
        <v>45596</v>
      </c>
      <c r="D606" s="13" t="n">
        <v>45602</v>
      </c>
      <c r="E606" s="13" t="n">
        <v>45602</v>
      </c>
      <c r="F606" s="4" t="n">
        <v>1901</v>
      </c>
      <c r="G606" s="4" t="n">
        <v>1753</v>
      </c>
      <c r="H606" s="4" t="n">
        <v>13.1</v>
      </c>
      <c r="I606" s="4" t="n">
        <v>13.79</v>
      </c>
      <c r="J606" s="14" t="n">
        <f aca="false">E606-D606</f>
        <v>0</v>
      </c>
      <c r="K606" s="14" t="n">
        <f aca="false">IF(J606&lt;=0,1,0)</f>
        <v>1</v>
      </c>
      <c r="L606" s="15" t="n">
        <f aca="false">IFERROR(G606/F606,0)</f>
        <v>0.922146238821673</v>
      </c>
      <c r="M606" s="15" t="n">
        <f aca="false">IFERROR((I606-H606)/H606,0)</f>
        <v>0.0526717557251908</v>
      </c>
      <c r="N606" s="16" t="n">
        <f aca="false">G606*I606</f>
        <v>24173.87</v>
      </c>
    </row>
    <row r="607" customFormat="false" ht="15" hidden="false" customHeight="true" outlineLevel="0" collapsed="false">
      <c r="A607" s="4" t="s">
        <v>783</v>
      </c>
      <c r="B607" s="4" t="s">
        <v>139</v>
      </c>
      <c r="C607" s="13" t="n">
        <v>45626</v>
      </c>
      <c r="D607" s="13" t="n">
        <v>45637</v>
      </c>
      <c r="E607" s="13" t="n">
        <v>45636</v>
      </c>
      <c r="F607" s="4" t="n">
        <v>1618</v>
      </c>
      <c r="G607" s="4" t="n">
        <v>1476</v>
      </c>
      <c r="H607" s="4" t="n">
        <v>207.64</v>
      </c>
      <c r="I607" s="4" t="n">
        <v>221.75</v>
      </c>
      <c r="J607" s="14" t="n">
        <f aca="false">E607-D607</f>
        <v>-1</v>
      </c>
      <c r="K607" s="14" t="n">
        <f aca="false">IF(J607&lt;=0,1,0)</f>
        <v>1</v>
      </c>
      <c r="L607" s="15" t="n">
        <f aca="false">IFERROR(G607/F607,0)</f>
        <v>0.912237330037083</v>
      </c>
      <c r="M607" s="15" t="n">
        <f aca="false">IFERROR((I607-H607)/H607,0)</f>
        <v>0.0679541514159122</v>
      </c>
      <c r="N607" s="16" t="n">
        <f aca="false">G607*I607</f>
        <v>327303</v>
      </c>
    </row>
    <row r="608" customFormat="false" ht="15" hidden="false" customHeight="true" outlineLevel="0" collapsed="false">
      <c r="A608" s="4" t="s">
        <v>784</v>
      </c>
      <c r="B608" s="4" t="s">
        <v>139</v>
      </c>
      <c r="C608" s="13" t="n">
        <v>45515</v>
      </c>
      <c r="D608" s="13" t="n">
        <v>45527</v>
      </c>
      <c r="E608" s="13" t="n">
        <v>45534</v>
      </c>
      <c r="F608" s="4" t="n">
        <v>1058</v>
      </c>
      <c r="G608" s="4" t="n">
        <v>911</v>
      </c>
      <c r="H608" s="4" t="n">
        <v>207.64</v>
      </c>
      <c r="I608" s="4" t="n">
        <v>225.74</v>
      </c>
      <c r="J608" s="14" t="n">
        <f aca="false">E608-D608</f>
        <v>7</v>
      </c>
      <c r="K608" s="14" t="n">
        <f aca="false">IF(J608&lt;=0,1,0)</f>
        <v>0</v>
      </c>
      <c r="L608" s="15" t="n">
        <f aca="false">IFERROR(G608/F608,0)</f>
        <v>0.861058601134216</v>
      </c>
      <c r="M608" s="15" t="n">
        <f aca="false">IFERROR((I608-H608)/H608,0)</f>
        <v>0.0871701020997882</v>
      </c>
      <c r="N608" s="16" t="n">
        <f aca="false">G608*I608</f>
        <v>205649.14</v>
      </c>
    </row>
    <row r="609" customFormat="false" ht="15" hidden="false" customHeight="true" outlineLevel="0" collapsed="false">
      <c r="A609" s="4" t="s">
        <v>785</v>
      </c>
      <c r="B609" s="4" t="s">
        <v>58</v>
      </c>
      <c r="C609" s="13" t="n">
        <v>45176</v>
      </c>
      <c r="D609" s="13" t="n">
        <v>45188</v>
      </c>
      <c r="E609" s="13" t="n">
        <v>45188</v>
      </c>
      <c r="F609" s="4" t="n">
        <v>201</v>
      </c>
      <c r="G609" s="4" t="n">
        <v>201</v>
      </c>
      <c r="H609" s="4" t="n">
        <v>135.68</v>
      </c>
      <c r="I609" s="4" t="n">
        <v>139.54</v>
      </c>
      <c r="J609" s="14" t="n">
        <f aca="false">E609-D609</f>
        <v>0</v>
      </c>
      <c r="K609" s="14" t="n">
        <f aca="false">IF(J609&lt;=0,1,0)</f>
        <v>1</v>
      </c>
      <c r="L609" s="15" t="n">
        <f aca="false">IFERROR(G609/F609,0)</f>
        <v>1</v>
      </c>
      <c r="M609" s="15" t="n">
        <f aca="false">IFERROR((I609-H609)/H609,0)</f>
        <v>0.0284492924528301</v>
      </c>
      <c r="N609" s="16" t="n">
        <f aca="false">G609*I609</f>
        <v>28047.54</v>
      </c>
    </row>
    <row r="610" customFormat="false" ht="15" hidden="false" customHeight="true" outlineLevel="0" collapsed="false">
      <c r="A610" s="4" t="s">
        <v>786</v>
      </c>
      <c r="B610" s="4" t="s">
        <v>70</v>
      </c>
      <c r="C610" s="13" t="n">
        <v>45159</v>
      </c>
      <c r="D610" s="13" t="n">
        <v>45166</v>
      </c>
      <c r="E610" s="13" t="n">
        <v>45169</v>
      </c>
      <c r="F610" s="4" t="n">
        <v>4113</v>
      </c>
      <c r="G610" s="4" t="n">
        <v>3685</v>
      </c>
      <c r="H610" s="4" t="n">
        <v>35.88</v>
      </c>
      <c r="I610" s="4" t="n">
        <v>36.98</v>
      </c>
      <c r="J610" s="14" t="n">
        <f aca="false">E610-D610</f>
        <v>3</v>
      </c>
      <c r="K610" s="14" t="n">
        <f aca="false">IF(J610&lt;=0,1,0)</f>
        <v>0</v>
      </c>
      <c r="L610" s="15" t="n">
        <f aca="false">IFERROR(G610/F610,0)</f>
        <v>0.895939703379528</v>
      </c>
      <c r="M610" s="15" t="n">
        <f aca="false">IFERROR((I610-H610)/H610,0)</f>
        <v>0.0306577480490522</v>
      </c>
      <c r="N610" s="16" t="n">
        <f aca="false">G610*I610</f>
        <v>136271.3</v>
      </c>
    </row>
    <row r="611" customFormat="false" ht="15" hidden="false" customHeight="true" outlineLevel="0" collapsed="false">
      <c r="A611" s="4" t="s">
        <v>787</v>
      </c>
      <c r="B611" s="4" t="s">
        <v>89</v>
      </c>
      <c r="C611" s="13" t="n">
        <v>45260</v>
      </c>
      <c r="D611" s="13" t="n">
        <v>45264</v>
      </c>
      <c r="E611" s="13" t="n">
        <v>45269</v>
      </c>
      <c r="F611" s="4" t="n">
        <v>6</v>
      </c>
      <c r="G611" s="4" t="n">
        <v>6</v>
      </c>
      <c r="H611" s="4" t="n">
        <v>1929.81</v>
      </c>
      <c r="I611" s="4" t="n">
        <v>1916.84</v>
      </c>
      <c r="J611" s="14" t="n">
        <f aca="false">E611-D611</f>
        <v>5</v>
      </c>
      <c r="K611" s="14" t="n">
        <f aca="false">IF(J611&lt;=0,1,0)</f>
        <v>0</v>
      </c>
      <c r="L611" s="15" t="n">
        <f aca="false">IFERROR(G611/F611,0)</f>
        <v>1</v>
      </c>
      <c r="M611" s="15" t="n">
        <f aca="false">IFERROR((I611-H611)/H611,0)</f>
        <v>-0.00672086889382894</v>
      </c>
      <c r="N611" s="16" t="n">
        <f aca="false">G611*I611</f>
        <v>11501.04</v>
      </c>
    </row>
    <row r="612" customFormat="false" ht="15" hidden="false" customHeight="true" outlineLevel="0" collapsed="false">
      <c r="A612" s="4" t="s">
        <v>788</v>
      </c>
      <c r="B612" s="4" t="s">
        <v>43</v>
      </c>
      <c r="C612" s="13" t="n">
        <v>45016</v>
      </c>
      <c r="D612" s="13" t="n">
        <v>45034</v>
      </c>
      <c r="E612" s="13" t="n">
        <v>45033</v>
      </c>
      <c r="F612" s="4" t="n">
        <v>256</v>
      </c>
      <c r="G612" s="4" t="n">
        <v>248</v>
      </c>
      <c r="H612" s="4" t="n">
        <v>1321.6</v>
      </c>
      <c r="I612" s="4" t="n">
        <v>1319.74</v>
      </c>
      <c r="J612" s="14" t="n">
        <f aca="false">E612-D612</f>
        <v>-1</v>
      </c>
      <c r="K612" s="14" t="n">
        <f aca="false">IF(J612&lt;=0,1,0)</f>
        <v>1</v>
      </c>
      <c r="L612" s="15" t="n">
        <f aca="false">IFERROR(G612/F612,0)</f>
        <v>0.96875</v>
      </c>
      <c r="M612" s="15" t="n">
        <f aca="false">IFERROR((I612-H612)/H612,0)</f>
        <v>-0.00140738498789339</v>
      </c>
      <c r="N612" s="16" t="n">
        <f aca="false">G612*I612</f>
        <v>327295.52</v>
      </c>
    </row>
    <row r="613" customFormat="false" ht="15" hidden="false" customHeight="true" outlineLevel="0" collapsed="false">
      <c r="A613" s="4" t="s">
        <v>789</v>
      </c>
      <c r="B613" s="4" t="s">
        <v>149</v>
      </c>
      <c r="C613" s="13" t="n">
        <v>45154</v>
      </c>
      <c r="D613" s="13" t="n">
        <v>45158</v>
      </c>
      <c r="E613" s="13" t="n">
        <v>45161</v>
      </c>
      <c r="F613" s="4" t="n">
        <v>12</v>
      </c>
      <c r="G613" s="4" t="n">
        <v>11</v>
      </c>
      <c r="H613" s="4" t="n">
        <v>1458.52</v>
      </c>
      <c r="I613" s="4" t="n">
        <v>1425.89</v>
      </c>
      <c r="J613" s="14" t="n">
        <f aca="false">E613-D613</f>
        <v>3</v>
      </c>
      <c r="K613" s="14" t="n">
        <f aca="false">IF(J613&lt;=0,1,0)</f>
        <v>0</v>
      </c>
      <c r="L613" s="15" t="n">
        <f aca="false">IFERROR(G613/F613,0)</f>
        <v>0.916666666666667</v>
      </c>
      <c r="M613" s="15" t="n">
        <f aca="false">IFERROR((I613-H613)/H613,0)</f>
        <v>-0.0223719935276855</v>
      </c>
      <c r="N613" s="16" t="n">
        <f aca="false">G613*I613</f>
        <v>15684.79</v>
      </c>
    </row>
    <row r="614" customFormat="false" ht="15" hidden="false" customHeight="true" outlineLevel="0" collapsed="false">
      <c r="A614" s="4" t="s">
        <v>790</v>
      </c>
      <c r="B614" s="4" t="s">
        <v>37</v>
      </c>
      <c r="C614" s="13" t="n">
        <v>45203</v>
      </c>
      <c r="D614" s="13" t="n">
        <v>45210</v>
      </c>
      <c r="E614" s="13" t="n">
        <v>45211</v>
      </c>
      <c r="F614" s="4" t="n">
        <v>2382</v>
      </c>
      <c r="G614" s="4" t="n">
        <v>2334</v>
      </c>
      <c r="H614" s="4" t="n">
        <v>22.26</v>
      </c>
      <c r="I614" s="4" t="n">
        <v>21.71</v>
      </c>
      <c r="J614" s="14" t="n">
        <f aca="false">E614-D614</f>
        <v>1</v>
      </c>
      <c r="K614" s="14" t="n">
        <f aca="false">IF(J614&lt;=0,1,0)</f>
        <v>0</v>
      </c>
      <c r="L614" s="15" t="n">
        <f aca="false">IFERROR(G614/F614,0)</f>
        <v>0.979848866498741</v>
      </c>
      <c r="M614" s="15" t="n">
        <f aca="false">IFERROR((I614-H614)/H614,0)</f>
        <v>-0.0247079964061096</v>
      </c>
      <c r="N614" s="16" t="n">
        <f aca="false">G614*I614</f>
        <v>50671.14</v>
      </c>
    </row>
    <row r="615" customFormat="false" ht="15" hidden="false" customHeight="true" outlineLevel="0" collapsed="false">
      <c r="A615" s="4" t="s">
        <v>791</v>
      </c>
      <c r="B615" s="4" t="s">
        <v>123</v>
      </c>
      <c r="C615" s="13" t="n">
        <v>45515</v>
      </c>
      <c r="D615" s="13" t="n">
        <v>45528</v>
      </c>
      <c r="E615" s="13" t="n">
        <v>45529</v>
      </c>
      <c r="F615" s="4" t="n">
        <v>171</v>
      </c>
      <c r="G615" s="4" t="n">
        <v>165</v>
      </c>
      <c r="H615" s="4" t="n">
        <v>214.07</v>
      </c>
      <c r="I615" s="4" t="n">
        <v>250.24</v>
      </c>
      <c r="J615" s="14" t="n">
        <f aca="false">E615-D615</f>
        <v>1</v>
      </c>
      <c r="K615" s="14" t="n">
        <f aca="false">IF(J615&lt;=0,1,0)</f>
        <v>0</v>
      </c>
      <c r="L615" s="15" t="n">
        <f aca="false">IFERROR(G615/F615,0)</f>
        <v>0.964912280701754</v>
      </c>
      <c r="M615" s="15" t="n">
        <f aca="false">IFERROR((I615-H615)/H615,0)</f>
        <v>0.168963423179334</v>
      </c>
      <c r="N615" s="16" t="n">
        <f aca="false">G615*I615</f>
        <v>41289.6</v>
      </c>
    </row>
    <row r="616" customFormat="false" ht="15" hidden="false" customHeight="true" outlineLevel="0" collapsed="false">
      <c r="A616" s="4" t="s">
        <v>792</v>
      </c>
      <c r="B616" s="4" t="s">
        <v>91</v>
      </c>
      <c r="C616" s="13" t="n">
        <v>45169</v>
      </c>
      <c r="D616" s="13" t="n">
        <v>45187</v>
      </c>
      <c r="E616" s="13" t="n">
        <v>45184</v>
      </c>
      <c r="F616" s="4" t="n">
        <v>319</v>
      </c>
      <c r="G616" s="4" t="n">
        <v>315</v>
      </c>
      <c r="H616" s="4" t="n">
        <v>496.29</v>
      </c>
      <c r="I616" s="4" t="n">
        <v>489.84</v>
      </c>
      <c r="J616" s="14" t="n">
        <f aca="false">E616-D616</f>
        <v>-3</v>
      </c>
      <c r="K616" s="14" t="n">
        <f aca="false">IF(J616&lt;=0,1,0)</f>
        <v>1</v>
      </c>
      <c r="L616" s="15" t="n">
        <f aca="false">IFERROR(G616/F616,0)</f>
        <v>0.987460815047022</v>
      </c>
      <c r="M616" s="15" t="n">
        <f aca="false">IFERROR((I616-H616)/H616,0)</f>
        <v>-0.0129964335368435</v>
      </c>
      <c r="N616" s="16" t="n">
        <f aca="false">G616*I616</f>
        <v>154299.6</v>
      </c>
    </row>
    <row r="617" customFormat="false" ht="15" hidden="false" customHeight="true" outlineLevel="0" collapsed="false">
      <c r="A617" s="4" t="s">
        <v>793</v>
      </c>
      <c r="B617" s="4" t="s">
        <v>107</v>
      </c>
      <c r="C617" s="13" t="n">
        <v>45490</v>
      </c>
      <c r="D617" s="13" t="n">
        <v>45497</v>
      </c>
      <c r="E617" s="13" t="n">
        <v>45497</v>
      </c>
      <c r="F617" s="4" t="n">
        <v>1339</v>
      </c>
      <c r="G617" s="4" t="n">
        <v>1319</v>
      </c>
      <c r="H617" s="4" t="n">
        <v>40.41</v>
      </c>
      <c r="I617" s="4" t="n">
        <v>40.44</v>
      </c>
      <c r="J617" s="14" t="n">
        <f aca="false">E617-D617</f>
        <v>0</v>
      </c>
      <c r="K617" s="14" t="n">
        <f aca="false">IF(J617&lt;=0,1,0)</f>
        <v>1</v>
      </c>
      <c r="L617" s="15" t="n">
        <f aca="false">IFERROR(G617/F617,0)</f>
        <v>0.985063480209111</v>
      </c>
      <c r="M617" s="15" t="n">
        <f aca="false">IFERROR((I617-H617)/H617,0)</f>
        <v>0.000742390497401661</v>
      </c>
      <c r="N617" s="16" t="n">
        <f aca="false">G617*I617</f>
        <v>53340.36</v>
      </c>
    </row>
    <row r="618" customFormat="false" ht="15" hidden="false" customHeight="true" outlineLevel="0" collapsed="false">
      <c r="A618" s="4" t="s">
        <v>794</v>
      </c>
      <c r="B618" s="4" t="s">
        <v>139</v>
      </c>
      <c r="C618" s="13" t="n">
        <v>45140</v>
      </c>
      <c r="D618" s="13" t="n">
        <v>45152</v>
      </c>
      <c r="E618" s="13" t="n">
        <v>45156</v>
      </c>
      <c r="F618" s="4" t="n">
        <v>1815</v>
      </c>
      <c r="G618" s="4" t="n">
        <v>1588</v>
      </c>
      <c r="H618" s="4" t="n">
        <v>207.64</v>
      </c>
      <c r="I618" s="4" t="n">
        <v>214.54</v>
      </c>
      <c r="J618" s="14" t="n">
        <f aca="false">E618-D618</f>
        <v>4</v>
      </c>
      <c r="K618" s="14" t="n">
        <f aca="false">IF(J618&lt;=0,1,0)</f>
        <v>0</v>
      </c>
      <c r="L618" s="15" t="n">
        <f aca="false">IFERROR(G618/F618,0)</f>
        <v>0.874931129476584</v>
      </c>
      <c r="M618" s="15" t="n">
        <f aca="false">IFERROR((I618-H618)/H618,0)</f>
        <v>0.0332305914082065</v>
      </c>
      <c r="N618" s="16" t="n">
        <f aca="false">G618*I618</f>
        <v>340689.52</v>
      </c>
    </row>
    <row r="619" customFormat="false" ht="15" hidden="false" customHeight="true" outlineLevel="0" collapsed="false">
      <c r="A619" s="4" t="s">
        <v>795</v>
      </c>
      <c r="B619" s="4" t="s">
        <v>37</v>
      </c>
      <c r="C619" s="13" t="n">
        <v>45534</v>
      </c>
      <c r="D619" s="13" t="n">
        <v>45541</v>
      </c>
      <c r="E619" s="13" t="n">
        <v>45543</v>
      </c>
      <c r="F619" s="4" t="n">
        <v>2641</v>
      </c>
      <c r="G619" s="4" t="n">
        <v>2637</v>
      </c>
      <c r="H619" s="4" t="n">
        <v>22.26</v>
      </c>
      <c r="I619" s="4" t="n">
        <v>21.3</v>
      </c>
      <c r="J619" s="14" t="n">
        <f aca="false">E619-D619</f>
        <v>2</v>
      </c>
      <c r="K619" s="14" t="n">
        <f aca="false">IF(J619&lt;=0,1,0)</f>
        <v>0</v>
      </c>
      <c r="L619" s="15" t="n">
        <f aca="false">IFERROR(G619/F619,0)</f>
        <v>0.998485422188565</v>
      </c>
      <c r="M619" s="15" t="n">
        <f aca="false">IFERROR((I619-H619)/H619,0)</f>
        <v>-0.0431266846361186</v>
      </c>
      <c r="N619" s="16" t="n">
        <f aca="false">G619*I619</f>
        <v>56168.1</v>
      </c>
    </row>
    <row r="620" customFormat="false" ht="15" hidden="false" customHeight="true" outlineLevel="0" collapsed="false">
      <c r="A620" s="4" t="s">
        <v>796</v>
      </c>
      <c r="B620" s="4" t="s">
        <v>91</v>
      </c>
      <c r="C620" s="13" t="n">
        <v>45533</v>
      </c>
      <c r="D620" s="13" t="n">
        <v>45551</v>
      </c>
      <c r="E620" s="13" t="n">
        <v>45550</v>
      </c>
      <c r="F620" s="4" t="n">
        <v>140</v>
      </c>
      <c r="G620" s="4" t="n">
        <v>140</v>
      </c>
      <c r="H620" s="4" t="n">
        <v>496.29</v>
      </c>
      <c r="I620" s="4" t="n">
        <v>480.77</v>
      </c>
      <c r="J620" s="14" t="n">
        <f aca="false">E620-D620</f>
        <v>-1</v>
      </c>
      <c r="K620" s="14" t="n">
        <f aca="false">IF(J620&lt;=0,1,0)</f>
        <v>1</v>
      </c>
      <c r="L620" s="15" t="n">
        <f aca="false">IFERROR(G620/F620,0)</f>
        <v>1</v>
      </c>
      <c r="M620" s="15" t="n">
        <f aca="false">IFERROR((I620-H620)/H620,0)</f>
        <v>-0.031272038525862</v>
      </c>
      <c r="N620" s="16" t="n">
        <f aca="false">G620*I620</f>
        <v>67307.8</v>
      </c>
    </row>
    <row r="621" customFormat="false" ht="15" hidden="false" customHeight="true" outlineLevel="0" collapsed="false">
      <c r="A621" s="4" t="s">
        <v>797</v>
      </c>
      <c r="B621" s="4" t="s">
        <v>123</v>
      </c>
      <c r="C621" s="13" t="n">
        <v>44989</v>
      </c>
      <c r="D621" s="13" t="n">
        <v>45002</v>
      </c>
      <c r="E621" s="13" t="n">
        <v>45003</v>
      </c>
      <c r="F621" s="4" t="n">
        <v>199</v>
      </c>
      <c r="G621" s="4" t="n">
        <v>195</v>
      </c>
      <c r="H621" s="4" t="n">
        <v>214.07</v>
      </c>
      <c r="I621" s="4" t="n">
        <v>215.21</v>
      </c>
      <c r="J621" s="14" t="n">
        <f aca="false">E621-D621</f>
        <v>1</v>
      </c>
      <c r="K621" s="14" t="n">
        <f aca="false">IF(J621&lt;=0,1,0)</f>
        <v>0</v>
      </c>
      <c r="L621" s="15" t="n">
        <f aca="false">IFERROR(G621/F621,0)</f>
        <v>0.979899497487437</v>
      </c>
      <c r="M621" s="15" t="n">
        <f aca="false">IFERROR((I621-H621)/H621,0)</f>
        <v>0.00532536086326909</v>
      </c>
      <c r="N621" s="16" t="n">
        <f aca="false">G621*I621</f>
        <v>41965.95</v>
      </c>
    </row>
    <row r="622" customFormat="false" ht="15" hidden="false" customHeight="true" outlineLevel="0" collapsed="false">
      <c r="A622" s="4" t="s">
        <v>798</v>
      </c>
      <c r="B622" s="4" t="s">
        <v>58</v>
      </c>
      <c r="C622" s="13" t="n">
        <v>45388</v>
      </c>
      <c r="D622" s="13" t="n">
        <v>45399</v>
      </c>
      <c r="E622" s="13" t="n">
        <v>45398</v>
      </c>
      <c r="F622" s="4" t="n">
        <v>175</v>
      </c>
      <c r="G622" s="4" t="n">
        <v>174</v>
      </c>
      <c r="H622" s="4" t="n">
        <v>135.68</v>
      </c>
      <c r="I622" s="4" t="n">
        <v>140.83</v>
      </c>
      <c r="J622" s="14" t="n">
        <f aca="false">E622-D622</f>
        <v>-1</v>
      </c>
      <c r="K622" s="14" t="n">
        <f aca="false">IF(J622&lt;=0,1,0)</f>
        <v>1</v>
      </c>
      <c r="L622" s="15" t="n">
        <f aca="false">IFERROR(G622/F622,0)</f>
        <v>0.994285714285714</v>
      </c>
      <c r="M622" s="15" t="n">
        <f aca="false">IFERROR((I622-H622)/H622,0)</f>
        <v>0.0379569575471699</v>
      </c>
      <c r="N622" s="16" t="n">
        <f aca="false">G622*I622</f>
        <v>24504.42</v>
      </c>
    </row>
    <row r="623" customFormat="false" ht="15" hidden="false" customHeight="true" outlineLevel="0" collapsed="false">
      <c r="A623" s="4" t="s">
        <v>799</v>
      </c>
      <c r="B623" s="4" t="s">
        <v>145</v>
      </c>
      <c r="C623" s="13" t="n">
        <v>45204</v>
      </c>
      <c r="D623" s="13" t="n">
        <v>45213</v>
      </c>
      <c r="E623" s="13" t="n">
        <v>45213</v>
      </c>
      <c r="F623" s="4" t="n">
        <v>1792</v>
      </c>
      <c r="G623" s="4" t="n">
        <v>1683</v>
      </c>
      <c r="H623" s="4" t="n">
        <v>237.04</v>
      </c>
      <c r="I623" s="4" t="n">
        <v>253.6</v>
      </c>
      <c r="J623" s="14" t="n">
        <f aca="false">E623-D623</f>
        <v>0</v>
      </c>
      <c r="K623" s="14" t="n">
        <f aca="false">IF(J623&lt;=0,1,0)</f>
        <v>1</v>
      </c>
      <c r="L623" s="15" t="n">
        <f aca="false">IFERROR(G623/F623,0)</f>
        <v>0.939174107142857</v>
      </c>
      <c r="M623" s="15" t="n">
        <f aca="false">IFERROR((I623-H623)/H623,0)</f>
        <v>0.0698616267296659</v>
      </c>
      <c r="N623" s="16" t="n">
        <f aca="false">G623*I623</f>
        <v>426808.8</v>
      </c>
    </row>
    <row r="624" customFormat="false" ht="15" hidden="false" customHeight="true" outlineLevel="0" collapsed="false">
      <c r="A624" s="4" t="s">
        <v>800</v>
      </c>
      <c r="B624" s="4" t="s">
        <v>47</v>
      </c>
      <c r="C624" s="13" t="n">
        <v>45173</v>
      </c>
      <c r="D624" s="13" t="n">
        <v>45182</v>
      </c>
      <c r="E624" s="13" t="n">
        <v>45183</v>
      </c>
      <c r="F624" s="4" t="n">
        <v>390</v>
      </c>
      <c r="G624" s="4" t="n">
        <v>390</v>
      </c>
      <c r="H624" s="4" t="n">
        <v>228.68</v>
      </c>
      <c r="I624" s="4" t="n">
        <v>229.58</v>
      </c>
      <c r="J624" s="14" t="n">
        <f aca="false">E624-D624</f>
        <v>1</v>
      </c>
      <c r="K624" s="14" t="n">
        <f aca="false">IF(J624&lt;=0,1,0)</f>
        <v>0</v>
      </c>
      <c r="L624" s="15" t="n">
        <f aca="false">IFERROR(G624/F624,0)</f>
        <v>1</v>
      </c>
      <c r="M624" s="15" t="n">
        <f aca="false">IFERROR((I624-H624)/H624,0)</f>
        <v>0.00393563057547667</v>
      </c>
      <c r="N624" s="16" t="n">
        <f aca="false">G624*I624</f>
        <v>89536.2</v>
      </c>
    </row>
    <row r="625" customFormat="false" ht="15" hidden="false" customHeight="true" outlineLevel="0" collapsed="false">
      <c r="A625" s="4" t="s">
        <v>801</v>
      </c>
      <c r="B625" s="4" t="s">
        <v>157</v>
      </c>
      <c r="C625" s="13" t="n">
        <v>45161</v>
      </c>
      <c r="D625" s="13" t="n">
        <v>45168</v>
      </c>
      <c r="E625" s="13" t="n">
        <v>45170</v>
      </c>
      <c r="F625" s="4" t="n">
        <v>3957</v>
      </c>
      <c r="G625" s="4" t="n">
        <v>3816</v>
      </c>
      <c r="H625" s="4" t="n">
        <v>13.1</v>
      </c>
      <c r="I625" s="4" t="n">
        <v>13.28</v>
      </c>
      <c r="J625" s="14" t="n">
        <f aca="false">E625-D625</f>
        <v>2</v>
      </c>
      <c r="K625" s="14" t="n">
        <f aca="false">IF(J625&lt;=0,1,0)</f>
        <v>0</v>
      </c>
      <c r="L625" s="15" t="n">
        <f aca="false">IFERROR(G625/F625,0)</f>
        <v>0.964366944655042</v>
      </c>
      <c r="M625" s="15" t="n">
        <f aca="false">IFERROR((I625-H625)/H625,0)</f>
        <v>0.0137404580152672</v>
      </c>
      <c r="N625" s="16" t="n">
        <f aca="false">G625*I625</f>
        <v>50676.48</v>
      </c>
    </row>
    <row r="626" customFormat="false" ht="15" hidden="false" customHeight="true" outlineLevel="0" collapsed="false">
      <c r="A626" s="4" t="s">
        <v>802</v>
      </c>
      <c r="B626" s="4" t="s">
        <v>113</v>
      </c>
      <c r="C626" s="13" t="n">
        <v>45378</v>
      </c>
      <c r="D626" s="13" t="n">
        <v>45387</v>
      </c>
      <c r="E626" s="13" t="n">
        <v>45386</v>
      </c>
      <c r="F626" s="4" t="n">
        <v>663</v>
      </c>
      <c r="G626" s="4" t="n">
        <v>661</v>
      </c>
      <c r="H626" s="4" t="n">
        <v>170.42</v>
      </c>
      <c r="I626" s="4" t="n">
        <v>171.31</v>
      </c>
      <c r="J626" s="14" t="n">
        <f aca="false">E626-D626</f>
        <v>-1</v>
      </c>
      <c r="K626" s="14" t="n">
        <f aca="false">IF(J626&lt;=0,1,0)</f>
        <v>1</v>
      </c>
      <c r="L626" s="15" t="n">
        <f aca="false">IFERROR(G626/F626,0)</f>
        <v>0.996983408748115</v>
      </c>
      <c r="M626" s="15" t="n">
        <f aca="false">IFERROR((I626-H626)/H626,0)</f>
        <v>0.005222391738059</v>
      </c>
      <c r="N626" s="16" t="n">
        <f aca="false">G626*I626</f>
        <v>113235.91</v>
      </c>
    </row>
    <row r="627" customFormat="false" ht="15" hidden="false" customHeight="true" outlineLevel="0" collapsed="false">
      <c r="A627" s="4" t="s">
        <v>803</v>
      </c>
      <c r="B627" s="4" t="s">
        <v>151</v>
      </c>
      <c r="C627" s="13" t="n">
        <v>45457</v>
      </c>
      <c r="D627" s="13" t="n">
        <v>45463</v>
      </c>
      <c r="E627" s="13" t="n">
        <v>45466</v>
      </c>
      <c r="F627" s="4" t="n">
        <v>2</v>
      </c>
      <c r="G627" s="4" t="n">
        <v>2</v>
      </c>
      <c r="H627" s="4" t="n">
        <v>503.46</v>
      </c>
      <c r="I627" s="4" t="n">
        <v>511.66</v>
      </c>
      <c r="J627" s="14" t="n">
        <f aca="false">E627-D627</f>
        <v>3</v>
      </c>
      <c r="K627" s="14" t="n">
        <f aca="false">IF(J627&lt;=0,1,0)</f>
        <v>0</v>
      </c>
      <c r="L627" s="15" t="n">
        <f aca="false">IFERROR(G627/F627,0)</f>
        <v>1</v>
      </c>
      <c r="M627" s="15" t="n">
        <f aca="false">IFERROR((I627-H627)/H627,0)</f>
        <v>0.0162872919397768</v>
      </c>
      <c r="N627" s="16" t="n">
        <f aca="false">G627*I627</f>
        <v>1023.32</v>
      </c>
    </row>
    <row r="628" customFormat="false" ht="15" hidden="false" customHeight="true" outlineLevel="0" collapsed="false">
      <c r="A628" s="4" t="s">
        <v>804</v>
      </c>
      <c r="B628" s="4" t="s">
        <v>68</v>
      </c>
      <c r="C628" s="13" t="n">
        <v>45211</v>
      </c>
      <c r="D628" s="13" t="n">
        <v>45231</v>
      </c>
      <c r="E628" s="13" t="n">
        <v>45233</v>
      </c>
      <c r="F628" s="4" t="n">
        <v>425</v>
      </c>
      <c r="G628" s="4" t="n">
        <v>399</v>
      </c>
      <c r="H628" s="4" t="n">
        <v>1232.83</v>
      </c>
      <c r="I628" s="4" t="n">
        <v>1228.77</v>
      </c>
      <c r="J628" s="14" t="n">
        <f aca="false">E628-D628</f>
        <v>2</v>
      </c>
      <c r="K628" s="14" t="n">
        <f aca="false">IF(J628&lt;=0,1,0)</f>
        <v>0</v>
      </c>
      <c r="L628" s="15" t="n">
        <f aca="false">IFERROR(G628/F628,0)</f>
        <v>0.938823529411765</v>
      </c>
      <c r="M628" s="15" t="n">
        <f aca="false">IFERROR((I628-H628)/H628,0)</f>
        <v>-0.00329323588815972</v>
      </c>
      <c r="N628" s="16" t="n">
        <f aca="false">G628*I628</f>
        <v>490279.23</v>
      </c>
    </row>
    <row r="629" customFormat="false" ht="15" hidden="false" customHeight="true" outlineLevel="0" collapsed="false">
      <c r="A629" s="4" t="s">
        <v>805</v>
      </c>
      <c r="B629" s="4" t="s">
        <v>115</v>
      </c>
      <c r="C629" s="13" t="n">
        <v>45083</v>
      </c>
      <c r="D629" s="13" t="n">
        <v>45094</v>
      </c>
      <c r="E629" s="13" t="n">
        <v>45099</v>
      </c>
      <c r="F629" s="4" t="n">
        <v>51</v>
      </c>
      <c r="G629" s="4" t="n">
        <v>47</v>
      </c>
      <c r="H629" s="4" t="n">
        <v>115.53</v>
      </c>
      <c r="I629" s="4" t="n">
        <v>117.08</v>
      </c>
      <c r="J629" s="14" t="n">
        <f aca="false">E629-D629</f>
        <v>5</v>
      </c>
      <c r="K629" s="14" t="n">
        <f aca="false">IF(J629&lt;=0,1,0)</f>
        <v>0</v>
      </c>
      <c r="L629" s="15" t="n">
        <f aca="false">IFERROR(G629/F629,0)</f>
        <v>0.92156862745098</v>
      </c>
      <c r="M629" s="15" t="n">
        <f aca="false">IFERROR((I629-H629)/H629,0)</f>
        <v>0.0134164286332554</v>
      </c>
      <c r="N629" s="16" t="n">
        <f aca="false">G629*I629</f>
        <v>5502.76</v>
      </c>
    </row>
    <row r="630" customFormat="false" ht="15" hidden="false" customHeight="true" outlineLevel="0" collapsed="false">
      <c r="A630" s="4" t="s">
        <v>806</v>
      </c>
      <c r="B630" s="4" t="s">
        <v>41</v>
      </c>
      <c r="C630" s="13" t="n">
        <v>45276</v>
      </c>
      <c r="D630" s="13" t="n">
        <v>45284</v>
      </c>
      <c r="E630" s="13" t="n">
        <v>45285</v>
      </c>
      <c r="F630" s="4" t="n">
        <v>2863</v>
      </c>
      <c r="G630" s="4" t="n">
        <v>2758</v>
      </c>
      <c r="H630" s="4" t="n">
        <v>45.51</v>
      </c>
      <c r="I630" s="4" t="n">
        <v>44.12</v>
      </c>
      <c r="J630" s="14" t="n">
        <f aca="false">E630-D630</f>
        <v>1</v>
      </c>
      <c r="K630" s="14" t="n">
        <f aca="false">IF(J630&lt;=0,1,0)</f>
        <v>0</v>
      </c>
      <c r="L630" s="15" t="n">
        <f aca="false">IFERROR(G630/F630,0)</f>
        <v>0.963325183374083</v>
      </c>
      <c r="M630" s="15" t="n">
        <f aca="false">IFERROR((I630-H630)/H630,0)</f>
        <v>-0.030542737859811</v>
      </c>
      <c r="N630" s="16" t="n">
        <f aca="false">G630*I630</f>
        <v>121682.96</v>
      </c>
    </row>
    <row r="631" customFormat="false" ht="15" hidden="false" customHeight="true" outlineLevel="0" collapsed="false">
      <c r="A631" s="4" t="s">
        <v>807</v>
      </c>
      <c r="B631" s="4" t="s">
        <v>151</v>
      </c>
      <c r="C631" s="13" t="n">
        <v>45166</v>
      </c>
      <c r="D631" s="13" t="n">
        <v>45172</v>
      </c>
      <c r="E631" s="13" t="n">
        <v>45178</v>
      </c>
      <c r="F631" s="4" t="n">
        <v>13</v>
      </c>
      <c r="G631" s="4" t="n">
        <v>13</v>
      </c>
      <c r="H631" s="4" t="n">
        <v>503.46</v>
      </c>
      <c r="I631" s="4" t="n">
        <v>506.59</v>
      </c>
      <c r="J631" s="14" t="n">
        <f aca="false">E631-D631</f>
        <v>6</v>
      </c>
      <c r="K631" s="14" t="n">
        <f aca="false">IF(J631&lt;=0,1,0)</f>
        <v>0</v>
      </c>
      <c r="L631" s="15" t="n">
        <f aca="false">IFERROR(G631/F631,0)</f>
        <v>1</v>
      </c>
      <c r="M631" s="15" t="n">
        <f aca="false">IFERROR((I631-H631)/H631,0)</f>
        <v>0.00621697850871965</v>
      </c>
      <c r="N631" s="16" t="n">
        <f aca="false">G631*I631</f>
        <v>6585.67</v>
      </c>
    </row>
    <row r="632" customFormat="false" ht="15" hidden="false" customHeight="true" outlineLevel="0" collapsed="false">
      <c r="A632" s="4" t="s">
        <v>808</v>
      </c>
      <c r="B632" s="4" t="s">
        <v>95</v>
      </c>
      <c r="C632" s="13" t="n">
        <v>45440</v>
      </c>
      <c r="D632" s="13" t="n">
        <v>45447</v>
      </c>
      <c r="E632" s="13" t="n">
        <v>45442</v>
      </c>
      <c r="F632" s="4" t="n">
        <v>2481</v>
      </c>
      <c r="G632" s="4" t="n">
        <v>2392</v>
      </c>
      <c r="H632" s="4" t="n">
        <v>20.39</v>
      </c>
      <c r="I632" s="4" t="n">
        <v>21.41</v>
      </c>
      <c r="J632" s="14" t="n">
        <f aca="false">E632-D632</f>
        <v>-5</v>
      </c>
      <c r="K632" s="14" t="n">
        <f aca="false">IF(J632&lt;=0,1,0)</f>
        <v>1</v>
      </c>
      <c r="L632" s="15" t="n">
        <f aca="false">IFERROR(G632/F632,0)</f>
        <v>0.964127367996776</v>
      </c>
      <c r="M632" s="15" t="n">
        <f aca="false">IFERROR((I632-H632)/H632,0)</f>
        <v>0.0500245218244237</v>
      </c>
      <c r="N632" s="16" t="n">
        <f aca="false">G632*I632</f>
        <v>51212.72</v>
      </c>
    </row>
    <row r="633" customFormat="false" ht="15" hidden="false" customHeight="true" outlineLevel="0" collapsed="false">
      <c r="A633" s="4" t="s">
        <v>809</v>
      </c>
      <c r="B633" s="4" t="s">
        <v>55</v>
      </c>
      <c r="C633" s="13" t="n">
        <v>45534</v>
      </c>
      <c r="D633" s="13" t="n">
        <v>45554</v>
      </c>
      <c r="E633" s="13" t="n">
        <v>45552</v>
      </c>
      <c r="F633" s="4" t="n">
        <v>439</v>
      </c>
      <c r="G633" s="4" t="n">
        <v>433</v>
      </c>
      <c r="H633" s="4" t="n">
        <v>598.09</v>
      </c>
      <c r="I633" s="4" t="n">
        <v>570.21</v>
      </c>
      <c r="J633" s="14" t="n">
        <f aca="false">E633-D633</f>
        <v>-2</v>
      </c>
      <c r="K633" s="14" t="n">
        <f aca="false">IF(J633&lt;=0,1,0)</f>
        <v>1</v>
      </c>
      <c r="L633" s="15" t="n">
        <f aca="false">IFERROR(G633/F633,0)</f>
        <v>0.986332574031891</v>
      </c>
      <c r="M633" s="15" t="n">
        <f aca="false">IFERROR((I633-H633)/H633,0)</f>
        <v>-0.0466150579344246</v>
      </c>
      <c r="N633" s="16" t="n">
        <f aca="false">G633*I633</f>
        <v>246900.93</v>
      </c>
    </row>
    <row r="634" customFormat="false" ht="15" hidden="false" customHeight="true" outlineLevel="0" collapsed="false">
      <c r="A634" s="4" t="s">
        <v>810</v>
      </c>
      <c r="B634" s="4" t="s">
        <v>47</v>
      </c>
      <c r="C634" s="13" t="n">
        <v>45275</v>
      </c>
      <c r="D634" s="13" t="n">
        <v>45286</v>
      </c>
      <c r="E634" s="13" t="n">
        <v>45288</v>
      </c>
      <c r="F634" s="4" t="n">
        <v>1670</v>
      </c>
      <c r="G634" s="4" t="n">
        <v>1614</v>
      </c>
      <c r="H634" s="4" t="n">
        <v>228.68</v>
      </c>
      <c r="I634" s="4" t="n">
        <v>228.27</v>
      </c>
      <c r="J634" s="14" t="n">
        <f aca="false">E634-D634</f>
        <v>2</v>
      </c>
      <c r="K634" s="14" t="n">
        <f aca="false">IF(J634&lt;=0,1,0)</f>
        <v>0</v>
      </c>
      <c r="L634" s="15" t="n">
        <f aca="false">IFERROR(G634/F634,0)</f>
        <v>0.966467065868264</v>
      </c>
      <c r="M634" s="15" t="n">
        <f aca="false">IFERROR((I634-H634)/H634,0)</f>
        <v>-0.00179289837327268</v>
      </c>
      <c r="N634" s="16" t="n">
        <f aca="false">G634*I634</f>
        <v>368427.78</v>
      </c>
    </row>
    <row r="635" customFormat="false" ht="15" hidden="false" customHeight="true" outlineLevel="0" collapsed="false">
      <c r="A635" s="4" t="s">
        <v>811</v>
      </c>
      <c r="B635" s="4" t="s">
        <v>133</v>
      </c>
      <c r="C635" s="13" t="n">
        <v>44979</v>
      </c>
      <c r="D635" s="13" t="n">
        <v>44990</v>
      </c>
      <c r="E635" s="13" t="n">
        <v>44993</v>
      </c>
      <c r="F635" s="4" t="n">
        <v>1861</v>
      </c>
      <c r="G635" s="4" t="n">
        <v>1754</v>
      </c>
      <c r="H635" s="4" t="n">
        <v>138.21</v>
      </c>
      <c r="I635" s="4" t="n">
        <v>138.07</v>
      </c>
      <c r="J635" s="14" t="n">
        <f aca="false">E635-D635</f>
        <v>3</v>
      </c>
      <c r="K635" s="14" t="n">
        <f aca="false">IF(J635&lt;=0,1,0)</f>
        <v>0</v>
      </c>
      <c r="L635" s="15" t="n">
        <f aca="false">IFERROR(G635/F635,0)</f>
        <v>0.942504030091349</v>
      </c>
      <c r="M635" s="15" t="n">
        <f aca="false">IFERROR((I635-H635)/H635,0)</f>
        <v>-0.00101295130598376</v>
      </c>
      <c r="N635" s="16" t="n">
        <f aca="false">G635*I635</f>
        <v>242174.78</v>
      </c>
    </row>
    <row r="636" customFormat="false" ht="15" hidden="false" customHeight="true" outlineLevel="0" collapsed="false">
      <c r="A636" s="4" t="s">
        <v>812</v>
      </c>
      <c r="B636" s="4" t="s">
        <v>99</v>
      </c>
      <c r="C636" s="13" t="n">
        <v>45298</v>
      </c>
      <c r="D636" s="13" t="n">
        <v>45306</v>
      </c>
      <c r="E636" s="13" t="n">
        <v>45311</v>
      </c>
      <c r="F636" s="4" t="n">
        <v>2002</v>
      </c>
      <c r="G636" s="4" t="n">
        <v>1860</v>
      </c>
      <c r="H636" s="4" t="n">
        <v>11.5</v>
      </c>
      <c r="I636" s="4" t="n">
        <v>12.3</v>
      </c>
      <c r="J636" s="14" t="n">
        <f aca="false">E636-D636</f>
        <v>5</v>
      </c>
      <c r="K636" s="14" t="n">
        <f aca="false">IF(J636&lt;=0,1,0)</f>
        <v>0</v>
      </c>
      <c r="L636" s="15" t="n">
        <f aca="false">IFERROR(G636/F636,0)</f>
        <v>0.929070929070929</v>
      </c>
      <c r="M636" s="15" t="n">
        <f aca="false">IFERROR((I636-H636)/H636,0)</f>
        <v>0.0695652173913044</v>
      </c>
      <c r="N636" s="16" t="n">
        <f aca="false">G636*I636</f>
        <v>22878</v>
      </c>
    </row>
    <row r="637" customFormat="false" ht="15" hidden="false" customHeight="true" outlineLevel="0" collapsed="false">
      <c r="A637" s="4" t="s">
        <v>813</v>
      </c>
      <c r="B637" s="4" t="s">
        <v>113</v>
      </c>
      <c r="C637" s="13" t="n">
        <v>45124</v>
      </c>
      <c r="D637" s="13" t="n">
        <v>45135</v>
      </c>
      <c r="E637" s="13" t="n">
        <v>45138</v>
      </c>
      <c r="F637" s="4" t="n">
        <v>282</v>
      </c>
      <c r="G637" s="4" t="n">
        <v>282</v>
      </c>
      <c r="H637" s="4" t="n">
        <v>170.42</v>
      </c>
      <c r="I637" s="4" t="n">
        <v>170.04</v>
      </c>
      <c r="J637" s="14" t="n">
        <f aca="false">E637-D637</f>
        <v>3</v>
      </c>
      <c r="K637" s="14" t="n">
        <f aca="false">IF(J637&lt;=0,1,0)</f>
        <v>0</v>
      </c>
      <c r="L637" s="15" t="n">
        <f aca="false">IFERROR(G637/F637,0)</f>
        <v>1</v>
      </c>
      <c r="M637" s="15" t="n">
        <f aca="false">IFERROR((I637-H637)/H637,0)</f>
        <v>-0.00222978523647457</v>
      </c>
      <c r="N637" s="16" t="n">
        <f aca="false">G637*I637</f>
        <v>47951.28</v>
      </c>
    </row>
    <row r="638" customFormat="false" ht="15" hidden="false" customHeight="true" outlineLevel="0" collapsed="false">
      <c r="A638" s="4" t="s">
        <v>814</v>
      </c>
      <c r="B638" s="4" t="s">
        <v>105</v>
      </c>
      <c r="C638" s="13" t="n">
        <v>45327</v>
      </c>
      <c r="D638" s="13" t="n">
        <v>45345</v>
      </c>
      <c r="E638" s="13" t="n">
        <v>45347</v>
      </c>
      <c r="F638" s="4" t="n">
        <v>318</v>
      </c>
      <c r="G638" s="4" t="n">
        <v>308</v>
      </c>
      <c r="H638" s="4" t="n">
        <v>685.84</v>
      </c>
      <c r="I638" s="4" t="n">
        <v>698.68</v>
      </c>
      <c r="J638" s="14" t="n">
        <f aca="false">E638-D638</f>
        <v>2</v>
      </c>
      <c r="K638" s="14" t="n">
        <f aca="false">IF(J638&lt;=0,1,0)</f>
        <v>0</v>
      </c>
      <c r="L638" s="15" t="n">
        <f aca="false">IFERROR(G638/F638,0)</f>
        <v>0.968553459119497</v>
      </c>
      <c r="M638" s="15" t="n">
        <f aca="false">IFERROR((I638-H638)/H638,0)</f>
        <v>0.0187215677125859</v>
      </c>
      <c r="N638" s="16" t="n">
        <f aca="false">G638*I638</f>
        <v>215193.44</v>
      </c>
    </row>
    <row r="639" customFormat="false" ht="15" hidden="false" customHeight="true" outlineLevel="0" collapsed="false">
      <c r="A639" s="4" t="s">
        <v>815</v>
      </c>
      <c r="B639" s="4" t="s">
        <v>161</v>
      </c>
      <c r="C639" s="13" t="n">
        <v>45204</v>
      </c>
      <c r="D639" s="13" t="n">
        <v>45213</v>
      </c>
      <c r="E639" s="13" t="n">
        <v>45215</v>
      </c>
      <c r="F639" s="4" t="n">
        <v>971</v>
      </c>
      <c r="G639" s="4" t="n">
        <v>931</v>
      </c>
      <c r="H639" s="4" t="n">
        <v>101.94</v>
      </c>
      <c r="I639" s="4" t="n">
        <v>107.38</v>
      </c>
      <c r="J639" s="14" t="n">
        <f aca="false">E639-D639</f>
        <v>2</v>
      </c>
      <c r="K639" s="14" t="n">
        <f aca="false">IF(J639&lt;=0,1,0)</f>
        <v>0</v>
      </c>
      <c r="L639" s="15" t="n">
        <f aca="false">IFERROR(G639/F639,0)</f>
        <v>0.958805355303811</v>
      </c>
      <c r="M639" s="15" t="n">
        <f aca="false">IFERROR((I639-H639)/H639,0)</f>
        <v>0.0533647243476555</v>
      </c>
      <c r="N639" s="16" t="n">
        <f aca="false">G639*I639</f>
        <v>99970.78</v>
      </c>
    </row>
    <row r="640" customFormat="false" ht="15" hidden="false" customHeight="true" outlineLevel="0" collapsed="false">
      <c r="A640" s="4" t="s">
        <v>816</v>
      </c>
      <c r="B640" s="4" t="s">
        <v>87</v>
      </c>
      <c r="C640" s="13" t="n">
        <v>45170</v>
      </c>
      <c r="D640" s="13" t="n">
        <v>45179</v>
      </c>
      <c r="E640" s="13" t="n">
        <v>45181</v>
      </c>
      <c r="F640" s="4" t="n">
        <v>986</v>
      </c>
      <c r="G640" s="4" t="n">
        <v>903</v>
      </c>
      <c r="H640" s="4" t="n">
        <v>161.95</v>
      </c>
      <c r="I640" s="4" t="n">
        <v>173.02</v>
      </c>
      <c r="J640" s="14" t="n">
        <f aca="false">E640-D640</f>
        <v>2</v>
      </c>
      <c r="K640" s="14" t="n">
        <f aca="false">IF(J640&lt;=0,1,0)</f>
        <v>0</v>
      </c>
      <c r="L640" s="15" t="n">
        <f aca="false">IFERROR(G640/F640,0)</f>
        <v>0.915821501014199</v>
      </c>
      <c r="M640" s="15" t="n">
        <f aca="false">IFERROR((I640-H640)/H640,0)</f>
        <v>0.068354430379747</v>
      </c>
      <c r="N640" s="16" t="n">
        <f aca="false">G640*I640</f>
        <v>156237.06</v>
      </c>
    </row>
    <row r="641" customFormat="false" ht="15" hidden="false" customHeight="true" outlineLevel="0" collapsed="false">
      <c r="A641" s="4" t="s">
        <v>817</v>
      </c>
      <c r="B641" s="4" t="s">
        <v>133</v>
      </c>
      <c r="C641" s="13" t="n">
        <v>45491</v>
      </c>
      <c r="D641" s="13" t="n">
        <v>45503</v>
      </c>
      <c r="E641" s="13" t="n">
        <v>45513</v>
      </c>
      <c r="F641" s="4" t="n">
        <v>850</v>
      </c>
      <c r="G641" s="4" t="n">
        <v>815</v>
      </c>
      <c r="H641" s="4" t="n">
        <v>138.21</v>
      </c>
      <c r="I641" s="4" t="n">
        <v>142.75</v>
      </c>
      <c r="J641" s="14" t="n">
        <f aca="false">E641-D641</f>
        <v>10</v>
      </c>
      <c r="K641" s="14" t="n">
        <f aca="false">IF(J641&lt;=0,1,0)</f>
        <v>0</v>
      </c>
      <c r="L641" s="15" t="n">
        <f aca="false">IFERROR(G641/F641,0)</f>
        <v>0.958823529411765</v>
      </c>
      <c r="M641" s="15" t="n">
        <f aca="false">IFERROR((I641-H641)/H641,0)</f>
        <v>0.0328485637797554</v>
      </c>
      <c r="N641" s="16" t="n">
        <f aca="false">G641*I641</f>
        <v>116341.25</v>
      </c>
    </row>
    <row r="642" customFormat="false" ht="15" hidden="false" customHeight="true" outlineLevel="0" collapsed="false">
      <c r="A642" s="4" t="s">
        <v>818</v>
      </c>
      <c r="B642" s="4" t="s">
        <v>129</v>
      </c>
      <c r="C642" s="13" t="n">
        <v>45384</v>
      </c>
      <c r="D642" s="13" t="n">
        <v>45404</v>
      </c>
      <c r="E642" s="13" t="n">
        <v>45409</v>
      </c>
      <c r="F642" s="4" t="n">
        <v>307</v>
      </c>
      <c r="G642" s="4" t="n">
        <v>299</v>
      </c>
      <c r="H642" s="4" t="n">
        <v>709.66</v>
      </c>
      <c r="I642" s="4" t="n">
        <v>715.83</v>
      </c>
      <c r="J642" s="14" t="n">
        <f aca="false">E642-D642</f>
        <v>5</v>
      </c>
      <c r="K642" s="14" t="n">
        <f aca="false">IF(J642&lt;=0,1,0)</f>
        <v>0</v>
      </c>
      <c r="L642" s="15" t="n">
        <f aca="false">IFERROR(G642/F642,0)</f>
        <v>0.973941368078176</v>
      </c>
      <c r="M642" s="15" t="n">
        <f aca="false">IFERROR((I642-H642)/H642,0)</f>
        <v>0.00869430431474237</v>
      </c>
      <c r="N642" s="16" t="n">
        <f aca="false">G642*I642</f>
        <v>214033.17</v>
      </c>
    </row>
    <row r="643" customFormat="false" ht="15" hidden="false" customHeight="true" outlineLevel="0" collapsed="false">
      <c r="A643" s="4" t="s">
        <v>819</v>
      </c>
      <c r="B643" s="4" t="s">
        <v>113</v>
      </c>
      <c r="C643" s="13" t="n">
        <v>44969</v>
      </c>
      <c r="D643" s="13" t="n">
        <v>44981</v>
      </c>
      <c r="E643" s="13" t="n">
        <v>44983</v>
      </c>
      <c r="F643" s="4" t="n">
        <v>430</v>
      </c>
      <c r="G643" s="4" t="n">
        <v>430</v>
      </c>
      <c r="H643" s="4" t="n">
        <v>170.42</v>
      </c>
      <c r="I643" s="4" t="n">
        <v>170.35</v>
      </c>
      <c r="J643" s="14" t="n">
        <f aca="false">E643-D643</f>
        <v>2</v>
      </c>
      <c r="K643" s="14" t="n">
        <f aca="false">IF(J643&lt;=0,1,0)</f>
        <v>0</v>
      </c>
      <c r="L643" s="15" t="n">
        <f aca="false">IFERROR(G643/F643,0)</f>
        <v>1</v>
      </c>
      <c r="M643" s="15" t="n">
        <f aca="false">IFERROR((I643-H643)/H643,0)</f>
        <v>-0.000410749911982122</v>
      </c>
      <c r="N643" s="16" t="n">
        <f aca="false">G643*I643</f>
        <v>73250.5</v>
      </c>
    </row>
    <row r="644" customFormat="false" ht="15" hidden="false" customHeight="true" outlineLevel="0" collapsed="false">
      <c r="A644" s="4" t="s">
        <v>820</v>
      </c>
      <c r="B644" s="4" t="s">
        <v>147</v>
      </c>
      <c r="C644" s="13" t="n">
        <v>45305</v>
      </c>
      <c r="D644" s="13" t="n">
        <v>45318</v>
      </c>
      <c r="E644" s="13" t="n">
        <v>45316</v>
      </c>
      <c r="F644" s="4" t="n">
        <v>45</v>
      </c>
      <c r="G644" s="4" t="n">
        <v>45</v>
      </c>
      <c r="H644" s="4" t="n">
        <v>203.3</v>
      </c>
      <c r="I644" s="4" t="n">
        <v>208.1</v>
      </c>
      <c r="J644" s="14" t="n">
        <f aca="false">E644-D644</f>
        <v>-2</v>
      </c>
      <c r="K644" s="14" t="n">
        <f aca="false">IF(J644&lt;=0,1,0)</f>
        <v>1</v>
      </c>
      <c r="L644" s="15" t="n">
        <f aca="false">IFERROR(G644/F644,0)</f>
        <v>1</v>
      </c>
      <c r="M644" s="15" t="n">
        <f aca="false">IFERROR((I644-H644)/H644,0)</f>
        <v>0.0236104279390063</v>
      </c>
      <c r="N644" s="16" t="n">
        <f aca="false">G644*I644</f>
        <v>9364.5</v>
      </c>
    </row>
    <row r="645" customFormat="false" ht="15" hidden="false" customHeight="true" outlineLevel="0" collapsed="false">
      <c r="A645" s="4" t="s">
        <v>821</v>
      </c>
      <c r="B645" s="4" t="s">
        <v>55</v>
      </c>
      <c r="C645" s="13" t="n">
        <v>44966</v>
      </c>
      <c r="D645" s="13" t="n">
        <v>44984</v>
      </c>
      <c r="E645" s="13" t="n">
        <v>44984</v>
      </c>
      <c r="F645" s="4" t="n">
        <v>50</v>
      </c>
      <c r="G645" s="4" t="n">
        <v>48</v>
      </c>
      <c r="H645" s="4" t="n">
        <v>598.09</v>
      </c>
      <c r="I645" s="4" t="n">
        <v>604.21</v>
      </c>
      <c r="J645" s="14" t="n">
        <f aca="false">E645-D645</f>
        <v>0</v>
      </c>
      <c r="K645" s="14" t="n">
        <f aca="false">IF(J645&lt;=0,1,0)</f>
        <v>1</v>
      </c>
      <c r="L645" s="15" t="n">
        <f aca="false">IFERROR(G645/F645,0)</f>
        <v>0.96</v>
      </c>
      <c r="M645" s="15" t="n">
        <f aca="false">IFERROR((I645-H645)/H645,0)</f>
        <v>0.0102325736929225</v>
      </c>
      <c r="N645" s="16" t="n">
        <f aca="false">G645*I645</f>
        <v>29002.08</v>
      </c>
    </row>
    <row r="646" customFormat="false" ht="15" hidden="false" customHeight="true" outlineLevel="0" collapsed="false">
      <c r="A646" s="4" t="s">
        <v>822</v>
      </c>
      <c r="B646" s="4" t="s">
        <v>161</v>
      </c>
      <c r="C646" s="13" t="n">
        <v>45298</v>
      </c>
      <c r="D646" s="13" t="n">
        <v>45308</v>
      </c>
      <c r="E646" s="13" t="n">
        <v>45309</v>
      </c>
      <c r="F646" s="4" t="n">
        <v>1142</v>
      </c>
      <c r="G646" s="4" t="n">
        <v>1137</v>
      </c>
      <c r="H646" s="4" t="n">
        <v>101.94</v>
      </c>
      <c r="I646" s="4" t="n">
        <v>106.83</v>
      </c>
      <c r="J646" s="14" t="n">
        <f aca="false">E646-D646</f>
        <v>1</v>
      </c>
      <c r="K646" s="14" t="n">
        <f aca="false">IF(J646&lt;=0,1,0)</f>
        <v>0</v>
      </c>
      <c r="L646" s="15" t="n">
        <f aca="false">IFERROR(G646/F646,0)</f>
        <v>0.995621716287215</v>
      </c>
      <c r="M646" s="15" t="n">
        <f aca="false">IFERROR((I646-H646)/H646,0)</f>
        <v>0.0479693937610359</v>
      </c>
      <c r="N646" s="16" t="n">
        <f aca="false">G646*I646</f>
        <v>121465.71</v>
      </c>
    </row>
    <row r="647" customFormat="false" ht="15" hidden="false" customHeight="true" outlineLevel="0" collapsed="false">
      <c r="A647" s="4" t="s">
        <v>823</v>
      </c>
      <c r="B647" s="4" t="s">
        <v>68</v>
      </c>
      <c r="C647" s="13" t="n">
        <v>45308</v>
      </c>
      <c r="D647" s="13" t="n">
        <v>45326</v>
      </c>
      <c r="E647" s="13" t="n">
        <v>45327</v>
      </c>
      <c r="F647" s="4" t="n">
        <v>319</v>
      </c>
      <c r="G647" s="4" t="n">
        <v>299</v>
      </c>
      <c r="H647" s="4" t="n">
        <v>1232.83</v>
      </c>
      <c r="I647" s="4" t="n">
        <v>1228.81</v>
      </c>
      <c r="J647" s="14" t="n">
        <f aca="false">E647-D647</f>
        <v>1</v>
      </c>
      <c r="K647" s="14" t="n">
        <f aca="false">IF(J647&lt;=0,1,0)</f>
        <v>0</v>
      </c>
      <c r="L647" s="15" t="n">
        <f aca="false">IFERROR(G647/F647,0)</f>
        <v>0.93730407523511</v>
      </c>
      <c r="M647" s="15" t="n">
        <f aca="false">IFERROR((I647-H647)/H647,0)</f>
        <v>-0.00326079021438478</v>
      </c>
      <c r="N647" s="16" t="n">
        <f aca="false">G647*I647</f>
        <v>367414.19</v>
      </c>
    </row>
    <row r="648" customFormat="false" ht="15" hidden="false" customHeight="true" outlineLevel="0" collapsed="false">
      <c r="A648" s="4" t="s">
        <v>824</v>
      </c>
      <c r="B648" s="4" t="s">
        <v>61</v>
      </c>
      <c r="C648" s="13" t="n">
        <v>45292</v>
      </c>
      <c r="D648" s="13" t="n">
        <v>45303</v>
      </c>
      <c r="E648" s="13" t="n">
        <v>45303</v>
      </c>
      <c r="F648" s="4" t="n">
        <v>1651</v>
      </c>
      <c r="G648" s="4" t="n">
        <v>1622</v>
      </c>
      <c r="H648" s="4" t="n">
        <v>107.41</v>
      </c>
      <c r="I648" s="4" t="n">
        <v>107.39</v>
      </c>
      <c r="J648" s="14" t="n">
        <f aca="false">E648-D648</f>
        <v>0</v>
      </c>
      <c r="K648" s="14" t="n">
        <f aca="false">IF(J648&lt;=0,1,0)</f>
        <v>1</v>
      </c>
      <c r="L648" s="15" t="n">
        <f aca="false">IFERROR(G648/F648,0)</f>
        <v>0.982434887946699</v>
      </c>
      <c r="M648" s="15" t="n">
        <f aca="false">IFERROR((I648-H648)/H648,0)</f>
        <v>-0.000186202402010949</v>
      </c>
      <c r="N648" s="16" t="n">
        <f aca="false">G648*I648</f>
        <v>174186.58</v>
      </c>
    </row>
    <row r="649" customFormat="false" ht="15" hidden="false" customHeight="true" outlineLevel="0" collapsed="false">
      <c r="A649" s="4" t="s">
        <v>825</v>
      </c>
      <c r="B649" s="4" t="s">
        <v>159</v>
      </c>
      <c r="C649" s="13" t="n">
        <v>45643</v>
      </c>
      <c r="D649" s="13" t="n">
        <v>45652</v>
      </c>
      <c r="E649" s="13" t="n">
        <v>45654</v>
      </c>
      <c r="F649" s="4" t="n">
        <v>1973</v>
      </c>
      <c r="G649" s="4" t="n">
        <v>1971</v>
      </c>
      <c r="H649" s="4" t="n">
        <v>32.91</v>
      </c>
      <c r="I649" s="4" t="n">
        <v>33.4</v>
      </c>
      <c r="J649" s="14" t="n">
        <f aca="false">E649-D649</f>
        <v>2</v>
      </c>
      <c r="K649" s="14" t="n">
        <f aca="false">IF(J649&lt;=0,1,0)</f>
        <v>0</v>
      </c>
      <c r="L649" s="15" t="n">
        <f aca="false">IFERROR(G649/F649,0)</f>
        <v>0.998986315255955</v>
      </c>
      <c r="M649" s="15" t="n">
        <f aca="false">IFERROR((I649-H649)/H649,0)</f>
        <v>0.0148890914615619</v>
      </c>
      <c r="N649" s="16" t="n">
        <f aca="false">G649*I649</f>
        <v>65831.4</v>
      </c>
    </row>
    <row r="650" customFormat="false" ht="15" hidden="false" customHeight="true" outlineLevel="0" collapsed="false">
      <c r="A650" s="4" t="s">
        <v>826</v>
      </c>
      <c r="B650" s="4" t="s">
        <v>41</v>
      </c>
      <c r="C650" s="13" t="n">
        <v>45018</v>
      </c>
      <c r="D650" s="13" t="n">
        <v>45024</v>
      </c>
      <c r="E650" s="13" t="n">
        <v>45021</v>
      </c>
      <c r="F650" s="4" t="n">
        <v>2222</v>
      </c>
      <c r="G650" s="4" t="n">
        <v>2222</v>
      </c>
      <c r="H650" s="4" t="n">
        <v>45.51</v>
      </c>
      <c r="I650" s="4" t="n">
        <v>45.66</v>
      </c>
      <c r="J650" s="14" t="n">
        <f aca="false">E650-D650</f>
        <v>-3</v>
      </c>
      <c r="K650" s="14" t="n">
        <f aca="false">IF(J650&lt;=0,1,0)</f>
        <v>1</v>
      </c>
      <c r="L650" s="15" t="n">
        <f aca="false">IFERROR(G650/F650,0)</f>
        <v>1</v>
      </c>
      <c r="M650" s="15" t="n">
        <f aca="false">IFERROR((I650-H650)/H650,0)</f>
        <v>0.00329597890573497</v>
      </c>
      <c r="N650" s="16" t="n">
        <f aca="false">G650*I650</f>
        <v>101456.52</v>
      </c>
    </row>
    <row r="651" customFormat="false" ht="15" hidden="false" customHeight="true" outlineLevel="0" collapsed="false">
      <c r="A651" s="4" t="s">
        <v>827</v>
      </c>
      <c r="B651" s="4" t="s">
        <v>58</v>
      </c>
      <c r="C651" s="13" t="n">
        <v>44972</v>
      </c>
      <c r="D651" s="13" t="n">
        <v>44984</v>
      </c>
      <c r="E651" s="13" t="n">
        <v>44985</v>
      </c>
      <c r="F651" s="4" t="n">
        <v>125</v>
      </c>
      <c r="G651" s="4" t="n">
        <v>125</v>
      </c>
      <c r="H651" s="4" t="n">
        <v>135.68</v>
      </c>
      <c r="I651" s="4" t="n">
        <v>135.76</v>
      </c>
      <c r="J651" s="14" t="n">
        <f aca="false">E651-D651</f>
        <v>1</v>
      </c>
      <c r="K651" s="14" t="n">
        <f aca="false">IF(J651&lt;=0,1,0)</f>
        <v>0</v>
      </c>
      <c r="L651" s="15" t="n">
        <f aca="false">IFERROR(G651/F651,0)</f>
        <v>1</v>
      </c>
      <c r="M651" s="15" t="n">
        <f aca="false">IFERROR((I651-H651)/H651,0)</f>
        <v>0.000589622641509317</v>
      </c>
      <c r="N651" s="16" t="n">
        <f aca="false">G651*I651</f>
        <v>16970</v>
      </c>
    </row>
    <row r="652" customFormat="false" ht="15" hidden="false" customHeight="true" outlineLevel="0" collapsed="false">
      <c r="A652" s="4" t="s">
        <v>828</v>
      </c>
      <c r="B652" s="4" t="s">
        <v>81</v>
      </c>
      <c r="C652" s="13" t="n">
        <v>45217</v>
      </c>
      <c r="D652" s="13" t="n">
        <v>45223</v>
      </c>
      <c r="E652" s="13" t="n">
        <v>45222</v>
      </c>
      <c r="F652" s="4" t="n">
        <v>8</v>
      </c>
      <c r="G652" s="4" t="n">
        <v>8</v>
      </c>
      <c r="H652" s="4" t="n">
        <v>697.63</v>
      </c>
      <c r="I652" s="4" t="n">
        <v>684.14</v>
      </c>
      <c r="J652" s="14" t="n">
        <f aca="false">E652-D652</f>
        <v>-1</v>
      </c>
      <c r="K652" s="14" t="n">
        <f aca="false">IF(J652&lt;=0,1,0)</f>
        <v>1</v>
      </c>
      <c r="L652" s="15" t="n">
        <f aca="false">IFERROR(G652/F652,0)</f>
        <v>1</v>
      </c>
      <c r="M652" s="15" t="n">
        <f aca="false">IFERROR((I652-H652)/H652,0)</f>
        <v>-0.0193368977824922</v>
      </c>
      <c r="N652" s="16" t="n">
        <f aca="false">G652*I652</f>
        <v>5473.12</v>
      </c>
    </row>
    <row r="653" customFormat="false" ht="15" hidden="false" customHeight="true" outlineLevel="0" collapsed="false">
      <c r="A653" s="4" t="s">
        <v>829</v>
      </c>
      <c r="B653" s="4" t="s">
        <v>74</v>
      </c>
      <c r="C653" s="13" t="n">
        <v>45539</v>
      </c>
      <c r="D653" s="13" t="n">
        <v>45544</v>
      </c>
      <c r="E653" s="13" t="n">
        <v>45543</v>
      </c>
      <c r="F653" s="4" t="n">
        <v>16</v>
      </c>
      <c r="G653" s="4" t="n">
        <v>16</v>
      </c>
      <c r="H653" s="4" t="n">
        <v>1294.62</v>
      </c>
      <c r="I653" s="4" t="n">
        <v>1367.94</v>
      </c>
      <c r="J653" s="14" t="n">
        <f aca="false">E653-D653</f>
        <v>-1</v>
      </c>
      <c r="K653" s="14" t="n">
        <f aca="false">IF(J653&lt;=0,1,0)</f>
        <v>1</v>
      </c>
      <c r="L653" s="15" t="n">
        <f aca="false">IFERROR(G653/F653,0)</f>
        <v>1</v>
      </c>
      <c r="M653" s="15" t="n">
        <f aca="false">IFERROR((I653-H653)/H653,0)</f>
        <v>0.0566343792000743</v>
      </c>
      <c r="N653" s="16" t="n">
        <f aca="false">G653*I653</f>
        <v>21887.04</v>
      </c>
    </row>
    <row r="654" customFormat="false" ht="15" hidden="false" customHeight="true" outlineLevel="0" collapsed="false">
      <c r="A654" s="4" t="s">
        <v>830</v>
      </c>
      <c r="B654" s="4" t="s">
        <v>83</v>
      </c>
      <c r="C654" s="13" t="n">
        <v>45209</v>
      </c>
      <c r="D654" s="13" t="n">
        <v>45219</v>
      </c>
      <c r="E654" s="13" t="n">
        <v>45217</v>
      </c>
      <c r="F654" s="4" t="n">
        <v>1165</v>
      </c>
      <c r="G654" s="4" t="n">
        <v>1164</v>
      </c>
      <c r="H654" s="4" t="n">
        <v>101.36</v>
      </c>
      <c r="I654" s="4" t="n">
        <v>103.05</v>
      </c>
      <c r="J654" s="14" t="n">
        <f aca="false">E654-D654</f>
        <v>-2</v>
      </c>
      <c r="K654" s="14" t="n">
        <f aca="false">IF(J654&lt;=0,1,0)</f>
        <v>1</v>
      </c>
      <c r="L654" s="15" t="n">
        <f aca="false">IFERROR(G654/F654,0)</f>
        <v>0.999141630901288</v>
      </c>
      <c r="M654" s="15" t="n">
        <f aca="false">IFERROR((I654-H654)/H654,0)</f>
        <v>0.0166732438831886</v>
      </c>
      <c r="N654" s="16" t="n">
        <f aca="false">G654*I654</f>
        <v>119950.2</v>
      </c>
    </row>
    <row r="655" customFormat="false" ht="15" hidden="false" customHeight="true" outlineLevel="0" collapsed="false">
      <c r="A655" s="4" t="s">
        <v>831</v>
      </c>
      <c r="B655" s="4" t="s">
        <v>72</v>
      </c>
      <c r="C655" s="13" t="n">
        <v>45498</v>
      </c>
      <c r="D655" s="13" t="n">
        <v>45504</v>
      </c>
      <c r="E655" s="13" t="n">
        <v>45513</v>
      </c>
      <c r="F655" s="4" t="n">
        <v>4135</v>
      </c>
      <c r="G655" s="4" t="n">
        <v>4124</v>
      </c>
      <c r="H655" s="4" t="n">
        <v>34.53</v>
      </c>
      <c r="I655" s="4" t="n">
        <v>36.35</v>
      </c>
      <c r="J655" s="14" t="n">
        <f aca="false">E655-D655</f>
        <v>9</v>
      </c>
      <c r="K655" s="14" t="n">
        <f aca="false">IF(J655&lt;=0,1,0)</f>
        <v>0</v>
      </c>
      <c r="L655" s="15" t="n">
        <f aca="false">IFERROR(G655/F655,0)</f>
        <v>0.997339782345828</v>
      </c>
      <c r="M655" s="15" t="n">
        <f aca="false">IFERROR((I655-H655)/H655,0)</f>
        <v>0.0527077903272517</v>
      </c>
      <c r="N655" s="16" t="n">
        <f aca="false">G655*I655</f>
        <v>149907.4</v>
      </c>
    </row>
    <row r="656" customFormat="false" ht="15" hidden="false" customHeight="true" outlineLevel="0" collapsed="false">
      <c r="A656" s="4" t="s">
        <v>832</v>
      </c>
      <c r="B656" s="4" t="s">
        <v>61</v>
      </c>
      <c r="C656" s="13" t="n">
        <v>45173</v>
      </c>
      <c r="D656" s="13" t="n">
        <v>45183</v>
      </c>
      <c r="E656" s="13" t="n">
        <v>45191</v>
      </c>
      <c r="F656" s="4" t="n">
        <v>465</v>
      </c>
      <c r="G656" s="4" t="n">
        <v>444</v>
      </c>
      <c r="H656" s="4" t="n">
        <v>107.41</v>
      </c>
      <c r="I656" s="4" t="n">
        <v>107.13</v>
      </c>
      <c r="J656" s="14" t="n">
        <f aca="false">E656-D656</f>
        <v>8</v>
      </c>
      <c r="K656" s="14" t="n">
        <f aca="false">IF(J656&lt;=0,1,0)</f>
        <v>0</v>
      </c>
      <c r="L656" s="15" t="n">
        <f aca="false">IFERROR(G656/F656,0)</f>
        <v>0.954838709677419</v>
      </c>
      <c r="M656" s="15" t="n">
        <f aca="false">IFERROR((I656-H656)/H656,0)</f>
        <v>-0.00260683362815381</v>
      </c>
      <c r="N656" s="16" t="n">
        <f aca="false">G656*I656</f>
        <v>47565.72</v>
      </c>
    </row>
    <row r="657" customFormat="false" ht="15" hidden="false" customHeight="true" outlineLevel="0" collapsed="false">
      <c r="A657" s="4" t="s">
        <v>833</v>
      </c>
      <c r="B657" s="4" t="s">
        <v>127</v>
      </c>
      <c r="C657" s="13" t="n">
        <v>45574</v>
      </c>
      <c r="D657" s="13" t="n">
        <v>45578</v>
      </c>
      <c r="E657" s="13" t="n">
        <v>45579</v>
      </c>
      <c r="F657" s="4" t="n">
        <v>15</v>
      </c>
      <c r="G657" s="4" t="n">
        <v>15</v>
      </c>
      <c r="H657" s="4" t="n">
        <v>1881</v>
      </c>
      <c r="I657" s="4" t="n">
        <v>1774.99</v>
      </c>
      <c r="J657" s="14" t="n">
        <f aca="false">E657-D657</f>
        <v>1</v>
      </c>
      <c r="K657" s="14" t="n">
        <f aca="false">IF(J657&lt;=0,1,0)</f>
        <v>0</v>
      </c>
      <c r="L657" s="15" t="n">
        <f aca="false">IFERROR(G657/F657,0)</f>
        <v>1</v>
      </c>
      <c r="M657" s="15" t="n">
        <f aca="false">IFERROR((I657-H657)/H657,0)</f>
        <v>-0.0563583200425306</v>
      </c>
      <c r="N657" s="16" t="n">
        <f aca="false">G657*I657</f>
        <v>26624.85</v>
      </c>
    </row>
    <row r="658" customFormat="false" ht="15" hidden="false" customHeight="true" outlineLevel="0" collapsed="false">
      <c r="A658" s="4" t="s">
        <v>834</v>
      </c>
      <c r="B658" s="4" t="s">
        <v>141</v>
      </c>
      <c r="C658" s="13" t="n">
        <v>45261</v>
      </c>
      <c r="D658" s="13" t="n">
        <v>45281</v>
      </c>
      <c r="E658" s="13" t="n">
        <v>45285</v>
      </c>
      <c r="F658" s="4" t="n">
        <v>433</v>
      </c>
      <c r="G658" s="4" t="n">
        <v>421</v>
      </c>
      <c r="H658" s="4" t="n">
        <v>1252.36</v>
      </c>
      <c r="I658" s="4" t="n">
        <v>1221.39</v>
      </c>
      <c r="J658" s="14" t="n">
        <f aca="false">E658-D658</f>
        <v>4</v>
      </c>
      <c r="K658" s="14" t="n">
        <f aca="false">IF(J658&lt;=0,1,0)</f>
        <v>0</v>
      </c>
      <c r="L658" s="15" t="n">
        <f aca="false">IFERROR(G658/F658,0)</f>
        <v>0.972286374133949</v>
      </c>
      <c r="M658" s="15" t="n">
        <f aca="false">IFERROR((I658-H658)/H658,0)</f>
        <v>-0.0247293110607172</v>
      </c>
      <c r="N658" s="16" t="n">
        <f aca="false">G658*I658</f>
        <v>514205.19</v>
      </c>
    </row>
    <row r="659" customFormat="false" ht="15" hidden="false" customHeight="true" outlineLevel="0" collapsed="false">
      <c r="A659" s="4" t="s">
        <v>835</v>
      </c>
      <c r="B659" s="4" t="s">
        <v>58</v>
      </c>
      <c r="C659" s="13" t="n">
        <v>45283</v>
      </c>
      <c r="D659" s="13" t="n">
        <v>45294</v>
      </c>
      <c r="E659" s="13" t="n">
        <v>45297</v>
      </c>
      <c r="F659" s="4" t="n">
        <v>244</v>
      </c>
      <c r="G659" s="4" t="n">
        <v>238</v>
      </c>
      <c r="H659" s="4" t="n">
        <v>135.68</v>
      </c>
      <c r="I659" s="4" t="n">
        <v>142.42</v>
      </c>
      <c r="J659" s="14" t="n">
        <f aca="false">E659-D659</f>
        <v>3</v>
      </c>
      <c r="K659" s="14" t="n">
        <f aca="false">IF(J659&lt;=0,1,0)</f>
        <v>0</v>
      </c>
      <c r="L659" s="15" t="n">
        <f aca="false">IFERROR(G659/F659,0)</f>
        <v>0.975409836065574</v>
      </c>
      <c r="M659" s="15" t="n">
        <f aca="false">IFERROR((I659-H659)/H659,0)</f>
        <v>0.0496757075471697</v>
      </c>
      <c r="N659" s="16" t="n">
        <f aca="false">G659*I659</f>
        <v>33895.96</v>
      </c>
    </row>
    <row r="660" customFormat="false" ht="15" hidden="false" customHeight="true" outlineLevel="0" collapsed="false">
      <c r="A660" s="4" t="s">
        <v>836</v>
      </c>
      <c r="B660" s="4" t="s">
        <v>58</v>
      </c>
      <c r="C660" s="13" t="n">
        <v>45174</v>
      </c>
      <c r="D660" s="13" t="n">
        <v>45186</v>
      </c>
      <c r="E660" s="13" t="n">
        <v>45188</v>
      </c>
      <c r="F660" s="4" t="n">
        <v>233</v>
      </c>
      <c r="G660" s="4" t="n">
        <v>233</v>
      </c>
      <c r="H660" s="4" t="n">
        <v>135.68</v>
      </c>
      <c r="I660" s="4" t="n">
        <v>138.54</v>
      </c>
      <c r="J660" s="14" t="n">
        <f aca="false">E660-D660</f>
        <v>2</v>
      </c>
      <c r="K660" s="14" t="n">
        <f aca="false">IF(J660&lt;=0,1,0)</f>
        <v>0</v>
      </c>
      <c r="L660" s="15" t="n">
        <f aca="false">IFERROR(G660/F660,0)</f>
        <v>1</v>
      </c>
      <c r="M660" s="15" t="n">
        <f aca="false">IFERROR((I660-H660)/H660,0)</f>
        <v>0.0210790094339622</v>
      </c>
      <c r="N660" s="16" t="n">
        <f aca="false">G660*I660</f>
        <v>32279.82</v>
      </c>
    </row>
    <row r="661" customFormat="false" ht="15" hidden="false" customHeight="true" outlineLevel="0" collapsed="false">
      <c r="A661" s="4" t="s">
        <v>837</v>
      </c>
      <c r="B661" s="4" t="s">
        <v>133</v>
      </c>
      <c r="C661" s="13" t="n">
        <v>45202</v>
      </c>
      <c r="D661" s="13" t="n">
        <v>45214</v>
      </c>
      <c r="E661" s="13" t="n">
        <v>45221</v>
      </c>
      <c r="F661" s="4" t="n">
        <v>1011</v>
      </c>
      <c r="G661" s="4" t="n">
        <v>968</v>
      </c>
      <c r="H661" s="4" t="n">
        <v>138.21</v>
      </c>
      <c r="I661" s="4" t="n">
        <v>137.99</v>
      </c>
      <c r="J661" s="14" t="n">
        <f aca="false">E661-D661</f>
        <v>7</v>
      </c>
      <c r="K661" s="14" t="n">
        <f aca="false">IF(J661&lt;=0,1,0)</f>
        <v>0</v>
      </c>
      <c r="L661" s="15" t="n">
        <f aca="false">IFERROR(G661/F661,0)</f>
        <v>0.957467853610287</v>
      </c>
      <c r="M661" s="15" t="n">
        <f aca="false">IFERROR((I661-H661)/H661,0)</f>
        <v>-0.00159178062368858</v>
      </c>
      <c r="N661" s="16" t="n">
        <f aca="false">G661*I661</f>
        <v>133574.32</v>
      </c>
    </row>
    <row r="662" customFormat="false" ht="15" hidden="false" customHeight="true" outlineLevel="0" collapsed="false">
      <c r="A662" s="4" t="s">
        <v>838</v>
      </c>
      <c r="B662" s="4" t="s">
        <v>43</v>
      </c>
      <c r="C662" s="13" t="n">
        <v>45231</v>
      </c>
      <c r="D662" s="13" t="n">
        <v>45249</v>
      </c>
      <c r="E662" s="13" t="n">
        <v>45249</v>
      </c>
      <c r="F662" s="4" t="n">
        <v>373</v>
      </c>
      <c r="G662" s="4" t="n">
        <v>357</v>
      </c>
      <c r="H662" s="4" t="n">
        <v>1321.6</v>
      </c>
      <c r="I662" s="4" t="n">
        <v>1325.94</v>
      </c>
      <c r="J662" s="14" t="n">
        <f aca="false">E662-D662</f>
        <v>0</v>
      </c>
      <c r="K662" s="14" t="n">
        <f aca="false">IF(J662&lt;=0,1,0)</f>
        <v>1</v>
      </c>
      <c r="L662" s="15" t="n">
        <f aca="false">IFERROR(G662/F662,0)</f>
        <v>0.957104557640751</v>
      </c>
      <c r="M662" s="15" t="n">
        <f aca="false">IFERROR((I662-H662)/H662,0)</f>
        <v>0.00328389830508486</v>
      </c>
      <c r="N662" s="16" t="n">
        <f aca="false">G662*I662</f>
        <v>473360.58</v>
      </c>
    </row>
    <row r="663" customFormat="false" ht="15" hidden="false" customHeight="true" outlineLevel="0" collapsed="false">
      <c r="A663" s="4" t="s">
        <v>839</v>
      </c>
      <c r="B663" s="4" t="s">
        <v>145</v>
      </c>
      <c r="C663" s="13" t="n">
        <v>45188</v>
      </c>
      <c r="D663" s="13" t="n">
        <v>45197</v>
      </c>
      <c r="E663" s="13" t="n">
        <v>45202</v>
      </c>
      <c r="F663" s="4" t="n">
        <v>210</v>
      </c>
      <c r="G663" s="4" t="n">
        <v>204</v>
      </c>
      <c r="H663" s="4" t="n">
        <v>237.04</v>
      </c>
      <c r="I663" s="4" t="n">
        <v>248.63</v>
      </c>
      <c r="J663" s="14" t="n">
        <f aca="false">E663-D663</f>
        <v>5</v>
      </c>
      <c r="K663" s="14" t="n">
        <f aca="false">IF(J663&lt;=0,1,0)</f>
        <v>0</v>
      </c>
      <c r="L663" s="15" t="n">
        <f aca="false">IFERROR(G663/F663,0)</f>
        <v>0.971428571428571</v>
      </c>
      <c r="M663" s="15" t="n">
        <f aca="false">IFERROR((I663-H663)/H663,0)</f>
        <v>0.0488947013162336</v>
      </c>
      <c r="N663" s="16" t="n">
        <f aca="false">G663*I663</f>
        <v>50720.52</v>
      </c>
    </row>
    <row r="664" customFormat="false" ht="15" hidden="false" customHeight="true" outlineLevel="0" collapsed="false">
      <c r="A664" s="4" t="s">
        <v>840</v>
      </c>
      <c r="B664" s="4" t="s">
        <v>87</v>
      </c>
      <c r="C664" s="13" t="n">
        <v>45092</v>
      </c>
      <c r="D664" s="13" t="n">
        <v>45101</v>
      </c>
      <c r="E664" s="13" t="n">
        <v>45102</v>
      </c>
      <c r="F664" s="4" t="n">
        <v>1991</v>
      </c>
      <c r="G664" s="4" t="n">
        <v>1895</v>
      </c>
      <c r="H664" s="4" t="n">
        <v>161.95</v>
      </c>
      <c r="I664" s="4" t="n">
        <v>169.29</v>
      </c>
      <c r="J664" s="14" t="n">
        <f aca="false">E664-D664</f>
        <v>1</v>
      </c>
      <c r="K664" s="14" t="n">
        <f aca="false">IF(J664&lt;=0,1,0)</f>
        <v>0</v>
      </c>
      <c r="L664" s="15" t="n">
        <f aca="false">IFERROR(G664/F664,0)</f>
        <v>0.951783023606228</v>
      </c>
      <c r="M664" s="15" t="n">
        <f aca="false">IFERROR((I664-H664)/H664,0)</f>
        <v>0.0453226304414943</v>
      </c>
      <c r="N664" s="16" t="n">
        <f aca="false">G664*I664</f>
        <v>320804.55</v>
      </c>
    </row>
    <row r="665" customFormat="false" ht="15" hidden="false" customHeight="true" outlineLevel="0" collapsed="false">
      <c r="A665" s="4" t="s">
        <v>841</v>
      </c>
      <c r="B665" s="4" t="s">
        <v>43</v>
      </c>
      <c r="C665" s="13" t="n">
        <v>45286</v>
      </c>
      <c r="D665" s="13" t="n">
        <v>45304</v>
      </c>
      <c r="E665" s="13" t="n">
        <v>45304</v>
      </c>
      <c r="F665" s="4" t="n">
        <v>408</v>
      </c>
      <c r="G665" s="4" t="n">
        <v>393</v>
      </c>
      <c r="H665" s="4" t="n">
        <v>1321.6</v>
      </c>
      <c r="I665" s="4" t="n">
        <v>1332.73</v>
      </c>
      <c r="J665" s="14" t="n">
        <f aca="false">E665-D665</f>
        <v>0</v>
      </c>
      <c r="K665" s="14" t="n">
        <f aca="false">IF(J665&lt;=0,1,0)</f>
        <v>1</v>
      </c>
      <c r="L665" s="15" t="n">
        <f aca="false">IFERROR(G665/F665,0)</f>
        <v>0.963235294117647</v>
      </c>
      <c r="M665" s="15" t="n">
        <f aca="false">IFERROR((I665-H665)/H665,0)</f>
        <v>0.00842161016949161</v>
      </c>
      <c r="N665" s="16" t="n">
        <f aca="false">G665*I665</f>
        <v>523762.89</v>
      </c>
    </row>
    <row r="666" customFormat="false" ht="15" hidden="false" customHeight="true" outlineLevel="0" collapsed="false">
      <c r="A666" s="4" t="s">
        <v>842</v>
      </c>
      <c r="B666" s="4" t="s">
        <v>109</v>
      </c>
      <c r="C666" s="13" t="n">
        <v>45644</v>
      </c>
      <c r="D666" s="13" t="n">
        <v>45664</v>
      </c>
      <c r="E666" s="13" t="n">
        <v>45665</v>
      </c>
      <c r="F666" s="4" t="n">
        <v>322</v>
      </c>
      <c r="G666" s="4" t="n">
        <v>317</v>
      </c>
      <c r="H666" s="4" t="n">
        <v>858.02</v>
      </c>
      <c r="I666" s="4" t="n">
        <v>920.19</v>
      </c>
      <c r="J666" s="14" t="n">
        <f aca="false">E666-D666</f>
        <v>1</v>
      </c>
      <c r="K666" s="14" t="n">
        <f aca="false">IF(J666&lt;=0,1,0)</f>
        <v>0</v>
      </c>
      <c r="L666" s="15" t="n">
        <f aca="false">IFERROR(G666/F666,0)</f>
        <v>0.984472049689441</v>
      </c>
      <c r="M666" s="15" t="n">
        <f aca="false">IFERROR((I666-H666)/H666,0)</f>
        <v>0.072457518472763</v>
      </c>
      <c r="N666" s="16" t="n">
        <f aca="false">G666*I666</f>
        <v>291700.23</v>
      </c>
    </row>
    <row r="667" customFormat="false" ht="15" hidden="false" customHeight="true" outlineLevel="0" collapsed="false">
      <c r="A667" s="4" t="s">
        <v>843</v>
      </c>
      <c r="B667" s="4" t="s">
        <v>123</v>
      </c>
      <c r="C667" s="13" t="n">
        <v>45641</v>
      </c>
      <c r="D667" s="13" t="n">
        <v>45654</v>
      </c>
      <c r="E667" s="13" t="n">
        <v>45654</v>
      </c>
      <c r="F667" s="4" t="n">
        <v>263</v>
      </c>
      <c r="G667" s="4" t="n">
        <v>252</v>
      </c>
      <c r="H667" s="4" t="n">
        <v>214.07</v>
      </c>
      <c r="I667" s="4" t="n">
        <v>251.18</v>
      </c>
      <c r="J667" s="14" t="n">
        <f aca="false">E667-D667</f>
        <v>0</v>
      </c>
      <c r="K667" s="14" t="n">
        <f aca="false">IF(J667&lt;=0,1,0)</f>
        <v>1</v>
      </c>
      <c r="L667" s="15" t="n">
        <f aca="false">IFERROR(G667/F667,0)</f>
        <v>0.958174904942966</v>
      </c>
      <c r="M667" s="15" t="n">
        <f aca="false">IFERROR((I667-H667)/H667,0)</f>
        <v>0.173354510206942</v>
      </c>
      <c r="N667" s="16" t="n">
        <f aca="false">G667*I667</f>
        <v>63297.36</v>
      </c>
    </row>
    <row r="668" customFormat="false" ht="15" hidden="false" customHeight="true" outlineLevel="0" collapsed="false">
      <c r="A668" s="4" t="s">
        <v>844</v>
      </c>
      <c r="B668" s="4" t="s">
        <v>97</v>
      </c>
      <c r="C668" s="13" t="n">
        <v>45071</v>
      </c>
      <c r="D668" s="13" t="n">
        <v>45080</v>
      </c>
      <c r="E668" s="13" t="n">
        <v>45085</v>
      </c>
      <c r="F668" s="4" t="n">
        <v>1142</v>
      </c>
      <c r="G668" s="4" t="n">
        <v>1120</v>
      </c>
      <c r="H668" s="4" t="n">
        <v>123.04</v>
      </c>
      <c r="I668" s="4" t="n">
        <v>124.01</v>
      </c>
      <c r="J668" s="14" t="n">
        <f aca="false">E668-D668</f>
        <v>5</v>
      </c>
      <c r="K668" s="14" t="n">
        <f aca="false">IF(J668&lt;=0,1,0)</f>
        <v>0</v>
      </c>
      <c r="L668" s="15" t="n">
        <f aca="false">IFERROR(G668/F668,0)</f>
        <v>0.980735551663748</v>
      </c>
      <c r="M668" s="15" t="n">
        <f aca="false">IFERROR((I668-H668)/H668,0)</f>
        <v>0.00788361508452535</v>
      </c>
      <c r="N668" s="16" t="n">
        <f aca="false">G668*I668</f>
        <v>138891.2</v>
      </c>
    </row>
    <row r="669" customFormat="false" ht="15" hidden="false" customHeight="true" outlineLevel="0" collapsed="false">
      <c r="A669" s="4" t="s">
        <v>845</v>
      </c>
      <c r="B669" s="4" t="s">
        <v>81</v>
      </c>
      <c r="C669" s="13" t="n">
        <v>44996</v>
      </c>
      <c r="D669" s="13" t="n">
        <v>45000</v>
      </c>
      <c r="E669" s="13" t="n">
        <v>45005</v>
      </c>
      <c r="F669" s="4" t="n">
        <v>13</v>
      </c>
      <c r="G669" s="4" t="n">
        <v>12</v>
      </c>
      <c r="H669" s="4" t="n">
        <v>697.63</v>
      </c>
      <c r="I669" s="4" t="n">
        <v>692.18</v>
      </c>
      <c r="J669" s="14" t="n">
        <f aca="false">E669-D669</f>
        <v>5</v>
      </c>
      <c r="K669" s="14" t="n">
        <f aca="false">IF(J669&lt;=0,1,0)</f>
        <v>0</v>
      </c>
      <c r="L669" s="15" t="n">
        <f aca="false">IFERROR(G669/F669,0)</f>
        <v>0.923076923076923</v>
      </c>
      <c r="M669" s="15" t="n">
        <f aca="false">IFERROR((I669-H669)/H669,0)</f>
        <v>-0.00781216404111068</v>
      </c>
      <c r="N669" s="16" t="n">
        <f aca="false">G669*I669</f>
        <v>8306.16</v>
      </c>
    </row>
    <row r="670" customFormat="false" ht="15" hidden="false" customHeight="true" outlineLevel="0" collapsed="false">
      <c r="A670" s="4" t="s">
        <v>846</v>
      </c>
      <c r="B670" s="4" t="s">
        <v>145</v>
      </c>
      <c r="C670" s="13" t="n">
        <v>45622</v>
      </c>
      <c r="D670" s="13" t="n">
        <v>45633</v>
      </c>
      <c r="E670" s="13" t="n">
        <v>45633</v>
      </c>
      <c r="F670" s="4" t="n">
        <v>1033</v>
      </c>
      <c r="G670" s="4" t="n">
        <v>965</v>
      </c>
      <c r="H670" s="4" t="n">
        <v>237.04</v>
      </c>
      <c r="I670" s="4" t="n">
        <v>276.42</v>
      </c>
      <c r="J670" s="14" t="n">
        <f aca="false">E670-D670</f>
        <v>0</v>
      </c>
      <c r="K670" s="14" t="n">
        <f aca="false">IF(J670&lt;=0,1,0)</f>
        <v>1</v>
      </c>
      <c r="L670" s="15" t="n">
        <f aca="false">IFERROR(G670/F670,0)</f>
        <v>0.934172313649564</v>
      </c>
      <c r="M670" s="15" t="n">
        <f aca="false">IFERROR((I670-H670)/H670,0)</f>
        <v>0.166132298346271</v>
      </c>
      <c r="N670" s="16" t="n">
        <f aca="false">G670*I670</f>
        <v>266745.3</v>
      </c>
    </row>
    <row r="671" customFormat="false" ht="15" hidden="false" customHeight="true" outlineLevel="0" collapsed="false">
      <c r="A671" s="4" t="s">
        <v>847</v>
      </c>
      <c r="B671" s="4" t="s">
        <v>139</v>
      </c>
      <c r="C671" s="13" t="n">
        <v>45637</v>
      </c>
      <c r="D671" s="13" t="n">
        <v>45648</v>
      </c>
      <c r="E671" s="13" t="n">
        <v>45647</v>
      </c>
      <c r="F671" s="4" t="n">
        <v>1121</v>
      </c>
      <c r="G671" s="4" t="n">
        <v>972</v>
      </c>
      <c r="H671" s="4" t="n">
        <v>207.64</v>
      </c>
      <c r="I671" s="4" t="n">
        <v>217.01</v>
      </c>
      <c r="J671" s="14" t="n">
        <f aca="false">E671-D671</f>
        <v>-1</v>
      </c>
      <c r="K671" s="14" t="n">
        <f aca="false">IF(J671&lt;=0,1,0)</f>
        <v>1</v>
      </c>
      <c r="L671" s="15" t="n">
        <f aca="false">IFERROR(G671/F671,0)</f>
        <v>0.867082961641392</v>
      </c>
      <c r="M671" s="15" t="n">
        <f aca="false">IFERROR((I671-H671)/H671,0)</f>
        <v>0.0451261799267964</v>
      </c>
      <c r="N671" s="16" t="n">
        <f aca="false">G671*I671</f>
        <v>210933.72</v>
      </c>
    </row>
    <row r="672" customFormat="false" ht="15" hidden="false" customHeight="true" outlineLevel="0" collapsed="false">
      <c r="A672" s="4" t="s">
        <v>848</v>
      </c>
      <c r="B672" s="4" t="s">
        <v>153</v>
      </c>
      <c r="C672" s="13" t="n">
        <v>45581</v>
      </c>
      <c r="D672" s="13" t="n">
        <v>45600</v>
      </c>
      <c r="E672" s="13" t="n">
        <v>45608</v>
      </c>
      <c r="F672" s="4" t="n">
        <v>389</v>
      </c>
      <c r="G672" s="4" t="n">
        <v>352</v>
      </c>
      <c r="H672" s="4" t="n">
        <v>1492.04</v>
      </c>
      <c r="I672" s="4" t="n">
        <v>1608.7</v>
      </c>
      <c r="J672" s="14" t="n">
        <f aca="false">E672-D672</f>
        <v>8</v>
      </c>
      <c r="K672" s="14" t="n">
        <f aca="false">IF(J672&lt;=0,1,0)</f>
        <v>0</v>
      </c>
      <c r="L672" s="15" t="n">
        <f aca="false">IFERROR(G672/F672,0)</f>
        <v>0.904884318766067</v>
      </c>
      <c r="M672" s="15" t="n">
        <f aca="false">IFERROR((I672-H672)/H672,0)</f>
        <v>0.078188252325675</v>
      </c>
      <c r="N672" s="16" t="n">
        <f aca="false">G672*I672</f>
        <v>566262.4</v>
      </c>
    </row>
    <row r="673" customFormat="false" ht="15" hidden="false" customHeight="true" outlineLevel="0" collapsed="false">
      <c r="A673" s="4" t="s">
        <v>849</v>
      </c>
      <c r="B673" s="4" t="s">
        <v>83</v>
      </c>
      <c r="C673" s="13" t="n">
        <v>45386</v>
      </c>
      <c r="D673" s="13" t="n">
        <v>45396</v>
      </c>
      <c r="E673" s="13" t="n">
        <v>45394</v>
      </c>
      <c r="F673" s="4" t="n">
        <v>1843</v>
      </c>
      <c r="G673" s="4" t="n">
        <v>1802</v>
      </c>
      <c r="H673" s="4" t="n">
        <v>101.36</v>
      </c>
      <c r="I673" s="4" t="n">
        <v>104.24</v>
      </c>
      <c r="J673" s="14" t="n">
        <f aca="false">E673-D673</f>
        <v>-2</v>
      </c>
      <c r="K673" s="14" t="n">
        <f aca="false">IF(J673&lt;=0,1,0)</f>
        <v>1</v>
      </c>
      <c r="L673" s="15" t="n">
        <f aca="false">IFERROR(G673/F673,0)</f>
        <v>0.977753662506782</v>
      </c>
      <c r="M673" s="15" t="n">
        <f aca="false">IFERROR((I673-H673)/H673,0)</f>
        <v>0.0284135753749013</v>
      </c>
      <c r="N673" s="16" t="n">
        <f aca="false">G673*I673</f>
        <v>187840.48</v>
      </c>
    </row>
    <row r="674" customFormat="false" ht="15" hidden="false" customHeight="true" outlineLevel="0" collapsed="false">
      <c r="A674" s="4" t="s">
        <v>850</v>
      </c>
      <c r="B674" s="4" t="s">
        <v>135</v>
      </c>
      <c r="C674" s="13" t="n">
        <v>44986</v>
      </c>
      <c r="D674" s="13" t="n">
        <v>44998</v>
      </c>
      <c r="E674" s="13" t="n">
        <v>45001</v>
      </c>
      <c r="F674" s="4" t="n">
        <v>169</v>
      </c>
      <c r="G674" s="4" t="n">
        <v>169</v>
      </c>
      <c r="H674" s="4" t="n">
        <v>328.06</v>
      </c>
      <c r="I674" s="4" t="n">
        <v>329.21</v>
      </c>
      <c r="J674" s="14" t="n">
        <f aca="false">E674-D674</f>
        <v>3</v>
      </c>
      <c r="K674" s="14" t="n">
        <f aca="false">IF(J674&lt;=0,1,0)</f>
        <v>0</v>
      </c>
      <c r="L674" s="15" t="n">
        <f aca="false">IFERROR(G674/F674,0)</f>
        <v>1</v>
      </c>
      <c r="M674" s="15" t="n">
        <f aca="false">IFERROR((I674-H674)/H674,0)</f>
        <v>0.00350545631896597</v>
      </c>
      <c r="N674" s="16" t="n">
        <f aca="false">G674*I674</f>
        <v>55636.49</v>
      </c>
    </row>
    <row r="675" customFormat="false" ht="15" hidden="false" customHeight="true" outlineLevel="0" collapsed="false">
      <c r="A675" s="4" t="s">
        <v>851</v>
      </c>
      <c r="B675" s="4" t="s">
        <v>63</v>
      </c>
      <c r="C675" s="13" t="n">
        <v>45593</v>
      </c>
      <c r="D675" s="13" t="n">
        <v>45603</v>
      </c>
      <c r="E675" s="13" t="n">
        <v>45612</v>
      </c>
      <c r="F675" s="4" t="n">
        <v>1635</v>
      </c>
      <c r="G675" s="4" t="n">
        <v>1543</v>
      </c>
      <c r="H675" s="4" t="n">
        <v>239.8</v>
      </c>
      <c r="I675" s="4" t="n">
        <v>267.91</v>
      </c>
      <c r="J675" s="14" t="n">
        <f aca="false">E675-D675</f>
        <v>9</v>
      </c>
      <c r="K675" s="14" t="n">
        <f aca="false">IF(J675&lt;=0,1,0)</f>
        <v>0</v>
      </c>
      <c r="L675" s="15" t="n">
        <f aca="false">IFERROR(G675/F675,0)</f>
        <v>0.943730886850153</v>
      </c>
      <c r="M675" s="15" t="n">
        <f aca="false">IFERROR((I675-H675)/H675,0)</f>
        <v>0.117222685571309</v>
      </c>
      <c r="N675" s="16" t="n">
        <f aca="false">G675*I675</f>
        <v>413385.13</v>
      </c>
    </row>
    <row r="676" customFormat="false" ht="15" hidden="false" customHeight="true" outlineLevel="0" collapsed="false">
      <c r="A676" s="4" t="s">
        <v>852</v>
      </c>
      <c r="B676" s="4" t="s">
        <v>121</v>
      </c>
      <c r="C676" s="13" t="n">
        <v>45385</v>
      </c>
      <c r="D676" s="13" t="n">
        <v>45397</v>
      </c>
      <c r="E676" s="13" t="n">
        <v>45396</v>
      </c>
      <c r="F676" s="4" t="n">
        <v>259</v>
      </c>
      <c r="G676" s="4" t="n">
        <v>234</v>
      </c>
      <c r="H676" s="4" t="n">
        <v>206.07</v>
      </c>
      <c r="I676" s="4" t="n">
        <v>224.11</v>
      </c>
      <c r="J676" s="14" t="n">
        <f aca="false">E676-D676</f>
        <v>-1</v>
      </c>
      <c r="K676" s="14" t="n">
        <f aca="false">IF(J676&lt;=0,1,0)</f>
        <v>1</v>
      </c>
      <c r="L676" s="15" t="n">
        <f aca="false">IFERROR(G676/F676,0)</f>
        <v>0.903474903474903</v>
      </c>
      <c r="M676" s="15" t="n">
        <f aca="false">IFERROR((I676-H676)/H676,0)</f>
        <v>0.0875430678895522</v>
      </c>
      <c r="N676" s="16" t="n">
        <f aca="false">G676*I676</f>
        <v>52441.74</v>
      </c>
    </row>
    <row r="677" customFormat="false" ht="15" hidden="false" customHeight="true" outlineLevel="0" collapsed="false">
      <c r="A677" s="4" t="s">
        <v>853</v>
      </c>
      <c r="B677" s="4" t="s">
        <v>101</v>
      </c>
      <c r="C677" s="13" t="n">
        <v>45175</v>
      </c>
      <c r="D677" s="13" t="n">
        <v>45194</v>
      </c>
      <c r="E677" s="13" t="n">
        <v>45195</v>
      </c>
      <c r="F677" s="4" t="n">
        <v>63</v>
      </c>
      <c r="G677" s="4" t="n">
        <v>61</v>
      </c>
      <c r="H677" s="4" t="n">
        <v>442.74</v>
      </c>
      <c r="I677" s="4" t="n">
        <v>444.86</v>
      </c>
      <c r="J677" s="14" t="n">
        <f aca="false">E677-D677</f>
        <v>1</v>
      </c>
      <c r="K677" s="14" t="n">
        <f aca="false">IF(J677&lt;=0,1,0)</f>
        <v>0</v>
      </c>
      <c r="L677" s="15" t="n">
        <f aca="false">IFERROR(G677/F677,0)</f>
        <v>0.968253968253968</v>
      </c>
      <c r="M677" s="15" t="n">
        <f aca="false">IFERROR((I677-H677)/H677,0)</f>
        <v>0.00478836337353753</v>
      </c>
      <c r="N677" s="16" t="n">
        <f aca="false">G677*I677</f>
        <v>27136.46</v>
      </c>
    </row>
    <row r="678" customFormat="false" ht="15" hidden="false" customHeight="true" outlineLevel="0" collapsed="false">
      <c r="A678" s="4" t="s">
        <v>854</v>
      </c>
      <c r="B678" s="4" t="s">
        <v>93</v>
      </c>
      <c r="C678" s="13" t="n">
        <v>45454</v>
      </c>
      <c r="D678" s="13" t="n">
        <v>45465</v>
      </c>
      <c r="E678" s="13" t="n">
        <v>45468</v>
      </c>
      <c r="F678" s="4" t="n">
        <v>1250</v>
      </c>
      <c r="G678" s="4" t="n">
        <v>1144</v>
      </c>
      <c r="H678" s="4" t="n">
        <v>174.25</v>
      </c>
      <c r="I678" s="4" t="n">
        <v>185.45</v>
      </c>
      <c r="J678" s="14" t="n">
        <f aca="false">E678-D678</f>
        <v>3</v>
      </c>
      <c r="K678" s="14" t="n">
        <f aca="false">IF(J678&lt;=0,1,0)</f>
        <v>0</v>
      </c>
      <c r="L678" s="15" t="n">
        <f aca="false">IFERROR(G678/F678,0)</f>
        <v>0.9152</v>
      </c>
      <c r="M678" s="15" t="n">
        <f aca="false">IFERROR((I678-H678)/H678,0)</f>
        <v>0.0642754662840745</v>
      </c>
      <c r="N678" s="16" t="n">
        <f aca="false">G678*I678</f>
        <v>212154.8</v>
      </c>
    </row>
    <row r="679" customFormat="false" ht="15" hidden="false" customHeight="true" outlineLevel="0" collapsed="false">
      <c r="A679" s="4" t="s">
        <v>855</v>
      </c>
      <c r="B679" s="4" t="s">
        <v>103</v>
      </c>
      <c r="C679" s="13" t="n">
        <v>45213</v>
      </c>
      <c r="D679" s="13" t="n">
        <v>45233</v>
      </c>
      <c r="E679" s="13" t="n">
        <v>45241</v>
      </c>
      <c r="F679" s="4" t="n">
        <v>468</v>
      </c>
      <c r="G679" s="4" t="n">
        <v>461</v>
      </c>
      <c r="H679" s="4" t="n">
        <v>1400.22</v>
      </c>
      <c r="I679" s="4" t="n">
        <v>1437.07</v>
      </c>
      <c r="J679" s="14" t="n">
        <f aca="false">E679-D679</f>
        <v>8</v>
      </c>
      <c r="K679" s="14" t="n">
        <f aca="false">IF(J679&lt;=0,1,0)</f>
        <v>0</v>
      </c>
      <c r="L679" s="15" t="n">
        <f aca="false">IFERROR(G679/F679,0)</f>
        <v>0.985042735042735</v>
      </c>
      <c r="M679" s="15" t="n">
        <f aca="false">IFERROR((I679-H679)/H679,0)</f>
        <v>0.0263172929968147</v>
      </c>
      <c r="N679" s="16" t="n">
        <f aca="false">G679*I679</f>
        <v>662489.27</v>
      </c>
    </row>
    <row r="680" customFormat="false" ht="15" hidden="false" customHeight="true" outlineLevel="0" collapsed="false">
      <c r="A680" s="4" t="s">
        <v>856</v>
      </c>
      <c r="B680" s="4" t="s">
        <v>151</v>
      </c>
      <c r="C680" s="13" t="n">
        <v>45242</v>
      </c>
      <c r="D680" s="13" t="n">
        <v>45247</v>
      </c>
      <c r="E680" s="13" t="n">
        <v>45250</v>
      </c>
      <c r="F680" s="4" t="n">
        <v>11</v>
      </c>
      <c r="G680" s="4" t="n">
        <v>11</v>
      </c>
      <c r="H680" s="4" t="n">
        <v>503.46</v>
      </c>
      <c r="I680" s="4" t="n">
        <v>511</v>
      </c>
      <c r="J680" s="14" t="n">
        <f aca="false">E680-D680</f>
        <v>3</v>
      </c>
      <c r="K680" s="14" t="n">
        <f aca="false">IF(J680&lt;=0,1,0)</f>
        <v>0</v>
      </c>
      <c r="L680" s="15" t="n">
        <f aca="false">IFERROR(G680/F680,0)</f>
        <v>1</v>
      </c>
      <c r="M680" s="15" t="n">
        <f aca="false">IFERROR((I680-H680)/H680,0)</f>
        <v>0.0149763635641362</v>
      </c>
      <c r="N680" s="16" t="n">
        <f aca="false">G680*I680</f>
        <v>5621</v>
      </c>
    </row>
    <row r="681" customFormat="false" ht="15" hidden="false" customHeight="true" outlineLevel="0" collapsed="false">
      <c r="A681" s="4" t="s">
        <v>857</v>
      </c>
      <c r="B681" s="4" t="s">
        <v>103</v>
      </c>
      <c r="C681" s="13" t="n">
        <v>45135</v>
      </c>
      <c r="D681" s="13" t="n">
        <v>45154</v>
      </c>
      <c r="E681" s="13" t="n">
        <v>45159</v>
      </c>
      <c r="F681" s="4" t="n">
        <v>445</v>
      </c>
      <c r="G681" s="4" t="n">
        <v>438</v>
      </c>
      <c r="H681" s="4" t="n">
        <v>1400.22</v>
      </c>
      <c r="I681" s="4" t="n">
        <v>1419.32</v>
      </c>
      <c r="J681" s="14" t="n">
        <f aca="false">E681-D681</f>
        <v>5</v>
      </c>
      <c r="K681" s="14" t="n">
        <f aca="false">IF(J681&lt;=0,1,0)</f>
        <v>0</v>
      </c>
      <c r="L681" s="15" t="n">
        <f aca="false">IFERROR(G681/F681,0)</f>
        <v>0.984269662921348</v>
      </c>
      <c r="M681" s="15" t="n">
        <f aca="false">IFERROR((I681-H681)/H681,0)</f>
        <v>0.0136407136021482</v>
      </c>
      <c r="N681" s="16" t="n">
        <f aca="false">G681*I681</f>
        <v>621662.16</v>
      </c>
    </row>
    <row r="682" customFormat="false" ht="15" hidden="false" customHeight="true" outlineLevel="0" collapsed="false">
      <c r="A682" s="4" t="s">
        <v>858</v>
      </c>
      <c r="B682" s="4" t="s">
        <v>41</v>
      </c>
      <c r="C682" s="13" t="n">
        <v>45382</v>
      </c>
      <c r="D682" s="13" t="n">
        <v>45388</v>
      </c>
      <c r="E682" s="13" t="n">
        <v>45390</v>
      </c>
      <c r="F682" s="4" t="n">
        <v>3637</v>
      </c>
      <c r="G682" s="4" t="n">
        <v>3597</v>
      </c>
      <c r="H682" s="4" t="n">
        <v>45.51</v>
      </c>
      <c r="I682" s="4" t="n">
        <v>44.42</v>
      </c>
      <c r="J682" s="14" t="n">
        <f aca="false">E682-D682</f>
        <v>2</v>
      </c>
      <c r="K682" s="14" t="n">
        <f aca="false">IF(J682&lt;=0,1,0)</f>
        <v>0</v>
      </c>
      <c r="L682" s="15" t="n">
        <f aca="false">IFERROR(G682/F682,0)</f>
        <v>0.989001924663184</v>
      </c>
      <c r="M682" s="15" t="n">
        <f aca="false">IFERROR((I682-H682)/H682,0)</f>
        <v>-0.0239507800483409</v>
      </c>
      <c r="N682" s="16" t="n">
        <f aca="false">G682*I682</f>
        <v>159778.74</v>
      </c>
    </row>
    <row r="683" customFormat="false" ht="15" hidden="false" customHeight="true" outlineLevel="0" collapsed="false">
      <c r="A683" s="4" t="s">
        <v>859</v>
      </c>
      <c r="B683" s="4" t="s">
        <v>113</v>
      </c>
      <c r="C683" s="13" t="n">
        <v>45276</v>
      </c>
      <c r="D683" s="13" t="n">
        <v>45287</v>
      </c>
      <c r="E683" s="13" t="n">
        <v>45289</v>
      </c>
      <c r="F683" s="4" t="n">
        <v>1586</v>
      </c>
      <c r="G683" s="4" t="n">
        <v>1555</v>
      </c>
      <c r="H683" s="4" t="n">
        <v>170.42</v>
      </c>
      <c r="I683" s="4" t="n">
        <v>170.6</v>
      </c>
      <c r="J683" s="14" t="n">
        <f aca="false">E683-D683</f>
        <v>2</v>
      </c>
      <c r="K683" s="14" t="n">
        <f aca="false">IF(J683&lt;=0,1,0)</f>
        <v>0</v>
      </c>
      <c r="L683" s="15" t="n">
        <f aca="false">IFERROR(G683/F683,0)</f>
        <v>0.980453972257251</v>
      </c>
      <c r="M683" s="15" t="n">
        <f aca="false">IFERROR((I683-H683)/H683,0)</f>
        <v>0.00105621405938274</v>
      </c>
      <c r="N683" s="16" t="n">
        <f aca="false">G683*I683</f>
        <v>265283</v>
      </c>
    </row>
    <row r="684" customFormat="false" ht="15" hidden="false" customHeight="true" outlineLevel="0" collapsed="false">
      <c r="A684" s="4" t="s">
        <v>860</v>
      </c>
      <c r="B684" s="4" t="s">
        <v>155</v>
      </c>
      <c r="C684" s="13" t="n">
        <v>45289</v>
      </c>
      <c r="D684" s="13" t="n">
        <v>45296</v>
      </c>
      <c r="E684" s="13" t="n">
        <v>45292</v>
      </c>
      <c r="F684" s="4" t="n">
        <v>4428</v>
      </c>
      <c r="G684" s="4" t="n">
        <v>4190</v>
      </c>
      <c r="H684" s="4" t="n">
        <v>24.04</v>
      </c>
      <c r="I684" s="4" t="n">
        <v>23.15</v>
      </c>
      <c r="J684" s="14" t="n">
        <f aca="false">E684-D684</f>
        <v>-4</v>
      </c>
      <c r="K684" s="14" t="n">
        <f aca="false">IF(J684&lt;=0,1,0)</f>
        <v>1</v>
      </c>
      <c r="L684" s="15" t="n">
        <f aca="false">IFERROR(G684/F684,0)</f>
        <v>0.946251129177958</v>
      </c>
      <c r="M684" s="15" t="n">
        <f aca="false">IFERROR((I684-H684)/H684,0)</f>
        <v>-0.0370216306156406</v>
      </c>
      <c r="N684" s="16" t="n">
        <f aca="false">G684*I684</f>
        <v>96998.5</v>
      </c>
    </row>
    <row r="685" customFormat="false" ht="15" hidden="false" customHeight="true" outlineLevel="0" collapsed="false">
      <c r="A685" s="4" t="s">
        <v>861</v>
      </c>
      <c r="B685" s="4" t="s">
        <v>95</v>
      </c>
      <c r="C685" s="13" t="n">
        <v>45223</v>
      </c>
      <c r="D685" s="13" t="n">
        <v>45230</v>
      </c>
      <c r="E685" s="13" t="n">
        <v>45232</v>
      </c>
      <c r="F685" s="4" t="n">
        <v>3272</v>
      </c>
      <c r="G685" s="4" t="n">
        <v>3272</v>
      </c>
      <c r="H685" s="4" t="n">
        <v>20.39</v>
      </c>
      <c r="I685" s="4" t="n">
        <v>20.67</v>
      </c>
      <c r="J685" s="14" t="n">
        <f aca="false">E685-D685</f>
        <v>2</v>
      </c>
      <c r="K685" s="14" t="n">
        <f aca="false">IF(J685&lt;=0,1,0)</f>
        <v>0</v>
      </c>
      <c r="L685" s="15" t="n">
        <f aca="false">IFERROR(G685/F685,0)</f>
        <v>1</v>
      </c>
      <c r="M685" s="15" t="n">
        <f aca="false">IFERROR((I685-H685)/H685,0)</f>
        <v>0.0137322216772928</v>
      </c>
      <c r="N685" s="16" t="n">
        <f aca="false">G685*I685</f>
        <v>67632.24</v>
      </c>
    </row>
    <row r="686" customFormat="false" ht="15" hidden="false" customHeight="true" outlineLevel="0" collapsed="false">
      <c r="A686" s="4" t="s">
        <v>862</v>
      </c>
      <c r="B686" s="4" t="s">
        <v>101</v>
      </c>
      <c r="C686" s="13" t="n">
        <v>44952</v>
      </c>
      <c r="D686" s="13" t="n">
        <v>44970</v>
      </c>
      <c r="E686" s="13" t="n">
        <v>44972</v>
      </c>
      <c r="F686" s="4" t="n">
        <v>150</v>
      </c>
      <c r="G686" s="4" t="n">
        <v>145</v>
      </c>
      <c r="H686" s="4" t="n">
        <v>442.74</v>
      </c>
      <c r="I686" s="4" t="n">
        <v>438.73</v>
      </c>
      <c r="J686" s="14" t="n">
        <f aca="false">E686-D686</f>
        <v>2</v>
      </c>
      <c r="K686" s="14" t="n">
        <f aca="false">IF(J686&lt;=0,1,0)</f>
        <v>0</v>
      </c>
      <c r="L686" s="15" t="n">
        <f aca="false">IFERROR(G686/F686,0)</f>
        <v>0.966666666666667</v>
      </c>
      <c r="M686" s="15" t="n">
        <f aca="false">IFERROR((I686-H686)/H686,0)</f>
        <v>-0.00905723449428557</v>
      </c>
      <c r="N686" s="16" t="n">
        <f aca="false">G686*I686</f>
        <v>63615.85</v>
      </c>
    </row>
    <row r="687" customFormat="false" ht="15" hidden="false" customHeight="true" outlineLevel="0" collapsed="false">
      <c r="A687" s="4" t="s">
        <v>863</v>
      </c>
      <c r="B687" s="4" t="s">
        <v>83</v>
      </c>
      <c r="C687" s="13" t="n">
        <v>45367</v>
      </c>
      <c r="D687" s="13" t="n">
        <v>45379</v>
      </c>
      <c r="E687" s="13" t="n">
        <v>45380</v>
      </c>
      <c r="F687" s="4" t="n">
        <v>1883</v>
      </c>
      <c r="G687" s="4" t="n">
        <v>1875</v>
      </c>
      <c r="H687" s="4" t="n">
        <v>101.36</v>
      </c>
      <c r="I687" s="4" t="n">
        <v>105.27</v>
      </c>
      <c r="J687" s="14" t="n">
        <f aca="false">E687-D687</f>
        <v>1</v>
      </c>
      <c r="K687" s="14" t="n">
        <f aca="false">IF(J687&lt;=0,1,0)</f>
        <v>0</v>
      </c>
      <c r="L687" s="15" t="n">
        <f aca="false">IFERROR(G687/F687,0)</f>
        <v>0.995751460435475</v>
      </c>
      <c r="M687" s="15" t="n">
        <f aca="false">IFERROR((I687-H687)/H687,0)</f>
        <v>0.0385753749013417</v>
      </c>
      <c r="N687" s="16" t="n">
        <f aca="false">G687*I687</f>
        <v>197381.25</v>
      </c>
    </row>
    <row r="688" customFormat="false" ht="15" hidden="false" customHeight="true" outlineLevel="0" collapsed="false">
      <c r="A688" s="4" t="s">
        <v>864</v>
      </c>
      <c r="B688" s="4" t="s">
        <v>133</v>
      </c>
      <c r="C688" s="13" t="n">
        <v>45347</v>
      </c>
      <c r="D688" s="13" t="n">
        <v>45359</v>
      </c>
      <c r="E688" s="13" t="n">
        <v>45365</v>
      </c>
      <c r="F688" s="4" t="n">
        <v>1260</v>
      </c>
      <c r="G688" s="4" t="n">
        <v>1204</v>
      </c>
      <c r="H688" s="4" t="n">
        <v>138.21</v>
      </c>
      <c r="I688" s="4" t="n">
        <v>141.98</v>
      </c>
      <c r="J688" s="14" t="n">
        <f aca="false">E688-D688</f>
        <v>6</v>
      </c>
      <c r="K688" s="14" t="n">
        <f aca="false">IF(J688&lt;=0,1,0)</f>
        <v>0</v>
      </c>
      <c r="L688" s="15" t="n">
        <f aca="false">IFERROR(G688/F688,0)</f>
        <v>0.955555555555556</v>
      </c>
      <c r="M688" s="15" t="n">
        <f aca="false">IFERROR((I688-H688)/H688,0)</f>
        <v>0.0272773315968453</v>
      </c>
      <c r="N688" s="16" t="n">
        <f aca="false">G688*I688</f>
        <v>170943.92</v>
      </c>
    </row>
    <row r="689" customFormat="false" ht="15" hidden="false" customHeight="true" outlineLevel="0" collapsed="false">
      <c r="A689" s="4" t="s">
        <v>865</v>
      </c>
      <c r="B689" s="4" t="s">
        <v>68</v>
      </c>
      <c r="C689" s="13" t="n">
        <v>45011</v>
      </c>
      <c r="D689" s="13" t="n">
        <v>45031</v>
      </c>
      <c r="E689" s="13" t="n">
        <v>45035</v>
      </c>
      <c r="F689" s="4" t="n">
        <v>144</v>
      </c>
      <c r="G689" s="4" t="n">
        <v>128</v>
      </c>
      <c r="H689" s="4" t="n">
        <v>1232.83</v>
      </c>
      <c r="I689" s="4" t="n">
        <v>1221.47</v>
      </c>
      <c r="J689" s="14" t="n">
        <f aca="false">E689-D689</f>
        <v>4</v>
      </c>
      <c r="K689" s="14" t="n">
        <f aca="false">IF(J689&lt;=0,1,0)</f>
        <v>0</v>
      </c>
      <c r="L689" s="15" t="n">
        <f aca="false">IFERROR(G689/F689,0)</f>
        <v>0.888888888888889</v>
      </c>
      <c r="M689" s="15" t="n">
        <f aca="false">IFERROR((I689-H689)/H689,0)</f>
        <v>-0.00921457135209226</v>
      </c>
      <c r="N689" s="16" t="n">
        <f aca="false">G689*I689</f>
        <v>156348.16</v>
      </c>
    </row>
    <row r="690" customFormat="false" ht="15" hidden="false" customHeight="true" outlineLevel="0" collapsed="false">
      <c r="A690" s="4" t="s">
        <v>866</v>
      </c>
      <c r="B690" s="4" t="s">
        <v>127</v>
      </c>
      <c r="C690" s="13" t="n">
        <v>45651</v>
      </c>
      <c r="D690" s="13" t="n">
        <v>45657</v>
      </c>
      <c r="E690" s="13" t="n">
        <v>45660</v>
      </c>
      <c r="F690" s="4" t="n">
        <v>4</v>
      </c>
      <c r="G690" s="4" t="n">
        <v>4</v>
      </c>
      <c r="H690" s="4" t="n">
        <v>1881</v>
      </c>
      <c r="I690" s="4" t="n">
        <v>1721.98</v>
      </c>
      <c r="J690" s="14" t="n">
        <f aca="false">E690-D690</f>
        <v>3</v>
      </c>
      <c r="K690" s="14" t="n">
        <f aca="false">IF(J690&lt;=0,1,0)</f>
        <v>0</v>
      </c>
      <c r="L690" s="15" t="n">
        <f aca="false">IFERROR(G690/F690,0)</f>
        <v>1</v>
      </c>
      <c r="M690" s="15" t="n">
        <f aca="false">IFERROR((I690-H690)/H690,0)</f>
        <v>-0.0845401382243487</v>
      </c>
      <c r="N690" s="16" t="n">
        <f aca="false">G690*I690</f>
        <v>6887.92</v>
      </c>
    </row>
    <row r="691" customFormat="false" ht="15" hidden="false" customHeight="true" outlineLevel="0" collapsed="false">
      <c r="A691" s="4" t="s">
        <v>867</v>
      </c>
      <c r="B691" s="4" t="s">
        <v>95</v>
      </c>
      <c r="C691" s="13" t="n">
        <v>45243</v>
      </c>
      <c r="D691" s="13" t="n">
        <v>45252</v>
      </c>
      <c r="E691" s="13" t="n">
        <v>45250</v>
      </c>
      <c r="F691" s="4" t="n">
        <v>902</v>
      </c>
      <c r="G691" s="4" t="n">
        <v>872</v>
      </c>
      <c r="H691" s="4" t="n">
        <v>20.39</v>
      </c>
      <c r="I691" s="4" t="n">
        <v>20.65</v>
      </c>
      <c r="J691" s="14" t="n">
        <f aca="false">E691-D691</f>
        <v>-2</v>
      </c>
      <c r="K691" s="14" t="n">
        <f aca="false">IF(J691&lt;=0,1,0)</f>
        <v>1</v>
      </c>
      <c r="L691" s="15" t="n">
        <f aca="false">IFERROR(G691/F691,0)</f>
        <v>0.966740576496674</v>
      </c>
      <c r="M691" s="15" t="n">
        <f aca="false">IFERROR((I691-H691)/H691,0)</f>
        <v>0.0127513487003432</v>
      </c>
      <c r="N691" s="16" t="n">
        <f aca="false">G691*I691</f>
        <v>18006.8</v>
      </c>
    </row>
    <row r="692" customFormat="false" ht="15" hidden="false" customHeight="true" outlineLevel="0" collapsed="false">
      <c r="A692" s="4" t="s">
        <v>868</v>
      </c>
      <c r="B692" s="4" t="s">
        <v>131</v>
      </c>
      <c r="C692" s="13" t="n">
        <v>44962</v>
      </c>
      <c r="D692" s="13" t="n">
        <v>44973</v>
      </c>
      <c r="E692" s="13" t="n">
        <v>44970</v>
      </c>
      <c r="F692" s="4" t="n">
        <v>1376</v>
      </c>
      <c r="G692" s="4" t="n">
        <v>1326</v>
      </c>
      <c r="H692" s="4" t="n">
        <v>88.52</v>
      </c>
      <c r="I692" s="4" t="n">
        <v>90.27</v>
      </c>
      <c r="J692" s="14" t="n">
        <f aca="false">E692-D692</f>
        <v>-3</v>
      </c>
      <c r="K692" s="14" t="n">
        <f aca="false">IF(J692&lt;=0,1,0)</f>
        <v>1</v>
      </c>
      <c r="L692" s="15" t="n">
        <f aca="false">IFERROR(G692/F692,0)</f>
        <v>0.963662790697675</v>
      </c>
      <c r="M692" s="15" t="n">
        <f aca="false">IFERROR((I692-H692)/H692,0)</f>
        <v>0.0197695436059648</v>
      </c>
      <c r="N692" s="16" t="n">
        <f aca="false">G692*I692</f>
        <v>119698.02</v>
      </c>
    </row>
    <row r="693" customFormat="false" ht="15" hidden="false" customHeight="true" outlineLevel="0" collapsed="false">
      <c r="A693" s="4" t="s">
        <v>869</v>
      </c>
      <c r="B693" s="4" t="s">
        <v>79</v>
      </c>
      <c r="C693" s="13" t="n">
        <v>45320</v>
      </c>
      <c r="D693" s="13" t="n">
        <v>45339</v>
      </c>
      <c r="E693" s="13" t="n">
        <v>45341</v>
      </c>
      <c r="F693" s="4" t="n">
        <v>379</v>
      </c>
      <c r="G693" s="4" t="n">
        <v>348</v>
      </c>
      <c r="H693" s="4" t="n">
        <v>821.48</v>
      </c>
      <c r="I693" s="4" t="n">
        <v>851.29</v>
      </c>
      <c r="J693" s="14" t="n">
        <f aca="false">E693-D693</f>
        <v>2</v>
      </c>
      <c r="K693" s="14" t="n">
        <f aca="false">IF(J693&lt;=0,1,0)</f>
        <v>0</v>
      </c>
      <c r="L693" s="15" t="n">
        <f aca="false">IFERROR(G693/F693,0)</f>
        <v>0.91820580474934</v>
      </c>
      <c r="M693" s="15" t="n">
        <f aca="false">IFERROR((I693-H693)/H693,0)</f>
        <v>0.0362881628280664</v>
      </c>
      <c r="N693" s="16" t="n">
        <f aca="false">G693*I693</f>
        <v>296248.92</v>
      </c>
    </row>
    <row r="694" customFormat="false" ht="15" hidden="false" customHeight="true" outlineLevel="0" collapsed="false">
      <c r="A694" s="4" t="s">
        <v>870</v>
      </c>
      <c r="B694" s="4" t="s">
        <v>159</v>
      </c>
      <c r="C694" s="13" t="n">
        <v>45184</v>
      </c>
      <c r="D694" s="13" t="n">
        <v>45190</v>
      </c>
      <c r="E694" s="13" t="n">
        <v>45187</v>
      </c>
      <c r="F694" s="4" t="n">
        <v>543</v>
      </c>
      <c r="G694" s="4" t="n">
        <v>543</v>
      </c>
      <c r="H694" s="4" t="n">
        <v>32.91</v>
      </c>
      <c r="I694" s="4" t="n">
        <v>33.61</v>
      </c>
      <c r="J694" s="14" t="n">
        <f aca="false">E694-D694</f>
        <v>-3</v>
      </c>
      <c r="K694" s="14" t="n">
        <f aca="false">IF(J694&lt;=0,1,0)</f>
        <v>1</v>
      </c>
      <c r="L694" s="15" t="n">
        <f aca="false">IFERROR(G694/F694,0)</f>
        <v>1</v>
      </c>
      <c r="M694" s="15" t="n">
        <f aca="false">IFERROR((I694-H694)/H694,0)</f>
        <v>0.0212701306593741</v>
      </c>
      <c r="N694" s="16" t="n">
        <f aca="false">G694*I694</f>
        <v>18250.23</v>
      </c>
    </row>
    <row r="695" customFormat="false" ht="15" hidden="false" customHeight="true" outlineLevel="0" collapsed="false">
      <c r="A695" s="4" t="s">
        <v>871</v>
      </c>
      <c r="B695" s="4" t="s">
        <v>99</v>
      </c>
      <c r="C695" s="13" t="n">
        <v>45202</v>
      </c>
      <c r="D695" s="13" t="n">
        <v>45209</v>
      </c>
      <c r="E695" s="13" t="n">
        <v>45214</v>
      </c>
      <c r="F695" s="4" t="n">
        <v>680</v>
      </c>
      <c r="G695" s="4" t="n">
        <v>627</v>
      </c>
      <c r="H695" s="4" t="n">
        <v>11.5</v>
      </c>
      <c r="I695" s="4" t="n">
        <v>12.02</v>
      </c>
      <c r="J695" s="14" t="n">
        <f aca="false">E695-D695</f>
        <v>5</v>
      </c>
      <c r="K695" s="14" t="n">
        <f aca="false">IF(J695&lt;=0,1,0)</f>
        <v>0</v>
      </c>
      <c r="L695" s="15" t="n">
        <f aca="false">IFERROR(G695/F695,0)</f>
        <v>0.922058823529412</v>
      </c>
      <c r="M695" s="15" t="n">
        <f aca="false">IFERROR((I695-H695)/H695,0)</f>
        <v>0.0452173913043478</v>
      </c>
      <c r="N695" s="16" t="n">
        <f aca="false">G695*I695</f>
        <v>7536.54</v>
      </c>
    </row>
    <row r="696" customFormat="false" ht="15" hidden="false" customHeight="true" outlineLevel="0" collapsed="false">
      <c r="A696" s="4" t="s">
        <v>872</v>
      </c>
      <c r="B696" s="4" t="s">
        <v>89</v>
      </c>
      <c r="C696" s="13" t="n">
        <v>45141</v>
      </c>
      <c r="D696" s="13" t="n">
        <v>45145</v>
      </c>
      <c r="E696" s="13" t="n">
        <v>45148</v>
      </c>
      <c r="F696" s="4" t="n">
        <v>16</v>
      </c>
      <c r="G696" s="4" t="n">
        <v>15</v>
      </c>
      <c r="H696" s="4" t="n">
        <v>1929.81</v>
      </c>
      <c r="I696" s="4" t="n">
        <v>1916.61</v>
      </c>
      <c r="J696" s="14" t="n">
        <f aca="false">E696-D696</f>
        <v>3</v>
      </c>
      <c r="K696" s="14" t="n">
        <f aca="false">IF(J696&lt;=0,1,0)</f>
        <v>0</v>
      </c>
      <c r="L696" s="15" t="n">
        <f aca="false">IFERROR(G696/F696,0)</f>
        <v>0.9375</v>
      </c>
      <c r="M696" s="15" t="n">
        <f aca="false">IFERROR((I696-H696)/H696,0)</f>
        <v>-0.00684005161129855</v>
      </c>
      <c r="N696" s="16" t="n">
        <f aca="false">G696*I696</f>
        <v>28749.15</v>
      </c>
    </row>
    <row r="697" customFormat="false" ht="15" hidden="false" customHeight="true" outlineLevel="0" collapsed="false">
      <c r="A697" s="4" t="s">
        <v>873</v>
      </c>
      <c r="B697" s="4" t="s">
        <v>52</v>
      </c>
      <c r="C697" s="13" t="n">
        <v>44938</v>
      </c>
      <c r="D697" s="13" t="n">
        <v>44950</v>
      </c>
      <c r="E697" s="13" t="n">
        <v>44954</v>
      </c>
      <c r="F697" s="4" t="n">
        <v>1869</v>
      </c>
      <c r="G697" s="4" t="n">
        <v>1592</v>
      </c>
      <c r="H697" s="4" t="n">
        <v>170.24</v>
      </c>
      <c r="I697" s="4" t="n">
        <v>170.68</v>
      </c>
      <c r="J697" s="14" t="n">
        <f aca="false">E697-D697</f>
        <v>4</v>
      </c>
      <c r="K697" s="14" t="n">
        <f aca="false">IF(J697&lt;=0,1,0)</f>
        <v>0</v>
      </c>
      <c r="L697" s="15" t="n">
        <f aca="false">IFERROR(G697/F697,0)</f>
        <v>0.8517924023542</v>
      </c>
      <c r="M697" s="15" t="n">
        <f aca="false">IFERROR((I697-H697)/H697,0)</f>
        <v>0.0025845864661654</v>
      </c>
      <c r="N697" s="16" t="n">
        <f aca="false">G697*I697</f>
        <v>271722.56</v>
      </c>
    </row>
    <row r="698" customFormat="false" ht="15" hidden="false" customHeight="true" outlineLevel="0" collapsed="false">
      <c r="A698" s="4" t="s">
        <v>874</v>
      </c>
      <c r="B698" s="4" t="s">
        <v>89</v>
      </c>
      <c r="C698" s="13" t="n">
        <v>45250</v>
      </c>
      <c r="D698" s="13" t="n">
        <v>45257</v>
      </c>
      <c r="E698" s="13" t="n">
        <v>45250</v>
      </c>
      <c r="F698" s="4" t="n">
        <v>11</v>
      </c>
      <c r="G698" s="4" t="n">
        <v>10</v>
      </c>
      <c r="H698" s="4" t="n">
        <v>1929.81</v>
      </c>
      <c r="I698" s="4" t="n">
        <v>1950.79</v>
      </c>
      <c r="J698" s="14" t="n">
        <f aca="false">E698-D698</f>
        <v>-7</v>
      </c>
      <c r="K698" s="14" t="n">
        <f aca="false">IF(J698&lt;=0,1,0)</f>
        <v>1</v>
      </c>
      <c r="L698" s="15" t="n">
        <f aca="false">IFERROR(G698/F698,0)</f>
        <v>0.909090909090909</v>
      </c>
      <c r="M698" s="15" t="n">
        <f aca="false">IFERROR((I698-H698)/H698,0)</f>
        <v>0.0108715365761396</v>
      </c>
      <c r="N698" s="16" t="n">
        <f aca="false">G698*I698</f>
        <v>19507.9</v>
      </c>
    </row>
    <row r="699" customFormat="false" ht="15" hidden="false" customHeight="true" outlineLevel="0" collapsed="false">
      <c r="A699" s="4" t="s">
        <v>875</v>
      </c>
      <c r="B699" s="4" t="s">
        <v>81</v>
      </c>
      <c r="C699" s="13" t="n">
        <v>44970</v>
      </c>
      <c r="D699" s="13" t="n">
        <v>44976</v>
      </c>
      <c r="E699" s="13" t="n">
        <v>44982</v>
      </c>
      <c r="F699" s="4" t="n">
        <v>14</v>
      </c>
      <c r="G699" s="4" t="n">
        <v>14</v>
      </c>
      <c r="H699" s="4" t="n">
        <v>697.63</v>
      </c>
      <c r="I699" s="4" t="n">
        <v>714.1</v>
      </c>
      <c r="J699" s="14" t="n">
        <f aca="false">E699-D699</f>
        <v>6</v>
      </c>
      <c r="K699" s="14" t="n">
        <f aca="false">IF(J699&lt;=0,1,0)</f>
        <v>0</v>
      </c>
      <c r="L699" s="15" t="n">
        <f aca="false">IFERROR(G699/F699,0)</f>
        <v>1</v>
      </c>
      <c r="M699" s="15" t="n">
        <f aca="false">IFERROR((I699-H699)/H699,0)</f>
        <v>0.0236085030746958</v>
      </c>
      <c r="N699" s="16" t="n">
        <f aca="false">G699*I699</f>
        <v>9997.4</v>
      </c>
    </row>
    <row r="700" customFormat="false" ht="15" hidden="false" customHeight="true" outlineLevel="0" collapsed="false">
      <c r="A700" s="4" t="s">
        <v>876</v>
      </c>
      <c r="B700" s="4" t="s">
        <v>87</v>
      </c>
      <c r="C700" s="13" t="n">
        <v>44953</v>
      </c>
      <c r="D700" s="13" t="n">
        <v>44963</v>
      </c>
      <c r="E700" s="13" t="n">
        <v>44961</v>
      </c>
      <c r="F700" s="4" t="n">
        <v>726</v>
      </c>
      <c r="G700" s="4" t="n">
        <v>688</v>
      </c>
      <c r="H700" s="4" t="n">
        <v>161.95</v>
      </c>
      <c r="I700" s="4" t="n">
        <v>164.36</v>
      </c>
      <c r="J700" s="14" t="n">
        <f aca="false">E700-D700</f>
        <v>-2</v>
      </c>
      <c r="K700" s="14" t="n">
        <f aca="false">IF(J700&lt;=0,1,0)</f>
        <v>1</v>
      </c>
      <c r="L700" s="15" t="n">
        <f aca="false">IFERROR(G700/F700,0)</f>
        <v>0.947658402203857</v>
      </c>
      <c r="M700" s="15" t="n">
        <f aca="false">IFERROR((I700-H700)/H700,0)</f>
        <v>0.0148811361531338</v>
      </c>
      <c r="N700" s="16" t="n">
        <f aca="false">G700*I700</f>
        <v>113079.68</v>
      </c>
    </row>
    <row r="701" customFormat="false" ht="15" hidden="false" customHeight="true" outlineLevel="0" collapsed="false">
      <c r="A701" s="4" t="s">
        <v>877</v>
      </c>
      <c r="B701" s="4" t="s">
        <v>52</v>
      </c>
      <c r="C701" s="13" t="n">
        <v>45485</v>
      </c>
      <c r="D701" s="13" t="n">
        <v>45494</v>
      </c>
      <c r="E701" s="13" t="n">
        <v>45502</v>
      </c>
      <c r="F701" s="4" t="n">
        <v>1450</v>
      </c>
      <c r="G701" s="4" t="n">
        <v>1218</v>
      </c>
      <c r="H701" s="4" t="n">
        <v>170.24</v>
      </c>
      <c r="I701" s="4" t="n">
        <v>179.76</v>
      </c>
      <c r="J701" s="14" t="n">
        <f aca="false">E701-D701</f>
        <v>8</v>
      </c>
      <c r="K701" s="14" t="n">
        <f aca="false">IF(J701&lt;=0,1,0)</f>
        <v>0</v>
      </c>
      <c r="L701" s="15" t="n">
        <f aca="false">IFERROR(G701/F701,0)</f>
        <v>0.84</v>
      </c>
      <c r="M701" s="15" t="n">
        <f aca="false">IFERROR((I701-H701)/H701,0)</f>
        <v>0.0559210526315788</v>
      </c>
      <c r="N701" s="16" t="n">
        <f aca="false">G701*I701</f>
        <v>218947.68</v>
      </c>
    </row>
    <row r="702" customFormat="false" ht="15" hidden="false" customHeight="true" outlineLevel="0" collapsed="false">
      <c r="A702" s="4" t="s">
        <v>878</v>
      </c>
      <c r="B702" s="4" t="s">
        <v>99</v>
      </c>
      <c r="C702" s="13" t="n">
        <v>45617</v>
      </c>
      <c r="D702" s="13" t="n">
        <v>45625</v>
      </c>
      <c r="E702" s="13" t="n">
        <v>45627</v>
      </c>
      <c r="F702" s="4" t="n">
        <v>2225</v>
      </c>
      <c r="G702" s="4" t="n">
        <v>2125</v>
      </c>
      <c r="H702" s="4" t="n">
        <v>11.5</v>
      </c>
      <c r="I702" s="4" t="n">
        <v>12.97</v>
      </c>
      <c r="J702" s="14" t="n">
        <f aca="false">E702-D702</f>
        <v>2</v>
      </c>
      <c r="K702" s="14" t="n">
        <f aca="false">IF(J702&lt;=0,1,0)</f>
        <v>0</v>
      </c>
      <c r="L702" s="15" t="n">
        <f aca="false">IFERROR(G702/F702,0)</f>
        <v>0.955056179775281</v>
      </c>
      <c r="M702" s="15" t="n">
        <f aca="false">IFERROR((I702-H702)/H702,0)</f>
        <v>0.127826086956522</v>
      </c>
      <c r="N702" s="16" t="n">
        <f aca="false">G702*I702</f>
        <v>27561.25</v>
      </c>
    </row>
    <row r="703" customFormat="false" ht="15" hidden="false" customHeight="true" outlineLevel="0" collapsed="false">
      <c r="A703" s="4" t="s">
        <v>879</v>
      </c>
      <c r="B703" s="4" t="s">
        <v>32</v>
      </c>
      <c r="C703" s="13" t="n">
        <v>45158</v>
      </c>
      <c r="D703" s="13" t="n">
        <v>45167</v>
      </c>
      <c r="E703" s="13" t="n">
        <v>45165</v>
      </c>
      <c r="F703" s="4" t="n">
        <v>3508</v>
      </c>
      <c r="G703" s="4" t="n">
        <v>3074</v>
      </c>
      <c r="H703" s="4" t="n">
        <v>32.49</v>
      </c>
      <c r="I703" s="4" t="n">
        <v>32.85</v>
      </c>
      <c r="J703" s="14" t="n">
        <f aca="false">E703-D703</f>
        <v>-2</v>
      </c>
      <c r="K703" s="14" t="n">
        <f aca="false">IF(J703&lt;=0,1,0)</f>
        <v>1</v>
      </c>
      <c r="L703" s="15" t="n">
        <f aca="false">IFERROR(G703/F703,0)</f>
        <v>0.876282782212087</v>
      </c>
      <c r="M703" s="15" t="n">
        <f aca="false">IFERROR((I703-H703)/H703,0)</f>
        <v>0.0110803324099723</v>
      </c>
      <c r="N703" s="16" t="n">
        <f aca="false">G703*I703</f>
        <v>100980.9</v>
      </c>
    </row>
    <row r="704" customFormat="false" ht="15" hidden="false" customHeight="true" outlineLevel="0" collapsed="false">
      <c r="A704" s="4" t="s">
        <v>880</v>
      </c>
      <c r="B704" s="4" t="s">
        <v>147</v>
      </c>
      <c r="C704" s="13" t="n">
        <v>45115</v>
      </c>
      <c r="D704" s="13" t="n">
        <v>45129</v>
      </c>
      <c r="E704" s="13" t="n">
        <v>45129</v>
      </c>
      <c r="F704" s="4" t="n">
        <v>40</v>
      </c>
      <c r="G704" s="4" t="n">
        <v>40</v>
      </c>
      <c r="H704" s="4" t="n">
        <v>203.3</v>
      </c>
      <c r="I704" s="4" t="n">
        <v>203.16</v>
      </c>
      <c r="J704" s="14" t="n">
        <f aca="false">E704-D704</f>
        <v>0</v>
      </c>
      <c r="K704" s="14" t="n">
        <f aca="false">IF(J704&lt;=0,1,0)</f>
        <v>1</v>
      </c>
      <c r="L704" s="15" t="n">
        <f aca="false">IFERROR(G704/F704,0)</f>
        <v>1</v>
      </c>
      <c r="M704" s="15" t="n">
        <f aca="false">IFERROR((I704-H704)/H704,0)</f>
        <v>-0.000688637481554426</v>
      </c>
      <c r="N704" s="16" t="n">
        <f aca="false">G704*I704</f>
        <v>8126.4</v>
      </c>
    </row>
    <row r="705" customFormat="false" ht="15" hidden="false" customHeight="true" outlineLevel="0" collapsed="false">
      <c r="A705" s="4" t="s">
        <v>881</v>
      </c>
      <c r="B705" s="4" t="s">
        <v>123</v>
      </c>
      <c r="C705" s="13" t="n">
        <v>45389</v>
      </c>
      <c r="D705" s="13" t="n">
        <v>45400</v>
      </c>
      <c r="E705" s="13" t="n">
        <v>45401</v>
      </c>
      <c r="F705" s="4" t="n">
        <v>273</v>
      </c>
      <c r="G705" s="4" t="n">
        <v>268</v>
      </c>
      <c r="H705" s="4" t="n">
        <v>214.07</v>
      </c>
      <c r="I705" s="4" t="n">
        <v>241.88</v>
      </c>
      <c r="J705" s="14" t="n">
        <f aca="false">E705-D705</f>
        <v>1</v>
      </c>
      <c r="K705" s="14" t="n">
        <f aca="false">IF(J705&lt;=0,1,0)</f>
        <v>0</v>
      </c>
      <c r="L705" s="15" t="n">
        <f aca="false">IFERROR(G705/F705,0)</f>
        <v>0.981684981684982</v>
      </c>
      <c r="M705" s="15" t="n">
        <f aca="false">IFERROR((I705-H705)/H705,0)</f>
        <v>0.129910776848694</v>
      </c>
      <c r="N705" s="16" t="n">
        <f aca="false">G705*I705</f>
        <v>64823.84</v>
      </c>
    </row>
    <row r="706" customFormat="false" ht="15" hidden="false" customHeight="true" outlineLevel="0" collapsed="false">
      <c r="A706" s="4" t="s">
        <v>882</v>
      </c>
      <c r="B706" s="4" t="s">
        <v>109</v>
      </c>
      <c r="C706" s="13" t="n">
        <v>45585</v>
      </c>
      <c r="D706" s="13" t="n">
        <v>45604</v>
      </c>
      <c r="E706" s="13" t="n">
        <v>45605</v>
      </c>
      <c r="F706" s="4" t="n">
        <v>62</v>
      </c>
      <c r="G706" s="4" t="n">
        <v>62</v>
      </c>
      <c r="H706" s="4" t="n">
        <v>858.02</v>
      </c>
      <c r="I706" s="4" t="n">
        <v>910.95</v>
      </c>
      <c r="J706" s="14" t="n">
        <f aca="false">E706-D706</f>
        <v>1</v>
      </c>
      <c r="K706" s="14" t="n">
        <f aca="false">IF(J706&lt;=0,1,0)</f>
        <v>0</v>
      </c>
      <c r="L706" s="15" t="n">
        <f aca="false">IFERROR(G706/F706,0)</f>
        <v>1</v>
      </c>
      <c r="M706" s="15" t="n">
        <f aca="false">IFERROR((I706-H706)/H706,0)</f>
        <v>0.061688538728701</v>
      </c>
      <c r="N706" s="16" t="n">
        <f aca="false">G706*I706</f>
        <v>56478.9</v>
      </c>
    </row>
    <row r="707" customFormat="false" ht="15" hidden="false" customHeight="true" outlineLevel="0" collapsed="false">
      <c r="A707" s="4" t="s">
        <v>883</v>
      </c>
      <c r="B707" s="4" t="s">
        <v>58</v>
      </c>
      <c r="C707" s="13" t="n">
        <v>45365</v>
      </c>
      <c r="D707" s="13" t="n">
        <v>45379</v>
      </c>
      <c r="E707" s="13" t="n">
        <v>45376</v>
      </c>
      <c r="F707" s="4" t="n">
        <v>110</v>
      </c>
      <c r="G707" s="4" t="n">
        <v>102</v>
      </c>
      <c r="H707" s="4" t="n">
        <v>135.68</v>
      </c>
      <c r="I707" s="4" t="n">
        <v>141.07</v>
      </c>
      <c r="J707" s="14" t="n">
        <f aca="false">E707-D707</f>
        <v>-3</v>
      </c>
      <c r="K707" s="14" t="n">
        <f aca="false">IF(J707&lt;=0,1,0)</f>
        <v>1</v>
      </c>
      <c r="L707" s="15" t="n">
        <f aca="false">IFERROR(G707/F707,0)</f>
        <v>0.927272727272727</v>
      </c>
      <c r="M707" s="15" t="n">
        <f aca="false">IFERROR((I707-H707)/H707,0)</f>
        <v>0.039725825471698</v>
      </c>
      <c r="N707" s="16" t="n">
        <f aca="false">G707*I707</f>
        <v>14389.14</v>
      </c>
    </row>
    <row r="708" customFormat="false" ht="15" hidden="false" customHeight="true" outlineLevel="0" collapsed="false">
      <c r="A708" s="4" t="s">
        <v>884</v>
      </c>
      <c r="B708" s="4" t="s">
        <v>151</v>
      </c>
      <c r="C708" s="13" t="n">
        <v>45412</v>
      </c>
      <c r="D708" s="13" t="n">
        <v>45417</v>
      </c>
      <c r="E708" s="13" t="n">
        <v>45418</v>
      </c>
      <c r="F708" s="4" t="n">
        <v>10</v>
      </c>
      <c r="G708" s="4" t="n">
        <v>10</v>
      </c>
      <c r="H708" s="4" t="n">
        <v>503.46</v>
      </c>
      <c r="I708" s="4" t="n">
        <v>504.99</v>
      </c>
      <c r="J708" s="14" t="n">
        <f aca="false">E708-D708</f>
        <v>1</v>
      </c>
      <c r="K708" s="14" t="n">
        <f aca="false">IF(J708&lt;=0,1,0)</f>
        <v>0</v>
      </c>
      <c r="L708" s="15" t="n">
        <f aca="false">IFERROR(G708/F708,0)</f>
        <v>1</v>
      </c>
      <c r="M708" s="15" t="n">
        <f aca="false">IFERROR((I708-H708)/H708,0)</f>
        <v>0.00303897032534865</v>
      </c>
      <c r="N708" s="16" t="n">
        <f aca="false">G708*I708</f>
        <v>5049.9</v>
      </c>
    </row>
    <row r="709" customFormat="false" ht="15" hidden="false" customHeight="true" outlineLevel="0" collapsed="false">
      <c r="A709" s="4" t="s">
        <v>885</v>
      </c>
      <c r="B709" s="4" t="s">
        <v>32</v>
      </c>
      <c r="C709" s="13" t="n">
        <v>45646</v>
      </c>
      <c r="D709" s="13" t="n">
        <v>45654</v>
      </c>
      <c r="E709" s="13" t="n">
        <v>45653</v>
      </c>
      <c r="F709" s="4" t="n">
        <v>4003</v>
      </c>
      <c r="G709" s="4" t="n">
        <v>3572</v>
      </c>
      <c r="H709" s="4" t="n">
        <v>32.49</v>
      </c>
      <c r="I709" s="4" t="n">
        <v>33.02</v>
      </c>
      <c r="J709" s="14" t="n">
        <f aca="false">E709-D709</f>
        <v>-1</v>
      </c>
      <c r="K709" s="14" t="n">
        <f aca="false">IF(J709&lt;=0,1,0)</f>
        <v>1</v>
      </c>
      <c r="L709" s="15" t="n">
        <f aca="false">IFERROR(G709/F709,0)</f>
        <v>0.892330751936048</v>
      </c>
      <c r="M709" s="15" t="n">
        <f aca="false">IFERROR((I709-H709)/H709,0)</f>
        <v>0.0163127116035704</v>
      </c>
      <c r="N709" s="16" t="n">
        <f aca="false">G709*I709</f>
        <v>117947.44</v>
      </c>
    </row>
    <row r="710" customFormat="false" ht="15" hidden="false" customHeight="true" outlineLevel="0" collapsed="false">
      <c r="A710" s="4" t="s">
        <v>886</v>
      </c>
      <c r="B710" s="4" t="s">
        <v>77</v>
      </c>
      <c r="C710" s="13" t="n">
        <v>45221</v>
      </c>
      <c r="D710" s="13" t="n">
        <v>45230</v>
      </c>
      <c r="E710" s="13" t="n">
        <v>45239</v>
      </c>
      <c r="F710" s="4" t="n">
        <v>4140</v>
      </c>
      <c r="G710" s="4" t="n">
        <v>4017</v>
      </c>
      <c r="H710" s="4" t="n">
        <v>36.83</v>
      </c>
      <c r="I710" s="4" t="n">
        <v>36.44</v>
      </c>
      <c r="J710" s="14" t="n">
        <f aca="false">E710-D710</f>
        <v>9</v>
      </c>
      <c r="K710" s="14" t="n">
        <f aca="false">IF(J710&lt;=0,1,0)</f>
        <v>0</v>
      </c>
      <c r="L710" s="15" t="n">
        <f aca="false">IFERROR(G710/F710,0)</f>
        <v>0.970289855072464</v>
      </c>
      <c r="M710" s="15" t="n">
        <f aca="false">IFERROR((I710-H710)/H710,0)</f>
        <v>-0.0105891935921803</v>
      </c>
      <c r="N710" s="16" t="n">
        <f aca="false">G710*I710</f>
        <v>146379.48</v>
      </c>
    </row>
    <row r="711" customFormat="false" ht="15" hidden="false" customHeight="true" outlineLevel="0" collapsed="false">
      <c r="A711" s="4" t="s">
        <v>887</v>
      </c>
      <c r="B711" s="4" t="s">
        <v>58</v>
      </c>
      <c r="C711" s="13" t="n">
        <v>45647</v>
      </c>
      <c r="D711" s="13" t="n">
        <v>45659</v>
      </c>
      <c r="E711" s="13" t="n">
        <v>45661</v>
      </c>
      <c r="F711" s="4" t="n">
        <v>66</v>
      </c>
      <c r="G711" s="4" t="n">
        <v>66</v>
      </c>
      <c r="H711" s="4" t="n">
        <v>135.68</v>
      </c>
      <c r="I711" s="4" t="n">
        <v>145.93</v>
      </c>
      <c r="J711" s="14" t="n">
        <f aca="false">E711-D711</f>
        <v>2</v>
      </c>
      <c r="K711" s="14" t="n">
        <f aca="false">IF(J711&lt;=0,1,0)</f>
        <v>0</v>
      </c>
      <c r="L711" s="15" t="n">
        <f aca="false">IFERROR(G711/F711,0)</f>
        <v>1</v>
      </c>
      <c r="M711" s="15" t="n">
        <f aca="false">IFERROR((I711-H711)/H711,0)</f>
        <v>0.0755454009433962</v>
      </c>
      <c r="N711" s="16" t="n">
        <f aca="false">G711*I711</f>
        <v>9631.38</v>
      </c>
    </row>
    <row r="712" customFormat="false" ht="15" hidden="false" customHeight="true" outlineLevel="0" collapsed="false">
      <c r="A712" s="4" t="s">
        <v>888</v>
      </c>
      <c r="B712" s="4" t="s">
        <v>119</v>
      </c>
      <c r="C712" s="13" t="n">
        <v>45348</v>
      </c>
      <c r="D712" s="13" t="n">
        <v>45355</v>
      </c>
      <c r="E712" s="13" t="n">
        <v>45357</v>
      </c>
      <c r="F712" s="4" t="n">
        <v>1023</v>
      </c>
      <c r="G712" s="4" t="n">
        <v>1023</v>
      </c>
      <c r="H712" s="4" t="n">
        <v>50.92</v>
      </c>
      <c r="I712" s="4" t="n">
        <v>47.31</v>
      </c>
      <c r="J712" s="14" t="n">
        <f aca="false">E712-D712</f>
        <v>2</v>
      </c>
      <c r="K712" s="14" t="n">
        <f aca="false">IF(J712&lt;=0,1,0)</f>
        <v>0</v>
      </c>
      <c r="L712" s="15" t="n">
        <f aca="false">IFERROR(G712/F712,0)</f>
        <v>1</v>
      </c>
      <c r="M712" s="15" t="n">
        <f aca="false">IFERROR((I712-H712)/H712,0)</f>
        <v>-0.0708955223880597</v>
      </c>
      <c r="N712" s="16" t="n">
        <f aca="false">G712*I712</f>
        <v>48398.13</v>
      </c>
    </row>
    <row r="713" customFormat="false" ht="15" hidden="false" customHeight="true" outlineLevel="0" collapsed="false">
      <c r="A713" s="4" t="s">
        <v>889</v>
      </c>
      <c r="B713" s="4" t="s">
        <v>83</v>
      </c>
      <c r="C713" s="13" t="n">
        <v>45370</v>
      </c>
      <c r="D713" s="13" t="n">
        <v>45381</v>
      </c>
      <c r="E713" s="13" t="n">
        <v>45381</v>
      </c>
      <c r="F713" s="4" t="n">
        <v>350</v>
      </c>
      <c r="G713" s="4" t="n">
        <v>346</v>
      </c>
      <c r="H713" s="4" t="n">
        <v>101.36</v>
      </c>
      <c r="I713" s="4" t="n">
        <v>104.53</v>
      </c>
      <c r="J713" s="14" t="n">
        <f aca="false">E713-D713</f>
        <v>0</v>
      </c>
      <c r="K713" s="14" t="n">
        <f aca="false">IF(J713&lt;=0,1,0)</f>
        <v>1</v>
      </c>
      <c r="L713" s="15" t="n">
        <f aca="false">IFERROR(G713/F713,0)</f>
        <v>0.988571428571429</v>
      </c>
      <c r="M713" s="15" t="n">
        <f aca="false">IFERROR((I713-H713)/H713,0)</f>
        <v>0.0312746645619574</v>
      </c>
      <c r="N713" s="16" t="n">
        <f aca="false">G713*I713</f>
        <v>36167.38</v>
      </c>
    </row>
    <row r="714" customFormat="false" ht="15" hidden="false" customHeight="true" outlineLevel="0" collapsed="false">
      <c r="A714" s="4" t="s">
        <v>890</v>
      </c>
      <c r="B714" s="4" t="s">
        <v>107</v>
      </c>
      <c r="C714" s="13" t="n">
        <v>45640</v>
      </c>
      <c r="D714" s="13" t="n">
        <v>45646</v>
      </c>
      <c r="E714" s="13" t="n">
        <v>45651</v>
      </c>
      <c r="F714" s="4" t="n">
        <v>1430</v>
      </c>
      <c r="G714" s="4" t="n">
        <v>1398</v>
      </c>
      <c r="H714" s="4" t="n">
        <v>40.41</v>
      </c>
      <c r="I714" s="4" t="n">
        <v>40.6</v>
      </c>
      <c r="J714" s="14" t="n">
        <f aca="false">E714-D714</f>
        <v>5</v>
      </c>
      <c r="K714" s="14" t="n">
        <f aca="false">IF(J714&lt;=0,1,0)</f>
        <v>0</v>
      </c>
      <c r="L714" s="15" t="n">
        <f aca="false">IFERROR(G714/F714,0)</f>
        <v>0.977622377622378</v>
      </c>
      <c r="M714" s="15" t="n">
        <f aca="false">IFERROR((I714-H714)/H714,0)</f>
        <v>0.0047018064835438</v>
      </c>
      <c r="N714" s="16" t="n">
        <f aca="false">G714*I714</f>
        <v>56758.8</v>
      </c>
    </row>
    <row r="715" customFormat="false" ht="15" hidden="false" customHeight="true" outlineLevel="0" collapsed="false">
      <c r="A715" s="4" t="s">
        <v>891</v>
      </c>
      <c r="B715" s="4" t="s">
        <v>153</v>
      </c>
      <c r="C715" s="13" t="n">
        <v>45404</v>
      </c>
      <c r="D715" s="13" t="n">
        <v>45423</v>
      </c>
      <c r="E715" s="13" t="n">
        <v>45428</v>
      </c>
      <c r="F715" s="4" t="n">
        <v>470</v>
      </c>
      <c r="G715" s="4" t="n">
        <v>456</v>
      </c>
      <c r="H715" s="4" t="n">
        <v>1492.04</v>
      </c>
      <c r="I715" s="4" t="n">
        <v>1558.03</v>
      </c>
      <c r="J715" s="14" t="n">
        <f aca="false">E715-D715</f>
        <v>5</v>
      </c>
      <c r="K715" s="14" t="n">
        <f aca="false">IF(J715&lt;=0,1,0)</f>
        <v>0</v>
      </c>
      <c r="L715" s="15" t="n">
        <f aca="false">IFERROR(G715/F715,0)</f>
        <v>0.970212765957447</v>
      </c>
      <c r="M715" s="15" t="n">
        <f aca="false">IFERROR((I715-H715)/H715,0)</f>
        <v>0.0442280367818557</v>
      </c>
      <c r="N715" s="16" t="n">
        <f aca="false">G715*I715</f>
        <v>710461.68</v>
      </c>
    </row>
    <row r="716" customFormat="false" ht="15" hidden="false" customHeight="true" outlineLevel="0" collapsed="false">
      <c r="A716" s="4" t="s">
        <v>892</v>
      </c>
      <c r="B716" s="4" t="s">
        <v>63</v>
      </c>
      <c r="C716" s="13" t="n">
        <v>45510</v>
      </c>
      <c r="D716" s="13" t="n">
        <v>45522</v>
      </c>
      <c r="E716" s="13" t="n">
        <v>45534</v>
      </c>
      <c r="F716" s="4" t="n">
        <v>827</v>
      </c>
      <c r="G716" s="4" t="n">
        <v>768</v>
      </c>
      <c r="H716" s="4" t="n">
        <v>239.8</v>
      </c>
      <c r="I716" s="4" t="n">
        <v>261.67</v>
      </c>
      <c r="J716" s="14" t="n">
        <f aca="false">E716-D716</f>
        <v>12</v>
      </c>
      <c r="K716" s="14" t="n">
        <f aca="false">IF(J716&lt;=0,1,0)</f>
        <v>0</v>
      </c>
      <c r="L716" s="15" t="n">
        <f aca="false">IFERROR(G716/F716,0)</f>
        <v>0.928657799274486</v>
      </c>
      <c r="M716" s="15" t="n">
        <f aca="false">IFERROR((I716-H716)/H716,0)</f>
        <v>0.0912010008340284</v>
      </c>
      <c r="N716" s="16" t="n">
        <f aca="false">G716*I716</f>
        <v>200962.56</v>
      </c>
    </row>
    <row r="717" customFormat="false" ht="15" hidden="false" customHeight="true" outlineLevel="0" collapsed="false">
      <c r="A717" s="4" t="s">
        <v>893</v>
      </c>
      <c r="B717" s="4" t="s">
        <v>163</v>
      </c>
      <c r="C717" s="13" t="n">
        <v>45408</v>
      </c>
      <c r="D717" s="13" t="n">
        <v>45427</v>
      </c>
      <c r="E717" s="13" t="n">
        <v>45433</v>
      </c>
      <c r="F717" s="4" t="n">
        <v>286</v>
      </c>
      <c r="G717" s="4" t="n">
        <v>278</v>
      </c>
      <c r="H717" s="4" t="n">
        <v>482.79</v>
      </c>
      <c r="I717" s="4" t="n">
        <v>489.66</v>
      </c>
      <c r="J717" s="14" t="n">
        <f aca="false">E717-D717</f>
        <v>6</v>
      </c>
      <c r="K717" s="14" t="n">
        <f aca="false">IF(J717&lt;=0,1,0)</f>
        <v>0</v>
      </c>
      <c r="L717" s="15" t="n">
        <f aca="false">IFERROR(G717/F717,0)</f>
        <v>0.972027972027972</v>
      </c>
      <c r="M717" s="15" t="n">
        <f aca="false">IFERROR((I717-H717)/H717,0)</f>
        <v>0.0142297893494066</v>
      </c>
      <c r="N717" s="16" t="n">
        <f aca="false">G717*I717</f>
        <v>136125.48</v>
      </c>
    </row>
    <row r="718" customFormat="false" ht="15" hidden="false" customHeight="true" outlineLevel="0" collapsed="false">
      <c r="A718" s="4" t="s">
        <v>894</v>
      </c>
      <c r="B718" s="4" t="s">
        <v>89</v>
      </c>
      <c r="C718" s="13" t="n">
        <v>44959</v>
      </c>
      <c r="D718" s="13" t="n">
        <v>44963</v>
      </c>
      <c r="E718" s="13" t="n">
        <v>44962</v>
      </c>
      <c r="F718" s="4" t="n">
        <v>10</v>
      </c>
      <c r="G718" s="4" t="n">
        <v>9</v>
      </c>
      <c r="H718" s="4" t="n">
        <v>1929.81</v>
      </c>
      <c r="I718" s="4" t="n">
        <v>1893.64</v>
      </c>
      <c r="J718" s="14" t="n">
        <f aca="false">E718-D718</f>
        <v>-1</v>
      </c>
      <c r="K718" s="14" t="n">
        <f aca="false">IF(J718&lt;=0,1,0)</f>
        <v>1</v>
      </c>
      <c r="L718" s="15" t="n">
        <f aca="false">IFERROR(G718/F718,0)</f>
        <v>0.9</v>
      </c>
      <c r="M718" s="15" t="n">
        <f aca="false">IFERROR((I718-H718)/H718,0)</f>
        <v>-0.0187427777864141</v>
      </c>
      <c r="N718" s="16" t="n">
        <f aca="false">G718*I718</f>
        <v>17042.76</v>
      </c>
    </row>
    <row r="719" customFormat="false" ht="15" hidden="false" customHeight="true" outlineLevel="0" collapsed="false">
      <c r="A719" s="4" t="s">
        <v>895</v>
      </c>
      <c r="B719" s="4" t="s">
        <v>68</v>
      </c>
      <c r="C719" s="13" t="n">
        <v>45008</v>
      </c>
      <c r="D719" s="13" t="n">
        <v>45025</v>
      </c>
      <c r="E719" s="13" t="n">
        <v>45026</v>
      </c>
      <c r="F719" s="4" t="n">
        <v>309</v>
      </c>
      <c r="G719" s="4" t="n">
        <v>281</v>
      </c>
      <c r="H719" s="4" t="n">
        <v>1232.83</v>
      </c>
      <c r="I719" s="4" t="n">
        <v>1244.92</v>
      </c>
      <c r="J719" s="14" t="n">
        <f aca="false">E719-D719</f>
        <v>1</v>
      </c>
      <c r="K719" s="14" t="n">
        <f aca="false">IF(J719&lt;=0,1,0)</f>
        <v>0</v>
      </c>
      <c r="L719" s="15" t="n">
        <f aca="false">IFERROR(G719/F719,0)</f>
        <v>0.909385113268608</v>
      </c>
      <c r="M719" s="15" t="n">
        <f aca="false">IFERROR((I719-H719)/H719,0)</f>
        <v>0.00980670489848572</v>
      </c>
      <c r="N719" s="16" t="n">
        <f aca="false">G719*I719</f>
        <v>349822.52</v>
      </c>
    </row>
    <row r="720" customFormat="false" ht="15" hidden="false" customHeight="true" outlineLevel="0" collapsed="false">
      <c r="A720" s="4" t="s">
        <v>896</v>
      </c>
      <c r="B720" s="4" t="s">
        <v>99</v>
      </c>
      <c r="C720" s="13" t="n">
        <v>45346</v>
      </c>
      <c r="D720" s="13" t="n">
        <v>45353</v>
      </c>
      <c r="E720" s="13" t="n">
        <v>45358</v>
      </c>
      <c r="F720" s="4" t="n">
        <v>534</v>
      </c>
      <c r="G720" s="4" t="n">
        <v>490</v>
      </c>
      <c r="H720" s="4" t="n">
        <v>11.5</v>
      </c>
      <c r="I720" s="4" t="n">
        <v>12.27</v>
      </c>
      <c r="J720" s="14" t="n">
        <f aca="false">E720-D720</f>
        <v>5</v>
      </c>
      <c r="K720" s="14" t="n">
        <f aca="false">IF(J720&lt;=0,1,0)</f>
        <v>0</v>
      </c>
      <c r="L720" s="15" t="n">
        <f aca="false">IFERROR(G720/F720,0)</f>
        <v>0.917602996254682</v>
      </c>
      <c r="M720" s="15" t="n">
        <f aca="false">IFERROR((I720-H720)/H720,0)</f>
        <v>0.0669565217391304</v>
      </c>
      <c r="N720" s="16" t="n">
        <f aca="false">G720*I720</f>
        <v>6012.3</v>
      </c>
    </row>
    <row r="721" customFormat="false" ht="15" hidden="false" customHeight="true" outlineLevel="0" collapsed="false">
      <c r="A721" s="4" t="s">
        <v>897</v>
      </c>
      <c r="B721" s="4" t="s">
        <v>70</v>
      </c>
      <c r="C721" s="13" t="n">
        <v>45533</v>
      </c>
      <c r="D721" s="13" t="n">
        <v>45542</v>
      </c>
      <c r="E721" s="13" t="n">
        <v>45542</v>
      </c>
      <c r="F721" s="4" t="n">
        <v>3961</v>
      </c>
      <c r="G721" s="4" t="n">
        <v>3752</v>
      </c>
      <c r="H721" s="4" t="n">
        <v>35.88</v>
      </c>
      <c r="I721" s="4" t="n">
        <v>38.63</v>
      </c>
      <c r="J721" s="14" t="n">
        <f aca="false">E721-D721</f>
        <v>0</v>
      </c>
      <c r="K721" s="14" t="n">
        <f aca="false">IF(J721&lt;=0,1,0)</f>
        <v>1</v>
      </c>
      <c r="L721" s="15" t="n">
        <f aca="false">IFERROR(G721/F721,0)</f>
        <v>0.947235546579147</v>
      </c>
      <c r="M721" s="15" t="n">
        <f aca="false">IFERROR((I721-H721)/H721,0)</f>
        <v>0.076644370122631</v>
      </c>
      <c r="N721" s="16" t="n">
        <f aca="false">G721*I721</f>
        <v>144939.76</v>
      </c>
    </row>
    <row r="722" customFormat="false" ht="15" hidden="false" customHeight="true" outlineLevel="0" collapsed="false">
      <c r="A722" s="4" t="s">
        <v>898</v>
      </c>
      <c r="B722" s="4" t="s">
        <v>153</v>
      </c>
      <c r="C722" s="13" t="n">
        <v>45013</v>
      </c>
      <c r="D722" s="13" t="n">
        <v>45031</v>
      </c>
      <c r="E722" s="13" t="n">
        <v>45033</v>
      </c>
      <c r="F722" s="4" t="n">
        <v>169</v>
      </c>
      <c r="G722" s="4" t="n">
        <v>157</v>
      </c>
      <c r="H722" s="4" t="n">
        <v>1492.04</v>
      </c>
      <c r="I722" s="4" t="n">
        <v>1499.5</v>
      </c>
      <c r="J722" s="14" t="n">
        <f aca="false">E722-D722</f>
        <v>2</v>
      </c>
      <c r="K722" s="14" t="n">
        <f aca="false">IF(J722&lt;=0,1,0)</f>
        <v>0</v>
      </c>
      <c r="L722" s="15" t="n">
        <f aca="false">IFERROR(G722/F722,0)</f>
        <v>0.928994082840237</v>
      </c>
      <c r="M722" s="15" t="n">
        <f aca="false">IFERROR((I722-H722)/H722,0)</f>
        <v>0.00499986595533634</v>
      </c>
      <c r="N722" s="16" t="n">
        <f aca="false">G722*I722</f>
        <v>235421.5</v>
      </c>
    </row>
    <row r="723" customFormat="false" ht="15" hidden="false" customHeight="true" outlineLevel="0" collapsed="false">
      <c r="A723" s="4" t="s">
        <v>899</v>
      </c>
      <c r="B723" s="4" t="s">
        <v>91</v>
      </c>
      <c r="C723" s="13" t="n">
        <v>45330</v>
      </c>
      <c r="D723" s="13" t="n">
        <v>45349</v>
      </c>
      <c r="E723" s="13" t="n">
        <v>45352</v>
      </c>
      <c r="F723" s="4" t="n">
        <v>164</v>
      </c>
      <c r="G723" s="4" t="n">
        <v>158</v>
      </c>
      <c r="H723" s="4" t="n">
        <v>496.29</v>
      </c>
      <c r="I723" s="4" t="n">
        <v>486.82</v>
      </c>
      <c r="J723" s="14" t="n">
        <f aca="false">E723-D723</f>
        <v>3</v>
      </c>
      <c r="K723" s="14" t="n">
        <f aca="false">IF(J723&lt;=0,1,0)</f>
        <v>0</v>
      </c>
      <c r="L723" s="15" t="n">
        <f aca="false">IFERROR(G723/F723,0)</f>
        <v>0.963414634146341</v>
      </c>
      <c r="M723" s="15" t="n">
        <f aca="false">IFERROR((I723-H723)/H723,0)</f>
        <v>-0.0190815853633965</v>
      </c>
      <c r="N723" s="16" t="n">
        <f aca="false">G723*I723</f>
        <v>76917.56</v>
      </c>
    </row>
    <row r="724" customFormat="false" ht="15" hidden="false" customHeight="true" outlineLevel="0" collapsed="false">
      <c r="A724" s="4" t="s">
        <v>900</v>
      </c>
      <c r="B724" s="4" t="s">
        <v>127</v>
      </c>
      <c r="C724" s="13" t="n">
        <v>45352</v>
      </c>
      <c r="D724" s="13" t="n">
        <v>45356</v>
      </c>
      <c r="E724" s="13" t="n">
        <v>45359</v>
      </c>
      <c r="F724" s="4" t="n">
        <v>11</v>
      </c>
      <c r="G724" s="4" t="n">
        <v>11</v>
      </c>
      <c r="H724" s="4" t="n">
        <v>1881</v>
      </c>
      <c r="I724" s="4" t="n">
        <v>1786.58</v>
      </c>
      <c r="J724" s="14" t="n">
        <f aca="false">E724-D724</f>
        <v>3</v>
      </c>
      <c r="K724" s="14" t="n">
        <f aca="false">IF(J724&lt;=0,1,0)</f>
        <v>0</v>
      </c>
      <c r="L724" s="15" t="n">
        <f aca="false">IFERROR(G724/F724,0)</f>
        <v>1</v>
      </c>
      <c r="M724" s="15" t="n">
        <f aca="false">IFERROR((I724-H724)/H724,0)</f>
        <v>-0.0501967038809145</v>
      </c>
      <c r="N724" s="16" t="n">
        <f aca="false">G724*I724</f>
        <v>19652.38</v>
      </c>
    </row>
    <row r="725" customFormat="false" ht="15" hidden="false" customHeight="true" outlineLevel="0" collapsed="false">
      <c r="A725" s="4" t="s">
        <v>901</v>
      </c>
      <c r="B725" s="4" t="s">
        <v>95</v>
      </c>
      <c r="C725" s="13" t="n">
        <v>44960</v>
      </c>
      <c r="D725" s="13" t="n">
        <v>44969</v>
      </c>
      <c r="E725" s="13" t="n">
        <v>44973</v>
      </c>
      <c r="F725" s="4" t="n">
        <v>2884</v>
      </c>
      <c r="G725" s="4" t="n">
        <v>2884</v>
      </c>
      <c r="H725" s="4" t="n">
        <v>20.39</v>
      </c>
      <c r="I725" s="4" t="n">
        <v>20.57</v>
      </c>
      <c r="J725" s="14" t="n">
        <f aca="false">E725-D725</f>
        <v>4</v>
      </c>
      <c r="K725" s="14" t="n">
        <f aca="false">IF(J725&lt;=0,1,0)</f>
        <v>0</v>
      </c>
      <c r="L725" s="15" t="n">
        <f aca="false">IFERROR(G725/F725,0)</f>
        <v>1</v>
      </c>
      <c r="M725" s="15" t="n">
        <f aca="false">IFERROR((I725-H725)/H725,0)</f>
        <v>0.00882785679254535</v>
      </c>
      <c r="N725" s="16" t="n">
        <f aca="false">G725*I725</f>
        <v>59323.88</v>
      </c>
    </row>
    <row r="726" customFormat="false" ht="15" hidden="false" customHeight="true" outlineLevel="0" collapsed="false">
      <c r="A726" s="4" t="s">
        <v>902</v>
      </c>
      <c r="B726" s="4" t="s">
        <v>101</v>
      </c>
      <c r="C726" s="13" t="n">
        <v>45390</v>
      </c>
      <c r="D726" s="13" t="n">
        <v>45408</v>
      </c>
      <c r="E726" s="13" t="n">
        <v>45411</v>
      </c>
      <c r="F726" s="4" t="n">
        <v>51</v>
      </c>
      <c r="G726" s="4" t="n">
        <v>49</v>
      </c>
      <c r="H726" s="4" t="n">
        <v>442.74</v>
      </c>
      <c r="I726" s="4" t="n">
        <v>451.4</v>
      </c>
      <c r="J726" s="14" t="n">
        <f aca="false">E726-D726</f>
        <v>3</v>
      </c>
      <c r="K726" s="14" t="n">
        <f aca="false">IF(J726&lt;=0,1,0)</f>
        <v>0</v>
      </c>
      <c r="L726" s="15" t="n">
        <f aca="false">IFERROR(G726/F726,0)</f>
        <v>0.96078431372549</v>
      </c>
      <c r="M726" s="15" t="n">
        <f aca="false">IFERROR((I726-H726)/H726,0)</f>
        <v>0.019560012648507</v>
      </c>
      <c r="N726" s="16" t="n">
        <f aca="false">G726*I726</f>
        <v>22118.6</v>
      </c>
    </row>
    <row r="727" customFormat="false" ht="15" hidden="false" customHeight="true" outlineLevel="0" collapsed="false">
      <c r="A727" s="4" t="s">
        <v>903</v>
      </c>
      <c r="B727" s="4" t="s">
        <v>159</v>
      </c>
      <c r="C727" s="13" t="n">
        <v>45151</v>
      </c>
      <c r="D727" s="13" t="n">
        <v>45159</v>
      </c>
      <c r="E727" s="13" t="n">
        <v>45158</v>
      </c>
      <c r="F727" s="4" t="n">
        <v>2519</v>
      </c>
      <c r="G727" s="4" t="n">
        <v>2406</v>
      </c>
      <c r="H727" s="4" t="n">
        <v>32.91</v>
      </c>
      <c r="I727" s="4" t="n">
        <v>32.76</v>
      </c>
      <c r="J727" s="14" t="n">
        <f aca="false">E727-D727</f>
        <v>-1</v>
      </c>
      <c r="K727" s="14" t="n">
        <f aca="false">IF(J727&lt;=0,1,0)</f>
        <v>1</v>
      </c>
      <c r="L727" s="15" t="n">
        <f aca="false">IFERROR(G727/F727,0)</f>
        <v>0.955140928940056</v>
      </c>
      <c r="M727" s="15" t="n">
        <f aca="false">IFERROR((I727-H727)/H727,0)</f>
        <v>-0.0045578851412944</v>
      </c>
      <c r="N727" s="16" t="n">
        <f aca="false">G727*I727</f>
        <v>78820.56</v>
      </c>
    </row>
    <row r="728" customFormat="false" ht="15" hidden="false" customHeight="true" outlineLevel="0" collapsed="false">
      <c r="A728" s="4" t="s">
        <v>904</v>
      </c>
      <c r="B728" s="4" t="s">
        <v>105</v>
      </c>
      <c r="C728" s="13" t="n">
        <v>45595</v>
      </c>
      <c r="D728" s="13" t="n">
        <v>45612</v>
      </c>
      <c r="E728" s="13" t="n">
        <v>45614</v>
      </c>
      <c r="F728" s="4" t="n">
        <v>435</v>
      </c>
      <c r="G728" s="4" t="n">
        <v>423</v>
      </c>
      <c r="H728" s="4" t="n">
        <v>685.84</v>
      </c>
      <c r="I728" s="4" t="n">
        <v>727.74</v>
      </c>
      <c r="J728" s="14" t="n">
        <f aca="false">E728-D728</f>
        <v>2</v>
      </c>
      <c r="K728" s="14" t="n">
        <f aca="false">IF(J728&lt;=0,1,0)</f>
        <v>0</v>
      </c>
      <c r="L728" s="15" t="n">
        <f aca="false">IFERROR(G728/F728,0)</f>
        <v>0.972413793103448</v>
      </c>
      <c r="M728" s="15" t="n">
        <f aca="false">IFERROR((I728-H728)/H728,0)</f>
        <v>0.0610929662895136</v>
      </c>
      <c r="N728" s="16" t="n">
        <f aca="false">G728*I728</f>
        <v>307834.02</v>
      </c>
    </row>
    <row r="729" customFormat="false" ht="15" hidden="false" customHeight="true" outlineLevel="0" collapsed="false">
      <c r="A729" s="4" t="s">
        <v>905</v>
      </c>
      <c r="B729" s="4" t="s">
        <v>147</v>
      </c>
      <c r="C729" s="13" t="n">
        <v>45056</v>
      </c>
      <c r="D729" s="13" t="n">
        <v>45070</v>
      </c>
      <c r="E729" s="13" t="n">
        <v>45071</v>
      </c>
      <c r="F729" s="4" t="n">
        <v>135</v>
      </c>
      <c r="G729" s="4" t="n">
        <v>135</v>
      </c>
      <c r="H729" s="4" t="n">
        <v>203.3</v>
      </c>
      <c r="I729" s="4" t="n">
        <v>208.9</v>
      </c>
      <c r="J729" s="14" t="n">
        <f aca="false">E729-D729</f>
        <v>1</v>
      </c>
      <c r="K729" s="14" t="n">
        <f aca="false">IF(J729&lt;=0,1,0)</f>
        <v>0</v>
      </c>
      <c r="L729" s="15" t="n">
        <f aca="false">IFERROR(G729/F729,0)</f>
        <v>1</v>
      </c>
      <c r="M729" s="15" t="n">
        <f aca="false">IFERROR((I729-H729)/H729,0)</f>
        <v>0.0275454992621741</v>
      </c>
      <c r="N729" s="16" t="n">
        <f aca="false">G729*I729</f>
        <v>28201.5</v>
      </c>
    </row>
    <row r="730" customFormat="false" ht="15" hidden="false" customHeight="true" outlineLevel="0" collapsed="false">
      <c r="A730" s="4" t="s">
        <v>906</v>
      </c>
      <c r="B730" s="4" t="s">
        <v>141</v>
      </c>
      <c r="C730" s="13" t="n">
        <v>45570</v>
      </c>
      <c r="D730" s="13" t="n">
        <v>45588</v>
      </c>
      <c r="E730" s="13" t="n">
        <v>45588</v>
      </c>
      <c r="F730" s="4" t="n">
        <v>98</v>
      </c>
      <c r="G730" s="4" t="n">
        <v>95</v>
      </c>
      <c r="H730" s="4" t="n">
        <v>1252.36</v>
      </c>
      <c r="I730" s="4" t="n">
        <v>1194.52</v>
      </c>
      <c r="J730" s="14" t="n">
        <f aca="false">E730-D730</f>
        <v>0</v>
      </c>
      <c r="K730" s="14" t="n">
        <f aca="false">IF(J730&lt;=0,1,0)</f>
        <v>1</v>
      </c>
      <c r="L730" s="15" t="n">
        <f aca="false">IFERROR(G730/F730,0)</f>
        <v>0.969387755102041</v>
      </c>
      <c r="M730" s="15" t="n">
        <f aca="false">IFERROR((I730-H730)/H730,0)</f>
        <v>-0.0461848030917627</v>
      </c>
      <c r="N730" s="16" t="n">
        <f aca="false">G730*I730</f>
        <v>113479.4</v>
      </c>
    </row>
    <row r="731" customFormat="false" ht="15" hidden="false" customHeight="true" outlineLevel="0" collapsed="false">
      <c r="A731" s="4" t="s">
        <v>907</v>
      </c>
      <c r="B731" s="4" t="s">
        <v>55</v>
      </c>
      <c r="C731" s="13" t="n">
        <v>45555</v>
      </c>
      <c r="D731" s="13" t="n">
        <v>45574</v>
      </c>
      <c r="E731" s="13" t="n">
        <v>45570</v>
      </c>
      <c r="F731" s="4" t="n">
        <v>322</v>
      </c>
      <c r="G731" s="4" t="n">
        <v>305</v>
      </c>
      <c r="H731" s="4" t="n">
        <v>598.09</v>
      </c>
      <c r="I731" s="4" t="n">
        <v>554.36</v>
      </c>
      <c r="J731" s="14" t="n">
        <f aca="false">E731-D731</f>
        <v>-4</v>
      </c>
      <c r="K731" s="14" t="n">
        <f aca="false">IF(J731&lt;=0,1,0)</f>
        <v>1</v>
      </c>
      <c r="L731" s="15" t="n">
        <f aca="false">IFERROR(G731/F731,0)</f>
        <v>0.947204968944099</v>
      </c>
      <c r="M731" s="15" t="n">
        <f aca="false">IFERROR((I731-H731)/H731,0)</f>
        <v>-0.0731160862077614</v>
      </c>
      <c r="N731" s="16" t="n">
        <f aca="false">G731*I731</f>
        <v>169079.8</v>
      </c>
    </row>
    <row r="732" customFormat="false" ht="15" hidden="false" customHeight="true" outlineLevel="0" collapsed="false">
      <c r="A732" s="4" t="s">
        <v>908</v>
      </c>
      <c r="B732" s="4" t="s">
        <v>99</v>
      </c>
      <c r="C732" s="13" t="n">
        <v>45443</v>
      </c>
      <c r="D732" s="13" t="n">
        <v>45451</v>
      </c>
      <c r="E732" s="13" t="n">
        <v>45453</v>
      </c>
      <c r="F732" s="4" t="n">
        <v>4693</v>
      </c>
      <c r="G732" s="4" t="n">
        <v>4359</v>
      </c>
      <c r="H732" s="4" t="n">
        <v>11.5</v>
      </c>
      <c r="I732" s="4" t="n">
        <v>12.76</v>
      </c>
      <c r="J732" s="14" t="n">
        <f aca="false">E732-D732</f>
        <v>2</v>
      </c>
      <c r="K732" s="14" t="n">
        <f aca="false">IF(J732&lt;=0,1,0)</f>
        <v>0</v>
      </c>
      <c r="L732" s="15" t="n">
        <f aca="false">IFERROR(G732/F732,0)</f>
        <v>0.928830172597486</v>
      </c>
      <c r="M732" s="15" t="n">
        <f aca="false">IFERROR((I732-H732)/H732,0)</f>
        <v>0.109565217391304</v>
      </c>
      <c r="N732" s="16" t="n">
        <f aca="false">G732*I732</f>
        <v>55620.84</v>
      </c>
    </row>
    <row r="733" customFormat="false" ht="15" hidden="false" customHeight="true" outlineLevel="0" collapsed="false">
      <c r="A733" s="4" t="s">
        <v>909</v>
      </c>
      <c r="B733" s="4" t="s">
        <v>113</v>
      </c>
      <c r="C733" s="13" t="n">
        <v>45062</v>
      </c>
      <c r="D733" s="13" t="n">
        <v>45071</v>
      </c>
      <c r="E733" s="13" t="n">
        <v>45070</v>
      </c>
      <c r="F733" s="4" t="n">
        <v>1940</v>
      </c>
      <c r="G733" s="4" t="n">
        <v>1907</v>
      </c>
      <c r="H733" s="4" t="n">
        <v>170.42</v>
      </c>
      <c r="I733" s="4" t="n">
        <v>173</v>
      </c>
      <c r="J733" s="14" t="n">
        <f aca="false">E733-D733</f>
        <v>-1</v>
      </c>
      <c r="K733" s="14" t="n">
        <f aca="false">IF(J733&lt;=0,1,0)</f>
        <v>1</v>
      </c>
      <c r="L733" s="15" t="n">
        <f aca="false">IFERROR(G733/F733,0)</f>
        <v>0.982989690721649</v>
      </c>
      <c r="M733" s="15" t="n">
        <f aca="false">IFERROR((I733-H733)/H733,0)</f>
        <v>0.0151390681844855</v>
      </c>
      <c r="N733" s="16" t="n">
        <f aca="false">G733*I733</f>
        <v>329911</v>
      </c>
    </row>
    <row r="734" customFormat="false" ht="15" hidden="false" customHeight="true" outlineLevel="0" collapsed="false">
      <c r="A734" s="4" t="s">
        <v>910</v>
      </c>
      <c r="B734" s="4" t="s">
        <v>85</v>
      </c>
      <c r="C734" s="13" t="n">
        <v>45468</v>
      </c>
      <c r="D734" s="13" t="n">
        <v>45478</v>
      </c>
      <c r="E734" s="13" t="n">
        <v>45482</v>
      </c>
      <c r="F734" s="4" t="n">
        <v>788</v>
      </c>
      <c r="G734" s="4" t="n">
        <v>753</v>
      </c>
      <c r="H734" s="4" t="n">
        <v>241.88</v>
      </c>
      <c r="I734" s="4" t="n">
        <v>235.22</v>
      </c>
      <c r="J734" s="14" t="n">
        <f aca="false">E734-D734</f>
        <v>4</v>
      </c>
      <c r="K734" s="14" t="n">
        <f aca="false">IF(J734&lt;=0,1,0)</f>
        <v>0</v>
      </c>
      <c r="L734" s="15" t="n">
        <f aca="false">IFERROR(G734/F734,0)</f>
        <v>0.955583756345178</v>
      </c>
      <c r="M734" s="15" t="n">
        <f aca="false">IFERROR((I734-H734)/H734,0)</f>
        <v>-0.0275343145361336</v>
      </c>
      <c r="N734" s="16" t="n">
        <f aca="false">G734*I734</f>
        <v>177120.66</v>
      </c>
    </row>
    <row r="735" customFormat="false" ht="15" hidden="false" customHeight="true" outlineLevel="0" collapsed="false">
      <c r="A735" s="4" t="s">
        <v>911</v>
      </c>
      <c r="B735" s="4" t="s">
        <v>79</v>
      </c>
      <c r="C735" s="13" t="n">
        <v>45258</v>
      </c>
      <c r="D735" s="13" t="n">
        <v>45275</v>
      </c>
      <c r="E735" s="13" t="n">
        <v>45280</v>
      </c>
      <c r="F735" s="4" t="n">
        <v>165</v>
      </c>
      <c r="G735" s="4" t="n">
        <v>161</v>
      </c>
      <c r="H735" s="4" t="n">
        <v>821.48</v>
      </c>
      <c r="I735" s="4" t="n">
        <v>843.8</v>
      </c>
      <c r="J735" s="14" t="n">
        <f aca="false">E735-D735</f>
        <v>5</v>
      </c>
      <c r="K735" s="14" t="n">
        <f aca="false">IF(J735&lt;=0,1,0)</f>
        <v>0</v>
      </c>
      <c r="L735" s="15" t="n">
        <f aca="false">IFERROR(G735/F735,0)</f>
        <v>0.975757575757576</v>
      </c>
      <c r="M735" s="15" t="n">
        <f aca="false">IFERROR((I735-H735)/H735,0)</f>
        <v>0.0271704728051808</v>
      </c>
      <c r="N735" s="16" t="n">
        <f aca="false">G735*I735</f>
        <v>135851.8</v>
      </c>
    </row>
    <row r="736" customFormat="false" ht="15" hidden="false" customHeight="true" outlineLevel="0" collapsed="false">
      <c r="A736" s="4" t="s">
        <v>912</v>
      </c>
      <c r="B736" s="4" t="s">
        <v>79</v>
      </c>
      <c r="C736" s="13" t="n">
        <v>45103</v>
      </c>
      <c r="D736" s="13" t="n">
        <v>45122</v>
      </c>
      <c r="E736" s="13" t="n">
        <v>45128</v>
      </c>
      <c r="F736" s="4" t="n">
        <v>428</v>
      </c>
      <c r="G736" s="4" t="n">
        <v>402</v>
      </c>
      <c r="H736" s="4" t="n">
        <v>821.48</v>
      </c>
      <c r="I736" s="4" t="n">
        <v>830.73</v>
      </c>
      <c r="J736" s="14" t="n">
        <f aca="false">E736-D736</f>
        <v>6</v>
      </c>
      <c r="K736" s="14" t="n">
        <f aca="false">IF(J736&lt;=0,1,0)</f>
        <v>0</v>
      </c>
      <c r="L736" s="15" t="n">
        <f aca="false">IFERROR(G736/F736,0)</f>
        <v>0.939252336448598</v>
      </c>
      <c r="M736" s="15" t="n">
        <f aca="false">IFERROR((I736-H736)/H736,0)</f>
        <v>0.0112601645810001</v>
      </c>
      <c r="N736" s="16" t="n">
        <f aca="false">G736*I736</f>
        <v>333953.46</v>
      </c>
    </row>
    <row r="737" customFormat="false" ht="15" hidden="false" customHeight="true" outlineLevel="0" collapsed="false">
      <c r="A737" s="4" t="s">
        <v>913</v>
      </c>
      <c r="B737" s="4" t="s">
        <v>37</v>
      </c>
      <c r="C737" s="13" t="n">
        <v>45589</v>
      </c>
      <c r="D737" s="13" t="n">
        <v>45595</v>
      </c>
      <c r="E737" s="13" t="n">
        <v>45595</v>
      </c>
      <c r="F737" s="4" t="n">
        <v>3583</v>
      </c>
      <c r="G737" s="4" t="n">
        <v>3576</v>
      </c>
      <c r="H737" s="4" t="n">
        <v>22.26</v>
      </c>
      <c r="I737" s="4" t="n">
        <v>21.18</v>
      </c>
      <c r="J737" s="14" t="n">
        <f aca="false">E737-D737</f>
        <v>0</v>
      </c>
      <c r="K737" s="14" t="n">
        <f aca="false">IF(J737&lt;=0,1,0)</f>
        <v>1</v>
      </c>
      <c r="L737" s="15" t="n">
        <f aca="false">IFERROR(G737/F737,0)</f>
        <v>0.998046329891153</v>
      </c>
      <c r="M737" s="15" t="n">
        <f aca="false">IFERROR((I737-H737)/H737,0)</f>
        <v>-0.0485175202156335</v>
      </c>
      <c r="N737" s="16" t="n">
        <f aca="false">G737*I737</f>
        <v>75739.68</v>
      </c>
    </row>
    <row r="738" customFormat="false" ht="15" hidden="false" customHeight="true" outlineLevel="0" collapsed="false">
      <c r="A738" s="4" t="s">
        <v>914</v>
      </c>
      <c r="B738" s="4" t="s">
        <v>55</v>
      </c>
      <c r="C738" s="13" t="n">
        <v>44953</v>
      </c>
      <c r="D738" s="13" t="n">
        <v>44972</v>
      </c>
      <c r="E738" s="13" t="n">
        <v>44972</v>
      </c>
      <c r="F738" s="4" t="n">
        <v>67</v>
      </c>
      <c r="G738" s="4" t="n">
        <v>65</v>
      </c>
      <c r="H738" s="4" t="n">
        <v>598.09</v>
      </c>
      <c r="I738" s="4" t="n">
        <v>598.15</v>
      </c>
      <c r="J738" s="14" t="n">
        <f aca="false">E738-D738</f>
        <v>0</v>
      </c>
      <c r="K738" s="14" t="n">
        <f aca="false">IF(J738&lt;=0,1,0)</f>
        <v>1</v>
      </c>
      <c r="L738" s="15" t="n">
        <f aca="false">IFERROR(G738/F738,0)</f>
        <v>0.970149253731343</v>
      </c>
      <c r="M738" s="15" t="n">
        <f aca="false">IFERROR((I738-H738)/H738,0)</f>
        <v>0.000100319349930521</v>
      </c>
      <c r="N738" s="16" t="n">
        <f aca="false">G738*I738</f>
        <v>38879.75</v>
      </c>
    </row>
    <row r="739" customFormat="false" ht="15" hidden="false" customHeight="true" outlineLevel="0" collapsed="false">
      <c r="A739" s="4" t="s">
        <v>915</v>
      </c>
      <c r="B739" s="4" t="s">
        <v>43</v>
      </c>
      <c r="C739" s="13" t="n">
        <v>45405</v>
      </c>
      <c r="D739" s="13" t="n">
        <v>45423</v>
      </c>
      <c r="E739" s="13" t="n">
        <v>45423</v>
      </c>
      <c r="F739" s="4" t="n">
        <v>213</v>
      </c>
      <c r="G739" s="4" t="n">
        <v>208</v>
      </c>
      <c r="H739" s="4" t="n">
        <v>1321.6</v>
      </c>
      <c r="I739" s="4" t="n">
        <v>1342.94</v>
      </c>
      <c r="J739" s="14" t="n">
        <f aca="false">E739-D739</f>
        <v>0</v>
      </c>
      <c r="K739" s="14" t="n">
        <f aca="false">IF(J739&lt;=0,1,0)</f>
        <v>1</v>
      </c>
      <c r="L739" s="15" t="n">
        <f aca="false">IFERROR(G739/F739,0)</f>
        <v>0.976525821596244</v>
      </c>
      <c r="M739" s="15" t="n">
        <f aca="false">IFERROR((I739-H739)/H739,0)</f>
        <v>0.0161470944309928</v>
      </c>
      <c r="N739" s="16" t="n">
        <f aca="false">G739*I739</f>
        <v>279331.52</v>
      </c>
    </row>
    <row r="740" customFormat="false" ht="15" hidden="false" customHeight="true" outlineLevel="0" collapsed="false">
      <c r="A740" s="4" t="s">
        <v>916</v>
      </c>
      <c r="B740" s="4" t="s">
        <v>58</v>
      </c>
      <c r="C740" s="13" t="n">
        <v>45590</v>
      </c>
      <c r="D740" s="13" t="n">
        <v>45602</v>
      </c>
      <c r="E740" s="13" t="n">
        <v>45601</v>
      </c>
      <c r="F740" s="4" t="n">
        <v>150</v>
      </c>
      <c r="G740" s="4" t="n">
        <v>150</v>
      </c>
      <c r="H740" s="4" t="n">
        <v>135.68</v>
      </c>
      <c r="I740" s="4" t="n">
        <v>143.61</v>
      </c>
      <c r="J740" s="14" t="n">
        <f aca="false">E740-D740</f>
        <v>-1</v>
      </c>
      <c r="K740" s="14" t="n">
        <f aca="false">IF(J740&lt;=0,1,0)</f>
        <v>1</v>
      </c>
      <c r="L740" s="15" t="n">
        <f aca="false">IFERROR(G740/F740,0)</f>
        <v>1</v>
      </c>
      <c r="M740" s="15" t="n">
        <f aca="false">IFERROR((I740-H740)/H740,0)</f>
        <v>0.0584463443396227</v>
      </c>
      <c r="N740" s="16" t="n">
        <f aca="false">G740*I740</f>
        <v>21541.5</v>
      </c>
    </row>
    <row r="741" customFormat="false" ht="15" hidden="false" customHeight="true" outlineLevel="0" collapsed="false">
      <c r="A741" s="4" t="s">
        <v>917</v>
      </c>
      <c r="B741" s="4" t="s">
        <v>157</v>
      </c>
      <c r="C741" s="13" t="n">
        <v>45213</v>
      </c>
      <c r="D741" s="13" t="n">
        <v>45221</v>
      </c>
      <c r="E741" s="13" t="n">
        <v>45220</v>
      </c>
      <c r="F741" s="4" t="n">
        <v>2093</v>
      </c>
      <c r="G741" s="4" t="n">
        <v>1947</v>
      </c>
      <c r="H741" s="4" t="n">
        <v>13.1</v>
      </c>
      <c r="I741" s="4" t="n">
        <v>13.51</v>
      </c>
      <c r="J741" s="14" t="n">
        <f aca="false">E741-D741</f>
        <v>-1</v>
      </c>
      <c r="K741" s="14" t="n">
        <f aca="false">IF(J741&lt;=0,1,0)</f>
        <v>1</v>
      </c>
      <c r="L741" s="15" t="n">
        <f aca="false">IFERROR(G741/F741,0)</f>
        <v>0.930243669374104</v>
      </c>
      <c r="M741" s="15" t="n">
        <f aca="false">IFERROR((I741-H741)/H741,0)</f>
        <v>0.0312977099236641</v>
      </c>
      <c r="N741" s="16" t="n">
        <f aca="false">G741*I741</f>
        <v>26303.97</v>
      </c>
    </row>
    <row r="742" customFormat="false" ht="15" hidden="false" customHeight="true" outlineLevel="0" collapsed="false">
      <c r="A742" s="4" t="s">
        <v>918</v>
      </c>
      <c r="B742" s="4" t="s">
        <v>58</v>
      </c>
      <c r="C742" s="13" t="n">
        <v>45435</v>
      </c>
      <c r="D742" s="13" t="n">
        <v>45447</v>
      </c>
      <c r="E742" s="13" t="n">
        <v>45442</v>
      </c>
      <c r="F742" s="4" t="n">
        <v>277</v>
      </c>
      <c r="G742" s="4" t="n">
        <v>264</v>
      </c>
      <c r="H742" s="4" t="n">
        <v>135.68</v>
      </c>
      <c r="I742" s="4" t="n">
        <v>142.07</v>
      </c>
      <c r="J742" s="14" t="n">
        <f aca="false">E742-D742</f>
        <v>-5</v>
      </c>
      <c r="K742" s="14" t="n">
        <f aca="false">IF(J742&lt;=0,1,0)</f>
        <v>1</v>
      </c>
      <c r="L742" s="15" t="n">
        <f aca="false">IFERROR(G742/F742,0)</f>
        <v>0.953068592057762</v>
      </c>
      <c r="M742" s="15" t="n">
        <f aca="false">IFERROR((I742-H742)/H742,0)</f>
        <v>0.0470961084905659</v>
      </c>
      <c r="N742" s="16" t="n">
        <f aca="false">G742*I742</f>
        <v>37506.48</v>
      </c>
    </row>
    <row r="743" customFormat="false" ht="15" hidden="false" customHeight="true" outlineLevel="0" collapsed="false">
      <c r="A743" s="4" t="s">
        <v>919</v>
      </c>
      <c r="B743" s="4" t="s">
        <v>123</v>
      </c>
      <c r="C743" s="13" t="n">
        <v>45419</v>
      </c>
      <c r="D743" s="13" t="n">
        <v>45431</v>
      </c>
      <c r="E743" s="13" t="n">
        <v>45429</v>
      </c>
      <c r="F743" s="4" t="n">
        <v>283</v>
      </c>
      <c r="G743" s="4" t="n">
        <v>269</v>
      </c>
      <c r="H743" s="4" t="n">
        <v>214.07</v>
      </c>
      <c r="I743" s="4" t="n">
        <v>239.55</v>
      </c>
      <c r="J743" s="14" t="n">
        <f aca="false">E743-D743</f>
        <v>-2</v>
      </c>
      <c r="K743" s="14" t="n">
        <f aca="false">IF(J743&lt;=0,1,0)</f>
        <v>1</v>
      </c>
      <c r="L743" s="15" t="n">
        <f aca="false">IFERROR(G743/F743,0)</f>
        <v>0.950530035335689</v>
      </c>
      <c r="M743" s="15" t="n">
        <f aca="false">IFERROR((I743-H743)/H743,0)</f>
        <v>0.119026486663241</v>
      </c>
      <c r="N743" s="16" t="n">
        <f aca="false">G743*I743</f>
        <v>64438.95</v>
      </c>
    </row>
    <row r="744" customFormat="false" ht="15" hidden="false" customHeight="true" outlineLevel="0" collapsed="false">
      <c r="A744" s="4" t="s">
        <v>920</v>
      </c>
      <c r="B744" s="4" t="s">
        <v>127</v>
      </c>
      <c r="C744" s="13" t="n">
        <v>45506</v>
      </c>
      <c r="D744" s="13" t="n">
        <v>45511</v>
      </c>
      <c r="E744" s="13" t="n">
        <v>45516</v>
      </c>
      <c r="F744" s="4" t="n">
        <v>15</v>
      </c>
      <c r="G744" s="4" t="n">
        <v>15</v>
      </c>
      <c r="H744" s="4" t="n">
        <v>1881</v>
      </c>
      <c r="I744" s="4" t="n">
        <v>1723.67</v>
      </c>
      <c r="J744" s="14" t="n">
        <f aca="false">E744-D744</f>
        <v>5</v>
      </c>
      <c r="K744" s="14" t="n">
        <f aca="false">IF(J744&lt;=0,1,0)</f>
        <v>0</v>
      </c>
      <c r="L744" s="15" t="n">
        <f aca="false">IFERROR(G744/F744,0)</f>
        <v>1</v>
      </c>
      <c r="M744" s="15" t="n">
        <f aca="false">IFERROR((I744-H744)/H744,0)</f>
        <v>-0.0836416799574694</v>
      </c>
      <c r="N744" s="16" t="n">
        <f aca="false">G744*I744</f>
        <v>25855.05</v>
      </c>
    </row>
    <row r="745" customFormat="false" ht="15" hidden="false" customHeight="true" outlineLevel="0" collapsed="false">
      <c r="A745" s="4" t="s">
        <v>921</v>
      </c>
      <c r="B745" s="4" t="s">
        <v>50</v>
      </c>
      <c r="C745" s="13" t="n">
        <v>45381</v>
      </c>
      <c r="D745" s="13" t="n">
        <v>45401</v>
      </c>
      <c r="E745" s="13" t="n">
        <v>45400</v>
      </c>
      <c r="F745" s="4" t="n">
        <v>125</v>
      </c>
      <c r="G745" s="4" t="n">
        <v>125</v>
      </c>
      <c r="H745" s="4" t="n">
        <v>707.19</v>
      </c>
      <c r="I745" s="4" t="n">
        <v>746.13</v>
      </c>
      <c r="J745" s="14" t="n">
        <f aca="false">E745-D745</f>
        <v>-1</v>
      </c>
      <c r="K745" s="14" t="n">
        <f aca="false">IF(J745&lt;=0,1,0)</f>
        <v>1</v>
      </c>
      <c r="L745" s="15" t="n">
        <f aca="false">IFERROR(G745/F745,0)</f>
        <v>1</v>
      </c>
      <c r="M745" s="15" t="n">
        <f aca="false">IFERROR((I745-H745)/H745,0)</f>
        <v>0.0550629958002799</v>
      </c>
      <c r="N745" s="16" t="n">
        <f aca="false">G745*I745</f>
        <v>93266.25</v>
      </c>
    </row>
    <row r="746" customFormat="false" ht="15" hidden="false" customHeight="true" outlineLevel="0" collapsed="false">
      <c r="A746" s="4" t="s">
        <v>922</v>
      </c>
      <c r="B746" s="4" t="s">
        <v>161</v>
      </c>
      <c r="C746" s="13" t="n">
        <v>45405</v>
      </c>
      <c r="D746" s="13" t="n">
        <v>45416</v>
      </c>
      <c r="E746" s="13" t="n">
        <v>45418</v>
      </c>
      <c r="F746" s="4" t="n">
        <v>1305</v>
      </c>
      <c r="G746" s="4" t="n">
        <v>1305</v>
      </c>
      <c r="H746" s="4" t="n">
        <v>101.94</v>
      </c>
      <c r="I746" s="4" t="n">
        <v>111.36</v>
      </c>
      <c r="J746" s="14" t="n">
        <f aca="false">E746-D746</f>
        <v>2</v>
      </c>
      <c r="K746" s="14" t="n">
        <f aca="false">IF(J746&lt;=0,1,0)</f>
        <v>0</v>
      </c>
      <c r="L746" s="15" t="n">
        <f aca="false">IFERROR(G746/F746,0)</f>
        <v>1</v>
      </c>
      <c r="M746" s="15" t="n">
        <f aca="false">IFERROR((I746-H746)/H746,0)</f>
        <v>0.0924072984108299</v>
      </c>
      <c r="N746" s="16" t="n">
        <f aca="false">G746*I746</f>
        <v>145324.8</v>
      </c>
    </row>
    <row r="747" customFormat="false" ht="15" hidden="false" customHeight="true" outlineLevel="0" collapsed="false">
      <c r="A747" s="4" t="s">
        <v>923</v>
      </c>
      <c r="B747" s="4" t="s">
        <v>157</v>
      </c>
      <c r="C747" s="13" t="n">
        <v>45443</v>
      </c>
      <c r="D747" s="13" t="n">
        <v>45449</v>
      </c>
      <c r="E747" s="13" t="n">
        <v>45450</v>
      </c>
      <c r="F747" s="4" t="n">
        <v>1767</v>
      </c>
      <c r="G747" s="4" t="n">
        <v>1709</v>
      </c>
      <c r="H747" s="4" t="n">
        <v>13.1</v>
      </c>
      <c r="I747" s="4" t="n">
        <v>13.53</v>
      </c>
      <c r="J747" s="14" t="n">
        <f aca="false">E747-D747</f>
        <v>1</v>
      </c>
      <c r="K747" s="14" t="n">
        <f aca="false">IF(J747&lt;=0,1,0)</f>
        <v>0</v>
      </c>
      <c r="L747" s="15" t="n">
        <f aca="false">IFERROR(G747/F747,0)</f>
        <v>0.967176004527448</v>
      </c>
      <c r="M747" s="15" t="n">
        <f aca="false">IFERROR((I747-H747)/H747,0)</f>
        <v>0.032824427480916</v>
      </c>
      <c r="N747" s="16" t="n">
        <f aca="false">G747*I747</f>
        <v>23122.77</v>
      </c>
    </row>
    <row r="748" customFormat="false" ht="15" hidden="false" customHeight="true" outlineLevel="0" collapsed="false">
      <c r="A748" s="4" t="s">
        <v>924</v>
      </c>
      <c r="B748" s="4" t="s">
        <v>91</v>
      </c>
      <c r="C748" s="13" t="n">
        <v>44958</v>
      </c>
      <c r="D748" s="13" t="n">
        <v>44976</v>
      </c>
      <c r="E748" s="13" t="n">
        <v>44978</v>
      </c>
      <c r="F748" s="4" t="n">
        <v>336</v>
      </c>
      <c r="G748" s="4" t="n">
        <v>326</v>
      </c>
      <c r="H748" s="4" t="n">
        <v>496.29</v>
      </c>
      <c r="I748" s="4" t="n">
        <v>494.57</v>
      </c>
      <c r="J748" s="14" t="n">
        <f aca="false">E748-D748</f>
        <v>2</v>
      </c>
      <c r="K748" s="14" t="n">
        <f aca="false">IF(J748&lt;=0,1,0)</f>
        <v>0</v>
      </c>
      <c r="L748" s="15" t="n">
        <f aca="false">IFERROR(G748/F748,0)</f>
        <v>0.970238095238095</v>
      </c>
      <c r="M748" s="15" t="n">
        <f aca="false">IFERROR((I748-H748)/H748,0)</f>
        <v>-0.00346571560982496</v>
      </c>
      <c r="N748" s="16" t="n">
        <f aca="false">G748*I748</f>
        <v>161229.82</v>
      </c>
    </row>
    <row r="749" customFormat="false" ht="15" hidden="false" customHeight="true" outlineLevel="0" collapsed="false">
      <c r="A749" s="4" t="s">
        <v>925</v>
      </c>
      <c r="B749" s="4" t="s">
        <v>153</v>
      </c>
      <c r="C749" s="13" t="n">
        <v>45213</v>
      </c>
      <c r="D749" s="13" t="n">
        <v>45231</v>
      </c>
      <c r="E749" s="13" t="n">
        <v>45234</v>
      </c>
      <c r="F749" s="4" t="n">
        <v>116</v>
      </c>
      <c r="G749" s="4" t="n">
        <v>108</v>
      </c>
      <c r="H749" s="4" t="n">
        <v>1492.04</v>
      </c>
      <c r="I749" s="4" t="n">
        <v>1513.18</v>
      </c>
      <c r="J749" s="14" t="n">
        <f aca="false">E749-D749</f>
        <v>3</v>
      </c>
      <c r="K749" s="14" t="n">
        <f aca="false">IF(J749&lt;=0,1,0)</f>
        <v>0</v>
      </c>
      <c r="L749" s="15" t="n">
        <f aca="false">IFERROR(G749/F749,0)</f>
        <v>0.931034482758621</v>
      </c>
      <c r="M749" s="15" t="n">
        <f aca="false">IFERROR((I749-H749)/H749,0)</f>
        <v>0.014168520951181</v>
      </c>
      <c r="N749" s="16" t="n">
        <f aca="false">G749*I749</f>
        <v>163423.44</v>
      </c>
    </row>
    <row r="750" customFormat="false" ht="15" hidden="false" customHeight="true" outlineLevel="0" collapsed="false">
      <c r="A750" s="4" t="s">
        <v>926</v>
      </c>
      <c r="B750" s="4" t="s">
        <v>145</v>
      </c>
      <c r="C750" s="13" t="n">
        <v>45413</v>
      </c>
      <c r="D750" s="13" t="n">
        <v>45423</v>
      </c>
      <c r="E750" s="13" t="n">
        <v>45426</v>
      </c>
      <c r="F750" s="4" t="n">
        <v>1743</v>
      </c>
      <c r="G750" s="4" t="n">
        <v>1676</v>
      </c>
      <c r="H750" s="4" t="n">
        <v>237.04</v>
      </c>
      <c r="I750" s="4" t="n">
        <v>266.58</v>
      </c>
      <c r="J750" s="14" t="n">
        <f aca="false">E750-D750</f>
        <v>3</v>
      </c>
      <c r="K750" s="14" t="n">
        <f aca="false">IF(J750&lt;=0,1,0)</f>
        <v>0</v>
      </c>
      <c r="L750" s="15" t="n">
        <f aca="false">IFERROR(G750/F750,0)</f>
        <v>0.961560527825588</v>
      </c>
      <c r="M750" s="15" t="n">
        <f aca="false">IFERROR((I750-H750)/H750,0)</f>
        <v>0.124620317246034</v>
      </c>
      <c r="N750" s="16" t="n">
        <f aca="false">G750*I750</f>
        <v>446788.08</v>
      </c>
    </row>
    <row r="751" customFormat="false" ht="15" hidden="false" customHeight="true" outlineLevel="0" collapsed="false">
      <c r="A751" s="4" t="s">
        <v>927</v>
      </c>
      <c r="B751" s="4" t="s">
        <v>101</v>
      </c>
      <c r="C751" s="13" t="n">
        <v>45072</v>
      </c>
      <c r="D751" s="13" t="n">
        <v>45089</v>
      </c>
      <c r="E751" s="13" t="n">
        <v>45092</v>
      </c>
      <c r="F751" s="4" t="n">
        <v>498</v>
      </c>
      <c r="G751" s="4" t="n">
        <v>475</v>
      </c>
      <c r="H751" s="4" t="n">
        <v>442.74</v>
      </c>
      <c r="I751" s="4" t="n">
        <v>444.44</v>
      </c>
      <c r="J751" s="14" t="n">
        <f aca="false">E751-D751</f>
        <v>3</v>
      </c>
      <c r="K751" s="14" t="n">
        <f aca="false">IF(J751&lt;=0,1,0)</f>
        <v>0</v>
      </c>
      <c r="L751" s="15" t="n">
        <f aca="false">IFERROR(G751/F751,0)</f>
        <v>0.953815261044177</v>
      </c>
      <c r="M751" s="15" t="n">
        <f aca="false">IFERROR((I751-H751)/H751,0)</f>
        <v>0.00383972534670459</v>
      </c>
      <c r="N751" s="16" t="n">
        <f aca="false">G751*I751</f>
        <v>211109</v>
      </c>
    </row>
    <row r="752" customFormat="false" ht="15" hidden="false" customHeight="true" outlineLevel="0" collapsed="false">
      <c r="A752" s="4" t="s">
        <v>928</v>
      </c>
      <c r="B752" s="4" t="s">
        <v>109</v>
      </c>
      <c r="C752" s="13" t="n">
        <v>45086</v>
      </c>
      <c r="D752" s="13" t="n">
        <v>45106</v>
      </c>
      <c r="E752" s="13" t="n">
        <v>45104</v>
      </c>
      <c r="F752" s="4" t="n">
        <v>116</v>
      </c>
      <c r="G752" s="4" t="n">
        <v>112</v>
      </c>
      <c r="H752" s="4" t="n">
        <v>858.02</v>
      </c>
      <c r="I752" s="4" t="n">
        <v>861.75</v>
      </c>
      <c r="J752" s="14" t="n">
        <f aca="false">E752-D752</f>
        <v>-2</v>
      </c>
      <c r="K752" s="14" t="n">
        <f aca="false">IF(J752&lt;=0,1,0)</f>
        <v>1</v>
      </c>
      <c r="L752" s="15" t="n">
        <f aca="false">IFERROR(G752/F752,0)</f>
        <v>0.96551724137931</v>
      </c>
      <c r="M752" s="15" t="n">
        <f aca="false">IFERROR((I752-H752)/H752,0)</f>
        <v>0.00434721801356614</v>
      </c>
      <c r="N752" s="16" t="n">
        <f aca="false">G752*I752</f>
        <v>96516</v>
      </c>
    </row>
    <row r="753" customFormat="false" ht="15" hidden="false" customHeight="true" outlineLevel="0" collapsed="false">
      <c r="A753" s="4" t="s">
        <v>929</v>
      </c>
      <c r="B753" s="4" t="s">
        <v>72</v>
      </c>
      <c r="C753" s="13" t="n">
        <v>45301</v>
      </c>
      <c r="D753" s="13" t="n">
        <v>45310</v>
      </c>
      <c r="E753" s="13" t="n">
        <v>45321</v>
      </c>
      <c r="F753" s="4" t="n">
        <v>1836</v>
      </c>
      <c r="G753" s="4" t="n">
        <v>1795</v>
      </c>
      <c r="H753" s="4" t="n">
        <v>34.53</v>
      </c>
      <c r="I753" s="4" t="n">
        <v>36.29</v>
      </c>
      <c r="J753" s="14" t="n">
        <f aca="false">E753-D753</f>
        <v>11</v>
      </c>
      <c r="K753" s="14" t="n">
        <f aca="false">IF(J753&lt;=0,1,0)</f>
        <v>0</v>
      </c>
      <c r="L753" s="15" t="n">
        <f aca="false">IFERROR(G753/F753,0)</f>
        <v>0.977668845315904</v>
      </c>
      <c r="M753" s="15" t="n">
        <f aca="false">IFERROR((I753-H753)/H753,0)</f>
        <v>0.0509701708659136</v>
      </c>
      <c r="N753" s="16" t="n">
        <f aca="false">G753*I753</f>
        <v>65140.55</v>
      </c>
    </row>
    <row r="754" customFormat="false" ht="15" hidden="false" customHeight="true" outlineLevel="0" collapsed="false">
      <c r="A754" s="4" t="s">
        <v>930</v>
      </c>
      <c r="B754" s="4" t="s">
        <v>72</v>
      </c>
      <c r="C754" s="13" t="n">
        <v>45500</v>
      </c>
      <c r="D754" s="13" t="n">
        <v>45507</v>
      </c>
      <c r="E754" s="13" t="n">
        <v>45513</v>
      </c>
      <c r="F754" s="4" t="n">
        <v>4535</v>
      </c>
      <c r="G754" s="4" t="n">
        <v>4326</v>
      </c>
      <c r="H754" s="4" t="n">
        <v>34.53</v>
      </c>
      <c r="I754" s="4" t="n">
        <v>36.42</v>
      </c>
      <c r="J754" s="14" t="n">
        <f aca="false">E754-D754</f>
        <v>6</v>
      </c>
      <c r="K754" s="14" t="n">
        <f aca="false">IF(J754&lt;=0,1,0)</f>
        <v>0</v>
      </c>
      <c r="L754" s="15" t="n">
        <f aca="false">IFERROR(G754/F754,0)</f>
        <v>0.953914002205072</v>
      </c>
      <c r="M754" s="15" t="n">
        <f aca="false">IFERROR((I754-H754)/H754,0)</f>
        <v>0.054735013032146</v>
      </c>
      <c r="N754" s="16" t="n">
        <f aca="false">G754*I754</f>
        <v>157552.92</v>
      </c>
    </row>
    <row r="755" customFormat="false" ht="15" hidden="false" customHeight="true" outlineLevel="0" collapsed="false">
      <c r="A755" s="4" t="s">
        <v>931</v>
      </c>
      <c r="B755" s="4" t="s">
        <v>99</v>
      </c>
      <c r="C755" s="13" t="n">
        <v>44927</v>
      </c>
      <c r="D755" s="13" t="n">
        <v>44935</v>
      </c>
      <c r="E755" s="13" t="n">
        <v>44938</v>
      </c>
      <c r="F755" s="4" t="n">
        <v>4397</v>
      </c>
      <c r="G755" s="4" t="n">
        <v>4147</v>
      </c>
      <c r="H755" s="4" t="n">
        <v>11.5</v>
      </c>
      <c r="I755" s="4" t="n">
        <v>11.61</v>
      </c>
      <c r="J755" s="14" t="n">
        <f aca="false">E755-D755</f>
        <v>3</v>
      </c>
      <c r="K755" s="14" t="n">
        <f aca="false">IF(J755&lt;=0,1,0)</f>
        <v>0</v>
      </c>
      <c r="L755" s="15" t="n">
        <f aca="false">IFERROR(G755/F755,0)</f>
        <v>0.943143052080964</v>
      </c>
      <c r="M755" s="15" t="n">
        <f aca="false">IFERROR((I755-H755)/H755,0)</f>
        <v>0.0095652173913043</v>
      </c>
      <c r="N755" s="16" t="n">
        <f aca="false">G755*I755</f>
        <v>48146.67</v>
      </c>
    </row>
    <row r="756" customFormat="false" ht="15" hidden="false" customHeight="true" outlineLevel="0" collapsed="false">
      <c r="A756" s="4" t="s">
        <v>932</v>
      </c>
      <c r="B756" s="4" t="s">
        <v>99</v>
      </c>
      <c r="C756" s="13" t="n">
        <v>45235</v>
      </c>
      <c r="D756" s="13" t="n">
        <v>45244</v>
      </c>
      <c r="E756" s="13" t="n">
        <v>45251</v>
      </c>
      <c r="F756" s="4" t="n">
        <v>3565</v>
      </c>
      <c r="G756" s="4" t="n">
        <v>3429</v>
      </c>
      <c r="H756" s="4" t="n">
        <v>11.5</v>
      </c>
      <c r="I756" s="4" t="n">
        <v>12.07</v>
      </c>
      <c r="J756" s="14" t="n">
        <f aca="false">E756-D756</f>
        <v>7</v>
      </c>
      <c r="K756" s="14" t="n">
        <f aca="false">IF(J756&lt;=0,1,0)</f>
        <v>0</v>
      </c>
      <c r="L756" s="15" t="n">
        <f aca="false">IFERROR(G756/F756,0)</f>
        <v>0.961851332398317</v>
      </c>
      <c r="M756" s="15" t="n">
        <f aca="false">IFERROR((I756-H756)/H756,0)</f>
        <v>0.0495652173913044</v>
      </c>
      <c r="N756" s="16" t="n">
        <f aca="false">G756*I756</f>
        <v>41388.03</v>
      </c>
    </row>
    <row r="757" customFormat="false" ht="15" hidden="false" customHeight="true" outlineLevel="0" collapsed="false">
      <c r="A757" s="4" t="s">
        <v>933</v>
      </c>
      <c r="B757" s="4" t="s">
        <v>135</v>
      </c>
      <c r="C757" s="13" t="n">
        <v>45440</v>
      </c>
      <c r="D757" s="13" t="n">
        <v>45454</v>
      </c>
      <c r="E757" s="13" t="n">
        <v>45454</v>
      </c>
      <c r="F757" s="4" t="n">
        <v>282</v>
      </c>
      <c r="G757" s="4" t="n">
        <v>282</v>
      </c>
      <c r="H757" s="4" t="n">
        <v>328.06</v>
      </c>
      <c r="I757" s="4" t="n">
        <v>320.72</v>
      </c>
      <c r="J757" s="14" t="n">
        <f aca="false">E757-D757</f>
        <v>0</v>
      </c>
      <c r="K757" s="14" t="n">
        <f aca="false">IF(J757&lt;=0,1,0)</f>
        <v>1</v>
      </c>
      <c r="L757" s="15" t="n">
        <f aca="false">IFERROR(G757/F757,0)</f>
        <v>1</v>
      </c>
      <c r="M757" s="15" t="n">
        <f aca="false">IFERROR((I757-H757)/H757,0)</f>
        <v>-0.0223739559836615</v>
      </c>
      <c r="N757" s="16" t="n">
        <f aca="false">G757*I757</f>
        <v>90443.04</v>
      </c>
    </row>
    <row r="758" customFormat="false" ht="15" hidden="false" customHeight="true" outlineLevel="0" collapsed="false">
      <c r="A758" s="4" t="s">
        <v>934</v>
      </c>
      <c r="B758" s="4" t="s">
        <v>65</v>
      </c>
      <c r="C758" s="13" t="n">
        <v>45324</v>
      </c>
      <c r="D758" s="13" t="n">
        <v>45343</v>
      </c>
      <c r="E758" s="13" t="n">
        <v>45345</v>
      </c>
      <c r="F758" s="4" t="n">
        <v>390</v>
      </c>
      <c r="G758" s="4" t="n">
        <v>390</v>
      </c>
      <c r="H758" s="4" t="n">
        <v>1365.59</v>
      </c>
      <c r="I758" s="4" t="n">
        <v>1367</v>
      </c>
      <c r="J758" s="14" t="n">
        <f aca="false">E758-D758</f>
        <v>2</v>
      </c>
      <c r="K758" s="14" t="n">
        <f aca="false">IF(J758&lt;=0,1,0)</f>
        <v>0</v>
      </c>
      <c r="L758" s="15" t="n">
        <f aca="false">IFERROR(G758/F758,0)</f>
        <v>1</v>
      </c>
      <c r="M758" s="15" t="n">
        <f aca="false">IFERROR((I758-H758)/H758,0)</f>
        <v>0.00103252074195043</v>
      </c>
      <c r="N758" s="16" t="n">
        <f aca="false">G758*I758</f>
        <v>533130</v>
      </c>
    </row>
    <row r="759" customFormat="false" ht="15" hidden="false" customHeight="true" outlineLevel="0" collapsed="false">
      <c r="A759" s="4" t="s">
        <v>935</v>
      </c>
      <c r="B759" s="4" t="s">
        <v>109</v>
      </c>
      <c r="C759" s="13" t="n">
        <v>45637</v>
      </c>
      <c r="D759" s="13" t="n">
        <v>45654</v>
      </c>
      <c r="E759" s="13" t="n">
        <v>45657</v>
      </c>
      <c r="F759" s="4" t="n">
        <v>409</v>
      </c>
      <c r="G759" s="4" t="n">
        <v>394</v>
      </c>
      <c r="H759" s="4" t="n">
        <v>858.02</v>
      </c>
      <c r="I759" s="4" t="n">
        <v>915.55</v>
      </c>
      <c r="J759" s="14" t="n">
        <f aca="false">E759-D759</f>
        <v>3</v>
      </c>
      <c r="K759" s="14" t="n">
        <f aca="false">IF(J759&lt;=0,1,0)</f>
        <v>0</v>
      </c>
      <c r="L759" s="15" t="n">
        <f aca="false">IFERROR(G759/F759,0)</f>
        <v>0.963325183374083</v>
      </c>
      <c r="M759" s="15" t="n">
        <f aca="false">IFERROR((I759-H759)/H759,0)</f>
        <v>0.0670497191207664</v>
      </c>
      <c r="N759" s="16" t="n">
        <f aca="false">G759*I759</f>
        <v>360726.7</v>
      </c>
    </row>
    <row r="760" customFormat="false" ht="15" hidden="false" customHeight="true" outlineLevel="0" collapsed="false">
      <c r="A760" s="4" t="s">
        <v>936</v>
      </c>
      <c r="B760" s="4" t="s">
        <v>127</v>
      </c>
      <c r="C760" s="13" t="n">
        <v>45376</v>
      </c>
      <c r="D760" s="13" t="n">
        <v>45381</v>
      </c>
      <c r="E760" s="13" t="n">
        <v>45384</v>
      </c>
      <c r="F760" s="4" t="n">
        <v>2</v>
      </c>
      <c r="G760" s="4" t="n">
        <v>2</v>
      </c>
      <c r="H760" s="4" t="n">
        <v>1881</v>
      </c>
      <c r="I760" s="4" t="n">
        <v>1784.23</v>
      </c>
      <c r="J760" s="14" t="n">
        <f aca="false">E760-D760</f>
        <v>3</v>
      </c>
      <c r="K760" s="14" t="n">
        <f aca="false">IF(J760&lt;=0,1,0)</f>
        <v>0</v>
      </c>
      <c r="L760" s="15" t="n">
        <f aca="false">IFERROR(G760/F760,0)</f>
        <v>1</v>
      </c>
      <c r="M760" s="15" t="n">
        <f aca="false">IFERROR((I760-H760)/H760,0)</f>
        <v>-0.0514460393407762</v>
      </c>
      <c r="N760" s="16" t="n">
        <f aca="false">G760*I760</f>
        <v>3568.46</v>
      </c>
    </row>
    <row r="761" customFormat="false" ht="15" hidden="false" customHeight="true" outlineLevel="0" collapsed="false">
      <c r="A761" s="4" t="s">
        <v>937</v>
      </c>
      <c r="B761" s="4" t="s">
        <v>58</v>
      </c>
      <c r="C761" s="13" t="n">
        <v>45174</v>
      </c>
      <c r="D761" s="13" t="n">
        <v>45187</v>
      </c>
      <c r="E761" s="13" t="n">
        <v>45186</v>
      </c>
      <c r="F761" s="4" t="n">
        <v>38</v>
      </c>
      <c r="G761" s="4" t="n">
        <v>36</v>
      </c>
      <c r="H761" s="4" t="n">
        <v>135.68</v>
      </c>
      <c r="I761" s="4" t="n">
        <v>138.2</v>
      </c>
      <c r="J761" s="14" t="n">
        <f aca="false">E761-D761</f>
        <v>-1</v>
      </c>
      <c r="K761" s="14" t="n">
        <f aca="false">IF(J761&lt;=0,1,0)</f>
        <v>1</v>
      </c>
      <c r="L761" s="15" t="n">
        <f aca="false">IFERROR(G761/F761,0)</f>
        <v>0.947368421052632</v>
      </c>
      <c r="M761" s="15" t="n">
        <f aca="false">IFERROR((I761-H761)/H761,0)</f>
        <v>0.018573113207547</v>
      </c>
      <c r="N761" s="16" t="n">
        <f aca="false">G761*I761</f>
        <v>4975.2</v>
      </c>
    </row>
    <row r="762" customFormat="false" ht="15" hidden="false" customHeight="true" outlineLevel="0" collapsed="false">
      <c r="A762" s="4" t="s">
        <v>938</v>
      </c>
      <c r="B762" s="4" t="s">
        <v>70</v>
      </c>
      <c r="C762" s="13" t="n">
        <v>45607</v>
      </c>
      <c r="D762" s="13" t="n">
        <v>45616</v>
      </c>
      <c r="E762" s="13" t="n">
        <v>45615</v>
      </c>
      <c r="F762" s="4" t="n">
        <v>1395</v>
      </c>
      <c r="G762" s="4" t="n">
        <v>1311</v>
      </c>
      <c r="H762" s="4" t="n">
        <v>35.88</v>
      </c>
      <c r="I762" s="4" t="n">
        <v>37.33</v>
      </c>
      <c r="J762" s="14" t="n">
        <f aca="false">E762-D762</f>
        <v>-1</v>
      </c>
      <c r="K762" s="14" t="n">
        <f aca="false">IF(J762&lt;=0,1,0)</f>
        <v>1</v>
      </c>
      <c r="L762" s="15" t="n">
        <f aca="false">IFERROR(G762/F762,0)</f>
        <v>0.939784946236559</v>
      </c>
      <c r="M762" s="15" t="n">
        <f aca="false">IFERROR((I762-H762)/H762,0)</f>
        <v>0.0404124860646599</v>
      </c>
      <c r="N762" s="16" t="n">
        <f aca="false">G762*I762</f>
        <v>48939.63</v>
      </c>
    </row>
    <row r="763" customFormat="false" ht="15" hidden="false" customHeight="true" outlineLevel="0" collapsed="false">
      <c r="A763" s="4" t="s">
        <v>939</v>
      </c>
      <c r="B763" s="4" t="s">
        <v>65</v>
      </c>
      <c r="C763" s="13" t="n">
        <v>45365</v>
      </c>
      <c r="D763" s="13" t="n">
        <v>45383</v>
      </c>
      <c r="E763" s="13" t="n">
        <v>45381</v>
      </c>
      <c r="F763" s="4" t="n">
        <v>320</v>
      </c>
      <c r="G763" s="4" t="n">
        <v>319</v>
      </c>
      <c r="H763" s="4" t="n">
        <v>1365.59</v>
      </c>
      <c r="I763" s="4" t="n">
        <v>1375.49</v>
      </c>
      <c r="J763" s="14" t="n">
        <f aca="false">E763-D763</f>
        <v>-2</v>
      </c>
      <c r="K763" s="14" t="n">
        <f aca="false">IF(J763&lt;=0,1,0)</f>
        <v>1</v>
      </c>
      <c r="L763" s="15" t="n">
        <f aca="false">IFERROR(G763/F763,0)</f>
        <v>0.996875</v>
      </c>
      <c r="M763" s="15" t="n">
        <f aca="false">IFERROR((I763-H763)/H763,0)</f>
        <v>0.0072496137200771</v>
      </c>
      <c r="N763" s="16" t="n">
        <f aca="false">G763*I763</f>
        <v>438781.31</v>
      </c>
    </row>
    <row r="764" customFormat="false" ht="15" hidden="false" customHeight="true" outlineLevel="0" collapsed="false">
      <c r="A764" s="4" t="s">
        <v>940</v>
      </c>
      <c r="B764" s="4" t="s">
        <v>139</v>
      </c>
      <c r="C764" s="13" t="n">
        <v>45170</v>
      </c>
      <c r="D764" s="13" t="n">
        <v>45179</v>
      </c>
      <c r="E764" s="13" t="n">
        <v>45177</v>
      </c>
      <c r="F764" s="4" t="n">
        <v>914</v>
      </c>
      <c r="G764" s="4" t="n">
        <v>814</v>
      </c>
      <c r="H764" s="4" t="n">
        <v>207.64</v>
      </c>
      <c r="I764" s="4" t="n">
        <v>210.92</v>
      </c>
      <c r="J764" s="14" t="n">
        <f aca="false">E764-D764</f>
        <v>-2</v>
      </c>
      <c r="K764" s="14" t="n">
        <f aca="false">IF(J764&lt;=0,1,0)</f>
        <v>1</v>
      </c>
      <c r="L764" s="15" t="n">
        <f aca="false">IFERROR(G764/F764,0)</f>
        <v>0.890590809628009</v>
      </c>
      <c r="M764" s="15" t="n">
        <f aca="false">IFERROR((I764-H764)/H764,0)</f>
        <v>0.0157965709882489</v>
      </c>
      <c r="N764" s="16" t="n">
        <f aca="false">G764*I764</f>
        <v>171688.88</v>
      </c>
    </row>
    <row r="765" customFormat="false" ht="15" hidden="false" customHeight="true" outlineLevel="0" collapsed="false">
      <c r="A765" s="4" t="s">
        <v>941</v>
      </c>
      <c r="B765" s="4" t="s">
        <v>93</v>
      </c>
      <c r="C765" s="13" t="n">
        <v>45233</v>
      </c>
      <c r="D765" s="13" t="n">
        <v>45245</v>
      </c>
      <c r="E765" s="13" t="n">
        <v>45248</v>
      </c>
      <c r="F765" s="4" t="n">
        <v>1457</v>
      </c>
      <c r="G765" s="4" t="n">
        <v>1451</v>
      </c>
      <c r="H765" s="4" t="n">
        <v>174.25</v>
      </c>
      <c r="I765" s="4" t="n">
        <v>179.32</v>
      </c>
      <c r="J765" s="14" t="n">
        <f aca="false">E765-D765</f>
        <v>3</v>
      </c>
      <c r="K765" s="14" t="n">
        <f aca="false">IF(J765&lt;=0,1,0)</f>
        <v>0</v>
      </c>
      <c r="L765" s="15" t="n">
        <f aca="false">IFERROR(G765/F765,0)</f>
        <v>0.995881949210707</v>
      </c>
      <c r="M765" s="15" t="n">
        <f aca="false">IFERROR((I765-H765)/H765,0)</f>
        <v>0.0290961262553802</v>
      </c>
      <c r="N765" s="16" t="n">
        <f aca="false">G765*I765</f>
        <v>260193.32</v>
      </c>
    </row>
    <row r="766" customFormat="false" ht="15" hidden="false" customHeight="true" outlineLevel="0" collapsed="false">
      <c r="A766" s="4" t="s">
        <v>942</v>
      </c>
      <c r="B766" s="4" t="s">
        <v>95</v>
      </c>
      <c r="C766" s="13" t="n">
        <v>45148</v>
      </c>
      <c r="D766" s="13" t="n">
        <v>45156</v>
      </c>
      <c r="E766" s="13" t="n">
        <v>45157</v>
      </c>
      <c r="F766" s="4" t="n">
        <v>2467</v>
      </c>
      <c r="G766" s="4" t="n">
        <v>2467</v>
      </c>
      <c r="H766" s="4" t="n">
        <v>20.39</v>
      </c>
      <c r="I766" s="4" t="n">
        <v>20.85</v>
      </c>
      <c r="J766" s="14" t="n">
        <f aca="false">E766-D766</f>
        <v>1</v>
      </c>
      <c r="K766" s="14" t="n">
        <f aca="false">IF(J766&lt;=0,1,0)</f>
        <v>0</v>
      </c>
      <c r="L766" s="15" t="n">
        <f aca="false">IFERROR(G766/F766,0)</f>
        <v>1</v>
      </c>
      <c r="M766" s="15" t="n">
        <f aca="false">IFERROR((I766-H766)/H766,0)</f>
        <v>0.0225600784698382</v>
      </c>
      <c r="N766" s="16" t="n">
        <f aca="false">G766*I766</f>
        <v>51436.95</v>
      </c>
    </row>
    <row r="767" customFormat="false" ht="15" hidden="false" customHeight="true" outlineLevel="0" collapsed="false">
      <c r="A767" s="4" t="s">
        <v>943</v>
      </c>
      <c r="B767" s="4" t="s">
        <v>121</v>
      </c>
      <c r="C767" s="13" t="n">
        <v>45353</v>
      </c>
      <c r="D767" s="13" t="n">
        <v>45365</v>
      </c>
      <c r="E767" s="13" t="n">
        <v>45366</v>
      </c>
      <c r="F767" s="4" t="n">
        <v>660</v>
      </c>
      <c r="G767" s="4" t="n">
        <v>609</v>
      </c>
      <c r="H767" s="4" t="n">
        <v>206.07</v>
      </c>
      <c r="I767" s="4" t="n">
        <v>218.79</v>
      </c>
      <c r="J767" s="14" t="n">
        <f aca="false">E767-D767</f>
        <v>1</v>
      </c>
      <c r="K767" s="14" t="n">
        <f aca="false">IF(J767&lt;=0,1,0)</f>
        <v>0</v>
      </c>
      <c r="L767" s="15" t="n">
        <f aca="false">IFERROR(G767/F767,0)</f>
        <v>0.922727272727273</v>
      </c>
      <c r="M767" s="15" t="n">
        <f aca="false">IFERROR((I767-H767)/H767,0)</f>
        <v>0.0617265977580434</v>
      </c>
      <c r="N767" s="16" t="n">
        <f aca="false">G767*I767</f>
        <v>133243.11</v>
      </c>
    </row>
    <row r="768" customFormat="false" ht="15" hidden="false" customHeight="true" outlineLevel="0" collapsed="false">
      <c r="A768" s="4" t="s">
        <v>944</v>
      </c>
      <c r="B768" s="4" t="s">
        <v>119</v>
      </c>
      <c r="C768" s="13" t="n">
        <v>45158</v>
      </c>
      <c r="D768" s="13" t="n">
        <v>45167</v>
      </c>
      <c r="E768" s="13" t="n">
        <v>45173</v>
      </c>
      <c r="F768" s="4" t="n">
        <v>3344</v>
      </c>
      <c r="G768" s="4" t="n">
        <v>3218</v>
      </c>
      <c r="H768" s="4" t="n">
        <v>50.92</v>
      </c>
      <c r="I768" s="4" t="n">
        <v>48.77</v>
      </c>
      <c r="J768" s="14" t="n">
        <f aca="false">E768-D768</f>
        <v>6</v>
      </c>
      <c r="K768" s="14" t="n">
        <f aca="false">IF(J768&lt;=0,1,0)</f>
        <v>0</v>
      </c>
      <c r="L768" s="15" t="n">
        <f aca="false">IFERROR(G768/F768,0)</f>
        <v>0.96232057416268</v>
      </c>
      <c r="M768" s="15" t="n">
        <f aca="false">IFERROR((I768-H768)/H768,0)</f>
        <v>-0.0422230950510605</v>
      </c>
      <c r="N768" s="16" t="n">
        <f aca="false">G768*I768</f>
        <v>156941.86</v>
      </c>
    </row>
    <row r="769" customFormat="false" ht="15" hidden="false" customHeight="true" outlineLevel="0" collapsed="false">
      <c r="A769" s="4" t="s">
        <v>945</v>
      </c>
      <c r="B769" s="4" t="s">
        <v>155</v>
      </c>
      <c r="C769" s="13" t="n">
        <v>45205</v>
      </c>
      <c r="D769" s="13" t="n">
        <v>45212</v>
      </c>
      <c r="E769" s="13" t="n">
        <v>45209</v>
      </c>
      <c r="F769" s="4" t="n">
        <v>3524</v>
      </c>
      <c r="G769" s="4" t="n">
        <v>3377</v>
      </c>
      <c r="H769" s="4" t="n">
        <v>24.04</v>
      </c>
      <c r="I769" s="4" t="n">
        <v>23.83</v>
      </c>
      <c r="J769" s="14" t="n">
        <f aca="false">E769-D769</f>
        <v>-3</v>
      </c>
      <c r="K769" s="14" t="n">
        <f aca="false">IF(J769&lt;=0,1,0)</f>
        <v>1</v>
      </c>
      <c r="L769" s="15" t="n">
        <f aca="false">IFERROR(G769/F769,0)</f>
        <v>0.958286038592509</v>
      </c>
      <c r="M769" s="15" t="n">
        <f aca="false">IFERROR((I769-H769)/H769,0)</f>
        <v>-0.0087354409317804</v>
      </c>
      <c r="N769" s="16" t="n">
        <f aca="false">G769*I769</f>
        <v>80473.91</v>
      </c>
    </row>
    <row r="770" customFormat="false" ht="15" hidden="false" customHeight="true" outlineLevel="0" collapsed="false">
      <c r="A770" s="4" t="s">
        <v>946</v>
      </c>
      <c r="B770" s="4" t="s">
        <v>65</v>
      </c>
      <c r="C770" s="13" t="n">
        <v>45320</v>
      </c>
      <c r="D770" s="13" t="n">
        <v>45337</v>
      </c>
      <c r="E770" s="13" t="n">
        <v>45337</v>
      </c>
      <c r="F770" s="4" t="n">
        <v>83</v>
      </c>
      <c r="G770" s="4" t="n">
        <v>83</v>
      </c>
      <c r="H770" s="4" t="n">
        <v>1365.59</v>
      </c>
      <c r="I770" s="4" t="n">
        <v>1355.65</v>
      </c>
      <c r="J770" s="14" t="n">
        <f aca="false">E770-D770</f>
        <v>0</v>
      </c>
      <c r="K770" s="14" t="n">
        <f aca="false">IF(J770&lt;=0,1,0)</f>
        <v>1</v>
      </c>
      <c r="L770" s="15" t="n">
        <f aca="false">IFERROR(G770/F770,0)</f>
        <v>1</v>
      </c>
      <c r="M770" s="15" t="n">
        <f aca="false">IFERROR((I770-H770)/H770,0)</f>
        <v>-0.00727890508864288</v>
      </c>
      <c r="N770" s="16" t="n">
        <f aca="false">G770*I770</f>
        <v>112518.95</v>
      </c>
    </row>
    <row r="771" customFormat="false" ht="15" hidden="false" customHeight="true" outlineLevel="0" collapsed="false">
      <c r="A771" s="4" t="s">
        <v>947</v>
      </c>
      <c r="B771" s="4" t="s">
        <v>151</v>
      </c>
      <c r="C771" s="13" t="n">
        <v>45298</v>
      </c>
      <c r="D771" s="13" t="n">
        <v>45302</v>
      </c>
      <c r="E771" s="13" t="n">
        <v>45304</v>
      </c>
      <c r="F771" s="4" t="n">
        <v>1</v>
      </c>
      <c r="G771" s="4" t="n">
        <v>1</v>
      </c>
      <c r="H771" s="4" t="n">
        <v>503.46</v>
      </c>
      <c r="I771" s="4" t="n">
        <v>525.1</v>
      </c>
      <c r="J771" s="14" t="n">
        <f aca="false">E771-D771</f>
        <v>2</v>
      </c>
      <c r="K771" s="14" t="n">
        <f aca="false">IF(J771&lt;=0,1,0)</f>
        <v>0</v>
      </c>
      <c r="L771" s="15" t="n">
        <f aca="false">IFERROR(G771/F771,0)</f>
        <v>1</v>
      </c>
      <c r="M771" s="15" t="n">
        <f aca="false">IFERROR((I771-H771)/H771,0)</f>
        <v>0.0429825606800938</v>
      </c>
      <c r="N771" s="16" t="n">
        <f aca="false">G771*I771</f>
        <v>525.1</v>
      </c>
    </row>
    <row r="772" customFormat="false" ht="15" hidden="false" customHeight="true" outlineLevel="0" collapsed="false">
      <c r="A772" s="4" t="s">
        <v>948</v>
      </c>
      <c r="B772" s="4" t="s">
        <v>41</v>
      </c>
      <c r="C772" s="13" t="n">
        <v>45010</v>
      </c>
      <c r="D772" s="13" t="n">
        <v>45018</v>
      </c>
      <c r="E772" s="13" t="n">
        <v>45018</v>
      </c>
      <c r="F772" s="4" t="n">
        <v>4660</v>
      </c>
      <c r="G772" s="4" t="n">
        <v>4619</v>
      </c>
      <c r="H772" s="4" t="n">
        <v>45.51</v>
      </c>
      <c r="I772" s="4" t="n">
        <v>45.88</v>
      </c>
      <c r="J772" s="14" t="n">
        <f aca="false">E772-D772</f>
        <v>0</v>
      </c>
      <c r="K772" s="14" t="n">
        <f aca="false">IF(J772&lt;=0,1,0)</f>
        <v>1</v>
      </c>
      <c r="L772" s="15" t="n">
        <f aca="false">IFERROR(G772/F772,0)</f>
        <v>0.991201716738198</v>
      </c>
      <c r="M772" s="15" t="n">
        <f aca="false">IFERROR((I772-H772)/H772,0)</f>
        <v>0.00813008130081311</v>
      </c>
      <c r="N772" s="16" t="n">
        <f aca="false">G772*I772</f>
        <v>211919.72</v>
      </c>
    </row>
    <row r="773" customFormat="false" ht="15" hidden="false" customHeight="true" outlineLevel="0" collapsed="false">
      <c r="A773" s="4" t="s">
        <v>949</v>
      </c>
      <c r="B773" s="4" t="s">
        <v>145</v>
      </c>
      <c r="C773" s="13" t="n">
        <v>45116</v>
      </c>
      <c r="D773" s="13" t="n">
        <v>45127</v>
      </c>
      <c r="E773" s="13" t="n">
        <v>45130</v>
      </c>
      <c r="F773" s="4" t="n">
        <v>1267</v>
      </c>
      <c r="G773" s="4" t="n">
        <v>1238</v>
      </c>
      <c r="H773" s="4" t="n">
        <v>237.04</v>
      </c>
      <c r="I773" s="4" t="n">
        <v>248.05</v>
      </c>
      <c r="J773" s="14" t="n">
        <f aca="false">E773-D773</f>
        <v>3</v>
      </c>
      <c r="K773" s="14" t="n">
        <f aca="false">IF(J773&lt;=0,1,0)</f>
        <v>0</v>
      </c>
      <c r="L773" s="15" t="n">
        <f aca="false">IFERROR(G773/F773,0)</f>
        <v>0.977111286503552</v>
      </c>
      <c r="M773" s="15" t="n">
        <f aca="false">IFERROR((I773-H773)/H773,0)</f>
        <v>0.0464478569017888</v>
      </c>
      <c r="N773" s="16" t="n">
        <f aca="false">G773*I773</f>
        <v>307085.9</v>
      </c>
    </row>
    <row r="774" customFormat="false" ht="15" hidden="false" customHeight="true" outlineLevel="0" collapsed="false">
      <c r="A774" s="4" t="s">
        <v>950</v>
      </c>
      <c r="B774" s="4" t="s">
        <v>161</v>
      </c>
      <c r="C774" s="13" t="n">
        <v>45478</v>
      </c>
      <c r="D774" s="13" t="n">
        <v>45489</v>
      </c>
      <c r="E774" s="13" t="n">
        <v>45496</v>
      </c>
      <c r="F774" s="4" t="n">
        <v>617</v>
      </c>
      <c r="G774" s="4" t="n">
        <v>617</v>
      </c>
      <c r="H774" s="4" t="n">
        <v>101.94</v>
      </c>
      <c r="I774" s="4" t="n">
        <v>115.25</v>
      </c>
      <c r="J774" s="14" t="n">
        <f aca="false">E774-D774</f>
        <v>7</v>
      </c>
      <c r="K774" s="14" t="n">
        <f aca="false">IF(J774&lt;=0,1,0)</f>
        <v>0</v>
      </c>
      <c r="L774" s="15" t="n">
        <f aca="false">IFERROR(G774/F774,0)</f>
        <v>1</v>
      </c>
      <c r="M774" s="15" t="n">
        <f aca="false">IFERROR((I774-H774)/H774,0)</f>
        <v>0.130567000196194</v>
      </c>
      <c r="N774" s="16" t="n">
        <f aca="false">G774*I774</f>
        <v>71109.25</v>
      </c>
    </row>
    <row r="775" customFormat="false" ht="15" hidden="false" customHeight="true" outlineLevel="0" collapsed="false">
      <c r="A775" s="4" t="s">
        <v>951</v>
      </c>
      <c r="B775" s="4" t="s">
        <v>157</v>
      </c>
      <c r="C775" s="13" t="n">
        <v>45499</v>
      </c>
      <c r="D775" s="13" t="n">
        <v>45506</v>
      </c>
      <c r="E775" s="13" t="n">
        <v>45510</v>
      </c>
      <c r="F775" s="4" t="n">
        <v>1975</v>
      </c>
      <c r="G775" s="4" t="n">
        <v>1880</v>
      </c>
      <c r="H775" s="4" t="n">
        <v>13.1</v>
      </c>
      <c r="I775" s="4" t="n">
        <v>13.63</v>
      </c>
      <c r="J775" s="14" t="n">
        <f aca="false">E775-D775</f>
        <v>4</v>
      </c>
      <c r="K775" s="14" t="n">
        <f aca="false">IF(J775&lt;=0,1,0)</f>
        <v>0</v>
      </c>
      <c r="L775" s="15" t="n">
        <f aca="false">IFERROR(G775/F775,0)</f>
        <v>0.951898734177215</v>
      </c>
      <c r="M775" s="15" t="n">
        <f aca="false">IFERROR((I775-H775)/H775,0)</f>
        <v>0.0404580152671757</v>
      </c>
      <c r="N775" s="16" t="n">
        <f aca="false">G775*I775</f>
        <v>25624.4</v>
      </c>
    </row>
    <row r="776" customFormat="false" ht="15" hidden="false" customHeight="true" outlineLevel="0" collapsed="false">
      <c r="A776" s="4" t="s">
        <v>952</v>
      </c>
      <c r="B776" s="4" t="s">
        <v>70</v>
      </c>
      <c r="C776" s="13" t="n">
        <v>45322</v>
      </c>
      <c r="D776" s="13" t="n">
        <v>45328</v>
      </c>
      <c r="E776" s="13" t="n">
        <v>45330</v>
      </c>
      <c r="F776" s="4" t="n">
        <v>1872</v>
      </c>
      <c r="G776" s="4" t="n">
        <v>1707</v>
      </c>
      <c r="H776" s="4" t="n">
        <v>35.88</v>
      </c>
      <c r="I776" s="4" t="n">
        <v>37.9</v>
      </c>
      <c r="J776" s="14" t="n">
        <f aca="false">E776-D776</f>
        <v>2</v>
      </c>
      <c r="K776" s="14" t="n">
        <f aca="false">IF(J776&lt;=0,1,0)</f>
        <v>0</v>
      </c>
      <c r="L776" s="15" t="n">
        <f aca="false">IFERROR(G776/F776,0)</f>
        <v>0.911858974358974</v>
      </c>
      <c r="M776" s="15" t="n">
        <f aca="false">IFERROR((I776-H776)/H776,0)</f>
        <v>0.0562987736900779</v>
      </c>
      <c r="N776" s="16" t="n">
        <f aca="false">G776*I776</f>
        <v>64695.3</v>
      </c>
    </row>
    <row r="777" customFormat="false" ht="15" hidden="false" customHeight="true" outlineLevel="0" collapsed="false">
      <c r="A777" s="4" t="s">
        <v>953</v>
      </c>
      <c r="B777" s="4" t="s">
        <v>151</v>
      </c>
      <c r="C777" s="13" t="n">
        <v>44970</v>
      </c>
      <c r="D777" s="13" t="n">
        <v>44974</v>
      </c>
      <c r="E777" s="13" t="n">
        <v>44972</v>
      </c>
      <c r="F777" s="4" t="n">
        <v>19</v>
      </c>
      <c r="G777" s="4" t="n">
        <v>19</v>
      </c>
      <c r="H777" s="4" t="n">
        <v>503.46</v>
      </c>
      <c r="I777" s="4" t="n">
        <v>509.95</v>
      </c>
      <c r="J777" s="14" t="n">
        <f aca="false">E777-D777</f>
        <v>-2</v>
      </c>
      <c r="K777" s="14" t="n">
        <f aca="false">IF(J777&lt;=0,1,0)</f>
        <v>1</v>
      </c>
      <c r="L777" s="15" t="n">
        <f aca="false">IFERROR(G777/F777,0)</f>
        <v>1</v>
      </c>
      <c r="M777" s="15" t="n">
        <f aca="false">IFERROR((I777-H777)/H777,0)</f>
        <v>0.0128907956937989</v>
      </c>
      <c r="N777" s="16" t="n">
        <f aca="false">G777*I777</f>
        <v>9689.05</v>
      </c>
    </row>
    <row r="778" customFormat="false" ht="15" hidden="false" customHeight="true" outlineLevel="0" collapsed="false">
      <c r="A778" s="4" t="s">
        <v>954</v>
      </c>
      <c r="B778" s="4" t="s">
        <v>41</v>
      </c>
      <c r="C778" s="13" t="n">
        <v>44965</v>
      </c>
      <c r="D778" s="13" t="n">
        <v>44973</v>
      </c>
      <c r="E778" s="13" t="n">
        <v>44973</v>
      </c>
      <c r="F778" s="4" t="n">
        <v>2275</v>
      </c>
      <c r="G778" s="4" t="n">
        <v>2275</v>
      </c>
      <c r="H778" s="4" t="n">
        <v>45.51</v>
      </c>
      <c r="I778" s="4" t="n">
        <v>46</v>
      </c>
      <c r="J778" s="14" t="n">
        <f aca="false">E778-D778</f>
        <v>0</v>
      </c>
      <c r="K778" s="14" t="n">
        <f aca="false">IF(J778&lt;=0,1,0)</f>
        <v>1</v>
      </c>
      <c r="L778" s="15" t="n">
        <f aca="false">IFERROR(G778/F778,0)</f>
        <v>1</v>
      </c>
      <c r="M778" s="15" t="n">
        <f aca="false">IFERROR((I778-H778)/H778,0)</f>
        <v>0.0107668644254011</v>
      </c>
      <c r="N778" s="16" t="n">
        <f aca="false">G778*I778</f>
        <v>104650</v>
      </c>
    </row>
    <row r="779" customFormat="false" ht="15" hidden="false" customHeight="true" outlineLevel="0" collapsed="false">
      <c r="A779" s="4" t="s">
        <v>955</v>
      </c>
      <c r="B779" s="4" t="s">
        <v>123</v>
      </c>
      <c r="C779" s="13" t="n">
        <v>45481</v>
      </c>
      <c r="D779" s="13" t="n">
        <v>45492</v>
      </c>
      <c r="E779" s="13" t="n">
        <v>45493</v>
      </c>
      <c r="F779" s="4" t="n">
        <v>178</v>
      </c>
      <c r="G779" s="4" t="n">
        <v>172</v>
      </c>
      <c r="H779" s="4" t="n">
        <v>214.07</v>
      </c>
      <c r="I779" s="4" t="n">
        <v>246.22</v>
      </c>
      <c r="J779" s="14" t="n">
        <f aca="false">E779-D779</f>
        <v>1</v>
      </c>
      <c r="K779" s="14" t="n">
        <f aca="false">IF(J779&lt;=0,1,0)</f>
        <v>0</v>
      </c>
      <c r="L779" s="15" t="n">
        <f aca="false">IFERROR(G779/F779,0)</f>
        <v>0.966292134831461</v>
      </c>
      <c r="M779" s="15" t="n">
        <f aca="false">IFERROR((I779-H779)/H779,0)</f>
        <v>0.150184519082543</v>
      </c>
      <c r="N779" s="16" t="n">
        <f aca="false">G779*I779</f>
        <v>42349.84</v>
      </c>
    </row>
    <row r="780" customFormat="false" ht="15" hidden="false" customHeight="true" outlineLevel="0" collapsed="false">
      <c r="A780" s="4" t="s">
        <v>956</v>
      </c>
      <c r="B780" s="4" t="s">
        <v>65</v>
      </c>
      <c r="C780" s="13" t="n">
        <v>45409</v>
      </c>
      <c r="D780" s="13" t="n">
        <v>45428</v>
      </c>
      <c r="E780" s="13" t="n">
        <v>45429</v>
      </c>
      <c r="F780" s="4" t="n">
        <v>437</v>
      </c>
      <c r="G780" s="4" t="n">
        <v>435</v>
      </c>
      <c r="H780" s="4" t="n">
        <v>1365.59</v>
      </c>
      <c r="I780" s="4" t="n">
        <v>1396.97</v>
      </c>
      <c r="J780" s="14" t="n">
        <f aca="false">E780-D780</f>
        <v>1</v>
      </c>
      <c r="K780" s="14" t="n">
        <f aca="false">IF(J780&lt;=0,1,0)</f>
        <v>0</v>
      </c>
      <c r="L780" s="15" t="n">
        <f aca="false">IFERROR(G780/F780,0)</f>
        <v>0.995423340961098</v>
      </c>
      <c r="M780" s="15" t="n">
        <f aca="false">IFERROR((I780-H780)/H780,0)</f>
        <v>0.0229790786400018</v>
      </c>
      <c r="N780" s="16" t="n">
        <f aca="false">G780*I780</f>
        <v>607681.95</v>
      </c>
    </row>
    <row r="781" customFormat="false" ht="15" hidden="false" customHeight="true" outlineLevel="0" collapsed="false">
      <c r="A781" s="4" t="s">
        <v>957</v>
      </c>
      <c r="B781" s="4" t="s">
        <v>147</v>
      </c>
      <c r="C781" s="13" t="n">
        <v>45472</v>
      </c>
      <c r="D781" s="13" t="n">
        <v>45486</v>
      </c>
      <c r="E781" s="13" t="n">
        <v>45486</v>
      </c>
      <c r="F781" s="4" t="n">
        <v>279</v>
      </c>
      <c r="G781" s="4" t="n">
        <v>270</v>
      </c>
      <c r="H781" s="4" t="n">
        <v>203.3</v>
      </c>
      <c r="I781" s="4" t="n">
        <v>208.41</v>
      </c>
      <c r="J781" s="14" t="n">
        <f aca="false">E781-D781</f>
        <v>0</v>
      </c>
      <c r="K781" s="14" t="n">
        <f aca="false">IF(J781&lt;=0,1,0)</f>
        <v>1</v>
      </c>
      <c r="L781" s="15" t="n">
        <f aca="false">IFERROR(G781/F781,0)</f>
        <v>0.967741935483871</v>
      </c>
      <c r="M781" s="15" t="n">
        <f aca="false">IFERROR((I781-H781)/H781,0)</f>
        <v>0.0251352680767338</v>
      </c>
      <c r="N781" s="16" t="n">
        <f aca="false">G781*I781</f>
        <v>56270.7</v>
      </c>
    </row>
    <row r="782" customFormat="false" ht="15" hidden="false" customHeight="true" outlineLevel="0" collapsed="false">
      <c r="A782" s="4" t="s">
        <v>958</v>
      </c>
      <c r="B782" s="4" t="s">
        <v>58</v>
      </c>
      <c r="C782" s="13" t="n">
        <v>45219</v>
      </c>
      <c r="D782" s="13" t="n">
        <v>45231</v>
      </c>
      <c r="E782" s="13" t="n">
        <v>45233</v>
      </c>
      <c r="F782" s="4" t="n">
        <v>276</v>
      </c>
      <c r="G782" s="4" t="n">
        <v>250</v>
      </c>
      <c r="H782" s="4" t="n">
        <v>135.68</v>
      </c>
      <c r="I782" s="4" t="n">
        <v>140.49</v>
      </c>
      <c r="J782" s="14" t="n">
        <f aca="false">E782-D782</f>
        <v>2</v>
      </c>
      <c r="K782" s="14" t="n">
        <f aca="false">IF(J782&lt;=0,1,0)</f>
        <v>0</v>
      </c>
      <c r="L782" s="15" t="n">
        <f aca="false">IFERROR(G782/F782,0)</f>
        <v>0.905797101449275</v>
      </c>
      <c r="M782" s="15" t="n">
        <f aca="false">IFERROR((I782-H782)/H782,0)</f>
        <v>0.0354510613207547</v>
      </c>
      <c r="N782" s="16" t="n">
        <f aca="false">G782*I782</f>
        <v>35122.5</v>
      </c>
    </row>
    <row r="783" customFormat="false" ht="15" hidden="false" customHeight="true" outlineLevel="0" collapsed="false">
      <c r="A783" s="4" t="s">
        <v>959</v>
      </c>
      <c r="B783" s="4" t="s">
        <v>77</v>
      </c>
      <c r="C783" s="13" t="n">
        <v>45611</v>
      </c>
      <c r="D783" s="13" t="n">
        <v>45617</v>
      </c>
      <c r="E783" s="13" t="n">
        <v>45635</v>
      </c>
      <c r="F783" s="4" t="n">
        <v>4972</v>
      </c>
      <c r="G783" s="4" t="n">
        <v>4972</v>
      </c>
      <c r="H783" s="4" t="n">
        <v>36.83</v>
      </c>
      <c r="I783" s="4" t="n">
        <v>34.3</v>
      </c>
      <c r="J783" s="14" t="n">
        <f aca="false">E783-D783</f>
        <v>18</v>
      </c>
      <c r="K783" s="14" t="n">
        <f aca="false">IF(J783&lt;=0,1,0)</f>
        <v>0</v>
      </c>
      <c r="L783" s="15" t="n">
        <f aca="false">IFERROR(G783/F783,0)</f>
        <v>1</v>
      </c>
      <c r="M783" s="15" t="n">
        <f aca="false">IFERROR((I783-H783)/H783,0)</f>
        <v>-0.0686939994569645</v>
      </c>
      <c r="N783" s="16" t="n">
        <f aca="false">G783*I783</f>
        <v>170539.6</v>
      </c>
    </row>
    <row r="784" customFormat="false" ht="15" hidden="false" customHeight="true" outlineLevel="0" collapsed="false">
      <c r="A784" s="4" t="s">
        <v>960</v>
      </c>
      <c r="B784" s="4" t="s">
        <v>95</v>
      </c>
      <c r="C784" s="13" t="n">
        <v>45414</v>
      </c>
      <c r="D784" s="13" t="n">
        <v>45422</v>
      </c>
      <c r="E784" s="13" t="n">
        <v>45420</v>
      </c>
      <c r="F784" s="4" t="n">
        <v>2168</v>
      </c>
      <c r="G784" s="4" t="n">
        <v>2161</v>
      </c>
      <c r="H784" s="4" t="n">
        <v>20.39</v>
      </c>
      <c r="I784" s="4" t="n">
        <v>21.29</v>
      </c>
      <c r="J784" s="14" t="n">
        <f aca="false">E784-D784</f>
        <v>-2</v>
      </c>
      <c r="K784" s="14" t="n">
        <f aca="false">IF(J784&lt;=0,1,0)</f>
        <v>1</v>
      </c>
      <c r="L784" s="15" t="n">
        <f aca="false">IFERROR(G784/F784,0)</f>
        <v>0.996771217712177</v>
      </c>
      <c r="M784" s="15" t="n">
        <f aca="false">IFERROR((I784-H784)/H784,0)</f>
        <v>0.0441392839627268</v>
      </c>
      <c r="N784" s="16" t="n">
        <f aca="false">G784*I784</f>
        <v>46007.69</v>
      </c>
    </row>
    <row r="785" customFormat="false" ht="15" hidden="false" customHeight="true" outlineLevel="0" collapsed="false">
      <c r="A785" s="4" t="s">
        <v>961</v>
      </c>
      <c r="B785" s="4" t="s">
        <v>87</v>
      </c>
      <c r="C785" s="13" t="n">
        <v>45597</v>
      </c>
      <c r="D785" s="13" t="n">
        <v>45606</v>
      </c>
      <c r="E785" s="13" t="n">
        <v>45603</v>
      </c>
      <c r="F785" s="4" t="n">
        <v>1766</v>
      </c>
      <c r="G785" s="4" t="n">
        <v>1603</v>
      </c>
      <c r="H785" s="4" t="n">
        <v>161.95</v>
      </c>
      <c r="I785" s="4" t="n">
        <v>196.44</v>
      </c>
      <c r="J785" s="14" t="n">
        <f aca="false">E785-D785</f>
        <v>-3</v>
      </c>
      <c r="K785" s="14" t="n">
        <f aca="false">IF(J785&lt;=0,1,0)</f>
        <v>1</v>
      </c>
      <c r="L785" s="15" t="n">
        <f aca="false">IFERROR(G785/F785,0)</f>
        <v>0.907701019252548</v>
      </c>
      <c r="M785" s="15" t="n">
        <f aca="false">IFERROR((I785-H785)/H785,0)</f>
        <v>0.212966965112689</v>
      </c>
      <c r="N785" s="16" t="n">
        <f aca="false">G785*I785</f>
        <v>314893.32</v>
      </c>
    </row>
    <row r="786" customFormat="false" ht="15" hidden="false" customHeight="true" outlineLevel="0" collapsed="false">
      <c r="A786" s="4" t="s">
        <v>962</v>
      </c>
      <c r="B786" s="4" t="s">
        <v>135</v>
      </c>
      <c r="C786" s="13" t="n">
        <v>45083</v>
      </c>
      <c r="D786" s="13" t="n">
        <v>45097</v>
      </c>
      <c r="E786" s="13" t="n">
        <v>45103</v>
      </c>
      <c r="F786" s="4" t="n">
        <v>215</v>
      </c>
      <c r="G786" s="4" t="n">
        <v>209</v>
      </c>
      <c r="H786" s="4" t="n">
        <v>328.06</v>
      </c>
      <c r="I786" s="4" t="n">
        <v>323.94</v>
      </c>
      <c r="J786" s="14" t="n">
        <f aca="false">E786-D786</f>
        <v>6</v>
      </c>
      <c r="K786" s="14" t="n">
        <f aca="false">IF(J786&lt;=0,1,0)</f>
        <v>0</v>
      </c>
      <c r="L786" s="15" t="n">
        <f aca="false">IFERROR(G786/F786,0)</f>
        <v>0.972093023255814</v>
      </c>
      <c r="M786" s="15" t="n">
        <f aca="false">IFERROR((I786-H786)/H786,0)</f>
        <v>-0.0125586782905566</v>
      </c>
      <c r="N786" s="16" t="n">
        <f aca="false">G786*I786</f>
        <v>67703.46</v>
      </c>
    </row>
    <row r="787" customFormat="false" ht="15" hidden="false" customHeight="true" outlineLevel="0" collapsed="false">
      <c r="A787" s="4" t="s">
        <v>963</v>
      </c>
      <c r="B787" s="4" t="s">
        <v>63</v>
      </c>
      <c r="C787" s="13" t="n">
        <v>45082</v>
      </c>
      <c r="D787" s="13" t="n">
        <v>45092</v>
      </c>
      <c r="E787" s="13" t="n">
        <v>45098</v>
      </c>
      <c r="F787" s="4" t="n">
        <v>1432</v>
      </c>
      <c r="G787" s="4" t="n">
        <v>1304</v>
      </c>
      <c r="H787" s="4" t="n">
        <v>239.8</v>
      </c>
      <c r="I787" s="4" t="n">
        <v>246.85</v>
      </c>
      <c r="J787" s="14" t="n">
        <f aca="false">E787-D787</f>
        <v>6</v>
      </c>
      <c r="K787" s="14" t="n">
        <f aca="false">IF(J787&lt;=0,1,0)</f>
        <v>0</v>
      </c>
      <c r="L787" s="15" t="n">
        <f aca="false">IFERROR(G787/F787,0)</f>
        <v>0.910614525139665</v>
      </c>
      <c r="M787" s="15" t="n">
        <f aca="false">IFERROR((I787-H787)/H787,0)</f>
        <v>0.0293994995829858</v>
      </c>
      <c r="N787" s="16" t="n">
        <f aca="false">G787*I787</f>
        <v>321892.4</v>
      </c>
    </row>
    <row r="788" customFormat="false" ht="15" hidden="false" customHeight="true" outlineLevel="0" collapsed="false">
      <c r="A788" s="4" t="s">
        <v>964</v>
      </c>
      <c r="B788" s="4" t="s">
        <v>87</v>
      </c>
      <c r="C788" s="13" t="n">
        <v>45329</v>
      </c>
      <c r="D788" s="13" t="n">
        <v>45341</v>
      </c>
      <c r="E788" s="13" t="n">
        <v>45340</v>
      </c>
      <c r="F788" s="4" t="n">
        <v>749</v>
      </c>
      <c r="G788" s="4" t="n">
        <v>695</v>
      </c>
      <c r="H788" s="4" t="n">
        <v>161.95</v>
      </c>
      <c r="I788" s="4" t="n">
        <v>183.16</v>
      </c>
      <c r="J788" s="14" t="n">
        <f aca="false">E788-D788</f>
        <v>-1</v>
      </c>
      <c r="K788" s="14" t="n">
        <f aca="false">IF(J788&lt;=0,1,0)</f>
        <v>1</v>
      </c>
      <c r="L788" s="15" t="n">
        <f aca="false">IFERROR(G788/F788,0)</f>
        <v>0.927903871829106</v>
      </c>
      <c r="M788" s="15" t="n">
        <f aca="false">IFERROR((I788-H788)/H788,0)</f>
        <v>0.13096634763816</v>
      </c>
      <c r="N788" s="16" t="n">
        <f aca="false">G788*I788</f>
        <v>127296.2</v>
      </c>
    </row>
    <row r="789" customFormat="false" ht="15" hidden="false" customHeight="true" outlineLevel="0" collapsed="false">
      <c r="A789" s="4" t="s">
        <v>965</v>
      </c>
      <c r="B789" s="4" t="s">
        <v>141</v>
      </c>
      <c r="C789" s="13" t="n">
        <v>45467</v>
      </c>
      <c r="D789" s="13" t="n">
        <v>45484</v>
      </c>
      <c r="E789" s="13" t="n">
        <v>45487</v>
      </c>
      <c r="F789" s="4" t="n">
        <v>338</v>
      </c>
      <c r="G789" s="4" t="n">
        <v>335</v>
      </c>
      <c r="H789" s="4" t="n">
        <v>1252.36</v>
      </c>
      <c r="I789" s="4" t="n">
        <v>1185.32</v>
      </c>
      <c r="J789" s="14" t="n">
        <f aca="false">E789-D789</f>
        <v>3</v>
      </c>
      <c r="K789" s="14" t="n">
        <f aca="false">IF(J789&lt;=0,1,0)</f>
        <v>0</v>
      </c>
      <c r="L789" s="15" t="n">
        <f aca="false">IFERROR(G789/F789,0)</f>
        <v>0.99112426035503</v>
      </c>
      <c r="M789" s="15" t="n">
        <f aca="false">IFERROR((I789-H789)/H789,0)</f>
        <v>-0.0535309335973681</v>
      </c>
      <c r="N789" s="16" t="n">
        <f aca="false">G789*I789</f>
        <v>397082.2</v>
      </c>
    </row>
    <row r="790" customFormat="false" ht="15" hidden="false" customHeight="true" outlineLevel="0" collapsed="false">
      <c r="A790" s="4" t="s">
        <v>966</v>
      </c>
      <c r="B790" s="4" t="s">
        <v>103</v>
      </c>
      <c r="C790" s="13" t="n">
        <v>45280</v>
      </c>
      <c r="D790" s="13" t="n">
        <v>45298</v>
      </c>
      <c r="E790" s="13" t="n">
        <v>45303</v>
      </c>
      <c r="F790" s="4" t="n">
        <v>217</v>
      </c>
      <c r="G790" s="4" t="n">
        <v>207</v>
      </c>
      <c r="H790" s="4" t="n">
        <v>1400.22</v>
      </c>
      <c r="I790" s="4" t="n">
        <v>1444</v>
      </c>
      <c r="J790" s="14" t="n">
        <f aca="false">E790-D790</f>
        <v>5</v>
      </c>
      <c r="K790" s="14" t="n">
        <f aca="false">IF(J790&lt;=0,1,0)</f>
        <v>0</v>
      </c>
      <c r="L790" s="15" t="n">
        <f aca="false">IFERROR(G790/F790,0)</f>
        <v>0.953917050691244</v>
      </c>
      <c r="M790" s="15" t="n">
        <f aca="false">IFERROR((I790-H790)/H790,0)</f>
        <v>0.0312665152618874</v>
      </c>
      <c r="N790" s="16" t="n">
        <f aca="false">G790*I790</f>
        <v>298908</v>
      </c>
    </row>
    <row r="791" customFormat="false" ht="15" hidden="false" customHeight="true" outlineLevel="0" collapsed="false">
      <c r="A791" s="4" t="s">
        <v>967</v>
      </c>
      <c r="B791" s="4" t="s">
        <v>109</v>
      </c>
      <c r="C791" s="13" t="n">
        <v>45126</v>
      </c>
      <c r="D791" s="13" t="n">
        <v>45143</v>
      </c>
      <c r="E791" s="13" t="n">
        <v>45142</v>
      </c>
      <c r="F791" s="4" t="n">
        <v>164</v>
      </c>
      <c r="G791" s="4" t="n">
        <v>159</v>
      </c>
      <c r="H791" s="4" t="n">
        <v>858.02</v>
      </c>
      <c r="I791" s="4" t="n">
        <v>863.17</v>
      </c>
      <c r="J791" s="14" t="n">
        <f aca="false">E791-D791</f>
        <v>-1</v>
      </c>
      <c r="K791" s="14" t="n">
        <f aca="false">IF(J791&lt;=0,1,0)</f>
        <v>1</v>
      </c>
      <c r="L791" s="15" t="n">
        <f aca="false">IFERROR(G791/F791,0)</f>
        <v>0.969512195121951</v>
      </c>
      <c r="M791" s="15" t="n">
        <f aca="false">IFERROR((I791-H791)/H791,0)</f>
        <v>0.00600219109111673</v>
      </c>
      <c r="N791" s="16" t="n">
        <f aca="false">G791*I791</f>
        <v>137244.03</v>
      </c>
    </row>
    <row r="792" customFormat="false" ht="15" hidden="false" customHeight="true" outlineLevel="0" collapsed="false">
      <c r="A792" s="4" t="s">
        <v>968</v>
      </c>
      <c r="B792" s="4" t="s">
        <v>103</v>
      </c>
      <c r="C792" s="13" t="n">
        <v>45019</v>
      </c>
      <c r="D792" s="13" t="n">
        <v>45038</v>
      </c>
      <c r="E792" s="13" t="n">
        <v>45034</v>
      </c>
      <c r="F792" s="4" t="n">
        <v>427</v>
      </c>
      <c r="G792" s="4" t="n">
        <v>421</v>
      </c>
      <c r="H792" s="4" t="n">
        <v>1400.22</v>
      </c>
      <c r="I792" s="4" t="n">
        <v>1405.86</v>
      </c>
      <c r="J792" s="14" t="n">
        <f aca="false">E792-D792</f>
        <v>-4</v>
      </c>
      <c r="K792" s="14" t="n">
        <f aca="false">IF(J792&lt;=0,1,0)</f>
        <v>1</v>
      </c>
      <c r="L792" s="15" t="n">
        <f aca="false">IFERROR(G792/F792,0)</f>
        <v>0.985948477751756</v>
      </c>
      <c r="M792" s="15" t="n">
        <f aca="false">IFERROR((I792-H792)/H792,0)</f>
        <v>0.00402793846681227</v>
      </c>
      <c r="N792" s="16" t="n">
        <f aca="false">G792*I792</f>
        <v>591867.06</v>
      </c>
    </row>
    <row r="793" customFormat="false" ht="15" hidden="false" customHeight="true" outlineLevel="0" collapsed="false">
      <c r="A793" s="4" t="s">
        <v>969</v>
      </c>
      <c r="B793" s="4" t="s">
        <v>111</v>
      </c>
      <c r="C793" s="13" t="n">
        <v>44985</v>
      </c>
      <c r="D793" s="13" t="n">
        <v>44996</v>
      </c>
      <c r="E793" s="13" t="n">
        <v>45000</v>
      </c>
      <c r="F793" s="4" t="n">
        <v>856</v>
      </c>
      <c r="G793" s="4" t="n">
        <v>822</v>
      </c>
      <c r="H793" s="4" t="n">
        <v>148.08</v>
      </c>
      <c r="I793" s="4" t="n">
        <v>147.35</v>
      </c>
      <c r="J793" s="14" t="n">
        <f aca="false">E793-D793</f>
        <v>4</v>
      </c>
      <c r="K793" s="14" t="n">
        <f aca="false">IF(J793&lt;=0,1,0)</f>
        <v>0</v>
      </c>
      <c r="L793" s="15" t="n">
        <f aca="false">IFERROR(G793/F793,0)</f>
        <v>0.960280373831776</v>
      </c>
      <c r="M793" s="15" t="n">
        <f aca="false">IFERROR((I793-H793)/H793,0)</f>
        <v>-0.00492976769313897</v>
      </c>
      <c r="N793" s="16" t="n">
        <f aca="false">G793*I793</f>
        <v>121121.7</v>
      </c>
    </row>
    <row r="794" customFormat="false" ht="15" hidden="false" customHeight="true" outlineLevel="0" collapsed="false">
      <c r="A794" s="4" t="s">
        <v>970</v>
      </c>
      <c r="B794" s="4" t="s">
        <v>151</v>
      </c>
      <c r="C794" s="13" t="n">
        <v>45507</v>
      </c>
      <c r="D794" s="13" t="n">
        <v>45512</v>
      </c>
      <c r="E794" s="13" t="n">
        <v>45517</v>
      </c>
      <c r="F794" s="4" t="n">
        <v>10</v>
      </c>
      <c r="G794" s="4" t="n">
        <v>10</v>
      </c>
      <c r="H794" s="4" t="n">
        <v>503.46</v>
      </c>
      <c r="I794" s="4" t="n">
        <v>518.62</v>
      </c>
      <c r="J794" s="14" t="n">
        <f aca="false">E794-D794</f>
        <v>5</v>
      </c>
      <c r="K794" s="14" t="n">
        <f aca="false">IF(J794&lt;=0,1,0)</f>
        <v>0</v>
      </c>
      <c r="L794" s="15" t="n">
        <f aca="false">IFERROR(G794/F794,0)</f>
        <v>1</v>
      </c>
      <c r="M794" s="15" t="n">
        <f aca="false">IFERROR((I794-H794)/H794,0)</f>
        <v>0.030111627537441</v>
      </c>
      <c r="N794" s="16" t="n">
        <f aca="false">G794*I794</f>
        <v>5186.2</v>
      </c>
    </row>
    <row r="795" customFormat="false" ht="15" hidden="false" customHeight="true" outlineLevel="0" collapsed="false">
      <c r="A795" s="4" t="s">
        <v>971</v>
      </c>
      <c r="B795" s="4" t="s">
        <v>149</v>
      </c>
      <c r="C795" s="13" t="n">
        <v>45426</v>
      </c>
      <c r="D795" s="13" t="n">
        <v>45432</v>
      </c>
      <c r="E795" s="13" t="n">
        <v>45435</v>
      </c>
      <c r="F795" s="4" t="n">
        <v>3</v>
      </c>
      <c r="G795" s="4" t="n">
        <v>3</v>
      </c>
      <c r="H795" s="4" t="n">
        <v>1458.52</v>
      </c>
      <c r="I795" s="4" t="n">
        <v>1486.97</v>
      </c>
      <c r="J795" s="14" t="n">
        <f aca="false">E795-D795</f>
        <v>3</v>
      </c>
      <c r="K795" s="14" t="n">
        <f aca="false">IF(J795&lt;=0,1,0)</f>
        <v>0</v>
      </c>
      <c r="L795" s="15" t="n">
        <f aca="false">IFERROR(G795/F795,0)</f>
        <v>1</v>
      </c>
      <c r="M795" s="15" t="n">
        <f aca="false">IFERROR((I795-H795)/H795,0)</f>
        <v>0.0195060746510161</v>
      </c>
      <c r="N795" s="16" t="n">
        <f aca="false">G795*I795</f>
        <v>4460.91</v>
      </c>
    </row>
    <row r="796" customFormat="false" ht="15" hidden="false" customHeight="true" outlineLevel="0" collapsed="false">
      <c r="A796" s="4" t="s">
        <v>972</v>
      </c>
      <c r="B796" s="4" t="s">
        <v>147</v>
      </c>
      <c r="C796" s="13" t="n">
        <v>45058</v>
      </c>
      <c r="D796" s="13" t="n">
        <v>45070</v>
      </c>
      <c r="E796" s="13" t="n">
        <v>45072</v>
      </c>
      <c r="F796" s="4" t="n">
        <v>84</v>
      </c>
      <c r="G796" s="4" t="n">
        <v>84</v>
      </c>
      <c r="H796" s="4" t="n">
        <v>203.3</v>
      </c>
      <c r="I796" s="4" t="n">
        <v>203.87</v>
      </c>
      <c r="J796" s="14" t="n">
        <f aca="false">E796-D796</f>
        <v>2</v>
      </c>
      <c r="K796" s="14" t="n">
        <f aca="false">IF(J796&lt;=0,1,0)</f>
        <v>0</v>
      </c>
      <c r="L796" s="15" t="n">
        <f aca="false">IFERROR(G796/F796,0)</f>
        <v>1</v>
      </c>
      <c r="M796" s="15" t="n">
        <f aca="false">IFERROR((I796-H796)/H796,0)</f>
        <v>0.00280373831775698</v>
      </c>
      <c r="N796" s="16" t="n">
        <f aca="false">G796*I796</f>
        <v>17125.08</v>
      </c>
    </row>
    <row r="797" customFormat="false" ht="15" hidden="false" customHeight="true" outlineLevel="0" collapsed="false">
      <c r="A797" s="4" t="s">
        <v>973</v>
      </c>
      <c r="B797" s="4" t="s">
        <v>111</v>
      </c>
      <c r="C797" s="13" t="n">
        <v>45097</v>
      </c>
      <c r="D797" s="13" t="n">
        <v>45108</v>
      </c>
      <c r="E797" s="13" t="n">
        <v>45111</v>
      </c>
      <c r="F797" s="4" t="n">
        <v>1935</v>
      </c>
      <c r="G797" s="4" t="n">
        <v>1876</v>
      </c>
      <c r="H797" s="4" t="n">
        <v>148.08</v>
      </c>
      <c r="I797" s="4" t="n">
        <v>149.03</v>
      </c>
      <c r="J797" s="14" t="n">
        <f aca="false">E797-D797</f>
        <v>3</v>
      </c>
      <c r="K797" s="14" t="n">
        <f aca="false">IF(J797&lt;=0,1,0)</f>
        <v>0</v>
      </c>
      <c r="L797" s="15" t="n">
        <f aca="false">IFERROR(G797/F797,0)</f>
        <v>0.969509043927649</v>
      </c>
      <c r="M797" s="15" t="n">
        <f aca="false">IFERROR((I797-H797)/H797,0)</f>
        <v>0.00641545110750938</v>
      </c>
      <c r="N797" s="16" t="n">
        <f aca="false">G797*I797</f>
        <v>279580.28</v>
      </c>
    </row>
    <row r="798" customFormat="false" ht="15" hidden="false" customHeight="true" outlineLevel="0" collapsed="false">
      <c r="A798" s="4" t="s">
        <v>974</v>
      </c>
      <c r="B798" s="4" t="s">
        <v>95</v>
      </c>
      <c r="C798" s="13" t="n">
        <v>45218</v>
      </c>
      <c r="D798" s="13" t="n">
        <v>45227</v>
      </c>
      <c r="E798" s="13" t="n">
        <v>45228</v>
      </c>
      <c r="F798" s="4" t="n">
        <v>1339</v>
      </c>
      <c r="G798" s="4" t="n">
        <v>1326</v>
      </c>
      <c r="H798" s="4" t="n">
        <v>20.39</v>
      </c>
      <c r="I798" s="4" t="n">
        <v>20.59</v>
      </c>
      <c r="J798" s="14" t="n">
        <f aca="false">E798-D798</f>
        <v>1</v>
      </c>
      <c r="K798" s="14" t="n">
        <f aca="false">IF(J798&lt;=0,1,0)</f>
        <v>0</v>
      </c>
      <c r="L798" s="15" t="n">
        <f aca="false">IFERROR(G798/F798,0)</f>
        <v>0.990291262135922</v>
      </c>
      <c r="M798" s="15" t="n">
        <f aca="false">IFERROR((I798-H798)/H798,0)</f>
        <v>0.00980872976949482</v>
      </c>
      <c r="N798" s="16" t="n">
        <f aca="false">G798*I798</f>
        <v>27302.34</v>
      </c>
    </row>
    <row r="799" customFormat="false" ht="15" hidden="false" customHeight="true" outlineLevel="0" collapsed="false">
      <c r="A799" s="4" t="s">
        <v>975</v>
      </c>
      <c r="B799" s="4" t="s">
        <v>55</v>
      </c>
      <c r="C799" s="13" t="n">
        <v>45243</v>
      </c>
      <c r="D799" s="13" t="n">
        <v>45262</v>
      </c>
      <c r="E799" s="13" t="n">
        <v>45257</v>
      </c>
      <c r="F799" s="4" t="n">
        <v>356</v>
      </c>
      <c r="G799" s="4" t="n">
        <v>330</v>
      </c>
      <c r="H799" s="4" t="n">
        <v>598.09</v>
      </c>
      <c r="I799" s="4" t="n">
        <v>581.96</v>
      </c>
      <c r="J799" s="14" t="n">
        <f aca="false">E799-D799</f>
        <v>-5</v>
      </c>
      <c r="K799" s="14" t="n">
        <f aca="false">IF(J799&lt;=0,1,0)</f>
        <v>1</v>
      </c>
      <c r="L799" s="15" t="n">
        <f aca="false">IFERROR(G799/F799,0)</f>
        <v>0.926966292134832</v>
      </c>
      <c r="M799" s="15" t="n">
        <f aca="false">IFERROR((I799-H799)/H799,0)</f>
        <v>-0.0269691852396796</v>
      </c>
      <c r="N799" s="16" t="n">
        <f aca="false">G799*I799</f>
        <v>192046.8</v>
      </c>
    </row>
    <row r="800" customFormat="false" ht="15" hidden="false" customHeight="true" outlineLevel="0" collapsed="false">
      <c r="A800" s="4" t="s">
        <v>976</v>
      </c>
      <c r="B800" s="4" t="s">
        <v>159</v>
      </c>
      <c r="C800" s="13" t="n">
        <v>45144</v>
      </c>
      <c r="D800" s="13" t="n">
        <v>45153</v>
      </c>
      <c r="E800" s="13" t="n">
        <v>45155</v>
      </c>
      <c r="F800" s="4" t="n">
        <v>3663</v>
      </c>
      <c r="G800" s="4" t="n">
        <v>3663</v>
      </c>
      <c r="H800" s="4" t="n">
        <v>32.91</v>
      </c>
      <c r="I800" s="4" t="n">
        <v>33.14</v>
      </c>
      <c r="J800" s="14" t="n">
        <f aca="false">E800-D800</f>
        <v>2</v>
      </c>
      <c r="K800" s="14" t="n">
        <f aca="false">IF(J800&lt;=0,1,0)</f>
        <v>0</v>
      </c>
      <c r="L800" s="15" t="n">
        <f aca="false">IFERROR(G800/F800,0)</f>
        <v>1</v>
      </c>
      <c r="M800" s="15" t="n">
        <f aca="false">IFERROR((I800-H800)/H800,0)</f>
        <v>0.0069887572166516</v>
      </c>
      <c r="N800" s="16" t="n">
        <f aca="false">G800*I800</f>
        <v>121391.82</v>
      </c>
    </row>
    <row r="801" customFormat="false" ht="15" hidden="false" customHeight="true" outlineLevel="0" collapsed="false">
      <c r="A801" s="4" t="s">
        <v>977</v>
      </c>
      <c r="B801" s="4" t="s">
        <v>37</v>
      </c>
      <c r="C801" s="13" t="n">
        <v>45211</v>
      </c>
      <c r="D801" s="13" t="n">
        <v>45217</v>
      </c>
      <c r="E801" s="13" t="n">
        <v>45218</v>
      </c>
      <c r="F801" s="4" t="n">
        <v>2764</v>
      </c>
      <c r="G801" s="4" t="n">
        <v>2669</v>
      </c>
      <c r="H801" s="4" t="n">
        <v>22.26</v>
      </c>
      <c r="I801" s="4" t="n">
        <v>21.49</v>
      </c>
      <c r="J801" s="14" t="n">
        <f aca="false">E801-D801</f>
        <v>1</v>
      </c>
      <c r="K801" s="14" t="n">
        <f aca="false">IF(J801&lt;=0,1,0)</f>
        <v>0</v>
      </c>
      <c r="L801" s="15" t="n">
        <f aca="false">IFERROR(G801/F801,0)</f>
        <v>0.965629522431259</v>
      </c>
      <c r="M801" s="15" t="n">
        <f aca="false">IFERROR((I801-H801)/H801,0)</f>
        <v>-0.0345911949685536</v>
      </c>
      <c r="N801" s="16" t="n">
        <f aca="false">G801*I801</f>
        <v>57356.81</v>
      </c>
    </row>
    <row r="802" customFormat="false" ht="15" hidden="false" customHeight="true" outlineLevel="0" collapsed="false">
      <c r="A802" s="4" t="s">
        <v>978</v>
      </c>
      <c r="B802" s="4" t="s">
        <v>70</v>
      </c>
      <c r="C802" s="13" t="n">
        <v>45300</v>
      </c>
      <c r="D802" s="13" t="n">
        <v>45309</v>
      </c>
      <c r="E802" s="13" t="n">
        <v>45314</v>
      </c>
      <c r="F802" s="4" t="n">
        <v>769</v>
      </c>
      <c r="G802" s="4" t="n">
        <v>721</v>
      </c>
      <c r="H802" s="4" t="n">
        <v>35.88</v>
      </c>
      <c r="I802" s="4" t="n">
        <v>37.09</v>
      </c>
      <c r="J802" s="14" t="n">
        <f aca="false">E802-D802</f>
        <v>5</v>
      </c>
      <c r="K802" s="14" t="n">
        <f aca="false">IF(J802&lt;=0,1,0)</f>
        <v>0</v>
      </c>
      <c r="L802" s="15" t="n">
        <f aca="false">IFERROR(G802/F802,0)</f>
        <v>0.937581274382315</v>
      </c>
      <c r="M802" s="15" t="n">
        <f aca="false">IFERROR((I802-H802)/H802,0)</f>
        <v>0.0337235228539577</v>
      </c>
      <c r="N802" s="16" t="n">
        <f aca="false">G802*I802</f>
        <v>26741.89</v>
      </c>
    </row>
    <row r="803" customFormat="false" ht="15" hidden="false" customHeight="true" outlineLevel="0" collapsed="false">
      <c r="A803" s="4" t="s">
        <v>979</v>
      </c>
      <c r="B803" s="4" t="s">
        <v>127</v>
      </c>
      <c r="C803" s="13" t="n">
        <v>45538</v>
      </c>
      <c r="D803" s="13" t="n">
        <v>45544</v>
      </c>
      <c r="E803" s="13" t="n">
        <v>45550</v>
      </c>
      <c r="F803" s="4" t="n">
        <v>18</v>
      </c>
      <c r="G803" s="4" t="n">
        <v>17</v>
      </c>
      <c r="H803" s="4" t="n">
        <v>1881</v>
      </c>
      <c r="I803" s="4" t="n">
        <v>1743.3</v>
      </c>
      <c r="J803" s="14" t="n">
        <f aca="false">E803-D803</f>
        <v>6</v>
      </c>
      <c r="K803" s="14" t="n">
        <f aca="false">IF(J803&lt;=0,1,0)</f>
        <v>0</v>
      </c>
      <c r="L803" s="15" t="n">
        <f aca="false">IFERROR(G803/F803,0)</f>
        <v>0.944444444444444</v>
      </c>
      <c r="M803" s="15" t="n">
        <f aca="false">IFERROR((I803-H803)/H803,0)</f>
        <v>-0.0732057416267943</v>
      </c>
      <c r="N803" s="16" t="n">
        <f aca="false">G803*I803</f>
        <v>29636.1</v>
      </c>
    </row>
    <row r="804" customFormat="false" ht="15" hidden="false" customHeight="true" outlineLevel="0" collapsed="false">
      <c r="A804" s="4" t="s">
        <v>980</v>
      </c>
      <c r="B804" s="4" t="s">
        <v>117</v>
      </c>
      <c r="C804" s="13" t="n">
        <v>45385</v>
      </c>
      <c r="D804" s="13" t="n">
        <v>45398</v>
      </c>
      <c r="E804" s="13" t="n">
        <v>45403</v>
      </c>
      <c r="F804" s="4" t="n">
        <v>60</v>
      </c>
      <c r="G804" s="4" t="n">
        <v>58</v>
      </c>
      <c r="H804" s="4" t="n">
        <v>396.01</v>
      </c>
      <c r="I804" s="4" t="n">
        <v>390.15</v>
      </c>
      <c r="J804" s="14" t="n">
        <f aca="false">E804-D804</f>
        <v>5</v>
      </c>
      <c r="K804" s="14" t="n">
        <f aca="false">IF(J804&lt;=0,1,0)</f>
        <v>0</v>
      </c>
      <c r="L804" s="15" t="n">
        <f aca="false">IFERROR(G804/F804,0)</f>
        <v>0.966666666666667</v>
      </c>
      <c r="M804" s="15" t="n">
        <f aca="false">IFERROR((I804-H804)/H804,0)</f>
        <v>-0.0147976061210576</v>
      </c>
      <c r="N804" s="16" t="n">
        <f aca="false">G804*I804</f>
        <v>22628.7</v>
      </c>
    </row>
    <row r="805" customFormat="false" ht="15" hidden="false" customHeight="true" outlineLevel="0" collapsed="false">
      <c r="A805" s="4" t="s">
        <v>981</v>
      </c>
      <c r="B805" s="4" t="s">
        <v>93</v>
      </c>
      <c r="C805" s="13" t="n">
        <v>45424</v>
      </c>
      <c r="D805" s="13" t="n">
        <v>45434</v>
      </c>
      <c r="E805" s="13" t="n">
        <v>45436</v>
      </c>
      <c r="F805" s="4" t="n">
        <v>702</v>
      </c>
      <c r="G805" s="4" t="n">
        <v>702</v>
      </c>
      <c r="H805" s="4" t="n">
        <v>174.25</v>
      </c>
      <c r="I805" s="4" t="n">
        <v>185.03</v>
      </c>
      <c r="J805" s="14" t="n">
        <f aca="false">E805-D805</f>
        <v>2</v>
      </c>
      <c r="K805" s="14" t="n">
        <f aca="false">IF(J805&lt;=0,1,0)</f>
        <v>0</v>
      </c>
      <c r="L805" s="15" t="n">
        <f aca="false">IFERROR(G805/F805,0)</f>
        <v>1</v>
      </c>
      <c r="M805" s="15" t="n">
        <f aca="false">IFERROR((I805-H805)/H805,0)</f>
        <v>0.0618651362984218</v>
      </c>
      <c r="N805" s="16" t="n">
        <f aca="false">G805*I805</f>
        <v>129891.06</v>
      </c>
    </row>
    <row r="806" customFormat="false" ht="15" hidden="false" customHeight="true" outlineLevel="0" collapsed="false">
      <c r="A806" s="4" t="s">
        <v>982</v>
      </c>
      <c r="B806" s="4" t="s">
        <v>159</v>
      </c>
      <c r="C806" s="13" t="n">
        <v>45344</v>
      </c>
      <c r="D806" s="13" t="n">
        <v>45351</v>
      </c>
      <c r="E806" s="13" t="n">
        <v>45356</v>
      </c>
      <c r="F806" s="4" t="n">
        <v>3294</v>
      </c>
      <c r="G806" s="4" t="n">
        <v>3294</v>
      </c>
      <c r="H806" s="4" t="n">
        <v>32.91</v>
      </c>
      <c r="I806" s="4" t="n">
        <v>33.37</v>
      </c>
      <c r="J806" s="14" t="n">
        <f aca="false">E806-D806</f>
        <v>5</v>
      </c>
      <c r="K806" s="14" t="n">
        <f aca="false">IF(J806&lt;=0,1,0)</f>
        <v>0</v>
      </c>
      <c r="L806" s="15" t="n">
        <f aca="false">IFERROR(G806/F806,0)</f>
        <v>1</v>
      </c>
      <c r="M806" s="15" t="n">
        <f aca="false">IFERROR((I806-H806)/H806,0)</f>
        <v>0.013977514433303</v>
      </c>
      <c r="N806" s="16" t="n">
        <f aca="false">G806*I806</f>
        <v>109920.78</v>
      </c>
    </row>
    <row r="807" customFormat="false" ht="15" hidden="false" customHeight="true" outlineLevel="0" collapsed="false">
      <c r="A807" s="4" t="s">
        <v>983</v>
      </c>
      <c r="B807" s="4" t="s">
        <v>103</v>
      </c>
      <c r="C807" s="13" t="n">
        <v>45230</v>
      </c>
      <c r="D807" s="13" t="n">
        <v>45248</v>
      </c>
      <c r="E807" s="13" t="n">
        <v>45243</v>
      </c>
      <c r="F807" s="4" t="n">
        <v>111</v>
      </c>
      <c r="G807" s="4" t="n">
        <v>109</v>
      </c>
      <c r="H807" s="4" t="n">
        <v>1400.22</v>
      </c>
      <c r="I807" s="4" t="n">
        <v>1416.54</v>
      </c>
      <c r="J807" s="14" t="n">
        <f aca="false">E807-D807</f>
        <v>-5</v>
      </c>
      <c r="K807" s="14" t="n">
        <f aca="false">IF(J807&lt;=0,1,0)</f>
        <v>1</v>
      </c>
      <c r="L807" s="15" t="n">
        <f aca="false">IFERROR(G807/F807,0)</f>
        <v>0.981981981981982</v>
      </c>
      <c r="M807" s="15" t="n">
        <f aca="false">IFERROR((I807-H807)/H807,0)</f>
        <v>0.0116553113082229</v>
      </c>
      <c r="N807" s="16" t="n">
        <f aca="false">G807*I807</f>
        <v>154402.86</v>
      </c>
    </row>
    <row r="808" customFormat="false" ht="15" hidden="false" customHeight="true" outlineLevel="0" collapsed="false">
      <c r="A808" s="4" t="s">
        <v>984</v>
      </c>
      <c r="B808" s="4" t="s">
        <v>153</v>
      </c>
      <c r="C808" s="13" t="n">
        <v>45070</v>
      </c>
      <c r="D808" s="13" t="n">
        <v>45090</v>
      </c>
      <c r="E808" s="13" t="n">
        <v>45091</v>
      </c>
      <c r="F808" s="4" t="n">
        <v>469</v>
      </c>
      <c r="G808" s="4" t="n">
        <v>411</v>
      </c>
      <c r="H808" s="4" t="n">
        <v>1492.04</v>
      </c>
      <c r="I808" s="4" t="n">
        <v>1548.41</v>
      </c>
      <c r="J808" s="14" t="n">
        <f aca="false">E808-D808</f>
        <v>1</v>
      </c>
      <c r="K808" s="14" t="n">
        <f aca="false">IF(J808&lt;=0,1,0)</f>
        <v>0</v>
      </c>
      <c r="L808" s="15" t="n">
        <f aca="false">IFERROR(G808/F808,0)</f>
        <v>0.876332622601279</v>
      </c>
      <c r="M808" s="15" t="n">
        <f aca="false">IFERROR((I808-H808)/H808,0)</f>
        <v>0.0377804884587545</v>
      </c>
      <c r="N808" s="16" t="n">
        <f aca="false">G808*I808</f>
        <v>636396.51</v>
      </c>
    </row>
    <row r="809" customFormat="false" ht="15" hidden="false" customHeight="true" outlineLevel="0" collapsed="false">
      <c r="A809" s="4" t="s">
        <v>985</v>
      </c>
      <c r="B809" s="4" t="s">
        <v>32</v>
      </c>
      <c r="C809" s="13" t="n">
        <v>45136</v>
      </c>
      <c r="D809" s="13" t="n">
        <v>45143</v>
      </c>
      <c r="E809" s="13" t="n">
        <v>45146</v>
      </c>
      <c r="F809" s="4" t="n">
        <v>4304</v>
      </c>
      <c r="G809" s="4" t="n">
        <v>3890</v>
      </c>
      <c r="H809" s="4" t="n">
        <v>32.49</v>
      </c>
      <c r="I809" s="4" t="n">
        <v>32.23</v>
      </c>
      <c r="J809" s="14" t="n">
        <f aca="false">E809-D809</f>
        <v>3</v>
      </c>
      <c r="K809" s="14" t="n">
        <f aca="false">IF(J809&lt;=0,1,0)</f>
        <v>0</v>
      </c>
      <c r="L809" s="15" t="n">
        <f aca="false">IFERROR(G809/F809,0)</f>
        <v>0.903810408921933</v>
      </c>
      <c r="M809" s="15" t="n">
        <f aca="false">IFERROR((I809-H809)/H809,0)</f>
        <v>-0.00800246229609126</v>
      </c>
      <c r="N809" s="16" t="n">
        <f aca="false">G809*I809</f>
        <v>125374.7</v>
      </c>
    </row>
    <row r="810" customFormat="false" ht="15" hidden="false" customHeight="true" outlineLevel="0" collapsed="false">
      <c r="A810" s="4" t="s">
        <v>986</v>
      </c>
      <c r="B810" s="4" t="s">
        <v>87</v>
      </c>
      <c r="C810" s="13" t="n">
        <v>45401</v>
      </c>
      <c r="D810" s="13" t="n">
        <v>45411</v>
      </c>
      <c r="E810" s="13" t="n">
        <v>45407</v>
      </c>
      <c r="F810" s="4" t="n">
        <v>1638</v>
      </c>
      <c r="G810" s="4" t="n">
        <v>1504</v>
      </c>
      <c r="H810" s="4" t="n">
        <v>161.95</v>
      </c>
      <c r="I810" s="4" t="n">
        <v>185.38</v>
      </c>
      <c r="J810" s="14" t="n">
        <f aca="false">E810-D810</f>
        <v>-4</v>
      </c>
      <c r="K810" s="14" t="n">
        <f aca="false">IF(J810&lt;=0,1,0)</f>
        <v>1</v>
      </c>
      <c r="L810" s="15" t="n">
        <f aca="false">IFERROR(G810/F810,0)</f>
        <v>0.918192918192918</v>
      </c>
      <c r="M810" s="15" t="n">
        <f aca="false">IFERROR((I810-H810)/H810,0)</f>
        <v>0.14467428218586</v>
      </c>
      <c r="N810" s="16" t="n">
        <f aca="false">G810*I810</f>
        <v>278811.52</v>
      </c>
    </row>
    <row r="811" customFormat="false" ht="15" hidden="false" customHeight="true" outlineLevel="0" collapsed="false">
      <c r="A811" s="4" t="s">
        <v>987</v>
      </c>
      <c r="B811" s="4" t="s">
        <v>151</v>
      </c>
      <c r="C811" s="13" t="n">
        <v>45149</v>
      </c>
      <c r="D811" s="13" t="n">
        <v>45154</v>
      </c>
      <c r="E811" s="13" t="n">
        <v>45161</v>
      </c>
      <c r="F811" s="4" t="n">
        <v>5</v>
      </c>
      <c r="G811" s="4" t="n">
        <v>5</v>
      </c>
      <c r="H811" s="4" t="n">
        <v>503.46</v>
      </c>
      <c r="I811" s="4" t="n">
        <v>508.75</v>
      </c>
      <c r="J811" s="14" t="n">
        <f aca="false">E811-D811</f>
        <v>7</v>
      </c>
      <c r="K811" s="14" t="n">
        <f aca="false">IF(J811&lt;=0,1,0)</f>
        <v>0</v>
      </c>
      <c r="L811" s="15" t="n">
        <f aca="false">IFERROR(G811/F811,0)</f>
        <v>1</v>
      </c>
      <c r="M811" s="15" t="n">
        <f aca="false">IFERROR((I811-H811)/H811,0)</f>
        <v>0.0105072895562706</v>
      </c>
      <c r="N811" s="16" t="n">
        <f aca="false">G811*I811</f>
        <v>2543.75</v>
      </c>
    </row>
    <row r="812" customFormat="false" ht="15" hidden="false" customHeight="true" outlineLevel="0" collapsed="false">
      <c r="A812" s="4" t="s">
        <v>988</v>
      </c>
      <c r="B812" s="4" t="s">
        <v>65</v>
      </c>
      <c r="C812" s="13" t="n">
        <v>45506</v>
      </c>
      <c r="D812" s="13" t="n">
        <v>45524</v>
      </c>
      <c r="E812" s="13" t="n">
        <v>45522</v>
      </c>
      <c r="F812" s="4" t="n">
        <v>332</v>
      </c>
      <c r="G812" s="4" t="n">
        <v>332</v>
      </c>
      <c r="H812" s="4" t="n">
        <v>1365.59</v>
      </c>
      <c r="I812" s="4" t="n">
        <v>1372.14</v>
      </c>
      <c r="J812" s="14" t="n">
        <f aca="false">E812-D812</f>
        <v>-2</v>
      </c>
      <c r="K812" s="14" t="n">
        <f aca="false">IF(J812&lt;=0,1,0)</f>
        <v>1</v>
      </c>
      <c r="L812" s="15" t="n">
        <f aca="false">IFERROR(G812/F812,0)</f>
        <v>1</v>
      </c>
      <c r="M812" s="15" t="n">
        <f aca="false">IFERROR((I812-H812)/H812,0)</f>
        <v>0.00479646160267737</v>
      </c>
      <c r="N812" s="16" t="n">
        <f aca="false">G812*I812</f>
        <v>455550.48</v>
      </c>
    </row>
    <row r="813" customFormat="false" ht="15" hidden="false" customHeight="true" outlineLevel="0" collapsed="false">
      <c r="A813" s="4" t="s">
        <v>989</v>
      </c>
      <c r="B813" s="4" t="s">
        <v>77</v>
      </c>
      <c r="C813" s="13" t="n">
        <v>45380</v>
      </c>
      <c r="D813" s="13" t="n">
        <v>45386</v>
      </c>
      <c r="E813" s="13" t="n">
        <v>45401</v>
      </c>
      <c r="F813" s="4" t="n">
        <v>1205</v>
      </c>
      <c r="G813" s="4" t="n">
        <v>1205</v>
      </c>
      <c r="H813" s="4" t="n">
        <v>36.83</v>
      </c>
      <c r="I813" s="4" t="n">
        <v>35.27</v>
      </c>
      <c r="J813" s="14" t="n">
        <f aca="false">E813-D813</f>
        <v>15</v>
      </c>
      <c r="K813" s="14" t="n">
        <f aca="false">IF(J813&lt;=0,1,0)</f>
        <v>0</v>
      </c>
      <c r="L813" s="15" t="n">
        <f aca="false">IFERROR(G813/F813,0)</f>
        <v>1</v>
      </c>
      <c r="M813" s="15" t="n">
        <f aca="false">IFERROR((I813-H813)/H813,0)</f>
        <v>-0.042356774368721</v>
      </c>
      <c r="N813" s="16" t="n">
        <f aca="false">G813*I813</f>
        <v>42500.35</v>
      </c>
    </row>
    <row r="814" customFormat="false" ht="15" hidden="false" customHeight="true" outlineLevel="0" collapsed="false">
      <c r="A814" s="4" t="s">
        <v>990</v>
      </c>
      <c r="B814" s="4" t="s">
        <v>97</v>
      </c>
      <c r="C814" s="13" t="n">
        <v>45359</v>
      </c>
      <c r="D814" s="13" t="n">
        <v>45369</v>
      </c>
      <c r="E814" s="13" t="n">
        <v>45371</v>
      </c>
      <c r="F814" s="4" t="n">
        <v>241</v>
      </c>
      <c r="G814" s="4" t="n">
        <v>238</v>
      </c>
      <c r="H814" s="4" t="n">
        <v>123.04</v>
      </c>
      <c r="I814" s="4" t="n">
        <v>125.2</v>
      </c>
      <c r="J814" s="14" t="n">
        <f aca="false">E814-D814</f>
        <v>2</v>
      </c>
      <c r="K814" s="14" t="n">
        <f aca="false">IF(J814&lt;=0,1,0)</f>
        <v>0</v>
      </c>
      <c r="L814" s="15" t="n">
        <f aca="false">IFERROR(G814/F814,0)</f>
        <v>0.987551867219917</v>
      </c>
      <c r="M814" s="15" t="n">
        <f aca="false">IFERROR((I814-H814)/H814,0)</f>
        <v>0.017555266579974</v>
      </c>
      <c r="N814" s="16" t="n">
        <f aca="false">G814*I814</f>
        <v>29797.6</v>
      </c>
    </row>
    <row r="815" customFormat="false" ht="15" hidden="false" customHeight="true" outlineLevel="0" collapsed="false">
      <c r="A815" s="4" t="s">
        <v>991</v>
      </c>
      <c r="B815" s="4" t="s">
        <v>143</v>
      </c>
      <c r="C815" s="13" t="n">
        <v>45401</v>
      </c>
      <c r="D815" s="13" t="n">
        <v>45409</v>
      </c>
      <c r="E815" s="13" t="n">
        <v>45422</v>
      </c>
      <c r="F815" s="4" t="n">
        <v>2421</v>
      </c>
      <c r="G815" s="4" t="n">
        <v>2293</v>
      </c>
      <c r="H815" s="4" t="n">
        <v>20.6</v>
      </c>
      <c r="I815" s="4" t="n">
        <v>21.55</v>
      </c>
      <c r="J815" s="14" t="n">
        <f aca="false">E815-D815</f>
        <v>13</v>
      </c>
      <c r="K815" s="14" t="n">
        <f aca="false">IF(J815&lt;=0,1,0)</f>
        <v>0</v>
      </c>
      <c r="L815" s="15" t="n">
        <f aca="false">IFERROR(G815/F815,0)</f>
        <v>0.947129285419248</v>
      </c>
      <c r="M815" s="15" t="n">
        <f aca="false">IFERROR((I815-H815)/H815,0)</f>
        <v>0.0461165048543689</v>
      </c>
      <c r="N815" s="16" t="n">
        <f aca="false">G815*I815</f>
        <v>49414.15</v>
      </c>
    </row>
    <row r="816" customFormat="false" ht="15" hidden="false" customHeight="true" outlineLevel="0" collapsed="false">
      <c r="A816" s="4" t="s">
        <v>992</v>
      </c>
      <c r="B816" s="4" t="s">
        <v>70</v>
      </c>
      <c r="C816" s="13" t="n">
        <v>44952</v>
      </c>
      <c r="D816" s="13" t="n">
        <v>44960</v>
      </c>
      <c r="E816" s="13" t="n">
        <v>44963</v>
      </c>
      <c r="F816" s="4" t="n">
        <v>4405</v>
      </c>
      <c r="G816" s="4" t="n">
        <v>4024</v>
      </c>
      <c r="H816" s="4" t="n">
        <v>35.88</v>
      </c>
      <c r="I816" s="4" t="n">
        <v>36.24</v>
      </c>
      <c r="J816" s="14" t="n">
        <f aca="false">E816-D816</f>
        <v>3</v>
      </c>
      <c r="K816" s="14" t="n">
        <f aca="false">IF(J816&lt;=0,1,0)</f>
        <v>0</v>
      </c>
      <c r="L816" s="15" t="n">
        <f aca="false">IFERROR(G816/F816,0)</f>
        <v>0.913507377979569</v>
      </c>
      <c r="M816" s="15" t="n">
        <f aca="false">IFERROR((I816-H816)/H816,0)</f>
        <v>0.0100334448160535</v>
      </c>
      <c r="N816" s="16" t="n">
        <f aca="false">G816*I816</f>
        <v>145829.76</v>
      </c>
    </row>
    <row r="817" customFormat="false" ht="15" hidden="false" customHeight="true" outlineLevel="0" collapsed="false">
      <c r="A817" s="4" t="s">
        <v>993</v>
      </c>
      <c r="B817" s="4" t="s">
        <v>135</v>
      </c>
      <c r="C817" s="13" t="n">
        <v>45343</v>
      </c>
      <c r="D817" s="13" t="n">
        <v>45355</v>
      </c>
      <c r="E817" s="13" t="n">
        <v>45355</v>
      </c>
      <c r="F817" s="4" t="n">
        <v>212</v>
      </c>
      <c r="G817" s="4" t="n">
        <v>212</v>
      </c>
      <c r="H817" s="4" t="n">
        <v>328.06</v>
      </c>
      <c r="I817" s="4" t="n">
        <v>325.17</v>
      </c>
      <c r="J817" s="14" t="n">
        <f aca="false">E817-D817</f>
        <v>0</v>
      </c>
      <c r="K817" s="14" t="n">
        <f aca="false">IF(J817&lt;=0,1,0)</f>
        <v>1</v>
      </c>
      <c r="L817" s="15" t="n">
        <f aca="false">IFERROR(G817/F817,0)</f>
        <v>1</v>
      </c>
      <c r="M817" s="15" t="n">
        <f aca="false">IFERROR((I817-H817)/H817,0)</f>
        <v>-0.00880936414070593</v>
      </c>
      <c r="N817" s="16" t="n">
        <f aca="false">G817*I817</f>
        <v>68936.04</v>
      </c>
    </row>
    <row r="818" customFormat="false" ht="15" hidden="false" customHeight="true" outlineLevel="0" collapsed="false">
      <c r="A818" s="4" t="s">
        <v>994</v>
      </c>
      <c r="B818" s="4" t="s">
        <v>143</v>
      </c>
      <c r="C818" s="13" t="n">
        <v>44962</v>
      </c>
      <c r="D818" s="13" t="n">
        <v>44971</v>
      </c>
      <c r="E818" s="13" t="n">
        <v>44981</v>
      </c>
      <c r="F818" s="4" t="n">
        <v>1860</v>
      </c>
      <c r="G818" s="4" t="n">
        <v>1738</v>
      </c>
      <c r="H818" s="4" t="n">
        <v>20.6</v>
      </c>
      <c r="I818" s="4" t="n">
        <v>20.93</v>
      </c>
      <c r="J818" s="14" t="n">
        <f aca="false">E818-D818</f>
        <v>10</v>
      </c>
      <c r="K818" s="14" t="n">
        <f aca="false">IF(J818&lt;=0,1,0)</f>
        <v>0</v>
      </c>
      <c r="L818" s="15" t="n">
        <f aca="false">IFERROR(G818/F818,0)</f>
        <v>0.934408602150538</v>
      </c>
      <c r="M818" s="15" t="n">
        <f aca="false">IFERROR((I818-H818)/H818,0)</f>
        <v>0.0160194174757281</v>
      </c>
      <c r="N818" s="16" t="n">
        <f aca="false">G818*I818</f>
        <v>36376.34</v>
      </c>
    </row>
    <row r="819" customFormat="false" ht="15" hidden="false" customHeight="true" outlineLevel="0" collapsed="false">
      <c r="A819" s="4" t="s">
        <v>995</v>
      </c>
      <c r="B819" s="4" t="s">
        <v>52</v>
      </c>
      <c r="C819" s="13" t="n">
        <v>44979</v>
      </c>
      <c r="D819" s="13" t="n">
        <v>44989</v>
      </c>
      <c r="E819" s="13" t="n">
        <v>44995</v>
      </c>
      <c r="F819" s="4" t="n">
        <v>1539</v>
      </c>
      <c r="G819" s="4" t="n">
        <v>1333</v>
      </c>
      <c r="H819" s="4" t="n">
        <v>170.24</v>
      </c>
      <c r="I819" s="4" t="n">
        <v>170.61</v>
      </c>
      <c r="J819" s="14" t="n">
        <f aca="false">E819-D819</f>
        <v>6</v>
      </c>
      <c r="K819" s="14" t="n">
        <f aca="false">IF(J819&lt;=0,1,0)</f>
        <v>0</v>
      </c>
      <c r="L819" s="15" t="n">
        <f aca="false">IFERROR(G819/F819,0)</f>
        <v>0.866146848602989</v>
      </c>
      <c r="M819" s="15" t="n">
        <f aca="false">IFERROR((I819-H819)/H819,0)</f>
        <v>0.00217340225563912</v>
      </c>
      <c r="N819" s="16" t="n">
        <f aca="false">G819*I819</f>
        <v>227423.13</v>
      </c>
    </row>
    <row r="820" customFormat="false" ht="15" hidden="false" customHeight="true" outlineLevel="0" collapsed="false">
      <c r="A820" s="4" t="s">
        <v>996</v>
      </c>
      <c r="B820" s="4" t="s">
        <v>68</v>
      </c>
      <c r="C820" s="13" t="n">
        <v>45161</v>
      </c>
      <c r="D820" s="13" t="n">
        <v>45181</v>
      </c>
      <c r="E820" s="13" t="n">
        <v>45180</v>
      </c>
      <c r="F820" s="4" t="n">
        <v>220</v>
      </c>
      <c r="G820" s="4" t="n">
        <v>195</v>
      </c>
      <c r="H820" s="4" t="n">
        <v>1232.83</v>
      </c>
      <c r="I820" s="4" t="n">
        <v>1251.59</v>
      </c>
      <c r="J820" s="14" t="n">
        <f aca="false">E820-D820</f>
        <v>-1</v>
      </c>
      <c r="K820" s="14" t="n">
        <f aca="false">IF(J820&lt;=0,1,0)</f>
        <v>1</v>
      </c>
      <c r="L820" s="15" t="n">
        <f aca="false">IFERROR(G820/F820,0)</f>
        <v>0.886363636363636</v>
      </c>
      <c r="M820" s="15" t="n">
        <f aca="false">IFERROR((I820-H820)/H820,0)</f>
        <v>0.0152170210004623</v>
      </c>
      <c r="N820" s="16" t="n">
        <f aca="false">G820*I820</f>
        <v>244060.05</v>
      </c>
    </row>
    <row r="821" customFormat="false" ht="15" hidden="false" customHeight="true" outlineLevel="0" collapsed="false">
      <c r="A821" s="4" t="s">
        <v>997</v>
      </c>
      <c r="B821" s="4" t="s">
        <v>93</v>
      </c>
      <c r="C821" s="13" t="n">
        <v>45014</v>
      </c>
      <c r="D821" s="13" t="n">
        <v>45023</v>
      </c>
      <c r="E821" s="13" t="n">
        <v>45028</v>
      </c>
      <c r="F821" s="4" t="n">
        <v>818</v>
      </c>
      <c r="G821" s="4" t="n">
        <v>785</v>
      </c>
      <c r="H821" s="4" t="n">
        <v>174.25</v>
      </c>
      <c r="I821" s="4" t="n">
        <v>175.07</v>
      </c>
      <c r="J821" s="14" t="n">
        <f aca="false">E821-D821</f>
        <v>5</v>
      </c>
      <c r="K821" s="14" t="n">
        <f aca="false">IF(J821&lt;=0,1,0)</f>
        <v>0</v>
      </c>
      <c r="L821" s="15" t="n">
        <f aca="false">IFERROR(G821/F821,0)</f>
        <v>0.959657701711492</v>
      </c>
      <c r="M821" s="15" t="n">
        <f aca="false">IFERROR((I821-H821)/H821,0)</f>
        <v>0.00470588235294114</v>
      </c>
      <c r="N821" s="16" t="n">
        <f aca="false">G821*I821</f>
        <v>137429.95</v>
      </c>
    </row>
    <row r="822" customFormat="false" ht="15" hidden="false" customHeight="true" outlineLevel="0" collapsed="false">
      <c r="A822" s="4" t="s">
        <v>998</v>
      </c>
      <c r="B822" s="4" t="s">
        <v>163</v>
      </c>
      <c r="C822" s="13" t="n">
        <v>45177</v>
      </c>
      <c r="D822" s="13" t="n">
        <v>45197</v>
      </c>
      <c r="E822" s="13" t="n">
        <v>45194</v>
      </c>
      <c r="F822" s="4" t="n">
        <v>270</v>
      </c>
      <c r="G822" s="4" t="n">
        <v>267</v>
      </c>
      <c r="H822" s="4" t="n">
        <v>482.79</v>
      </c>
      <c r="I822" s="4" t="n">
        <v>488.39</v>
      </c>
      <c r="J822" s="14" t="n">
        <f aca="false">E822-D822</f>
        <v>-3</v>
      </c>
      <c r="K822" s="14" t="n">
        <f aca="false">IF(J822&lt;=0,1,0)</f>
        <v>1</v>
      </c>
      <c r="L822" s="15" t="n">
        <f aca="false">IFERROR(G822/F822,0)</f>
        <v>0.988888888888889</v>
      </c>
      <c r="M822" s="15" t="n">
        <f aca="false">IFERROR((I822-H822)/H822,0)</f>
        <v>0.0115992460490067</v>
      </c>
      <c r="N822" s="16" t="n">
        <f aca="false">G822*I822</f>
        <v>130400.13</v>
      </c>
    </row>
    <row r="823" customFormat="false" ht="15" hidden="false" customHeight="true" outlineLevel="0" collapsed="false">
      <c r="A823" s="4" t="s">
        <v>999</v>
      </c>
      <c r="B823" s="4" t="s">
        <v>85</v>
      </c>
      <c r="C823" s="13" t="n">
        <v>45369</v>
      </c>
      <c r="D823" s="13" t="n">
        <v>45381</v>
      </c>
      <c r="E823" s="13" t="n">
        <v>45378</v>
      </c>
      <c r="F823" s="4" t="n">
        <v>862</v>
      </c>
      <c r="G823" s="4" t="n">
        <v>813</v>
      </c>
      <c r="H823" s="4" t="n">
        <v>241.88</v>
      </c>
      <c r="I823" s="4" t="n">
        <v>236.18</v>
      </c>
      <c r="J823" s="14" t="n">
        <f aca="false">E823-D823</f>
        <v>-3</v>
      </c>
      <c r="K823" s="14" t="n">
        <f aca="false">IF(J823&lt;=0,1,0)</f>
        <v>1</v>
      </c>
      <c r="L823" s="15" t="n">
        <f aca="false">IFERROR(G823/F823,0)</f>
        <v>0.943155452436195</v>
      </c>
      <c r="M823" s="15" t="n">
        <f aca="false">IFERROR((I823-H823)/H823,0)</f>
        <v>-0.0235654043327269</v>
      </c>
      <c r="N823" s="16" t="n">
        <f aca="false">G823*I823</f>
        <v>192014.34</v>
      </c>
    </row>
    <row r="824" customFormat="false" ht="15" hidden="false" customHeight="true" outlineLevel="0" collapsed="false">
      <c r="A824" s="4" t="s">
        <v>1000</v>
      </c>
      <c r="B824" s="4" t="s">
        <v>58</v>
      </c>
      <c r="C824" s="13" t="n">
        <v>45205</v>
      </c>
      <c r="D824" s="13" t="n">
        <v>45218</v>
      </c>
      <c r="E824" s="13" t="n">
        <v>45218</v>
      </c>
      <c r="F824" s="4" t="n">
        <v>106</v>
      </c>
      <c r="G824" s="4" t="n">
        <v>106</v>
      </c>
      <c r="H824" s="4" t="n">
        <v>135.68</v>
      </c>
      <c r="I824" s="4" t="n">
        <v>139.39</v>
      </c>
      <c r="J824" s="14" t="n">
        <f aca="false">E824-D824</f>
        <v>0</v>
      </c>
      <c r="K824" s="14" t="n">
        <f aca="false">IF(J824&lt;=0,1,0)</f>
        <v>1</v>
      </c>
      <c r="L824" s="15" t="n">
        <f aca="false">IFERROR(G824/F824,0)</f>
        <v>1</v>
      </c>
      <c r="M824" s="15" t="n">
        <f aca="false">IFERROR((I824-H824)/H824,0)</f>
        <v>0.0273437499999998</v>
      </c>
      <c r="N824" s="16" t="n">
        <f aca="false">G824*I824</f>
        <v>14775.34</v>
      </c>
    </row>
    <row r="825" customFormat="false" ht="15" hidden="false" customHeight="true" outlineLevel="0" collapsed="false">
      <c r="A825" s="4" t="s">
        <v>1001</v>
      </c>
      <c r="B825" s="4" t="s">
        <v>143</v>
      </c>
      <c r="C825" s="13" t="n">
        <v>45499</v>
      </c>
      <c r="D825" s="13" t="n">
        <v>45507</v>
      </c>
      <c r="E825" s="13" t="n">
        <v>45523</v>
      </c>
      <c r="F825" s="4" t="n">
        <v>1364</v>
      </c>
      <c r="G825" s="4" t="n">
        <v>1291</v>
      </c>
      <c r="H825" s="4" t="n">
        <v>20.6</v>
      </c>
      <c r="I825" s="4" t="n">
        <v>21.78</v>
      </c>
      <c r="J825" s="14" t="n">
        <f aca="false">E825-D825</f>
        <v>16</v>
      </c>
      <c r="K825" s="14" t="n">
        <f aca="false">IF(J825&lt;=0,1,0)</f>
        <v>0</v>
      </c>
      <c r="L825" s="15" t="n">
        <f aca="false">IFERROR(G825/F825,0)</f>
        <v>0.946480938416422</v>
      </c>
      <c r="M825" s="15" t="n">
        <f aca="false">IFERROR((I825-H825)/H825,0)</f>
        <v>0.0572815533980582</v>
      </c>
      <c r="N825" s="16" t="n">
        <f aca="false">G825*I825</f>
        <v>28117.98</v>
      </c>
    </row>
    <row r="826" customFormat="false" ht="15" hidden="false" customHeight="true" outlineLevel="0" collapsed="false">
      <c r="A826" s="4" t="s">
        <v>1002</v>
      </c>
      <c r="B826" s="4" t="s">
        <v>70</v>
      </c>
      <c r="C826" s="13" t="n">
        <v>45009</v>
      </c>
      <c r="D826" s="13" t="n">
        <v>45016</v>
      </c>
      <c r="E826" s="13" t="n">
        <v>45018</v>
      </c>
      <c r="F826" s="4" t="n">
        <v>1743</v>
      </c>
      <c r="G826" s="4" t="n">
        <v>1564</v>
      </c>
      <c r="H826" s="4" t="n">
        <v>35.88</v>
      </c>
      <c r="I826" s="4" t="n">
        <v>36.9</v>
      </c>
      <c r="J826" s="14" t="n">
        <f aca="false">E826-D826</f>
        <v>2</v>
      </c>
      <c r="K826" s="14" t="n">
        <f aca="false">IF(J826&lt;=0,1,0)</f>
        <v>0</v>
      </c>
      <c r="L826" s="15" t="n">
        <f aca="false">IFERROR(G826/F826,0)</f>
        <v>0.897303499713138</v>
      </c>
      <c r="M826" s="15" t="n">
        <f aca="false">IFERROR((I826-H826)/H826,0)</f>
        <v>0.0284280936454848</v>
      </c>
      <c r="N826" s="16" t="n">
        <f aca="false">G826*I826</f>
        <v>57711.6</v>
      </c>
    </row>
    <row r="827" customFormat="false" ht="15" hidden="false" customHeight="true" outlineLevel="0" collapsed="false">
      <c r="A827" s="4" t="s">
        <v>1003</v>
      </c>
      <c r="B827" s="4" t="s">
        <v>41</v>
      </c>
      <c r="C827" s="13" t="n">
        <v>45054</v>
      </c>
      <c r="D827" s="13" t="n">
        <v>45061</v>
      </c>
      <c r="E827" s="13" t="n">
        <v>45059</v>
      </c>
      <c r="F827" s="4" t="n">
        <v>2610</v>
      </c>
      <c r="G827" s="4" t="n">
        <v>2610</v>
      </c>
      <c r="H827" s="4" t="n">
        <v>45.51</v>
      </c>
      <c r="I827" s="4" t="n">
        <v>44.55</v>
      </c>
      <c r="J827" s="14" t="n">
        <f aca="false">E827-D827</f>
        <v>-2</v>
      </c>
      <c r="K827" s="14" t="n">
        <f aca="false">IF(J827&lt;=0,1,0)</f>
        <v>1</v>
      </c>
      <c r="L827" s="15" t="n">
        <f aca="false">IFERROR(G827/F827,0)</f>
        <v>1</v>
      </c>
      <c r="M827" s="15" t="n">
        <f aca="false">IFERROR((I827-H827)/H827,0)</f>
        <v>-0.021094264996704</v>
      </c>
      <c r="N827" s="16" t="n">
        <f aca="false">G827*I827</f>
        <v>116275.5</v>
      </c>
    </row>
    <row r="828" customFormat="false" ht="15" hidden="false" customHeight="true" outlineLevel="0" collapsed="false">
      <c r="A828" s="4" t="s">
        <v>1004</v>
      </c>
      <c r="B828" s="4" t="s">
        <v>43</v>
      </c>
      <c r="C828" s="13" t="n">
        <v>44993</v>
      </c>
      <c r="D828" s="13" t="n">
        <v>45012</v>
      </c>
      <c r="E828" s="13" t="n">
        <v>45012</v>
      </c>
      <c r="F828" s="4" t="n">
        <v>257</v>
      </c>
      <c r="G828" s="4" t="n">
        <v>257</v>
      </c>
      <c r="H828" s="4" t="n">
        <v>1321.6</v>
      </c>
      <c r="I828" s="4" t="n">
        <v>1297.06</v>
      </c>
      <c r="J828" s="14" t="n">
        <f aca="false">E828-D828</f>
        <v>0</v>
      </c>
      <c r="K828" s="14" t="n">
        <f aca="false">IF(J828&lt;=0,1,0)</f>
        <v>1</v>
      </c>
      <c r="L828" s="15" t="n">
        <f aca="false">IFERROR(G828/F828,0)</f>
        <v>1</v>
      </c>
      <c r="M828" s="15" t="n">
        <f aca="false">IFERROR((I828-H828)/H828,0)</f>
        <v>-0.018568401937046</v>
      </c>
      <c r="N828" s="16" t="n">
        <f aca="false">G828*I828</f>
        <v>333344.42</v>
      </c>
    </row>
    <row r="829" customFormat="false" ht="15" hidden="false" customHeight="true" outlineLevel="0" collapsed="false">
      <c r="A829" s="4" t="s">
        <v>1005</v>
      </c>
      <c r="B829" s="4" t="s">
        <v>163</v>
      </c>
      <c r="C829" s="13" t="n">
        <v>45420</v>
      </c>
      <c r="D829" s="13" t="n">
        <v>45438</v>
      </c>
      <c r="E829" s="13" t="n">
        <v>45439</v>
      </c>
      <c r="F829" s="4" t="n">
        <v>478</v>
      </c>
      <c r="G829" s="4" t="n">
        <v>452</v>
      </c>
      <c r="H829" s="4" t="n">
        <v>482.79</v>
      </c>
      <c r="I829" s="4" t="n">
        <v>490.83</v>
      </c>
      <c r="J829" s="14" t="n">
        <f aca="false">E829-D829</f>
        <v>1</v>
      </c>
      <c r="K829" s="14" t="n">
        <f aca="false">IF(J829&lt;=0,1,0)</f>
        <v>0</v>
      </c>
      <c r="L829" s="15" t="n">
        <f aca="false">IFERROR(G829/F829,0)</f>
        <v>0.94560669456067</v>
      </c>
      <c r="M829" s="15" t="n">
        <f aca="false">IFERROR((I829-H829)/H829,0)</f>
        <v>0.016653203256074</v>
      </c>
      <c r="N829" s="16" t="n">
        <f aca="false">G829*I829</f>
        <v>221855.16</v>
      </c>
    </row>
    <row r="830" customFormat="false" ht="15" hidden="false" customHeight="true" outlineLevel="0" collapsed="false">
      <c r="A830" s="4" t="s">
        <v>1006</v>
      </c>
      <c r="B830" s="4" t="s">
        <v>135</v>
      </c>
      <c r="C830" s="13" t="n">
        <v>45319</v>
      </c>
      <c r="D830" s="13" t="n">
        <v>45333</v>
      </c>
      <c r="E830" s="13" t="n">
        <v>45336</v>
      </c>
      <c r="F830" s="4" t="n">
        <v>113</v>
      </c>
      <c r="G830" s="4" t="n">
        <v>111</v>
      </c>
      <c r="H830" s="4" t="n">
        <v>328.06</v>
      </c>
      <c r="I830" s="4" t="n">
        <v>323.66</v>
      </c>
      <c r="J830" s="14" t="n">
        <f aca="false">E830-D830</f>
        <v>3</v>
      </c>
      <c r="K830" s="14" t="n">
        <f aca="false">IF(J830&lt;=0,1,0)</f>
        <v>0</v>
      </c>
      <c r="L830" s="15" t="n">
        <f aca="false">IFERROR(G830/F830,0)</f>
        <v>0.982300884955752</v>
      </c>
      <c r="M830" s="15" t="n">
        <f aca="false">IFERROR((I830-H830)/H830,0)</f>
        <v>-0.0134121806986526</v>
      </c>
      <c r="N830" s="16" t="n">
        <f aca="false">G830*I830</f>
        <v>35926.26</v>
      </c>
    </row>
    <row r="831" customFormat="false" ht="15" hidden="false" customHeight="true" outlineLevel="0" collapsed="false">
      <c r="A831" s="4" t="s">
        <v>1007</v>
      </c>
      <c r="B831" s="4" t="s">
        <v>93</v>
      </c>
      <c r="C831" s="13" t="n">
        <v>45435</v>
      </c>
      <c r="D831" s="13" t="n">
        <v>45446</v>
      </c>
      <c r="E831" s="13" t="n">
        <v>45449</v>
      </c>
      <c r="F831" s="4" t="n">
        <v>205</v>
      </c>
      <c r="G831" s="4" t="n">
        <v>197</v>
      </c>
      <c r="H831" s="4" t="n">
        <v>174.25</v>
      </c>
      <c r="I831" s="4" t="n">
        <v>187.03</v>
      </c>
      <c r="J831" s="14" t="n">
        <f aca="false">E831-D831</f>
        <v>3</v>
      </c>
      <c r="K831" s="14" t="n">
        <f aca="false">IF(J831&lt;=0,1,0)</f>
        <v>0</v>
      </c>
      <c r="L831" s="15" t="n">
        <f aca="false">IFERROR(G831/F831,0)</f>
        <v>0.960975609756098</v>
      </c>
      <c r="M831" s="15" t="n">
        <f aca="false">IFERROR((I831-H831)/H831,0)</f>
        <v>0.0733428981348637</v>
      </c>
      <c r="N831" s="16" t="n">
        <f aca="false">G831*I831</f>
        <v>36844.91</v>
      </c>
    </row>
    <row r="832" customFormat="false" ht="15" hidden="false" customHeight="true" outlineLevel="0" collapsed="false">
      <c r="A832" s="4" t="s">
        <v>1008</v>
      </c>
      <c r="B832" s="4" t="s">
        <v>149</v>
      </c>
      <c r="C832" s="13" t="n">
        <v>45100</v>
      </c>
      <c r="D832" s="13" t="n">
        <v>45104</v>
      </c>
      <c r="E832" s="13" t="n">
        <v>45108</v>
      </c>
      <c r="F832" s="4" t="n">
        <v>6</v>
      </c>
      <c r="G832" s="4" t="n">
        <v>6</v>
      </c>
      <c r="H832" s="4" t="n">
        <v>1458.52</v>
      </c>
      <c r="I832" s="4" t="n">
        <v>1479.16</v>
      </c>
      <c r="J832" s="14" t="n">
        <f aca="false">E832-D832</f>
        <v>4</v>
      </c>
      <c r="K832" s="14" t="n">
        <f aca="false">IF(J832&lt;=0,1,0)</f>
        <v>0</v>
      </c>
      <c r="L832" s="15" t="n">
        <f aca="false">IFERROR(G832/F832,0)</f>
        <v>1</v>
      </c>
      <c r="M832" s="15" t="n">
        <f aca="false">IFERROR((I832-H832)/H832,0)</f>
        <v>0.0141513314867126</v>
      </c>
      <c r="N832" s="16" t="n">
        <f aca="false">G832*I832</f>
        <v>8874.96</v>
      </c>
    </row>
    <row r="833" customFormat="false" ht="15" hidden="false" customHeight="true" outlineLevel="0" collapsed="false">
      <c r="A833" s="4" t="s">
        <v>1009</v>
      </c>
      <c r="B833" s="4" t="s">
        <v>145</v>
      </c>
      <c r="C833" s="13" t="n">
        <v>45217</v>
      </c>
      <c r="D833" s="13" t="n">
        <v>45228</v>
      </c>
      <c r="E833" s="13" t="n">
        <v>45233</v>
      </c>
      <c r="F833" s="4" t="n">
        <v>958</v>
      </c>
      <c r="G833" s="4" t="n">
        <v>883</v>
      </c>
      <c r="H833" s="4" t="n">
        <v>237.04</v>
      </c>
      <c r="I833" s="4" t="n">
        <v>251.27</v>
      </c>
      <c r="J833" s="14" t="n">
        <f aca="false">E833-D833</f>
        <v>5</v>
      </c>
      <c r="K833" s="14" t="n">
        <f aca="false">IF(J833&lt;=0,1,0)</f>
        <v>0</v>
      </c>
      <c r="L833" s="15" t="n">
        <f aca="false">IFERROR(G833/F833,0)</f>
        <v>0.921711899791232</v>
      </c>
      <c r="M833" s="15" t="n">
        <f aca="false">IFERROR((I833-H833)/H833,0)</f>
        <v>0.0600320620992238</v>
      </c>
      <c r="N833" s="16" t="n">
        <f aca="false">G833*I833</f>
        <v>221871.41</v>
      </c>
    </row>
    <row r="834" customFormat="false" ht="15" hidden="false" customHeight="true" outlineLevel="0" collapsed="false">
      <c r="A834" s="4" t="s">
        <v>1010</v>
      </c>
      <c r="B834" s="4" t="s">
        <v>135</v>
      </c>
      <c r="C834" s="13" t="n">
        <v>44986</v>
      </c>
      <c r="D834" s="13" t="n">
        <v>44999</v>
      </c>
      <c r="E834" s="13" t="n">
        <v>45000</v>
      </c>
      <c r="F834" s="4" t="n">
        <v>161</v>
      </c>
      <c r="G834" s="4" t="n">
        <v>158</v>
      </c>
      <c r="H834" s="4" t="n">
        <v>328.06</v>
      </c>
      <c r="I834" s="4" t="n">
        <v>320.91</v>
      </c>
      <c r="J834" s="14" t="n">
        <f aca="false">E834-D834</f>
        <v>1</v>
      </c>
      <c r="K834" s="14" t="n">
        <f aca="false">IF(J834&lt;=0,1,0)</f>
        <v>0</v>
      </c>
      <c r="L834" s="15" t="n">
        <f aca="false">IFERROR(G834/F834,0)</f>
        <v>0.981366459627329</v>
      </c>
      <c r="M834" s="15" t="n">
        <f aca="false">IFERROR((I834-H834)/H834,0)</f>
        <v>-0.0217947936353105</v>
      </c>
      <c r="N834" s="16" t="n">
        <f aca="false">G834*I834</f>
        <v>50703.78</v>
      </c>
    </row>
    <row r="835" customFormat="false" ht="15" hidden="false" customHeight="true" outlineLevel="0" collapsed="false">
      <c r="A835" s="4" t="s">
        <v>1011</v>
      </c>
      <c r="B835" s="4" t="s">
        <v>58</v>
      </c>
      <c r="C835" s="13" t="n">
        <v>45111</v>
      </c>
      <c r="D835" s="13" t="n">
        <v>45123</v>
      </c>
      <c r="E835" s="13" t="n">
        <v>45125</v>
      </c>
      <c r="F835" s="4" t="n">
        <v>223</v>
      </c>
      <c r="G835" s="4" t="n">
        <v>223</v>
      </c>
      <c r="H835" s="4" t="n">
        <v>135.68</v>
      </c>
      <c r="I835" s="4" t="n">
        <v>138.52</v>
      </c>
      <c r="J835" s="14" t="n">
        <f aca="false">E835-D835</f>
        <v>2</v>
      </c>
      <c r="K835" s="14" t="n">
        <f aca="false">IF(J835&lt;=0,1,0)</f>
        <v>0</v>
      </c>
      <c r="L835" s="15" t="n">
        <f aca="false">IFERROR(G835/F835,0)</f>
        <v>1</v>
      </c>
      <c r="M835" s="15" t="n">
        <f aca="false">IFERROR((I835-H835)/H835,0)</f>
        <v>0.0209316037735849</v>
      </c>
      <c r="N835" s="16" t="n">
        <f aca="false">G835*I835</f>
        <v>30889.96</v>
      </c>
    </row>
    <row r="836" customFormat="false" ht="15" hidden="false" customHeight="true" outlineLevel="0" collapsed="false">
      <c r="A836" s="4" t="s">
        <v>1012</v>
      </c>
      <c r="B836" s="4" t="s">
        <v>83</v>
      </c>
      <c r="C836" s="13" t="n">
        <v>45332</v>
      </c>
      <c r="D836" s="13" t="n">
        <v>45343</v>
      </c>
      <c r="E836" s="13" t="n">
        <v>45345</v>
      </c>
      <c r="F836" s="4" t="n">
        <v>877</v>
      </c>
      <c r="G836" s="4" t="n">
        <v>877</v>
      </c>
      <c r="H836" s="4" t="n">
        <v>101.36</v>
      </c>
      <c r="I836" s="4" t="n">
        <v>103.54</v>
      </c>
      <c r="J836" s="14" t="n">
        <f aca="false">E836-D836</f>
        <v>2</v>
      </c>
      <c r="K836" s="14" t="n">
        <f aca="false">IF(J836&lt;=0,1,0)</f>
        <v>0</v>
      </c>
      <c r="L836" s="15" t="n">
        <f aca="false">IFERROR(G836/F836,0)</f>
        <v>1</v>
      </c>
      <c r="M836" s="15" t="n">
        <f aca="false">IFERROR((I836-H836)/H836,0)</f>
        <v>0.0215074980268351</v>
      </c>
      <c r="N836" s="16" t="n">
        <f aca="false">G836*I836</f>
        <v>90804.58</v>
      </c>
    </row>
    <row r="837" customFormat="false" ht="15" hidden="false" customHeight="true" outlineLevel="0" collapsed="false">
      <c r="A837" s="4" t="s">
        <v>1013</v>
      </c>
      <c r="B837" s="4" t="s">
        <v>133</v>
      </c>
      <c r="C837" s="13" t="n">
        <v>45020</v>
      </c>
      <c r="D837" s="13" t="n">
        <v>45032</v>
      </c>
      <c r="E837" s="13" t="n">
        <v>45036</v>
      </c>
      <c r="F837" s="4" t="n">
        <v>582</v>
      </c>
      <c r="G837" s="4" t="n">
        <v>556</v>
      </c>
      <c r="H837" s="4" t="n">
        <v>138.21</v>
      </c>
      <c r="I837" s="4" t="n">
        <v>139.27</v>
      </c>
      <c r="J837" s="14" t="n">
        <f aca="false">E837-D837</f>
        <v>4</v>
      </c>
      <c r="K837" s="14" t="n">
        <f aca="false">IF(J837&lt;=0,1,0)</f>
        <v>0</v>
      </c>
      <c r="L837" s="15" t="n">
        <f aca="false">IFERROR(G837/F837,0)</f>
        <v>0.9553264604811</v>
      </c>
      <c r="M837" s="15" t="n">
        <f aca="false">IFERROR((I837-H837)/H837,0)</f>
        <v>0.00766948845959049</v>
      </c>
      <c r="N837" s="16" t="n">
        <f aca="false">G837*I837</f>
        <v>77434.12</v>
      </c>
    </row>
    <row r="838" customFormat="false" ht="15" hidden="false" customHeight="true" outlineLevel="0" collapsed="false">
      <c r="A838" s="4" t="s">
        <v>1014</v>
      </c>
      <c r="B838" s="4" t="s">
        <v>163</v>
      </c>
      <c r="C838" s="13" t="n">
        <v>45179</v>
      </c>
      <c r="D838" s="13" t="n">
        <v>45198</v>
      </c>
      <c r="E838" s="13" t="n">
        <v>45194</v>
      </c>
      <c r="F838" s="4" t="n">
        <v>316</v>
      </c>
      <c r="G838" s="4" t="n">
        <v>315</v>
      </c>
      <c r="H838" s="4" t="n">
        <v>482.79</v>
      </c>
      <c r="I838" s="4" t="n">
        <v>498.39</v>
      </c>
      <c r="J838" s="14" t="n">
        <f aca="false">E838-D838</f>
        <v>-4</v>
      </c>
      <c r="K838" s="14" t="n">
        <f aca="false">IF(J838&lt;=0,1,0)</f>
        <v>1</v>
      </c>
      <c r="L838" s="15" t="n">
        <f aca="false">IFERROR(G838/F838,0)</f>
        <v>0.996835443037975</v>
      </c>
      <c r="M838" s="15" t="n">
        <f aca="false">IFERROR((I838-H838)/H838,0)</f>
        <v>0.0323121854222332</v>
      </c>
      <c r="N838" s="16" t="n">
        <f aca="false">G838*I838</f>
        <v>156992.85</v>
      </c>
    </row>
    <row r="839" customFormat="false" ht="15" hidden="false" customHeight="true" outlineLevel="0" collapsed="false">
      <c r="A839" s="4" t="s">
        <v>1015</v>
      </c>
      <c r="B839" s="4" t="s">
        <v>43</v>
      </c>
      <c r="C839" s="13" t="n">
        <v>45207</v>
      </c>
      <c r="D839" s="13" t="n">
        <v>45224</v>
      </c>
      <c r="E839" s="13" t="n">
        <v>45225</v>
      </c>
      <c r="F839" s="4" t="n">
        <v>230</v>
      </c>
      <c r="G839" s="4" t="n">
        <v>230</v>
      </c>
      <c r="H839" s="4" t="n">
        <v>1321.6</v>
      </c>
      <c r="I839" s="4" t="n">
        <v>1329.75</v>
      </c>
      <c r="J839" s="14" t="n">
        <f aca="false">E839-D839</f>
        <v>1</v>
      </c>
      <c r="K839" s="14" t="n">
        <f aca="false">IF(J839&lt;=0,1,0)</f>
        <v>0</v>
      </c>
      <c r="L839" s="15" t="n">
        <f aca="false">IFERROR(G839/F839,0)</f>
        <v>1</v>
      </c>
      <c r="M839" s="15" t="n">
        <f aca="false">IFERROR((I839-H839)/H839,0)</f>
        <v>0.00616676755447949</v>
      </c>
      <c r="N839" s="16" t="n">
        <f aca="false">G839*I839</f>
        <v>305842.5</v>
      </c>
    </row>
    <row r="840" customFormat="false" ht="15" hidden="false" customHeight="true" outlineLevel="0" collapsed="false">
      <c r="A840" s="4" t="s">
        <v>1016</v>
      </c>
      <c r="B840" s="4" t="s">
        <v>159</v>
      </c>
      <c r="C840" s="13" t="n">
        <v>44938</v>
      </c>
      <c r="D840" s="13" t="n">
        <v>44944</v>
      </c>
      <c r="E840" s="13" t="n">
        <v>44948</v>
      </c>
      <c r="F840" s="4" t="n">
        <v>2968</v>
      </c>
      <c r="G840" s="4" t="n">
        <v>2968</v>
      </c>
      <c r="H840" s="4" t="n">
        <v>32.91</v>
      </c>
      <c r="I840" s="4" t="n">
        <v>32.86</v>
      </c>
      <c r="J840" s="14" t="n">
        <f aca="false">E840-D840</f>
        <v>4</v>
      </c>
      <c r="K840" s="14" t="n">
        <f aca="false">IF(J840&lt;=0,1,0)</f>
        <v>0</v>
      </c>
      <c r="L840" s="15" t="n">
        <f aca="false">IFERROR(G840/F840,0)</f>
        <v>1</v>
      </c>
      <c r="M840" s="15" t="n">
        <f aca="false">IFERROR((I840-H840)/H840,0)</f>
        <v>-0.00151929504709806</v>
      </c>
      <c r="N840" s="16" t="n">
        <f aca="false">G840*I840</f>
        <v>97528.48</v>
      </c>
    </row>
    <row r="841" customFormat="false" ht="15" hidden="false" customHeight="true" outlineLevel="0" collapsed="false">
      <c r="A841" s="4" t="s">
        <v>1017</v>
      </c>
      <c r="B841" s="4" t="s">
        <v>113</v>
      </c>
      <c r="C841" s="13" t="n">
        <v>45433</v>
      </c>
      <c r="D841" s="13" t="n">
        <v>45442</v>
      </c>
      <c r="E841" s="13" t="n">
        <v>45444</v>
      </c>
      <c r="F841" s="4" t="n">
        <v>522</v>
      </c>
      <c r="G841" s="4" t="n">
        <v>516</v>
      </c>
      <c r="H841" s="4" t="n">
        <v>170.42</v>
      </c>
      <c r="I841" s="4" t="n">
        <v>173.37</v>
      </c>
      <c r="J841" s="14" t="n">
        <f aca="false">E841-D841</f>
        <v>2</v>
      </c>
      <c r="K841" s="14" t="n">
        <f aca="false">IF(J841&lt;=0,1,0)</f>
        <v>0</v>
      </c>
      <c r="L841" s="15" t="n">
        <f aca="false">IFERROR(G841/F841,0)</f>
        <v>0.988505747126437</v>
      </c>
      <c r="M841" s="15" t="n">
        <f aca="false">IFERROR((I841-H841)/H841,0)</f>
        <v>0.0173101748621055</v>
      </c>
      <c r="N841" s="16" t="n">
        <f aca="false">G841*I841</f>
        <v>89458.92</v>
      </c>
    </row>
    <row r="842" customFormat="false" ht="15" hidden="false" customHeight="true" outlineLevel="0" collapsed="false">
      <c r="A842" s="4" t="s">
        <v>1018</v>
      </c>
      <c r="B842" s="4" t="s">
        <v>139</v>
      </c>
      <c r="C842" s="13" t="n">
        <v>45055</v>
      </c>
      <c r="D842" s="13" t="n">
        <v>45067</v>
      </c>
      <c r="E842" s="13" t="n">
        <v>45069</v>
      </c>
      <c r="F842" s="4" t="n">
        <v>545</v>
      </c>
      <c r="G842" s="4" t="n">
        <v>487</v>
      </c>
      <c r="H842" s="4" t="n">
        <v>207.64</v>
      </c>
      <c r="I842" s="4" t="n">
        <v>211.41</v>
      </c>
      <c r="J842" s="14" t="n">
        <f aca="false">E842-D842</f>
        <v>2</v>
      </c>
      <c r="K842" s="14" t="n">
        <f aca="false">IF(J842&lt;=0,1,0)</f>
        <v>0</v>
      </c>
      <c r="L842" s="15" t="n">
        <f aca="false">IFERROR(G842/F842,0)</f>
        <v>0.893577981651376</v>
      </c>
      <c r="M842" s="15" t="n">
        <f aca="false">IFERROR((I842-H842)/H842,0)</f>
        <v>0.0181564245810056</v>
      </c>
      <c r="N842" s="16" t="n">
        <f aca="false">G842*I842</f>
        <v>102956.67</v>
      </c>
    </row>
    <row r="843" customFormat="false" ht="15" hidden="false" customHeight="true" outlineLevel="0" collapsed="false">
      <c r="A843" s="4" t="s">
        <v>1019</v>
      </c>
      <c r="B843" s="4" t="s">
        <v>159</v>
      </c>
      <c r="C843" s="13" t="n">
        <v>45111</v>
      </c>
      <c r="D843" s="13" t="n">
        <v>45118</v>
      </c>
      <c r="E843" s="13" t="n">
        <v>45116</v>
      </c>
      <c r="F843" s="4" t="n">
        <v>1430</v>
      </c>
      <c r="G843" s="4" t="n">
        <v>1419</v>
      </c>
      <c r="H843" s="4" t="n">
        <v>32.91</v>
      </c>
      <c r="I843" s="4" t="n">
        <v>32.67</v>
      </c>
      <c r="J843" s="14" t="n">
        <f aca="false">E843-D843</f>
        <v>-2</v>
      </c>
      <c r="K843" s="14" t="n">
        <f aca="false">IF(J843&lt;=0,1,0)</f>
        <v>1</v>
      </c>
      <c r="L843" s="15" t="n">
        <f aca="false">IFERROR(G843/F843,0)</f>
        <v>0.992307692307692</v>
      </c>
      <c r="M843" s="15" t="n">
        <f aca="false">IFERROR((I843-H843)/H843,0)</f>
        <v>-0.00729261622607095</v>
      </c>
      <c r="N843" s="16" t="n">
        <f aca="false">G843*I843</f>
        <v>46358.73</v>
      </c>
    </row>
    <row r="844" customFormat="false" ht="15" hidden="false" customHeight="true" outlineLevel="0" collapsed="false">
      <c r="A844" s="4" t="s">
        <v>1020</v>
      </c>
      <c r="B844" s="4" t="s">
        <v>145</v>
      </c>
      <c r="C844" s="13" t="n">
        <v>45223</v>
      </c>
      <c r="D844" s="13" t="n">
        <v>45233</v>
      </c>
      <c r="E844" s="13" t="n">
        <v>45236</v>
      </c>
      <c r="F844" s="4" t="n">
        <v>926</v>
      </c>
      <c r="G844" s="4" t="n">
        <v>862</v>
      </c>
      <c r="H844" s="4" t="n">
        <v>237.04</v>
      </c>
      <c r="I844" s="4" t="n">
        <v>246.14</v>
      </c>
      <c r="J844" s="14" t="n">
        <f aca="false">E844-D844</f>
        <v>3</v>
      </c>
      <c r="K844" s="14" t="n">
        <f aca="false">IF(J844&lt;=0,1,0)</f>
        <v>0</v>
      </c>
      <c r="L844" s="15" t="n">
        <f aca="false">IFERROR(G844/F844,0)</f>
        <v>0.930885529157667</v>
      </c>
      <c r="M844" s="15" t="n">
        <f aca="false">IFERROR((I844-H844)/H844,0)</f>
        <v>0.0383901451231859</v>
      </c>
      <c r="N844" s="16" t="n">
        <f aca="false">G844*I844</f>
        <v>212172.68</v>
      </c>
    </row>
    <row r="845" customFormat="false" ht="15" hidden="false" customHeight="true" outlineLevel="0" collapsed="false">
      <c r="A845" s="4" t="s">
        <v>1021</v>
      </c>
      <c r="B845" s="4" t="s">
        <v>127</v>
      </c>
      <c r="C845" s="13" t="n">
        <v>45367</v>
      </c>
      <c r="D845" s="13" t="n">
        <v>45371</v>
      </c>
      <c r="E845" s="13" t="n">
        <v>45371</v>
      </c>
      <c r="F845" s="4" t="n">
        <v>3</v>
      </c>
      <c r="G845" s="4" t="n">
        <v>3</v>
      </c>
      <c r="H845" s="4" t="n">
        <v>1881</v>
      </c>
      <c r="I845" s="4" t="n">
        <v>1792.47</v>
      </c>
      <c r="J845" s="14" t="n">
        <f aca="false">E845-D845</f>
        <v>0</v>
      </c>
      <c r="K845" s="14" t="n">
        <f aca="false">IF(J845&lt;=0,1,0)</f>
        <v>1</v>
      </c>
      <c r="L845" s="15" t="n">
        <f aca="false">IFERROR(G845/F845,0)</f>
        <v>1</v>
      </c>
      <c r="M845" s="15" t="n">
        <f aca="false">IFERROR((I845-H845)/H845,0)</f>
        <v>-0.0470653907496013</v>
      </c>
      <c r="N845" s="16" t="n">
        <f aca="false">G845*I845</f>
        <v>5377.41</v>
      </c>
    </row>
    <row r="846" customFormat="false" ht="15" hidden="false" customHeight="true" outlineLevel="0" collapsed="false">
      <c r="A846" s="4" t="s">
        <v>1022</v>
      </c>
      <c r="B846" s="4" t="s">
        <v>129</v>
      </c>
      <c r="C846" s="13" t="n">
        <v>44961</v>
      </c>
      <c r="D846" s="13" t="n">
        <v>44979</v>
      </c>
      <c r="E846" s="13" t="n">
        <v>44982</v>
      </c>
      <c r="F846" s="4" t="n">
        <v>319</v>
      </c>
      <c r="G846" s="4" t="n">
        <v>312</v>
      </c>
      <c r="H846" s="4" t="n">
        <v>709.66</v>
      </c>
      <c r="I846" s="4" t="n">
        <v>715.31</v>
      </c>
      <c r="J846" s="14" t="n">
        <f aca="false">E846-D846</f>
        <v>3</v>
      </c>
      <c r="K846" s="14" t="n">
        <f aca="false">IF(J846&lt;=0,1,0)</f>
        <v>0</v>
      </c>
      <c r="L846" s="15" t="n">
        <f aca="false">IFERROR(G846/F846,0)</f>
        <v>0.978056426332288</v>
      </c>
      <c r="M846" s="15" t="n">
        <f aca="false">IFERROR((I846-H846)/H846,0)</f>
        <v>0.00796155905644954</v>
      </c>
      <c r="N846" s="16" t="n">
        <f aca="false">G846*I846</f>
        <v>223176.72</v>
      </c>
    </row>
    <row r="847" customFormat="false" ht="15" hidden="false" customHeight="true" outlineLevel="0" collapsed="false">
      <c r="A847" s="4" t="s">
        <v>1023</v>
      </c>
      <c r="B847" s="4" t="s">
        <v>55</v>
      </c>
      <c r="C847" s="13" t="n">
        <v>45341</v>
      </c>
      <c r="D847" s="13" t="n">
        <v>45358</v>
      </c>
      <c r="E847" s="13" t="n">
        <v>45356</v>
      </c>
      <c r="F847" s="4" t="n">
        <v>479</v>
      </c>
      <c r="G847" s="4" t="n">
        <v>465</v>
      </c>
      <c r="H847" s="4" t="n">
        <v>598.09</v>
      </c>
      <c r="I847" s="4" t="n">
        <v>573.82</v>
      </c>
      <c r="J847" s="14" t="n">
        <f aca="false">E847-D847</f>
        <v>-2</v>
      </c>
      <c r="K847" s="14" t="n">
        <f aca="false">IF(J847&lt;=0,1,0)</f>
        <v>1</v>
      </c>
      <c r="L847" s="15" t="n">
        <f aca="false">IFERROR(G847/F847,0)</f>
        <v>0.970772442588727</v>
      </c>
      <c r="M847" s="15" t="n">
        <f aca="false">IFERROR((I847-H847)/H847,0)</f>
        <v>-0.0405791770469327</v>
      </c>
      <c r="N847" s="16" t="n">
        <f aca="false">G847*I847</f>
        <v>266826.3</v>
      </c>
    </row>
    <row r="848" customFormat="false" ht="15" hidden="false" customHeight="true" outlineLevel="0" collapsed="false">
      <c r="A848" s="4" t="s">
        <v>1024</v>
      </c>
      <c r="B848" s="4" t="s">
        <v>157</v>
      </c>
      <c r="C848" s="13" t="n">
        <v>45448</v>
      </c>
      <c r="D848" s="13" t="n">
        <v>45454</v>
      </c>
      <c r="E848" s="13" t="n">
        <v>45454</v>
      </c>
      <c r="F848" s="4" t="n">
        <v>858</v>
      </c>
      <c r="G848" s="4" t="n">
        <v>844</v>
      </c>
      <c r="H848" s="4" t="n">
        <v>13.1</v>
      </c>
      <c r="I848" s="4" t="n">
        <v>13.38</v>
      </c>
      <c r="J848" s="14" t="n">
        <f aca="false">E848-D848</f>
        <v>0</v>
      </c>
      <c r="K848" s="14" t="n">
        <f aca="false">IF(J848&lt;=0,1,0)</f>
        <v>1</v>
      </c>
      <c r="L848" s="15" t="n">
        <f aca="false">IFERROR(G848/F848,0)</f>
        <v>0.983682983682984</v>
      </c>
      <c r="M848" s="15" t="n">
        <f aca="false">IFERROR((I848-H848)/H848,0)</f>
        <v>0.0213740458015268</v>
      </c>
      <c r="N848" s="16" t="n">
        <f aca="false">G848*I848</f>
        <v>11292.72</v>
      </c>
    </row>
    <row r="849" customFormat="false" ht="15" hidden="false" customHeight="true" outlineLevel="0" collapsed="false">
      <c r="A849" s="4" t="s">
        <v>1025</v>
      </c>
      <c r="B849" s="4" t="s">
        <v>93</v>
      </c>
      <c r="C849" s="13" t="n">
        <v>45498</v>
      </c>
      <c r="D849" s="13" t="n">
        <v>45508</v>
      </c>
      <c r="E849" s="13" t="n">
        <v>45512</v>
      </c>
      <c r="F849" s="4" t="n">
        <v>1468</v>
      </c>
      <c r="G849" s="4" t="n">
        <v>1455</v>
      </c>
      <c r="H849" s="4" t="n">
        <v>174.25</v>
      </c>
      <c r="I849" s="4" t="n">
        <v>184.55</v>
      </c>
      <c r="J849" s="14" t="n">
        <f aca="false">E849-D849</f>
        <v>4</v>
      </c>
      <c r="K849" s="14" t="n">
        <f aca="false">IF(J849&lt;=0,1,0)</f>
        <v>0</v>
      </c>
      <c r="L849" s="15" t="n">
        <f aca="false">IFERROR(G849/F849,0)</f>
        <v>0.991144414168937</v>
      </c>
      <c r="M849" s="15" t="n">
        <f aca="false">IFERROR((I849-H849)/H849,0)</f>
        <v>0.0591104734576758</v>
      </c>
      <c r="N849" s="16" t="n">
        <f aca="false">G849*I849</f>
        <v>268520.25</v>
      </c>
    </row>
    <row r="850" customFormat="false" ht="15" hidden="false" customHeight="true" outlineLevel="0" collapsed="false">
      <c r="A850" s="4" t="s">
        <v>1026</v>
      </c>
      <c r="B850" s="4" t="s">
        <v>47</v>
      </c>
      <c r="C850" s="13" t="n">
        <v>45178</v>
      </c>
      <c r="D850" s="13" t="n">
        <v>45189</v>
      </c>
      <c r="E850" s="13" t="n">
        <v>45188</v>
      </c>
      <c r="F850" s="4" t="n">
        <v>992</v>
      </c>
      <c r="G850" s="4" t="n">
        <v>950</v>
      </c>
      <c r="H850" s="4" t="n">
        <v>228.68</v>
      </c>
      <c r="I850" s="4" t="n">
        <v>232.59</v>
      </c>
      <c r="J850" s="14" t="n">
        <f aca="false">E850-D850</f>
        <v>-1</v>
      </c>
      <c r="K850" s="14" t="n">
        <f aca="false">IF(J850&lt;=0,1,0)</f>
        <v>1</v>
      </c>
      <c r="L850" s="15" t="n">
        <f aca="false">IFERROR(G850/F850,0)</f>
        <v>0.957661290322581</v>
      </c>
      <c r="M850" s="15" t="n">
        <f aca="false">IFERROR((I850-H850)/H850,0)</f>
        <v>0.0170981283890152</v>
      </c>
      <c r="N850" s="16" t="n">
        <f aca="false">G850*I850</f>
        <v>220960.5</v>
      </c>
    </row>
    <row r="851" customFormat="false" ht="15" hidden="false" customHeight="true" outlineLevel="0" collapsed="false">
      <c r="A851" s="4" t="s">
        <v>1027</v>
      </c>
      <c r="B851" s="4" t="s">
        <v>32</v>
      </c>
      <c r="C851" s="13" t="n">
        <v>45030</v>
      </c>
      <c r="D851" s="13" t="n">
        <v>45038</v>
      </c>
      <c r="E851" s="13" t="n">
        <v>45039</v>
      </c>
      <c r="F851" s="4" t="n">
        <v>4826</v>
      </c>
      <c r="G851" s="4" t="n">
        <v>4233</v>
      </c>
      <c r="H851" s="4" t="n">
        <v>32.49</v>
      </c>
      <c r="I851" s="4" t="n">
        <v>32.34</v>
      </c>
      <c r="J851" s="14" t="n">
        <f aca="false">E851-D851</f>
        <v>1</v>
      </c>
      <c r="K851" s="14" t="n">
        <f aca="false">IF(J851&lt;=0,1,0)</f>
        <v>0</v>
      </c>
      <c r="L851" s="15" t="n">
        <f aca="false">IFERROR(G851/F851,0)</f>
        <v>0.877123912142561</v>
      </c>
      <c r="M851" s="15" t="n">
        <f aca="false">IFERROR((I851-H851)/H851,0)</f>
        <v>-0.00461680517082175</v>
      </c>
      <c r="N851" s="16" t="n">
        <f aca="false">G851*I851</f>
        <v>136895.22</v>
      </c>
    </row>
    <row r="852" customFormat="false" ht="15" hidden="false" customHeight="true" outlineLevel="0" collapsed="false">
      <c r="A852" s="4" t="s">
        <v>1028</v>
      </c>
      <c r="B852" s="4" t="s">
        <v>47</v>
      </c>
      <c r="C852" s="13" t="n">
        <v>45119</v>
      </c>
      <c r="D852" s="13" t="n">
        <v>45131</v>
      </c>
      <c r="E852" s="13" t="n">
        <v>45131</v>
      </c>
      <c r="F852" s="4" t="n">
        <v>1092</v>
      </c>
      <c r="G852" s="4" t="n">
        <v>1060</v>
      </c>
      <c r="H852" s="4" t="n">
        <v>228.68</v>
      </c>
      <c r="I852" s="4" t="n">
        <v>232.62</v>
      </c>
      <c r="J852" s="14" t="n">
        <f aca="false">E852-D852</f>
        <v>0</v>
      </c>
      <c r="K852" s="14" t="n">
        <f aca="false">IF(J852&lt;=0,1,0)</f>
        <v>1</v>
      </c>
      <c r="L852" s="15" t="n">
        <f aca="false">IFERROR(G852/F852,0)</f>
        <v>0.970695970695971</v>
      </c>
      <c r="M852" s="15" t="n">
        <f aca="false">IFERROR((I852-H852)/H852,0)</f>
        <v>0.0172293160748644</v>
      </c>
      <c r="N852" s="16" t="n">
        <f aca="false">G852*I852</f>
        <v>246577.2</v>
      </c>
    </row>
    <row r="853" customFormat="false" ht="15" hidden="false" customHeight="true" outlineLevel="0" collapsed="false">
      <c r="A853" s="4" t="s">
        <v>1029</v>
      </c>
      <c r="B853" s="4" t="s">
        <v>105</v>
      </c>
      <c r="C853" s="13" t="n">
        <v>45274</v>
      </c>
      <c r="D853" s="13" t="n">
        <v>45292</v>
      </c>
      <c r="E853" s="13" t="n">
        <v>45292</v>
      </c>
      <c r="F853" s="4" t="n">
        <v>355</v>
      </c>
      <c r="G853" s="4" t="n">
        <v>355</v>
      </c>
      <c r="H853" s="4" t="n">
        <v>685.84</v>
      </c>
      <c r="I853" s="4" t="n">
        <v>714.05</v>
      </c>
      <c r="J853" s="14" t="n">
        <f aca="false">E853-D853</f>
        <v>0</v>
      </c>
      <c r="K853" s="14" t="n">
        <f aca="false">IF(J853&lt;=0,1,0)</f>
        <v>1</v>
      </c>
      <c r="L853" s="15" t="n">
        <f aca="false">IFERROR(G853/F853,0)</f>
        <v>1</v>
      </c>
      <c r="M853" s="15" t="n">
        <f aca="false">IFERROR((I853-H853)/H853,0)</f>
        <v>0.0411320424588824</v>
      </c>
      <c r="N853" s="16" t="n">
        <f aca="false">G853*I853</f>
        <v>253487.75</v>
      </c>
    </row>
    <row r="854" customFormat="false" ht="15" hidden="false" customHeight="true" outlineLevel="0" collapsed="false">
      <c r="A854" s="4" t="s">
        <v>1030</v>
      </c>
      <c r="B854" s="4" t="s">
        <v>93</v>
      </c>
      <c r="C854" s="13" t="n">
        <v>45104</v>
      </c>
      <c r="D854" s="13" t="n">
        <v>45116</v>
      </c>
      <c r="E854" s="13" t="n">
        <v>45123</v>
      </c>
      <c r="F854" s="4" t="n">
        <v>875</v>
      </c>
      <c r="G854" s="4" t="n">
        <v>871</v>
      </c>
      <c r="H854" s="4" t="n">
        <v>174.25</v>
      </c>
      <c r="I854" s="4" t="n">
        <v>179.28</v>
      </c>
      <c r="J854" s="14" t="n">
        <f aca="false">E854-D854</f>
        <v>7</v>
      </c>
      <c r="K854" s="14" t="n">
        <f aca="false">IF(J854&lt;=0,1,0)</f>
        <v>0</v>
      </c>
      <c r="L854" s="15" t="n">
        <f aca="false">IFERROR(G854/F854,0)</f>
        <v>0.995428571428571</v>
      </c>
      <c r="M854" s="15" t="n">
        <f aca="false">IFERROR((I854-H854)/H854,0)</f>
        <v>0.0288665710186514</v>
      </c>
      <c r="N854" s="16" t="n">
        <f aca="false">G854*I854</f>
        <v>156152.88</v>
      </c>
    </row>
    <row r="855" customFormat="false" ht="15" hidden="false" customHeight="true" outlineLevel="0" collapsed="false">
      <c r="A855" s="4" t="s">
        <v>1031</v>
      </c>
      <c r="B855" s="4" t="s">
        <v>109</v>
      </c>
      <c r="C855" s="13" t="n">
        <v>45274</v>
      </c>
      <c r="D855" s="13" t="n">
        <v>45294</v>
      </c>
      <c r="E855" s="13" t="n">
        <v>45294</v>
      </c>
      <c r="F855" s="4" t="n">
        <v>483</v>
      </c>
      <c r="G855" s="4" t="n">
        <v>480</v>
      </c>
      <c r="H855" s="4" t="n">
        <v>858.02</v>
      </c>
      <c r="I855" s="4" t="n">
        <v>898.32</v>
      </c>
      <c r="J855" s="14" t="n">
        <f aca="false">E855-D855</f>
        <v>0</v>
      </c>
      <c r="K855" s="14" t="n">
        <f aca="false">IF(J855&lt;=0,1,0)</f>
        <v>1</v>
      </c>
      <c r="L855" s="15" t="n">
        <f aca="false">IFERROR(G855/F855,0)</f>
        <v>0.993788819875776</v>
      </c>
      <c r="M855" s="15" t="n">
        <f aca="false">IFERROR((I855-H855)/H855,0)</f>
        <v>0.0469686021304866</v>
      </c>
      <c r="N855" s="16" t="n">
        <f aca="false">G855*I855</f>
        <v>431193.6</v>
      </c>
    </row>
    <row r="856" customFormat="false" ht="15" hidden="false" customHeight="true" outlineLevel="0" collapsed="false">
      <c r="A856" s="4" t="s">
        <v>1032</v>
      </c>
      <c r="B856" s="4" t="s">
        <v>131</v>
      </c>
      <c r="C856" s="13" t="n">
        <v>45140</v>
      </c>
      <c r="D856" s="13" t="n">
        <v>45151</v>
      </c>
      <c r="E856" s="13" t="n">
        <v>45150</v>
      </c>
      <c r="F856" s="4" t="n">
        <v>1741</v>
      </c>
      <c r="G856" s="4" t="n">
        <v>1707</v>
      </c>
      <c r="H856" s="4" t="n">
        <v>88.52</v>
      </c>
      <c r="I856" s="4" t="n">
        <v>87.78</v>
      </c>
      <c r="J856" s="14" t="n">
        <f aca="false">E856-D856</f>
        <v>-1</v>
      </c>
      <c r="K856" s="14" t="n">
        <f aca="false">IF(J856&lt;=0,1,0)</f>
        <v>1</v>
      </c>
      <c r="L856" s="15" t="n">
        <f aca="false">IFERROR(G856/F856,0)</f>
        <v>0.980470993681792</v>
      </c>
      <c r="M856" s="15" t="n">
        <f aca="false">IFERROR((I856-H856)/H856,0)</f>
        <v>-0.0083596927248079</v>
      </c>
      <c r="N856" s="16" t="n">
        <f aca="false">G856*I856</f>
        <v>149840.46</v>
      </c>
    </row>
    <row r="857" customFormat="false" ht="15" hidden="false" customHeight="true" outlineLevel="0" collapsed="false">
      <c r="A857" s="4" t="s">
        <v>1033</v>
      </c>
      <c r="B857" s="4" t="s">
        <v>161</v>
      </c>
      <c r="C857" s="13" t="n">
        <v>44978</v>
      </c>
      <c r="D857" s="13" t="n">
        <v>44987</v>
      </c>
      <c r="E857" s="13" t="n">
        <v>44989</v>
      </c>
      <c r="F857" s="4" t="n">
        <v>487</v>
      </c>
      <c r="G857" s="4" t="n">
        <v>477</v>
      </c>
      <c r="H857" s="4" t="n">
        <v>101.94</v>
      </c>
      <c r="I857" s="4" t="n">
        <v>103.18</v>
      </c>
      <c r="J857" s="14" t="n">
        <f aca="false">E857-D857</f>
        <v>2</v>
      </c>
      <c r="K857" s="14" t="n">
        <f aca="false">IF(J857&lt;=0,1,0)</f>
        <v>0</v>
      </c>
      <c r="L857" s="15" t="n">
        <f aca="false">IFERROR(G857/F857,0)</f>
        <v>0.979466119096509</v>
      </c>
      <c r="M857" s="15" t="n">
        <f aca="false">IFERROR((I857-H857)/H857,0)</f>
        <v>0.0121640180498333</v>
      </c>
      <c r="N857" s="16" t="n">
        <f aca="false">G857*I857</f>
        <v>49216.86</v>
      </c>
    </row>
    <row r="858" customFormat="false" ht="15" hidden="false" customHeight="true" outlineLevel="0" collapsed="false">
      <c r="A858" s="4" t="s">
        <v>1034</v>
      </c>
      <c r="B858" s="4" t="s">
        <v>79</v>
      </c>
      <c r="C858" s="13" t="n">
        <v>45265</v>
      </c>
      <c r="D858" s="13" t="n">
        <v>45282</v>
      </c>
      <c r="E858" s="13" t="n">
        <v>45284</v>
      </c>
      <c r="F858" s="4" t="n">
        <v>487</v>
      </c>
      <c r="G858" s="4" t="n">
        <v>483</v>
      </c>
      <c r="H858" s="4" t="n">
        <v>821.48</v>
      </c>
      <c r="I858" s="4" t="n">
        <v>861.88</v>
      </c>
      <c r="J858" s="14" t="n">
        <f aca="false">E858-D858</f>
        <v>2</v>
      </c>
      <c r="K858" s="14" t="n">
        <f aca="false">IF(J858&lt;=0,1,0)</f>
        <v>0</v>
      </c>
      <c r="L858" s="15" t="n">
        <f aca="false">IFERROR(G858/F858,0)</f>
        <v>0.991786447638604</v>
      </c>
      <c r="M858" s="15" t="n">
        <f aca="false">IFERROR((I858-H858)/H858,0)</f>
        <v>0.0491795296294493</v>
      </c>
      <c r="N858" s="16" t="n">
        <f aca="false">G858*I858</f>
        <v>416288.04</v>
      </c>
    </row>
    <row r="859" customFormat="false" ht="15" hidden="false" customHeight="true" outlineLevel="0" collapsed="false">
      <c r="A859" s="4" t="s">
        <v>1035</v>
      </c>
      <c r="B859" s="4" t="s">
        <v>55</v>
      </c>
      <c r="C859" s="13" t="n">
        <v>45562</v>
      </c>
      <c r="D859" s="13" t="n">
        <v>45581</v>
      </c>
      <c r="E859" s="13" t="n">
        <v>45581</v>
      </c>
      <c r="F859" s="4" t="n">
        <v>345</v>
      </c>
      <c r="G859" s="4" t="n">
        <v>323</v>
      </c>
      <c r="H859" s="4" t="n">
        <v>598.09</v>
      </c>
      <c r="I859" s="4" t="n">
        <v>568.09</v>
      </c>
      <c r="J859" s="14" t="n">
        <f aca="false">E859-D859</f>
        <v>0</v>
      </c>
      <c r="K859" s="14" t="n">
        <f aca="false">IF(J859&lt;=0,1,0)</f>
        <v>1</v>
      </c>
      <c r="L859" s="15" t="n">
        <f aca="false">IFERROR(G859/F859,0)</f>
        <v>0.936231884057971</v>
      </c>
      <c r="M859" s="15" t="n">
        <f aca="false">IFERROR((I859-H859)/H859,0)</f>
        <v>-0.0501596749653062</v>
      </c>
      <c r="N859" s="16" t="n">
        <f aca="false">G859*I859</f>
        <v>183493.07</v>
      </c>
    </row>
    <row r="860" customFormat="false" ht="15" hidden="false" customHeight="true" outlineLevel="0" collapsed="false">
      <c r="A860" s="4" t="s">
        <v>1036</v>
      </c>
      <c r="B860" s="4" t="s">
        <v>145</v>
      </c>
      <c r="C860" s="13" t="n">
        <v>45089</v>
      </c>
      <c r="D860" s="13" t="n">
        <v>45100</v>
      </c>
      <c r="E860" s="13" t="n">
        <v>45102</v>
      </c>
      <c r="F860" s="4" t="n">
        <v>1321</v>
      </c>
      <c r="G860" s="4" t="n">
        <v>1233</v>
      </c>
      <c r="H860" s="4" t="n">
        <v>237.04</v>
      </c>
      <c r="I860" s="4" t="n">
        <v>244.34</v>
      </c>
      <c r="J860" s="14" t="n">
        <f aca="false">E860-D860</f>
        <v>2</v>
      </c>
      <c r="K860" s="14" t="n">
        <f aca="false">IF(J860&lt;=0,1,0)</f>
        <v>0</v>
      </c>
      <c r="L860" s="15" t="n">
        <f aca="false">IFERROR(G860/F860,0)</f>
        <v>0.9333838001514</v>
      </c>
      <c r="M860" s="15" t="n">
        <f aca="false">IFERROR((I860-H860)/H860,0)</f>
        <v>0.0307964900438745</v>
      </c>
      <c r="N860" s="16" t="n">
        <f aca="false">G860*I860</f>
        <v>301271.22</v>
      </c>
    </row>
    <row r="861" customFormat="false" ht="15" hidden="false" customHeight="true" outlineLevel="0" collapsed="false">
      <c r="A861" s="4" t="s">
        <v>1037</v>
      </c>
      <c r="B861" s="4" t="s">
        <v>68</v>
      </c>
      <c r="C861" s="13" t="n">
        <v>45309</v>
      </c>
      <c r="D861" s="13" t="n">
        <v>45326</v>
      </c>
      <c r="E861" s="13" t="n">
        <v>45324</v>
      </c>
      <c r="F861" s="4" t="n">
        <v>392</v>
      </c>
      <c r="G861" s="4" t="n">
        <v>359</v>
      </c>
      <c r="H861" s="4" t="n">
        <v>1232.83</v>
      </c>
      <c r="I861" s="4" t="n">
        <v>1215.62</v>
      </c>
      <c r="J861" s="14" t="n">
        <f aca="false">E861-D861</f>
        <v>-2</v>
      </c>
      <c r="K861" s="14" t="n">
        <f aca="false">IF(J861&lt;=0,1,0)</f>
        <v>1</v>
      </c>
      <c r="L861" s="15" t="n">
        <f aca="false">IFERROR(G861/F861,0)</f>
        <v>0.915816326530612</v>
      </c>
      <c r="M861" s="15" t="n">
        <f aca="false">IFERROR((I861-H861)/H861,0)</f>
        <v>-0.0139597511416822</v>
      </c>
      <c r="N861" s="16" t="n">
        <f aca="false">G861*I861</f>
        <v>436407.58</v>
      </c>
    </row>
    <row r="862" customFormat="false" ht="15" hidden="false" customHeight="true" outlineLevel="0" collapsed="false">
      <c r="A862" s="4" t="s">
        <v>1038</v>
      </c>
      <c r="B862" s="4" t="s">
        <v>81</v>
      </c>
      <c r="C862" s="13" t="n">
        <v>45264</v>
      </c>
      <c r="D862" s="13" t="n">
        <v>45268</v>
      </c>
      <c r="E862" s="13" t="n">
        <v>45271</v>
      </c>
      <c r="F862" s="4" t="n">
        <v>6</v>
      </c>
      <c r="G862" s="4" t="n">
        <v>6</v>
      </c>
      <c r="H862" s="4" t="n">
        <v>697.63</v>
      </c>
      <c r="I862" s="4" t="n">
        <v>678.22</v>
      </c>
      <c r="J862" s="14" t="n">
        <f aca="false">E862-D862</f>
        <v>3</v>
      </c>
      <c r="K862" s="14" t="n">
        <f aca="false">IF(J862&lt;=0,1,0)</f>
        <v>0</v>
      </c>
      <c r="L862" s="15" t="n">
        <f aca="false">IFERROR(G862/F862,0)</f>
        <v>1</v>
      </c>
      <c r="M862" s="15" t="n">
        <f aca="false">IFERROR((I862-H862)/H862,0)</f>
        <v>-0.0278227713831113</v>
      </c>
      <c r="N862" s="16" t="n">
        <f aca="false">G862*I862</f>
        <v>4069.32</v>
      </c>
    </row>
    <row r="863" customFormat="false" ht="15" hidden="false" customHeight="true" outlineLevel="0" collapsed="false">
      <c r="A863" s="4" t="s">
        <v>1039</v>
      </c>
      <c r="B863" s="4" t="s">
        <v>129</v>
      </c>
      <c r="C863" s="13" t="n">
        <v>45370</v>
      </c>
      <c r="D863" s="13" t="n">
        <v>45387</v>
      </c>
      <c r="E863" s="13" t="n">
        <v>45385</v>
      </c>
      <c r="F863" s="4" t="n">
        <v>188</v>
      </c>
      <c r="G863" s="4" t="n">
        <v>184</v>
      </c>
      <c r="H863" s="4" t="n">
        <v>709.66</v>
      </c>
      <c r="I863" s="4" t="n">
        <v>715.89</v>
      </c>
      <c r="J863" s="14" t="n">
        <f aca="false">E863-D863</f>
        <v>-2</v>
      </c>
      <c r="K863" s="14" t="n">
        <f aca="false">IF(J863&lt;=0,1,0)</f>
        <v>1</v>
      </c>
      <c r="L863" s="15" t="n">
        <f aca="false">IFERROR(G863/F863,0)</f>
        <v>0.978723404255319</v>
      </c>
      <c r="M863" s="15" t="n">
        <f aca="false">IFERROR((I863-H863)/H863,0)</f>
        <v>0.0087788518445453</v>
      </c>
      <c r="N863" s="16" t="n">
        <f aca="false">G863*I863</f>
        <v>131723.76</v>
      </c>
    </row>
    <row r="864" customFormat="false" ht="15" hidden="false" customHeight="true" outlineLevel="0" collapsed="false">
      <c r="A864" s="4" t="s">
        <v>1040</v>
      </c>
      <c r="B864" s="4" t="s">
        <v>37</v>
      </c>
      <c r="C864" s="13" t="n">
        <v>45598</v>
      </c>
      <c r="D864" s="13" t="n">
        <v>45606</v>
      </c>
      <c r="E864" s="13" t="n">
        <v>45609</v>
      </c>
      <c r="F864" s="4" t="n">
        <v>4040</v>
      </c>
      <c r="G864" s="4" t="n">
        <v>3920</v>
      </c>
      <c r="H864" s="4" t="n">
        <v>22.26</v>
      </c>
      <c r="I864" s="4" t="n">
        <v>21.02</v>
      </c>
      <c r="J864" s="14" t="n">
        <f aca="false">E864-D864</f>
        <v>3</v>
      </c>
      <c r="K864" s="14" t="n">
        <f aca="false">IF(J864&lt;=0,1,0)</f>
        <v>0</v>
      </c>
      <c r="L864" s="15" t="n">
        <f aca="false">IFERROR(G864/F864,0)</f>
        <v>0.97029702970297</v>
      </c>
      <c r="M864" s="15" t="n">
        <f aca="false">IFERROR((I864-H864)/H864,0)</f>
        <v>-0.0557053009883199</v>
      </c>
      <c r="N864" s="16" t="n">
        <f aca="false">G864*I864</f>
        <v>82398.4</v>
      </c>
    </row>
    <row r="865" customFormat="false" ht="15" hidden="false" customHeight="true" outlineLevel="0" collapsed="false">
      <c r="A865" s="4" t="s">
        <v>1041</v>
      </c>
      <c r="B865" s="4" t="s">
        <v>155</v>
      </c>
      <c r="C865" s="13" t="n">
        <v>45286</v>
      </c>
      <c r="D865" s="13" t="n">
        <v>45293</v>
      </c>
      <c r="E865" s="13" t="n">
        <v>45290</v>
      </c>
      <c r="F865" s="4" t="n">
        <v>1922</v>
      </c>
      <c r="G865" s="4" t="n">
        <v>1922</v>
      </c>
      <c r="H865" s="4" t="n">
        <v>24.04</v>
      </c>
      <c r="I865" s="4" t="n">
        <v>23.02</v>
      </c>
      <c r="J865" s="14" t="n">
        <f aca="false">E865-D865</f>
        <v>-3</v>
      </c>
      <c r="K865" s="14" t="n">
        <f aca="false">IF(J865&lt;=0,1,0)</f>
        <v>1</v>
      </c>
      <c r="L865" s="15" t="n">
        <f aca="false">IFERROR(G865/F865,0)</f>
        <v>1</v>
      </c>
      <c r="M865" s="15" t="n">
        <f aca="false">IFERROR((I865-H865)/H865,0)</f>
        <v>-0.0424292845257903</v>
      </c>
      <c r="N865" s="16" t="n">
        <f aca="false">G865*I865</f>
        <v>44244.44</v>
      </c>
    </row>
    <row r="866" customFormat="false" ht="15" hidden="false" customHeight="true" outlineLevel="0" collapsed="false">
      <c r="A866" s="4" t="s">
        <v>1042</v>
      </c>
      <c r="B866" s="4" t="s">
        <v>68</v>
      </c>
      <c r="C866" s="13" t="n">
        <v>44977</v>
      </c>
      <c r="D866" s="13" t="n">
        <v>44995</v>
      </c>
      <c r="E866" s="13" t="n">
        <v>44995</v>
      </c>
      <c r="F866" s="4" t="n">
        <v>108</v>
      </c>
      <c r="G866" s="4" t="n">
        <v>94</v>
      </c>
      <c r="H866" s="4" t="n">
        <v>1232.83</v>
      </c>
      <c r="I866" s="4" t="n">
        <v>1232.68</v>
      </c>
      <c r="J866" s="14" t="n">
        <f aca="false">E866-D866</f>
        <v>0</v>
      </c>
      <c r="K866" s="14" t="n">
        <f aca="false">IF(J866&lt;=0,1,0)</f>
        <v>1</v>
      </c>
      <c r="L866" s="15" t="n">
        <f aca="false">IFERROR(G866/F866,0)</f>
        <v>0.87037037037037</v>
      </c>
      <c r="M866" s="15" t="n">
        <f aca="false">IFERROR((I866-H866)/H866,0)</f>
        <v>-0.000121671276656038</v>
      </c>
      <c r="N866" s="16" t="n">
        <f aca="false">G866*I866</f>
        <v>115871.92</v>
      </c>
    </row>
    <row r="867" customFormat="false" ht="15" hidden="false" customHeight="true" outlineLevel="0" collapsed="false">
      <c r="A867" s="4" t="s">
        <v>1043</v>
      </c>
      <c r="B867" s="4" t="s">
        <v>85</v>
      </c>
      <c r="C867" s="13" t="n">
        <v>45506</v>
      </c>
      <c r="D867" s="13" t="n">
        <v>45516</v>
      </c>
      <c r="E867" s="13" t="n">
        <v>45524</v>
      </c>
      <c r="F867" s="4" t="n">
        <v>1735</v>
      </c>
      <c r="G867" s="4" t="n">
        <v>1637</v>
      </c>
      <c r="H867" s="4" t="n">
        <v>241.88</v>
      </c>
      <c r="I867" s="4" t="n">
        <v>232.88</v>
      </c>
      <c r="J867" s="14" t="n">
        <f aca="false">E867-D867</f>
        <v>8</v>
      </c>
      <c r="K867" s="14" t="n">
        <f aca="false">IF(J867&lt;=0,1,0)</f>
        <v>0</v>
      </c>
      <c r="L867" s="15" t="n">
        <f aca="false">IFERROR(G867/F867,0)</f>
        <v>0.943515850144092</v>
      </c>
      <c r="M867" s="15" t="n">
        <f aca="false">IFERROR((I867-H867)/H867,0)</f>
        <v>-0.0372085331569373</v>
      </c>
      <c r="N867" s="16" t="n">
        <f aca="false">G867*I867</f>
        <v>381224.56</v>
      </c>
    </row>
    <row r="868" customFormat="false" ht="15" hidden="false" customHeight="true" outlineLevel="0" collapsed="false">
      <c r="A868" s="4" t="s">
        <v>1044</v>
      </c>
      <c r="B868" s="4" t="s">
        <v>133</v>
      </c>
      <c r="C868" s="13" t="n">
        <v>45236</v>
      </c>
      <c r="D868" s="13" t="n">
        <v>45248</v>
      </c>
      <c r="E868" s="13" t="n">
        <v>45251</v>
      </c>
      <c r="F868" s="4" t="n">
        <v>1391</v>
      </c>
      <c r="G868" s="4" t="n">
        <v>1348</v>
      </c>
      <c r="H868" s="4" t="n">
        <v>138.21</v>
      </c>
      <c r="I868" s="4" t="n">
        <v>142.08</v>
      </c>
      <c r="J868" s="14" t="n">
        <f aca="false">E868-D868</f>
        <v>3</v>
      </c>
      <c r="K868" s="14" t="n">
        <f aca="false">IF(J868&lt;=0,1,0)</f>
        <v>0</v>
      </c>
      <c r="L868" s="15" t="n">
        <f aca="false">IFERROR(G868/F868,0)</f>
        <v>0.969086987778577</v>
      </c>
      <c r="M868" s="15" t="n">
        <f aca="false">IFERROR((I868-H868)/H868,0)</f>
        <v>0.0280008682439766</v>
      </c>
      <c r="N868" s="16" t="n">
        <f aca="false">G868*I868</f>
        <v>191523.84</v>
      </c>
    </row>
    <row r="869" customFormat="false" ht="15" hidden="false" customHeight="true" outlineLevel="0" collapsed="false">
      <c r="A869" s="4" t="s">
        <v>1045</v>
      </c>
      <c r="B869" s="4" t="s">
        <v>161</v>
      </c>
      <c r="C869" s="13" t="n">
        <v>45202</v>
      </c>
      <c r="D869" s="13" t="n">
        <v>45212</v>
      </c>
      <c r="E869" s="13" t="n">
        <v>45214</v>
      </c>
      <c r="F869" s="4" t="n">
        <v>506</v>
      </c>
      <c r="G869" s="4" t="n">
        <v>506</v>
      </c>
      <c r="H869" s="4" t="n">
        <v>101.94</v>
      </c>
      <c r="I869" s="4" t="n">
        <v>108.5</v>
      </c>
      <c r="J869" s="14" t="n">
        <f aca="false">E869-D869</f>
        <v>2</v>
      </c>
      <c r="K869" s="14" t="n">
        <f aca="false">IF(J869&lt;=0,1,0)</f>
        <v>0</v>
      </c>
      <c r="L869" s="15" t="n">
        <f aca="false">IFERROR(G869/F869,0)</f>
        <v>1</v>
      </c>
      <c r="M869" s="15" t="n">
        <f aca="false">IFERROR((I869-H869)/H869,0)</f>
        <v>0.0643515793604081</v>
      </c>
      <c r="N869" s="16" t="n">
        <f aca="false">G869*I869</f>
        <v>54901</v>
      </c>
    </row>
    <row r="870" customFormat="false" ht="15" hidden="false" customHeight="true" outlineLevel="0" collapsed="false">
      <c r="A870" s="4" t="s">
        <v>1046</v>
      </c>
      <c r="B870" s="4" t="s">
        <v>153</v>
      </c>
      <c r="C870" s="13" t="n">
        <v>45205</v>
      </c>
      <c r="D870" s="13" t="n">
        <v>45224</v>
      </c>
      <c r="E870" s="13" t="n">
        <v>45235</v>
      </c>
      <c r="F870" s="4" t="n">
        <v>492</v>
      </c>
      <c r="G870" s="4" t="n">
        <v>469</v>
      </c>
      <c r="H870" s="4" t="n">
        <v>1492.04</v>
      </c>
      <c r="I870" s="4" t="n">
        <v>1513.84</v>
      </c>
      <c r="J870" s="14" t="n">
        <f aca="false">E870-D870</f>
        <v>11</v>
      </c>
      <c r="K870" s="14" t="n">
        <f aca="false">IF(J870&lt;=0,1,0)</f>
        <v>0</v>
      </c>
      <c r="L870" s="15" t="n">
        <f aca="false">IFERROR(G870/F870,0)</f>
        <v>0.953252032520325</v>
      </c>
      <c r="M870" s="15" t="n">
        <f aca="false">IFERROR((I870-H870)/H870,0)</f>
        <v>0.0146108683413313</v>
      </c>
      <c r="N870" s="16" t="n">
        <f aca="false">G870*I870</f>
        <v>709990.96</v>
      </c>
    </row>
    <row r="871" customFormat="false" ht="15" hidden="false" customHeight="true" outlineLevel="0" collapsed="false">
      <c r="A871" s="4" t="s">
        <v>1047</v>
      </c>
      <c r="B871" s="4" t="s">
        <v>119</v>
      </c>
      <c r="C871" s="13" t="n">
        <v>45522</v>
      </c>
      <c r="D871" s="13" t="n">
        <v>45531</v>
      </c>
      <c r="E871" s="13" t="n">
        <v>45530</v>
      </c>
      <c r="F871" s="4" t="n">
        <v>1593</v>
      </c>
      <c r="G871" s="4" t="n">
        <v>1593</v>
      </c>
      <c r="H871" s="4" t="n">
        <v>50.92</v>
      </c>
      <c r="I871" s="4" t="n">
        <v>45.98</v>
      </c>
      <c r="J871" s="14" t="n">
        <f aca="false">E871-D871</f>
        <v>-1</v>
      </c>
      <c r="K871" s="14" t="n">
        <f aca="false">IF(J871&lt;=0,1,0)</f>
        <v>1</v>
      </c>
      <c r="L871" s="15" t="n">
        <f aca="false">IFERROR(G871/F871,0)</f>
        <v>1</v>
      </c>
      <c r="M871" s="15" t="n">
        <f aca="false">IFERROR((I871-H871)/H871,0)</f>
        <v>-0.0970149253731344</v>
      </c>
      <c r="N871" s="16" t="n">
        <f aca="false">G871*I871</f>
        <v>73246.14</v>
      </c>
    </row>
    <row r="872" customFormat="false" ht="15" hidden="false" customHeight="true" outlineLevel="0" collapsed="false">
      <c r="A872" s="4" t="s">
        <v>1048</v>
      </c>
      <c r="B872" s="4" t="s">
        <v>117</v>
      </c>
      <c r="C872" s="13" t="n">
        <v>45214</v>
      </c>
      <c r="D872" s="13" t="n">
        <v>45226</v>
      </c>
      <c r="E872" s="13" t="n">
        <v>45230</v>
      </c>
      <c r="F872" s="4" t="n">
        <v>29</v>
      </c>
      <c r="G872" s="4" t="n">
        <v>27</v>
      </c>
      <c r="H872" s="4" t="n">
        <v>396.01</v>
      </c>
      <c r="I872" s="4" t="n">
        <v>394.92</v>
      </c>
      <c r="J872" s="14" t="n">
        <f aca="false">E872-D872</f>
        <v>4</v>
      </c>
      <c r="K872" s="14" t="n">
        <f aca="false">IF(J872&lt;=0,1,0)</f>
        <v>0</v>
      </c>
      <c r="L872" s="15" t="n">
        <f aca="false">IFERROR(G872/F872,0)</f>
        <v>0.931034482758621</v>
      </c>
      <c r="M872" s="15" t="n">
        <f aca="false">IFERROR((I872-H872)/H872,0)</f>
        <v>-0.00275245574606696</v>
      </c>
      <c r="N872" s="16" t="n">
        <f aca="false">G872*I872</f>
        <v>10662.84</v>
      </c>
    </row>
    <row r="873" customFormat="false" ht="15" hidden="false" customHeight="true" outlineLevel="0" collapsed="false">
      <c r="A873" s="4" t="s">
        <v>1049</v>
      </c>
      <c r="B873" s="4" t="s">
        <v>141</v>
      </c>
      <c r="C873" s="13" t="n">
        <v>45383</v>
      </c>
      <c r="D873" s="13" t="n">
        <v>45403</v>
      </c>
      <c r="E873" s="13" t="n">
        <v>45404</v>
      </c>
      <c r="F873" s="4" t="n">
        <v>192</v>
      </c>
      <c r="G873" s="4" t="n">
        <v>192</v>
      </c>
      <c r="H873" s="4" t="n">
        <v>1252.36</v>
      </c>
      <c r="I873" s="4" t="n">
        <v>1224.29</v>
      </c>
      <c r="J873" s="14" t="n">
        <f aca="false">E873-D873</f>
        <v>1</v>
      </c>
      <c r="K873" s="14" t="n">
        <f aca="false">IF(J873&lt;=0,1,0)</f>
        <v>0</v>
      </c>
      <c r="L873" s="15" t="n">
        <f aca="false">IFERROR(G873/F873,0)</f>
        <v>1</v>
      </c>
      <c r="M873" s="15" t="n">
        <f aca="false">IFERROR((I873-H873)/H873,0)</f>
        <v>-0.0224136829665591</v>
      </c>
      <c r="N873" s="16" t="n">
        <f aca="false">G873*I873</f>
        <v>235063.68</v>
      </c>
    </row>
    <row r="874" customFormat="false" ht="15" hidden="false" customHeight="true" outlineLevel="0" collapsed="false">
      <c r="A874" s="4" t="s">
        <v>1050</v>
      </c>
      <c r="B874" s="4" t="s">
        <v>72</v>
      </c>
      <c r="C874" s="13" t="n">
        <v>45124</v>
      </c>
      <c r="D874" s="13" t="n">
        <v>45131</v>
      </c>
      <c r="E874" s="13" t="n">
        <v>45141</v>
      </c>
      <c r="F874" s="4" t="n">
        <v>1478</v>
      </c>
      <c r="G874" s="4" t="n">
        <v>1478</v>
      </c>
      <c r="H874" s="4" t="n">
        <v>34.53</v>
      </c>
      <c r="I874" s="4" t="n">
        <v>34.44</v>
      </c>
      <c r="J874" s="14" t="n">
        <f aca="false">E874-D874</f>
        <v>10</v>
      </c>
      <c r="K874" s="14" t="n">
        <f aca="false">IF(J874&lt;=0,1,0)</f>
        <v>0</v>
      </c>
      <c r="L874" s="15" t="n">
        <f aca="false">IFERROR(G874/F874,0)</f>
        <v>1</v>
      </c>
      <c r="M874" s="15" t="n">
        <f aca="false">IFERROR((I874-H874)/H874,0)</f>
        <v>-0.00260642919200705</v>
      </c>
      <c r="N874" s="16" t="n">
        <f aca="false">G874*I874</f>
        <v>50902.32</v>
      </c>
    </row>
    <row r="875" customFormat="false" ht="15" hidden="false" customHeight="true" outlineLevel="0" collapsed="false">
      <c r="A875" s="4" t="s">
        <v>1051</v>
      </c>
      <c r="B875" s="4" t="s">
        <v>133</v>
      </c>
      <c r="C875" s="13" t="n">
        <v>45263</v>
      </c>
      <c r="D875" s="13" t="n">
        <v>45272</v>
      </c>
      <c r="E875" s="13" t="n">
        <v>45274</v>
      </c>
      <c r="F875" s="4" t="n">
        <v>393</v>
      </c>
      <c r="G875" s="4" t="n">
        <v>376</v>
      </c>
      <c r="H875" s="4" t="n">
        <v>138.21</v>
      </c>
      <c r="I875" s="4" t="n">
        <v>141.64</v>
      </c>
      <c r="J875" s="14" t="n">
        <f aca="false">E875-D875</f>
        <v>2</v>
      </c>
      <c r="K875" s="14" t="n">
        <f aca="false">IF(J875&lt;=0,1,0)</f>
        <v>0</v>
      </c>
      <c r="L875" s="15" t="n">
        <f aca="false">IFERROR(G875/F875,0)</f>
        <v>0.956743002544529</v>
      </c>
      <c r="M875" s="15" t="n">
        <f aca="false">IFERROR((I875-H875)/H875,0)</f>
        <v>0.0248173069965992</v>
      </c>
      <c r="N875" s="16" t="n">
        <f aca="false">G875*I875</f>
        <v>53256.64</v>
      </c>
    </row>
    <row r="876" customFormat="false" ht="15" hidden="false" customHeight="true" outlineLevel="0" collapsed="false">
      <c r="A876" s="4" t="s">
        <v>1052</v>
      </c>
      <c r="B876" s="4" t="s">
        <v>91</v>
      </c>
      <c r="C876" s="13" t="n">
        <v>45610</v>
      </c>
      <c r="D876" s="13" t="n">
        <v>45629</v>
      </c>
      <c r="E876" s="13" t="n">
        <v>45623</v>
      </c>
      <c r="F876" s="4" t="n">
        <v>374</v>
      </c>
      <c r="G876" s="4" t="n">
        <v>367</v>
      </c>
      <c r="H876" s="4" t="n">
        <v>496.29</v>
      </c>
      <c r="I876" s="4" t="n">
        <v>472.97</v>
      </c>
      <c r="J876" s="14" t="n">
        <f aca="false">E876-D876</f>
        <v>-6</v>
      </c>
      <c r="K876" s="14" t="n">
        <f aca="false">IF(J876&lt;=0,1,0)</f>
        <v>1</v>
      </c>
      <c r="L876" s="15" t="n">
        <f aca="false">IFERROR(G876/F876,0)</f>
        <v>0.981283422459893</v>
      </c>
      <c r="M876" s="15" t="n">
        <f aca="false">IFERROR((I876-H876)/H876,0)</f>
        <v>-0.0469886558262306</v>
      </c>
      <c r="N876" s="16" t="n">
        <f aca="false">G876*I876</f>
        <v>173579.99</v>
      </c>
    </row>
    <row r="877" customFormat="false" ht="15" hidden="false" customHeight="true" outlineLevel="0" collapsed="false">
      <c r="A877" s="4" t="s">
        <v>1053</v>
      </c>
      <c r="B877" s="4" t="s">
        <v>163</v>
      </c>
      <c r="C877" s="13" t="n">
        <v>45009</v>
      </c>
      <c r="D877" s="13" t="n">
        <v>45027</v>
      </c>
      <c r="E877" s="13" t="n">
        <v>45031</v>
      </c>
      <c r="F877" s="4" t="n">
        <v>309</v>
      </c>
      <c r="G877" s="4" t="n">
        <v>304</v>
      </c>
      <c r="H877" s="4" t="n">
        <v>482.79</v>
      </c>
      <c r="I877" s="4" t="n">
        <v>486.13</v>
      </c>
      <c r="J877" s="14" t="n">
        <f aca="false">E877-D877</f>
        <v>4</v>
      </c>
      <c r="K877" s="14" t="n">
        <f aca="false">IF(J877&lt;=0,1,0)</f>
        <v>0</v>
      </c>
      <c r="L877" s="15" t="n">
        <f aca="false">IFERROR(G877/F877,0)</f>
        <v>0.983818770226537</v>
      </c>
      <c r="M877" s="15" t="n">
        <f aca="false">IFERROR((I877-H877)/H877,0)</f>
        <v>0.00691812175065758</v>
      </c>
      <c r="N877" s="16" t="n">
        <f aca="false">G877*I877</f>
        <v>147783.52</v>
      </c>
    </row>
    <row r="878" customFormat="false" ht="15" hidden="false" customHeight="true" outlineLevel="0" collapsed="false">
      <c r="A878" s="4" t="s">
        <v>1054</v>
      </c>
      <c r="B878" s="4" t="s">
        <v>135</v>
      </c>
      <c r="C878" s="13" t="n">
        <v>45020</v>
      </c>
      <c r="D878" s="13" t="n">
        <v>45034</v>
      </c>
      <c r="E878" s="13" t="n">
        <v>45034</v>
      </c>
      <c r="F878" s="4" t="n">
        <v>237</v>
      </c>
      <c r="G878" s="4" t="n">
        <v>234</v>
      </c>
      <c r="H878" s="4" t="n">
        <v>328.06</v>
      </c>
      <c r="I878" s="4" t="n">
        <v>327.62</v>
      </c>
      <c r="J878" s="14" t="n">
        <f aca="false">E878-D878</f>
        <v>0</v>
      </c>
      <c r="K878" s="14" t="n">
        <f aca="false">IF(J878&lt;=0,1,0)</f>
        <v>1</v>
      </c>
      <c r="L878" s="15" t="n">
        <f aca="false">IFERROR(G878/F878,0)</f>
        <v>0.987341772151899</v>
      </c>
      <c r="M878" s="15" t="n">
        <f aca="false">IFERROR((I878-H878)/H878,0)</f>
        <v>-0.00134121806986526</v>
      </c>
      <c r="N878" s="16" t="n">
        <f aca="false">G878*I878</f>
        <v>76663.08</v>
      </c>
    </row>
    <row r="879" customFormat="false" ht="15" hidden="false" customHeight="true" outlineLevel="0" collapsed="false">
      <c r="A879" s="4" t="s">
        <v>1055</v>
      </c>
      <c r="B879" s="4" t="s">
        <v>74</v>
      </c>
      <c r="C879" s="13" t="n">
        <v>45442</v>
      </c>
      <c r="D879" s="13" t="n">
        <v>45447</v>
      </c>
      <c r="E879" s="13" t="n">
        <v>45450</v>
      </c>
      <c r="F879" s="4" t="n">
        <v>8</v>
      </c>
      <c r="G879" s="4" t="n">
        <v>8</v>
      </c>
      <c r="H879" s="4" t="n">
        <v>1294.62</v>
      </c>
      <c r="I879" s="4" t="n">
        <v>1346.83</v>
      </c>
      <c r="J879" s="14" t="n">
        <f aca="false">E879-D879</f>
        <v>3</v>
      </c>
      <c r="K879" s="14" t="n">
        <f aca="false">IF(J879&lt;=0,1,0)</f>
        <v>0</v>
      </c>
      <c r="L879" s="15" t="n">
        <f aca="false">IFERROR(G879/F879,0)</f>
        <v>1</v>
      </c>
      <c r="M879" s="15" t="n">
        <f aca="false">IFERROR((I879-H879)/H879,0)</f>
        <v>0.0403284361434244</v>
      </c>
      <c r="N879" s="16" t="n">
        <f aca="false">G879*I879</f>
        <v>10774.64</v>
      </c>
    </row>
    <row r="880" customFormat="false" ht="15" hidden="false" customHeight="true" outlineLevel="0" collapsed="false">
      <c r="A880" s="4" t="s">
        <v>1056</v>
      </c>
      <c r="B880" s="4" t="s">
        <v>97</v>
      </c>
      <c r="C880" s="13" t="n">
        <v>45151</v>
      </c>
      <c r="D880" s="13" t="n">
        <v>45161</v>
      </c>
      <c r="E880" s="13" t="n">
        <v>45165</v>
      </c>
      <c r="F880" s="4" t="n">
        <v>1597</v>
      </c>
      <c r="G880" s="4" t="n">
        <v>1584</v>
      </c>
      <c r="H880" s="4" t="n">
        <v>123.04</v>
      </c>
      <c r="I880" s="4" t="n">
        <v>124.26</v>
      </c>
      <c r="J880" s="14" t="n">
        <f aca="false">E880-D880</f>
        <v>4</v>
      </c>
      <c r="K880" s="14" t="n">
        <f aca="false">IF(J880&lt;=0,1,0)</f>
        <v>0</v>
      </c>
      <c r="L880" s="15" t="n">
        <f aca="false">IFERROR(G880/F880,0)</f>
        <v>0.991859737006888</v>
      </c>
      <c r="M880" s="15" t="n">
        <f aca="false">IFERROR((I880-H880)/H880,0)</f>
        <v>0.00991547464239271</v>
      </c>
      <c r="N880" s="16" t="n">
        <f aca="false">G880*I880</f>
        <v>196827.84</v>
      </c>
    </row>
    <row r="881" customFormat="false" ht="15" hidden="false" customHeight="true" outlineLevel="0" collapsed="false">
      <c r="A881" s="4" t="s">
        <v>1057</v>
      </c>
      <c r="B881" s="4" t="s">
        <v>129</v>
      </c>
      <c r="C881" s="13" t="n">
        <v>45025</v>
      </c>
      <c r="D881" s="13" t="n">
        <v>45043</v>
      </c>
      <c r="E881" s="13" t="n">
        <v>45046</v>
      </c>
      <c r="F881" s="4" t="n">
        <v>99</v>
      </c>
      <c r="G881" s="4" t="n">
        <v>99</v>
      </c>
      <c r="H881" s="4" t="n">
        <v>709.66</v>
      </c>
      <c r="I881" s="4" t="n">
        <v>720.14</v>
      </c>
      <c r="J881" s="14" t="n">
        <f aca="false">E881-D881</f>
        <v>3</v>
      </c>
      <c r="K881" s="14" t="n">
        <f aca="false">IF(J881&lt;=0,1,0)</f>
        <v>0</v>
      </c>
      <c r="L881" s="15" t="n">
        <f aca="false">IFERROR(G881/F881,0)</f>
        <v>1</v>
      </c>
      <c r="M881" s="15" t="n">
        <f aca="false">IFERROR((I881-H881)/H881,0)</f>
        <v>0.0147676352055914</v>
      </c>
      <c r="N881" s="16" t="n">
        <f aca="false">G881*I881</f>
        <v>71293.86</v>
      </c>
    </row>
    <row r="882" customFormat="false" ht="15" hidden="false" customHeight="true" outlineLevel="0" collapsed="false">
      <c r="A882" s="4" t="s">
        <v>1058</v>
      </c>
      <c r="B882" s="4" t="s">
        <v>83</v>
      </c>
      <c r="C882" s="13" t="n">
        <v>44981</v>
      </c>
      <c r="D882" s="13" t="n">
        <v>44991</v>
      </c>
      <c r="E882" s="13" t="n">
        <v>44990</v>
      </c>
      <c r="F882" s="4" t="n">
        <v>884</v>
      </c>
      <c r="G882" s="4" t="n">
        <v>868</v>
      </c>
      <c r="H882" s="4" t="n">
        <v>101.36</v>
      </c>
      <c r="I882" s="4" t="n">
        <v>103.27</v>
      </c>
      <c r="J882" s="14" t="n">
        <f aca="false">E882-D882</f>
        <v>-1</v>
      </c>
      <c r="K882" s="14" t="n">
        <f aca="false">IF(J882&lt;=0,1,0)</f>
        <v>1</v>
      </c>
      <c r="L882" s="15" t="n">
        <f aca="false">IFERROR(G882/F882,0)</f>
        <v>0.981900452488688</v>
      </c>
      <c r="M882" s="15" t="n">
        <f aca="false">IFERROR((I882-H882)/H882,0)</f>
        <v>0.018843725335438</v>
      </c>
      <c r="N882" s="16" t="n">
        <f aca="false">G882*I882</f>
        <v>89638.36</v>
      </c>
    </row>
    <row r="883" customFormat="false" ht="15" hidden="false" customHeight="true" outlineLevel="0" collapsed="false">
      <c r="A883" s="4" t="s">
        <v>1059</v>
      </c>
      <c r="B883" s="4" t="s">
        <v>43</v>
      </c>
      <c r="C883" s="13" t="n">
        <v>45394</v>
      </c>
      <c r="D883" s="13" t="n">
        <v>45414</v>
      </c>
      <c r="E883" s="13" t="n">
        <v>45416</v>
      </c>
      <c r="F883" s="4" t="n">
        <v>395</v>
      </c>
      <c r="G883" s="4" t="n">
        <v>364</v>
      </c>
      <c r="H883" s="4" t="n">
        <v>1321.6</v>
      </c>
      <c r="I883" s="4" t="n">
        <v>1339.78</v>
      </c>
      <c r="J883" s="14" t="n">
        <f aca="false">E883-D883</f>
        <v>2</v>
      </c>
      <c r="K883" s="14" t="n">
        <f aca="false">IF(J883&lt;=0,1,0)</f>
        <v>0</v>
      </c>
      <c r="L883" s="15" t="n">
        <f aca="false">IFERROR(G883/F883,0)</f>
        <v>0.921518987341772</v>
      </c>
      <c r="M883" s="15" t="n">
        <f aca="false">IFERROR((I883-H883)/H883,0)</f>
        <v>0.0137560532687652</v>
      </c>
      <c r="N883" s="16" t="n">
        <f aca="false">G883*I883</f>
        <v>487679.92</v>
      </c>
    </row>
    <row r="884" customFormat="false" ht="15" hidden="false" customHeight="true" outlineLevel="0" collapsed="false">
      <c r="A884" s="4" t="s">
        <v>1060</v>
      </c>
      <c r="B884" s="4" t="s">
        <v>32</v>
      </c>
      <c r="C884" s="13" t="n">
        <v>45142</v>
      </c>
      <c r="D884" s="13" t="n">
        <v>45151</v>
      </c>
      <c r="E884" s="13" t="n">
        <v>45150</v>
      </c>
      <c r="F884" s="4" t="n">
        <v>2721</v>
      </c>
      <c r="G884" s="4" t="n">
        <v>2327</v>
      </c>
      <c r="H884" s="4" t="n">
        <v>32.49</v>
      </c>
      <c r="I884" s="4" t="n">
        <v>33.1</v>
      </c>
      <c r="J884" s="14" t="n">
        <f aca="false">E884-D884</f>
        <v>-1</v>
      </c>
      <c r="K884" s="14" t="n">
        <f aca="false">IF(J884&lt;=0,1,0)</f>
        <v>1</v>
      </c>
      <c r="L884" s="15" t="n">
        <f aca="false">IFERROR(G884/F884,0)</f>
        <v>0.855200294009555</v>
      </c>
      <c r="M884" s="15" t="n">
        <f aca="false">IFERROR((I884-H884)/H884,0)</f>
        <v>0.0187750076946753</v>
      </c>
      <c r="N884" s="16" t="n">
        <f aca="false">G884*I884</f>
        <v>77023.7</v>
      </c>
    </row>
    <row r="885" customFormat="false" ht="15" hidden="false" customHeight="true" outlineLevel="0" collapsed="false">
      <c r="A885" s="4" t="s">
        <v>1061</v>
      </c>
      <c r="B885" s="4" t="s">
        <v>70</v>
      </c>
      <c r="C885" s="13" t="n">
        <v>45103</v>
      </c>
      <c r="D885" s="13" t="n">
        <v>45109</v>
      </c>
      <c r="E885" s="13" t="n">
        <v>45110</v>
      </c>
      <c r="F885" s="4" t="n">
        <v>2042</v>
      </c>
      <c r="G885" s="4" t="n">
        <v>1850</v>
      </c>
      <c r="H885" s="4" t="n">
        <v>35.88</v>
      </c>
      <c r="I885" s="4" t="n">
        <v>36.96</v>
      </c>
      <c r="J885" s="14" t="n">
        <f aca="false">E885-D885</f>
        <v>1</v>
      </c>
      <c r="K885" s="14" t="n">
        <f aca="false">IF(J885&lt;=0,1,0)</f>
        <v>0</v>
      </c>
      <c r="L885" s="15" t="n">
        <f aca="false">IFERROR(G885/F885,0)</f>
        <v>0.905974534769834</v>
      </c>
      <c r="M885" s="15" t="n">
        <f aca="false">IFERROR((I885-H885)/H885,0)</f>
        <v>0.0301003344481605</v>
      </c>
      <c r="N885" s="16" t="n">
        <f aca="false">G885*I885</f>
        <v>68376</v>
      </c>
    </row>
    <row r="886" customFormat="false" ht="15" hidden="false" customHeight="true" outlineLevel="0" collapsed="false">
      <c r="A886" s="4" t="s">
        <v>1062</v>
      </c>
      <c r="B886" s="4" t="s">
        <v>95</v>
      </c>
      <c r="C886" s="13" t="n">
        <v>45221</v>
      </c>
      <c r="D886" s="13" t="n">
        <v>45230</v>
      </c>
      <c r="E886" s="13" t="n">
        <v>45232</v>
      </c>
      <c r="F886" s="4" t="n">
        <v>3786</v>
      </c>
      <c r="G886" s="4" t="n">
        <v>3786</v>
      </c>
      <c r="H886" s="4" t="n">
        <v>20.39</v>
      </c>
      <c r="I886" s="4" t="n">
        <v>20.77</v>
      </c>
      <c r="J886" s="14" t="n">
        <f aca="false">E886-D886</f>
        <v>2</v>
      </c>
      <c r="K886" s="14" t="n">
        <f aca="false">IF(J886&lt;=0,1,0)</f>
        <v>0</v>
      </c>
      <c r="L886" s="15" t="n">
        <f aca="false">IFERROR(G886/F886,0)</f>
        <v>1</v>
      </c>
      <c r="M886" s="15" t="n">
        <f aca="false">IFERROR((I886-H886)/H886,0)</f>
        <v>0.0186365865620402</v>
      </c>
      <c r="N886" s="16" t="n">
        <f aca="false">G886*I886</f>
        <v>78635.22</v>
      </c>
    </row>
    <row r="887" customFormat="false" ht="15" hidden="false" customHeight="true" outlineLevel="0" collapsed="false">
      <c r="A887" s="4" t="s">
        <v>1063</v>
      </c>
      <c r="B887" s="4" t="s">
        <v>81</v>
      </c>
      <c r="C887" s="13" t="n">
        <v>45563</v>
      </c>
      <c r="D887" s="13" t="n">
        <v>45568</v>
      </c>
      <c r="E887" s="13" t="n">
        <v>45570</v>
      </c>
      <c r="F887" s="4" t="n">
        <v>2</v>
      </c>
      <c r="G887" s="4" t="n">
        <v>2</v>
      </c>
      <c r="H887" s="4" t="n">
        <v>697.63</v>
      </c>
      <c r="I887" s="4" t="n">
        <v>690.33</v>
      </c>
      <c r="J887" s="14" t="n">
        <f aca="false">E887-D887</f>
        <v>2</v>
      </c>
      <c r="K887" s="14" t="n">
        <f aca="false">IF(J887&lt;=0,1,0)</f>
        <v>0</v>
      </c>
      <c r="L887" s="15" t="n">
        <f aca="false">IFERROR(G887/F887,0)</f>
        <v>1</v>
      </c>
      <c r="M887" s="15" t="n">
        <f aca="false">IFERROR((I887-H887)/H887,0)</f>
        <v>-0.0104639995413041</v>
      </c>
      <c r="N887" s="16" t="n">
        <f aca="false">G887*I887</f>
        <v>1380.66</v>
      </c>
    </row>
    <row r="888" customFormat="false" ht="15" hidden="false" customHeight="true" outlineLevel="0" collapsed="false">
      <c r="A888" s="4" t="s">
        <v>1064</v>
      </c>
      <c r="B888" s="4" t="s">
        <v>93</v>
      </c>
      <c r="C888" s="13" t="n">
        <v>45155</v>
      </c>
      <c r="D888" s="13" t="n">
        <v>45167</v>
      </c>
      <c r="E888" s="13" t="n">
        <v>45174</v>
      </c>
      <c r="F888" s="4" t="n">
        <v>1866</v>
      </c>
      <c r="G888" s="4" t="n">
        <v>1866</v>
      </c>
      <c r="H888" s="4" t="n">
        <v>174.25</v>
      </c>
      <c r="I888" s="4" t="n">
        <v>177.14</v>
      </c>
      <c r="J888" s="14" t="n">
        <f aca="false">E888-D888</f>
        <v>7</v>
      </c>
      <c r="K888" s="14" t="n">
        <f aca="false">IF(J888&lt;=0,1,0)</f>
        <v>0</v>
      </c>
      <c r="L888" s="15" t="n">
        <f aca="false">IFERROR(G888/F888,0)</f>
        <v>1</v>
      </c>
      <c r="M888" s="15" t="n">
        <f aca="false">IFERROR((I888-H888)/H888,0)</f>
        <v>0.0165853658536585</v>
      </c>
      <c r="N888" s="16" t="n">
        <f aca="false">G888*I888</f>
        <v>330543.24</v>
      </c>
    </row>
    <row r="889" customFormat="false" ht="15" hidden="false" customHeight="true" outlineLevel="0" collapsed="false">
      <c r="A889" s="4" t="s">
        <v>1065</v>
      </c>
      <c r="B889" s="4" t="s">
        <v>111</v>
      </c>
      <c r="C889" s="13" t="n">
        <v>45628</v>
      </c>
      <c r="D889" s="13" t="n">
        <v>45638</v>
      </c>
      <c r="E889" s="13" t="n">
        <v>45637</v>
      </c>
      <c r="F889" s="4" t="n">
        <v>1885</v>
      </c>
      <c r="G889" s="4" t="n">
        <v>1850</v>
      </c>
      <c r="H889" s="4" t="n">
        <v>148.08</v>
      </c>
      <c r="I889" s="4" t="n">
        <v>148.2</v>
      </c>
      <c r="J889" s="14" t="n">
        <f aca="false">E889-D889</f>
        <v>-1</v>
      </c>
      <c r="K889" s="14" t="n">
        <f aca="false">IF(J889&lt;=0,1,0)</f>
        <v>1</v>
      </c>
      <c r="L889" s="15" t="n">
        <f aca="false">IFERROR(G889/F889,0)</f>
        <v>0.981432360742706</v>
      </c>
      <c r="M889" s="15" t="n">
        <f aca="false">IFERROR((I889-H889)/H889,0)</f>
        <v>0.000810372771474717</v>
      </c>
      <c r="N889" s="16" t="n">
        <f aca="false">G889*I889</f>
        <v>274170</v>
      </c>
    </row>
    <row r="890" customFormat="false" ht="15" hidden="false" customHeight="true" outlineLevel="0" collapsed="false">
      <c r="A890" s="4" t="s">
        <v>1066</v>
      </c>
      <c r="B890" s="4" t="s">
        <v>52</v>
      </c>
      <c r="C890" s="13" t="n">
        <v>45458</v>
      </c>
      <c r="D890" s="13" t="n">
        <v>45470</v>
      </c>
      <c r="E890" s="13" t="n">
        <v>45479</v>
      </c>
      <c r="F890" s="4" t="n">
        <v>1116</v>
      </c>
      <c r="G890" s="4" t="n">
        <v>964</v>
      </c>
      <c r="H890" s="4" t="n">
        <v>170.24</v>
      </c>
      <c r="I890" s="4" t="n">
        <v>173.97</v>
      </c>
      <c r="J890" s="14" t="n">
        <f aca="false">E890-D890</f>
        <v>9</v>
      </c>
      <c r="K890" s="14" t="n">
        <f aca="false">IF(J890&lt;=0,1,0)</f>
        <v>0</v>
      </c>
      <c r="L890" s="15" t="n">
        <f aca="false">IFERROR(G890/F890,0)</f>
        <v>0.863799283154122</v>
      </c>
      <c r="M890" s="15" t="n">
        <f aca="false">IFERROR((I890-H890)/H890,0)</f>
        <v>0.0219102443609022</v>
      </c>
      <c r="N890" s="16" t="n">
        <f aca="false">G890*I890</f>
        <v>167707.08</v>
      </c>
    </row>
    <row r="891" customFormat="false" ht="15" hidden="false" customHeight="true" outlineLevel="0" collapsed="false">
      <c r="A891" s="4" t="s">
        <v>1067</v>
      </c>
      <c r="B891" s="4" t="s">
        <v>109</v>
      </c>
      <c r="C891" s="13" t="n">
        <v>45542</v>
      </c>
      <c r="D891" s="13" t="n">
        <v>45561</v>
      </c>
      <c r="E891" s="13" t="n">
        <v>45556</v>
      </c>
      <c r="F891" s="4" t="n">
        <v>467</v>
      </c>
      <c r="G891" s="4" t="n">
        <v>460</v>
      </c>
      <c r="H891" s="4" t="n">
        <v>858.02</v>
      </c>
      <c r="I891" s="4" t="n">
        <v>917.13</v>
      </c>
      <c r="J891" s="14" t="n">
        <f aca="false">E891-D891</f>
        <v>-5</v>
      </c>
      <c r="K891" s="14" t="n">
        <f aca="false">IF(J891&lt;=0,1,0)</f>
        <v>1</v>
      </c>
      <c r="L891" s="15" t="n">
        <f aca="false">IFERROR(G891/F891,0)</f>
        <v>0.985010706638116</v>
      </c>
      <c r="M891" s="15" t="n">
        <f aca="false">IFERROR((I891-H891)/H891,0)</f>
        <v>0.0688911680380411</v>
      </c>
      <c r="N891" s="16" t="n">
        <f aca="false">G891*I891</f>
        <v>421879.8</v>
      </c>
    </row>
    <row r="892" customFormat="false" ht="15" hidden="false" customHeight="true" outlineLevel="0" collapsed="false">
      <c r="A892" s="4" t="s">
        <v>1068</v>
      </c>
      <c r="B892" s="4" t="s">
        <v>70</v>
      </c>
      <c r="C892" s="13" t="n">
        <v>45614</v>
      </c>
      <c r="D892" s="13" t="n">
        <v>45621</v>
      </c>
      <c r="E892" s="13" t="n">
        <v>45621</v>
      </c>
      <c r="F892" s="4" t="n">
        <v>4491</v>
      </c>
      <c r="G892" s="4" t="n">
        <v>4081</v>
      </c>
      <c r="H892" s="4" t="n">
        <v>35.88</v>
      </c>
      <c r="I892" s="4" t="n">
        <v>38.52</v>
      </c>
      <c r="J892" s="14" t="n">
        <f aca="false">E892-D892</f>
        <v>0</v>
      </c>
      <c r="K892" s="14" t="n">
        <f aca="false">IF(J892&lt;=0,1,0)</f>
        <v>1</v>
      </c>
      <c r="L892" s="15" t="n">
        <f aca="false">IFERROR(G892/F892,0)</f>
        <v>0.908706301491873</v>
      </c>
      <c r="M892" s="15" t="n">
        <f aca="false">IFERROR((I892-H892)/H892,0)</f>
        <v>0.0735785953177258</v>
      </c>
      <c r="N892" s="16" t="n">
        <f aca="false">G892*I892</f>
        <v>157200.12</v>
      </c>
    </row>
    <row r="893" customFormat="false" ht="15" hidden="false" customHeight="true" outlineLevel="0" collapsed="false">
      <c r="A893" s="4" t="s">
        <v>1069</v>
      </c>
      <c r="B893" s="4" t="s">
        <v>161</v>
      </c>
      <c r="C893" s="13" t="n">
        <v>45269</v>
      </c>
      <c r="D893" s="13" t="n">
        <v>45280</v>
      </c>
      <c r="E893" s="13" t="n">
        <v>45281</v>
      </c>
      <c r="F893" s="4" t="n">
        <v>1154</v>
      </c>
      <c r="G893" s="4" t="n">
        <v>1120</v>
      </c>
      <c r="H893" s="4" t="n">
        <v>101.94</v>
      </c>
      <c r="I893" s="4" t="n">
        <v>108.19</v>
      </c>
      <c r="J893" s="14" t="n">
        <f aca="false">E893-D893</f>
        <v>1</v>
      </c>
      <c r="K893" s="14" t="n">
        <f aca="false">IF(J893&lt;=0,1,0)</f>
        <v>0</v>
      </c>
      <c r="L893" s="15" t="n">
        <f aca="false">IFERROR(G893/F893,0)</f>
        <v>0.97053726169844</v>
      </c>
      <c r="M893" s="15" t="n">
        <f aca="false">IFERROR((I893-H893)/H893,0)</f>
        <v>0.0613105748479498</v>
      </c>
      <c r="N893" s="16" t="n">
        <f aca="false">G893*I893</f>
        <v>121172.8</v>
      </c>
    </row>
    <row r="894" customFormat="false" ht="15" hidden="false" customHeight="true" outlineLevel="0" collapsed="false">
      <c r="A894" s="4" t="s">
        <v>1070</v>
      </c>
      <c r="B894" s="4" t="s">
        <v>117</v>
      </c>
      <c r="C894" s="13" t="n">
        <v>45200</v>
      </c>
      <c r="D894" s="13" t="n">
        <v>45213</v>
      </c>
      <c r="E894" s="13" t="n">
        <v>45210</v>
      </c>
      <c r="F894" s="4" t="n">
        <v>137</v>
      </c>
      <c r="G894" s="4" t="n">
        <v>128</v>
      </c>
      <c r="H894" s="4" t="n">
        <v>396.01</v>
      </c>
      <c r="I894" s="4" t="n">
        <v>388.64</v>
      </c>
      <c r="J894" s="14" t="n">
        <f aca="false">E894-D894</f>
        <v>-3</v>
      </c>
      <c r="K894" s="14" t="n">
        <f aca="false">IF(J894&lt;=0,1,0)</f>
        <v>1</v>
      </c>
      <c r="L894" s="15" t="n">
        <f aca="false">IFERROR(G894/F894,0)</f>
        <v>0.934306569343066</v>
      </c>
      <c r="M894" s="15" t="n">
        <f aca="false">IFERROR((I894-H894)/H894,0)</f>
        <v>-0.0186106411454256</v>
      </c>
      <c r="N894" s="16" t="n">
        <f aca="false">G894*I894</f>
        <v>49745.92</v>
      </c>
    </row>
    <row r="895" customFormat="false" ht="15" hidden="false" customHeight="true" outlineLevel="0" collapsed="false">
      <c r="A895" s="4" t="s">
        <v>1071</v>
      </c>
      <c r="B895" s="4" t="s">
        <v>145</v>
      </c>
      <c r="C895" s="13" t="n">
        <v>45184</v>
      </c>
      <c r="D895" s="13" t="n">
        <v>45193</v>
      </c>
      <c r="E895" s="13" t="n">
        <v>45197</v>
      </c>
      <c r="F895" s="4" t="n">
        <v>226</v>
      </c>
      <c r="G895" s="4" t="n">
        <v>215</v>
      </c>
      <c r="H895" s="4" t="n">
        <v>237.04</v>
      </c>
      <c r="I895" s="4" t="n">
        <v>252.25</v>
      </c>
      <c r="J895" s="14" t="n">
        <f aca="false">E895-D895</f>
        <v>4</v>
      </c>
      <c r="K895" s="14" t="n">
        <f aca="false">IF(J895&lt;=0,1,0)</f>
        <v>0</v>
      </c>
      <c r="L895" s="15" t="n">
        <f aca="false">IFERROR(G895/F895,0)</f>
        <v>0.951327433628319</v>
      </c>
      <c r="M895" s="15" t="n">
        <f aca="false">IFERROR((I895-H895)/H895,0)</f>
        <v>0.0641663854201823</v>
      </c>
      <c r="N895" s="16" t="n">
        <f aca="false">G895*I895</f>
        <v>54233.75</v>
      </c>
    </row>
    <row r="896" customFormat="false" ht="15" hidden="false" customHeight="true" outlineLevel="0" collapsed="false">
      <c r="A896" s="4" t="s">
        <v>1072</v>
      </c>
      <c r="B896" s="4" t="s">
        <v>127</v>
      </c>
      <c r="C896" s="13" t="n">
        <v>45180</v>
      </c>
      <c r="D896" s="13" t="n">
        <v>45186</v>
      </c>
      <c r="E896" s="13" t="n">
        <v>45191</v>
      </c>
      <c r="F896" s="4" t="n">
        <v>14</v>
      </c>
      <c r="G896" s="4" t="n">
        <v>13</v>
      </c>
      <c r="H896" s="4" t="n">
        <v>1881</v>
      </c>
      <c r="I896" s="4" t="n">
        <v>1798.5</v>
      </c>
      <c r="J896" s="14" t="n">
        <f aca="false">E896-D896</f>
        <v>5</v>
      </c>
      <c r="K896" s="14" t="n">
        <f aca="false">IF(J896&lt;=0,1,0)</f>
        <v>0</v>
      </c>
      <c r="L896" s="15" t="n">
        <f aca="false">IFERROR(G896/F896,0)</f>
        <v>0.928571428571429</v>
      </c>
      <c r="M896" s="15" t="n">
        <f aca="false">IFERROR((I896-H896)/H896,0)</f>
        <v>-0.043859649122807</v>
      </c>
      <c r="N896" s="16" t="n">
        <f aca="false">G896*I896</f>
        <v>23380.5</v>
      </c>
    </row>
    <row r="897" customFormat="false" ht="15" hidden="false" customHeight="true" outlineLevel="0" collapsed="false">
      <c r="A897" s="4" t="s">
        <v>1073</v>
      </c>
      <c r="B897" s="4" t="s">
        <v>97</v>
      </c>
      <c r="C897" s="13" t="n">
        <v>44946</v>
      </c>
      <c r="D897" s="13" t="n">
        <v>44957</v>
      </c>
      <c r="E897" s="13" t="n">
        <v>44960</v>
      </c>
      <c r="F897" s="4" t="n">
        <v>255</v>
      </c>
      <c r="G897" s="4" t="n">
        <v>254</v>
      </c>
      <c r="H897" s="4" t="n">
        <v>123.04</v>
      </c>
      <c r="I897" s="4" t="n">
        <v>121.72</v>
      </c>
      <c r="J897" s="14" t="n">
        <f aca="false">E897-D897</f>
        <v>3</v>
      </c>
      <c r="K897" s="14" t="n">
        <f aca="false">IF(J897&lt;=0,1,0)</f>
        <v>0</v>
      </c>
      <c r="L897" s="15" t="n">
        <f aca="false">IFERROR(G897/F897,0)</f>
        <v>0.996078431372549</v>
      </c>
      <c r="M897" s="15" t="n">
        <f aca="false">IFERROR((I897-H897)/H897,0)</f>
        <v>-0.0107282184655397</v>
      </c>
      <c r="N897" s="16" t="n">
        <f aca="false">G897*I897</f>
        <v>30916.88</v>
      </c>
    </row>
    <row r="898" customFormat="false" ht="15" hidden="false" customHeight="true" outlineLevel="0" collapsed="false">
      <c r="A898" s="4" t="s">
        <v>1074</v>
      </c>
      <c r="B898" s="4" t="s">
        <v>161</v>
      </c>
      <c r="C898" s="13" t="n">
        <v>44988</v>
      </c>
      <c r="D898" s="13" t="n">
        <v>44997</v>
      </c>
      <c r="E898" s="13" t="n">
        <v>45002</v>
      </c>
      <c r="F898" s="4" t="n">
        <v>1454</v>
      </c>
      <c r="G898" s="4" t="n">
        <v>1454</v>
      </c>
      <c r="H898" s="4" t="n">
        <v>101.94</v>
      </c>
      <c r="I898" s="4" t="n">
        <v>104.37</v>
      </c>
      <c r="J898" s="14" t="n">
        <f aca="false">E898-D898</f>
        <v>5</v>
      </c>
      <c r="K898" s="14" t="n">
        <f aca="false">IF(J898&lt;=0,1,0)</f>
        <v>0</v>
      </c>
      <c r="L898" s="15" t="n">
        <f aca="false">IFERROR(G898/F898,0)</f>
        <v>1</v>
      </c>
      <c r="M898" s="15" t="n">
        <f aca="false">IFERROR((I898-H898)/H898,0)</f>
        <v>0.0238375515008829</v>
      </c>
      <c r="N898" s="16" t="n">
        <f aca="false">G898*I898</f>
        <v>151753.98</v>
      </c>
    </row>
    <row r="899" customFormat="false" ht="15" hidden="false" customHeight="true" outlineLevel="0" collapsed="false">
      <c r="A899" s="4" t="s">
        <v>1075</v>
      </c>
      <c r="B899" s="4" t="s">
        <v>99</v>
      </c>
      <c r="C899" s="13" t="n">
        <v>45188</v>
      </c>
      <c r="D899" s="13" t="n">
        <v>45195</v>
      </c>
      <c r="E899" s="13" t="n">
        <v>45202</v>
      </c>
      <c r="F899" s="4" t="n">
        <v>2610</v>
      </c>
      <c r="G899" s="4" t="n">
        <v>2477</v>
      </c>
      <c r="H899" s="4" t="n">
        <v>11.5</v>
      </c>
      <c r="I899" s="4" t="n">
        <v>12.01</v>
      </c>
      <c r="J899" s="14" t="n">
        <f aca="false">E899-D899</f>
        <v>7</v>
      </c>
      <c r="K899" s="14" t="n">
        <f aca="false">IF(J899&lt;=0,1,0)</f>
        <v>0</v>
      </c>
      <c r="L899" s="15" t="n">
        <f aca="false">IFERROR(G899/F899,0)</f>
        <v>0.94904214559387</v>
      </c>
      <c r="M899" s="15" t="n">
        <f aca="false">IFERROR((I899-H899)/H899,0)</f>
        <v>0.0443478260869565</v>
      </c>
      <c r="N899" s="16" t="n">
        <f aca="false">G899*I899</f>
        <v>29748.77</v>
      </c>
    </row>
    <row r="900" customFormat="false" ht="15" hidden="false" customHeight="true" outlineLevel="0" collapsed="false">
      <c r="A900" s="4" t="s">
        <v>1076</v>
      </c>
      <c r="B900" s="4" t="s">
        <v>87</v>
      </c>
      <c r="C900" s="13" t="n">
        <v>45386</v>
      </c>
      <c r="D900" s="13" t="n">
        <v>45396</v>
      </c>
      <c r="E900" s="13" t="n">
        <v>45394</v>
      </c>
      <c r="F900" s="4" t="n">
        <v>1720</v>
      </c>
      <c r="G900" s="4" t="n">
        <v>1553</v>
      </c>
      <c r="H900" s="4" t="n">
        <v>161.95</v>
      </c>
      <c r="I900" s="4" t="n">
        <v>182.15</v>
      </c>
      <c r="J900" s="14" t="n">
        <f aca="false">E900-D900</f>
        <v>-2</v>
      </c>
      <c r="K900" s="14" t="n">
        <f aca="false">IF(J900&lt;=0,1,0)</f>
        <v>1</v>
      </c>
      <c r="L900" s="15" t="n">
        <f aca="false">IFERROR(G900/F900,0)</f>
        <v>0.902906976744186</v>
      </c>
      <c r="M900" s="15" t="n">
        <f aca="false">IFERROR((I900-H900)/H900,0)</f>
        <v>0.124729854893486</v>
      </c>
      <c r="N900" s="16" t="n">
        <f aca="false">G900*I900</f>
        <v>282878.95</v>
      </c>
    </row>
    <row r="901" customFormat="false" ht="15" hidden="false" customHeight="true" outlineLevel="0" collapsed="false">
      <c r="A901" s="4" t="s">
        <v>1077</v>
      </c>
      <c r="B901" s="4" t="s">
        <v>159</v>
      </c>
      <c r="C901" s="13" t="n">
        <v>45414</v>
      </c>
      <c r="D901" s="13" t="n">
        <v>45420</v>
      </c>
      <c r="E901" s="13" t="n">
        <v>45420</v>
      </c>
      <c r="F901" s="4" t="n">
        <v>3491</v>
      </c>
      <c r="G901" s="4" t="n">
        <v>3491</v>
      </c>
      <c r="H901" s="4" t="n">
        <v>32.91</v>
      </c>
      <c r="I901" s="4" t="n">
        <v>33.57</v>
      </c>
      <c r="J901" s="14" t="n">
        <f aca="false">E901-D901</f>
        <v>0</v>
      </c>
      <c r="K901" s="14" t="n">
        <f aca="false">IF(J901&lt;=0,1,0)</f>
        <v>1</v>
      </c>
      <c r="L901" s="15" t="n">
        <f aca="false">IFERROR(G901/F901,0)</f>
        <v>1</v>
      </c>
      <c r="M901" s="15" t="n">
        <f aca="false">IFERROR((I901-H901)/H901,0)</f>
        <v>0.0200546946216956</v>
      </c>
      <c r="N901" s="16" t="n">
        <f aca="false">G901*I901</f>
        <v>117192.87</v>
      </c>
    </row>
    <row r="902" customFormat="false" ht="15" hidden="false" customHeight="true" outlineLevel="0" collapsed="false">
      <c r="A902" s="4" t="s">
        <v>1078</v>
      </c>
      <c r="B902" s="4" t="s">
        <v>91</v>
      </c>
      <c r="C902" s="13" t="n">
        <v>45439</v>
      </c>
      <c r="D902" s="13" t="n">
        <v>45459</v>
      </c>
      <c r="E902" s="13" t="n">
        <v>45455</v>
      </c>
      <c r="F902" s="4" t="n">
        <v>340</v>
      </c>
      <c r="G902" s="4" t="n">
        <v>321</v>
      </c>
      <c r="H902" s="4" t="n">
        <v>496.29</v>
      </c>
      <c r="I902" s="4" t="n">
        <v>493.89</v>
      </c>
      <c r="J902" s="14" t="n">
        <f aca="false">E902-D902</f>
        <v>-4</v>
      </c>
      <c r="K902" s="14" t="n">
        <f aca="false">IF(J902&lt;=0,1,0)</f>
        <v>1</v>
      </c>
      <c r="L902" s="15" t="n">
        <f aca="false">IFERROR(G902/F902,0)</f>
        <v>0.944117647058824</v>
      </c>
      <c r="M902" s="15" t="n">
        <f aca="false">IFERROR((I902-H902)/H902,0)</f>
        <v>-0.00483588224626737</v>
      </c>
      <c r="N902" s="16" t="n">
        <f aca="false">G902*I902</f>
        <v>158538.69</v>
      </c>
    </row>
    <row r="903" customFormat="false" ht="15" hidden="false" customHeight="true" outlineLevel="0" collapsed="false">
      <c r="A903" s="4" t="s">
        <v>1079</v>
      </c>
      <c r="B903" s="4" t="s">
        <v>97</v>
      </c>
      <c r="C903" s="13" t="n">
        <v>45464</v>
      </c>
      <c r="D903" s="13" t="n">
        <v>45475</v>
      </c>
      <c r="E903" s="13" t="n">
        <v>45482</v>
      </c>
      <c r="F903" s="4" t="n">
        <v>1149</v>
      </c>
      <c r="G903" s="4" t="n">
        <v>1149</v>
      </c>
      <c r="H903" s="4" t="n">
        <v>123.04</v>
      </c>
      <c r="I903" s="4" t="n">
        <v>122.97</v>
      </c>
      <c r="J903" s="14" t="n">
        <f aca="false">E903-D903</f>
        <v>7</v>
      </c>
      <c r="K903" s="14" t="n">
        <f aca="false">IF(J903&lt;=0,1,0)</f>
        <v>0</v>
      </c>
      <c r="L903" s="15" t="n">
        <f aca="false">IFERROR(G903/F903,0)</f>
        <v>1</v>
      </c>
      <c r="M903" s="15" t="n">
        <f aca="false">IFERROR((I903-H903)/H903,0)</f>
        <v>-0.000568920676202921</v>
      </c>
      <c r="N903" s="16" t="n">
        <f aca="false">G903*I903</f>
        <v>141292.53</v>
      </c>
    </row>
    <row r="904" customFormat="false" ht="15" hidden="false" customHeight="true" outlineLevel="0" collapsed="false">
      <c r="A904" s="4" t="s">
        <v>1080</v>
      </c>
      <c r="B904" s="4" t="s">
        <v>58</v>
      </c>
      <c r="C904" s="13" t="n">
        <v>45104</v>
      </c>
      <c r="D904" s="13" t="n">
        <v>45116</v>
      </c>
      <c r="E904" s="13" t="n">
        <v>45117</v>
      </c>
      <c r="F904" s="4" t="n">
        <v>122</v>
      </c>
      <c r="G904" s="4" t="n">
        <v>122</v>
      </c>
      <c r="H904" s="4" t="n">
        <v>135.68</v>
      </c>
      <c r="I904" s="4" t="n">
        <v>140.9</v>
      </c>
      <c r="J904" s="14" t="n">
        <f aca="false">E904-D904</f>
        <v>1</v>
      </c>
      <c r="K904" s="14" t="n">
        <f aca="false">IF(J904&lt;=0,1,0)</f>
        <v>0</v>
      </c>
      <c r="L904" s="15" t="n">
        <f aca="false">IFERROR(G904/F904,0)</f>
        <v>1</v>
      </c>
      <c r="M904" s="15" t="n">
        <f aca="false">IFERROR((I904-H904)/H904,0)</f>
        <v>0.0384728773584906</v>
      </c>
      <c r="N904" s="16" t="n">
        <f aca="false">G904*I904</f>
        <v>17189.8</v>
      </c>
    </row>
    <row r="905" customFormat="false" ht="15" hidden="false" customHeight="true" outlineLevel="0" collapsed="false">
      <c r="A905" s="4" t="s">
        <v>1081</v>
      </c>
      <c r="B905" s="4" t="s">
        <v>153</v>
      </c>
      <c r="C905" s="13" t="n">
        <v>45130</v>
      </c>
      <c r="D905" s="13" t="n">
        <v>45149</v>
      </c>
      <c r="E905" s="13" t="n">
        <v>45154</v>
      </c>
      <c r="F905" s="4" t="n">
        <v>389</v>
      </c>
      <c r="G905" s="4" t="n">
        <v>366</v>
      </c>
      <c r="H905" s="4" t="n">
        <v>1492.04</v>
      </c>
      <c r="I905" s="4" t="n">
        <v>1520.39</v>
      </c>
      <c r="J905" s="14" t="n">
        <f aca="false">E905-D905</f>
        <v>5</v>
      </c>
      <c r="K905" s="14" t="n">
        <f aca="false">IF(J905&lt;=0,1,0)</f>
        <v>0</v>
      </c>
      <c r="L905" s="15" t="n">
        <f aca="false">IFERROR(G905/F905,0)</f>
        <v>0.940874035989717</v>
      </c>
      <c r="M905" s="15" t="n">
        <f aca="false">IFERROR((I905-H905)/H905,0)</f>
        <v>0.0190008310769149</v>
      </c>
      <c r="N905" s="16" t="n">
        <f aca="false">G905*I905</f>
        <v>556462.74</v>
      </c>
    </row>
    <row r="906" customFormat="false" ht="15" hidden="false" customHeight="true" outlineLevel="0" collapsed="false">
      <c r="A906" s="4" t="s">
        <v>1082</v>
      </c>
      <c r="B906" s="4" t="s">
        <v>77</v>
      </c>
      <c r="C906" s="13" t="n">
        <v>45032</v>
      </c>
      <c r="D906" s="13" t="n">
        <v>45040</v>
      </c>
      <c r="E906" s="13" t="n">
        <v>45052</v>
      </c>
      <c r="F906" s="4" t="n">
        <v>1647</v>
      </c>
      <c r="G906" s="4" t="n">
        <v>1647</v>
      </c>
      <c r="H906" s="4" t="n">
        <v>36.83</v>
      </c>
      <c r="I906" s="4" t="n">
        <v>36.68</v>
      </c>
      <c r="J906" s="14" t="n">
        <f aca="false">E906-D906</f>
        <v>12</v>
      </c>
      <c r="K906" s="14" t="n">
        <f aca="false">IF(J906&lt;=0,1,0)</f>
        <v>0</v>
      </c>
      <c r="L906" s="15" t="n">
        <f aca="false">IFERROR(G906/F906,0)</f>
        <v>1</v>
      </c>
      <c r="M906" s="15" t="n">
        <f aca="false">IFERROR((I906-H906)/H906,0)</f>
        <v>-0.00407276676622315</v>
      </c>
      <c r="N906" s="16" t="n">
        <f aca="false">G906*I906</f>
        <v>60411.96</v>
      </c>
    </row>
    <row r="907" customFormat="false" ht="15" hidden="false" customHeight="true" outlineLevel="0" collapsed="false">
      <c r="A907" s="4" t="s">
        <v>1083</v>
      </c>
      <c r="B907" s="4" t="s">
        <v>43</v>
      </c>
      <c r="C907" s="13" t="n">
        <v>45027</v>
      </c>
      <c r="D907" s="13" t="n">
        <v>45046</v>
      </c>
      <c r="E907" s="13" t="n">
        <v>45049</v>
      </c>
      <c r="F907" s="4" t="n">
        <v>142</v>
      </c>
      <c r="G907" s="4" t="n">
        <v>142</v>
      </c>
      <c r="H907" s="4" t="n">
        <v>1321.6</v>
      </c>
      <c r="I907" s="4" t="n">
        <v>1334.53</v>
      </c>
      <c r="J907" s="14" t="n">
        <f aca="false">E907-D907</f>
        <v>3</v>
      </c>
      <c r="K907" s="14" t="n">
        <f aca="false">IF(J907&lt;=0,1,0)</f>
        <v>0</v>
      </c>
      <c r="L907" s="15" t="n">
        <f aca="false">IFERROR(G907/F907,0)</f>
        <v>1</v>
      </c>
      <c r="M907" s="15" t="n">
        <f aca="false">IFERROR((I907-H907)/H907,0)</f>
        <v>0.00978359564164654</v>
      </c>
      <c r="N907" s="16" t="n">
        <f aca="false">G907*I907</f>
        <v>189503.26</v>
      </c>
    </row>
    <row r="908" customFormat="false" ht="15" hidden="false" customHeight="true" outlineLevel="0" collapsed="false">
      <c r="A908" s="4" t="s">
        <v>1084</v>
      </c>
      <c r="B908" s="4" t="s">
        <v>161</v>
      </c>
      <c r="C908" s="13" t="n">
        <v>45073</v>
      </c>
      <c r="D908" s="13" t="n">
        <v>45082</v>
      </c>
      <c r="E908" s="13" t="n">
        <v>45089</v>
      </c>
      <c r="F908" s="4" t="n">
        <v>1694</v>
      </c>
      <c r="G908" s="4" t="n">
        <v>1654</v>
      </c>
      <c r="H908" s="4" t="n">
        <v>101.94</v>
      </c>
      <c r="I908" s="4" t="n">
        <v>105.72</v>
      </c>
      <c r="J908" s="14" t="n">
        <f aca="false">E908-D908</f>
        <v>7</v>
      </c>
      <c r="K908" s="14" t="n">
        <f aca="false">IF(J908&lt;=0,1,0)</f>
        <v>0</v>
      </c>
      <c r="L908" s="15" t="n">
        <f aca="false">IFERROR(G908/F908,0)</f>
        <v>0.976387249114522</v>
      </c>
      <c r="M908" s="15" t="n">
        <f aca="false">IFERROR((I908-H908)/H908,0)</f>
        <v>0.03708063566804</v>
      </c>
      <c r="N908" s="16" t="n">
        <f aca="false">G908*I908</f>
        <v>174860.88</v>
      </c>
    </row>
    <row r="909" customFormat="false" ht="15" hidden="false" customHeight="true" outlineLevel="0" collapsed="false">
      <c r="A909" s="4" t="s">
        <v>1085</v>
      </c>
      <c r="B909" s="4" t="s">
        <v>153</v>
      </c>
      <c r="C909" s="13" t="n">
        <v>45193</v>
      </c>
      <c r="D909" s="13" t="n">
        <v>45211</v>
      </c>
      <c r="E909" s="13" t="n">
        <v>45217</v>
      </c>
      <c r="F909" s="4" t="n">
        <v>488</v>
      </c>
      <c r="G909" s="4" t="n">
        <v>450</v>
      </c>
      <c r="H909" s="4" t="n">
        <v>1492.04</v>
      </c>
      <c r="I909" s="4" t="n">
        <v>1555.58</v>
      </c>
      <c r="J909" s="14" t="n">
        <f aca="false">E909-D909</f>
        <v>6</v>
      </c>
      <c r="K909" s="14" t="n">
        <f aca="false">IF(J909&lt;=0,1,0)</f>
        <v>0</v>
      </c>
      <c r="L909" s="15" t="n">
        <f aca="false">IFERROR(G909/F909,0)</f>
        <v>0.922131147540984</v>
      </c>
      <c r="M909" s="15" t="n">
        <f aca="false">IFERROR((I909-H909)/H909,0)</f>
        <v>0.0425859896517519</v>
      </c>
      <c r="N909" s="16" t="n">
        <f aca="false">G909*I909</f>
        <v>700011</v>
      </c>
    </row>
    <row r="910" customFormat="false" ht="15" hidden="false" customHeight="true" outlineLevel="0" collapsed="false">
      <c r="A910" s="4" t="s">
        <v>1086</v>
      </c>
      <c r="B910" s="4" t="s">
        <v>121</v>
      </c>
      <c r="C910" s="13" t="n">
        <v>45366</v>
      </c>
      <c r="D910" s="13" t="n">
        <v>45377</v>
      </c>
      <c r="E910" s="13" t="n">
        <v>45377</v>
      </c>
      <c r="F910" s="4" t="n">
        <v>1956</v>
      </c>
      <c r="G910" s="4" t="n">
        <v>1797</v>
      </c>
      <c r="H910" s="4" t="n">
        <v>206.07</v>
      </c>
      <c r="I910" s="4" t="n">
        <v>221.13</v>
      </c>
      <c r="J910" s="14" t="n">
        <f aca="false">E910-D910</f>
        <v>0</v>
      </c>
      <c r="K910" s="14" t="n">
        <f aca="false">IF(J910&lt;=0,1,0)</f>
        <v>1</v>
      </c>
      <c r="L910" s="15" t="n">
        <f aca="false">IFERROR(G910/F910,0)</f>
        <v>0.918711656441718</v>
      </c>
      <c r="M910" s="15" t="n">
        <f aca="false">IFERROR((I910-H910)/H910,0)</f>
        <v>0.0730819624399476</v>
      </c>
      <c r="N910" s="16" t="n">
        <f aca="false">G910*I910</f>
        <v>397370.61</v>
      </c>
    </row>
    <row r="911" customFormat="false" ht="15" hidden="false" customHeight="true" outlineLevel="0" collapsed="false">
      <c r="A911" s="4" t="s">
        <v>1087</v>
      </c>
      <c r="B911" s="4" t="s">
        <v>151</v>
      </c>
      <c r="C911" s="13" t="n">
        <v>45235</v>
      </c>
      <c r="D911" s="13" t="n">
        <v>45241</v>
      </c>
      <c r="E911" s="13" t="n">
        <v>45241</v>
      </c>
      <c r="F911" s="4" t="n">
        <v>3</v>
      </c>
      <c r="G911" s="4" t="n">
        <v>3</v>
      </c>
      <c r="H911" s="4" t="n">
        <v>503.46</v>
      </c>
      <c r="I911" s="4" t="n">
        <v>503.26</v>
      </c>
      <c r="J911" s="14" t="n">
        <f aca="false">E911-D911</f>
        <v>0</v>
      </c>
      <c r="K911" s="14" t="n">
        <f aca="false">IF(J911&lt;=0,1,0)</f>
        <v>1</v>
      </c>
      <c r="L911" s="15" t="n">
        <f aca="false">IFERROR(G911/F911,0)</f>
        <v>1</v>
      </c>
      <c r="M911" s="15" t="n">
        <f aca="false">IFERROR((I911-H911)/H911,0)</f>
        <v>-0.000397251022921361</v>
      </c>
      <c r="N911" s="16" t="n">
        <f aca="false">G911*I911</f>
        <v>1509.78</v>
      </c>
    </row>
    <row r="912" customFormat="false" ht="15" hidden="false" customHeight="true" outlineLevel="0" collapsed="false">
      <c r="A912" s="4" t="s">
        <v>1088</v>
      </c>
      <c r="B912" s="4" t="s">
        <v>131</v>
      </c>
      <c r="C912" s="13" t="n">
        <v>45391</v>
      </c>
      <c r="D912" s="13" t="n">
        <v>45402</v>
      </c>
      <c r="E912" s="13" t="n">
        <v>45397</v>
      </c>
      <c r="F912" s="4" t="n">
        <v>1336</v>
      </c>
      <c r="G912" s="4" t="n">
        <v>1284</v>
      </c>
      <c r="H912" s="4" t="n">
        <v>88.52</v>
      </c>
      <c r="I912" s="4" t="n">
        <v>89.8</v>
      </c>
      <c r="J912" s="14" t="n">
        <f aca="false">E912-D912</f>
        <v>-5</v>
      </c>
      <c r="K912" s="14" t="n">
        <f aca="false">IF(J912&lt;=0,1,0)</f>
        <v>1</v>
      </c>
      <c r="L912" s="15" t="n">
        <f aca="false">IFERROR(G912/F912,0)</f>
        <v>0.961077844311377</v>
      </c>
      <c r="M912" s="15" t="n">
        <f aca="false">IFERROR((I912-H912)/H912,0)</f>
        <v>0.0144600090375057</v>
      </c>
      <c r="N912" s="16" t="n">
        <f aca="false">G912*I912</f>
        <v>115303.2</v>
      </c>
    </row>
    <row r="913" customFormat="false" ht="15" hidden="false" customHeight="true" outlineLevel="0" collapsed="false">
      <c r="A913" s="4" t="s">
        <v>1089</v>
      </c>
      <c r="B913" s="4" t="s">
        <v>61</v>
      </c>
      <c r="C913" s="13" t="n">
        <v>45358</v>
      </c>
      <c r="D913" s="13" t="n">
        <v>45367</v>
      </c>
      <c r="E913" s="13" t="n">
        <v>45372</v>
      </c>
      <c r="F913" s="4" t="n">
        <v>985</v>
      </c>
      <c r="G913" s="4" t="n">
        <v>949</v>
      </c>
      <c r="H913" s="4" t="n">
        <v>107.41</v>
      </c>
      <c r="I913" s="4" t="n">
        <v>106.76</v>
      </c>
      <c r="J913" s="14" t="n">
        <f aca="false">E913-D913</f>
        <v>5</v>
      </c>
      <c r="K913" s="14" t="n">
        <f aca="false">IF(J913&lt;=0,1,0)</f>
        <v>0</v>
      </c>
      <c r="L913" s="15" t="n">
        <f aca="false">IFERROR(G913/F913,0)</f>
        <v>0.963451776649746</v>
      </c>
      <c r="M913" s="15" t="n">
        <f aca="false">IFERROR((I913-H913)/H913,0)</f>
        <v>-0.00605157806535696</v>
      </c>
      <c r="N913" s="16" t="n">
        <f aca="false">G913*I913</f>
        <v>101315.24</v>
      </c>
    </row>
    <row r="914" customFormat="false" ht="15" hidden="false" customHeight="true" outlineLevel="0" collapsed="false">
      <c r="A914" s="4" t="s">
        <v>1090</v>
      </c>
      <c r="B914" s="4" t="s">
        <v>58</v>
      </c>
      <c r="C914" s="13" t="n">
        <v>45548</v>
      </c>
      <c r="D914" s="13" t="n">
        <v>45562</v>
      </c>
      <c r="E914" s="13" t="n">
        <v>45561</v>
      </c>
      <c r="F914" s="4" t="n">
        <v>259</v>
      </c>
      <c r="G914" s="4" t="n">
        <v>256</v>
      </c>
      <c r="H914" s="4" t="n">
        <v>135.68</v>
      </c>
      <c r="I914" s="4" t="n">
        <v>143.27</v>
      </c>
      <c r="J914" s="14" t="n">
        <f aca="false">E914-D914</f>
        <v>-1</v>
      </c>
      <c r="K914" s="14" t="n">
        <f aca="false">IF(J914&lt;=0,1,0)</f>
        <v>1</v>
      </c>
      <c r="L914" s="15" t="n">
        <f aca="false">IFERROR(G914/F914,0)</f>
        <v>0.988416988416988</v>
      </c>
      <c r="M914" s="15" t="n">
        <f aca="false">IFERROR((I914-H914)/H914,0)</f>
        <v>0.0559404481132076</v>
      </c>
      <c r="N914" s="16" t="n">
        <f aca="false">G914*I914</f>
        <v>36677.12</v>
      </c>
    </row>
    <row r="915" customFormat="false" ht="15" hidden="false" customHeight="true" outlineLevel="0" collapsed="false">
      <c r="A915" s="4" t="s">
        <v>1091</v>
      </c>
      <c r="B915" s="4" t="s">
        <v>141</v>
      </c>
      <c r="C915" s="13" t="n">
        <v>45005</v>
      </c>
      <c r="D915" s="13" t="n">
        <v>45023</v>
      </c>
      <c r="E915" s="13" t="n">
        <v>45027</v>
      </c>
      <c r="F915" s="4" t="n">
        <v>50</v>
      </c>
      <c r="G915" s="4" t="n">
        <v>50</v>
      </c>
      <c r="H915" s="4" t="n">
        <v>1252.36</v>
      </c>
      <c r="I915" s="4" t="n">
        <v>1238.6</v>
      </c>
      <c r="J915" s="14" t="n">
        <f aca="false">E915-D915</f>
        <v>4</v>
      </c>
      <c r="K915" s="14" t="n">
        <f aca="false">IF(J915&lt;=0,1,0)</f>
        <v>0</v>
      </c>
      <c r="L915" s="15" t="n">
        <f aca="false">IFERROR(G915/F915,0)</f>
        <v>1</v>
      </c>
      <c r="M915" s="15" t="n">
        <f aca="false">IFERROR((I915-H915)/H915,0)</f>
        <v>-0.0109872560605577</v>
      </c>
      <c r="N915" s="16" t="n">
        <f aca="false">G915*I915</f>
        <v>61930</v>
      </c>
    </row>
    <row r="916" customFormat="false" ht="15" hidden="false" customHeight="true" outlineLevel="0" collapsed="false">
      <c r="A916" s="4" t="s">
        <v>1092</v>
      </c>
      <c r="B916" s="4" t="s">
        <v>72</v>
      </c>
      <c r="C916" s="13" t="n">
        <v>45443</v>
      </c>
      <c r="D916" s="13" t="n">
        <v>45449</v>
      </c>
      <c r="E916" s="13" t="n">
        <v>45462</v>
      </c>
      <c r="F916" s="4" t="n">
        <v>898</v>
      </c>
      <c r="G916" s="4" t="n">
        <v>848</v>
      </c>
      <c r="H916" s="4" t="n">
        <v>34.53</v>
      </c>
      <c r="I916" s="4" t="n">
        <v>36.88</v>
      </c>
      <c r="J916" s="14" t="n">
        <f aca="false">E916-D916</f>
        <v>13</v>
      </c>
      <c r="K916" s="14" t="n">
        <f aca="false">IF(J916&lt;=0,1,0)</f>
        <v>0</v>
      </c>
      <c r="L916" s="15" t="n">
        <f aca="false">IFERROR(G916/F916,0)</f>
        <v>0.944320712694878</v>
      </c>
      <c r="M916" s="15" t="n">
        <f aca="false">IFERROR((I916-H916)/H916,0)</f>
        <v>0.0680567622357371</v>
      </c>
      <c r="N916" s="16" t="n">
        <f aca="false">G916*I916</f>
        <v>31274.24</v>
      </c>
    </row>
    <row r="917" customFormat="false" ht="15" hidden="false" customHeight="true" outlineLevel="0" collapsed="false">
      <c r="A917" s="4" t="s">
        <v>1093</v>
      </c>
      <c r="B917" s="4" t="s">
        <v>151</v>
      </c>
      <c r="C917" s="13" t="n">
        <v>45436</v>
      </c>
      <c r="D917" s="13" t="n">
        <v>45441</v>
      </c>
      <c r="E917" s="13" t="n">
        <v>45442</v>
      </c>
      <c r="F917" s="4" t="n">
        <v>10</v>
      </c>
      <c r="G917" s="4" t="n">
        <v>10</v>
      </c>
      <c r="H917" s="4" t="n">
        <v>503.46</v>
      </c>
      <c r="I917" s="4" t="n">
        <v>504.55</v>
      </c>
      <c r="J917" s="14" t="n">
        <f aca="false">E917-D917</f>
        <v>1</v>
      </c>
      <c r="K917" s="14" t="n">
        <f aca="false">IF(J917&lt;=0,1,0)</f>
        <v>0</v>
      </c>
      <c r="L917" s="15" t="n">
        <f aca="false">IFERROR(G917/F917,0)</f>
        <v>1</v>
      </c>
      <c r="M917" s="15" t="n">
        <f aca="false">IFERROR((I917-H917)/H917,0)</f>
        <v>0.00216501807492161</v>
      </c>
      <c r="N917" s="16" t="n">
        <f aca="false">G917*I917</f>
        <v>5045.5</v>
      </c>
    </row>
    <row r="918" customFormat="false" ht="15" hidden="false" customHeight="true" outlineLevel="0" collapsed="false">
      <c r="A918" s="4" t="s">
        <v>1094</v>
      </c>
      <c r="B918" s="4" t="s">
        <v>87</v>
      </c>
      <c r="C918" s="13" t="n">
        <v>45134</v>
      </c>
      <c r="D918" s="13" t="n">
        <v>45145</v>
      </c>
      <c r="E918" s="13" t="n">
        <v>45146</v>
      </c>
      <c r="F918" s="4" t="n">
        <v>1070</v>
      </c>
      <c r="G918" s="4" t="n">
        <v>998</v>
      </c>
      <c r="H918" s="4" t="n">
        <v>161.95</v>
      </c>
      <c r="I918" s="4" t="n">
        <v>172.19</v>
      </c>
      <c r="J918" s="14" t="n">
        <f aca="false">E918-D918</f>
        <v>1</v>
      </c>
      <c r="K918" s="14" t="n">
        <f aca="false">IF(J918&lt;=0,1,0)</f>
        <v>0</v>
      </c>
      <c r="L918" s="15" t="n">
        <f aca="false">IFERROR(G918/F918,0)</f>
        <v>0.932710280373832</v>
      </c>
      <c r="M918" s="15" t="n">
        <f aca="false">IFERROR((I918-H918)/H918,0)</f>
        <v>0.0632293917875888</v>
      </c>
      <c r="N918" s="16" t="n">
        <f aca="false">G918*I918</f>
        <v>171845.62</v>
      </c>
    </row>
    <row r="919" customFormat="false" ht="15" hidden="false" customHeight="true" outlineLevel="0" collapsed="false">
      <c r="A919" s="4" t="s">
        <v>1095</v>
      </c>
      <c r="B919" s="4" t="s">
        <v>97</v>
      </c>
      <c r="C919" s="13" t="n">
        <v>45106</v>
      </c>
      <c r="D919" s="13" t="n">
        <v>45117</v>
      </c>
      <c r="E919" s="13" t="n">
        <v>45121</v>
      </c>
      <c r="F919" s="4" t="n">
        <v>1659</v>
      </c>
      <c r="G919" s="4" t="n">
        <v>1641</v>
      </c>
      <c r="H919" s="4" t="n">
        <v>123.04</v>
      </c>
      <c r="I919" s="4" t="n">
        <v>121.87</v>
      </c>
      <c r="J919" s="14" t="n">
        <f aca="false">E919-D919</f>
        <v>4</v>
      </c>
      <c r="K919" s="14" t="n">
        <f aca="false">IF(J919&lt;=0,1,0)</f>
        <v>0</v>
      </c>
      <c r="L919" s="15" t="n">
        <f aca="false">IFERROR(G919/F919,0)</f>
        <v>0.989150090415913</v>
      </c>
      <c r="M919" s="15" t="n">
        <f aca="false">IFERROR((I919-H919)/H919,0)</f>
        <v>-0.00950910273081926</v>
      </c>
      <c r="N919" s="16" t="n">
        <f aca="false">G919*I919</f>
        <v>199988.67</v>
      </c>
    </row>
    <row r="920" customFormat="false" ht="15" hidden="false" customHeight="true" outlineLevel="0" collapsed="false">
      <c r="A920" s="4" t="s">
        <v>1096</v>
      </c>
      <c r="B920" s="4" t="s">
        <v>111</v>
      </c>
      <c r="C920" s="13" t="n">
        <v>45367</v>
      </c>
      <c r="D920" s="13" t="n">
        <v>45376</v>
      </c>
      <c r="E920" s="13" t="n">
        <v>45377</v>
      </c>
      <c r="F920" s="4" t="n">
        <v>1018</v>
      </c>
      <c r="G920" s="4" t="n">
        <v>1002</v>
      </c>
      <c r="H920" s="4" t="n">
        <v>148.08</v>
      </c>
      <c r="I920" s="4" t="n">
        <v>145.72</v>
      </c>
      <c r="J920" s="14" t="n">
        <f aca="false">E920-D920</f>
        <v>1</v>
      </c>
      <c r="K920" s="14" t="n">
        <f aca="false">IF(J920&lt;=0,1,0)</f>
        <v>0</v>
      </c>
      <c r="L920" s="15" t="n">
        <f aca="false">IFERROR(G920/F920,0)</f>
        <v>0.984282907662083</v>
      </c>
      <c r="M920" s="15" t="n">
        <f aca="false">IFERROR((I920-H920)/H920,0)</f>
        <v>-0.0159373311723394</v>
      </c>
      <c r="N920" s="16" t="n">
        <f aca="false">G920*I920</f>
        <v>146011.44</v>
      </c>
    </row>
    <row r="921" customFormat="false" ht="15" hidden="false" customHeight="true" outlineLevel="0" collapsed="false">
      <c r="A921" s="4" t="s">
        <v>1097</v>
      </c>
      <c r="B921" s="4" t="s">
        <v>85</v>
      </c>
      <c r="C921" s="13" t="n">
        <v>45550</v>
      </c>
      <c r="D921" s="13" t="n">
        <v>45559</v>
      </c>
      <c r="E921" s="13" t="n">
        <v>45562</v>
      </c>
      <c r="F921" s="4" t="n">
        <v>786</v>
      </c>
      <c r="G921" s="4" t="n">
        <v>754</v>
      </c>
      <c r="H921" s="4" t="n">
        <v>241.88</v>
      </c>
      <c r="I921" s="4" t="n">
        <v>232.92</v>
      </c>
      <c r="J921" s="14" t="n">
        <f aca="false">E921-D921</f>
        <v>3</v>
      </c>
      <c r="K921" s="14" t="n">
        <f aca="false">IF(J921&lt;=0,1,0)</f>
        <v>0</v>
      </c>
      <c r="L921" s="15" t="n">
        <f aca="false">IFERROR(G921/F921,0)</f>
        <v>0.959287531806616</v>
      </c>
      <c r="M921" s="15" t="n">
        <f aca="false">IFERROR((I921-H921)/H921,0)</f>
        <v>-0.0370431618984621</v>
      </c>
      <c r="N921" s="16" t="n">
        <f aca="false">G921*I921</f>
        <v>175621.68</v>
      </c>
    </row>
    <row r="922" customFormat="false" ht="15" hidden="false" customHeight="true" outlineLevel="0" collapsed="false">
      <c r="A922" s="4" t="s">
        <v>1098</v>
      </c>
      <c r="B922" s="4" t="s">
        <v>103</v>
      </c>
      <c r="C922" s="13" t="n">
        <v>45080</v>
      </c>
      <c r="D922" s="13" t="n">
        <v>45098</v>
      </c>
      <c r="E922" s="13" t="n">
        <v>45096</v>
      </c>
      <c r="F922" s="4" t="n">
        <v>414</v>
      </c>
      <c r="G922" s="4" t="n">
        <v>408</v>
      </c>
      <c r="H922" s="4" t="n">
        <v>1400.22</v>
      </c>
      <c r="I922" s="4" t="n">
        <v>1416.39</v>
      </c>
      <c r="J922" s="14" t="n">
        <f aca="false">E922-D922</f>
        <v>-2</v>
      </c>
      <c r="K922" s="14" t="n">
        <f aca="false">IF(J922&lt;=0,1,0)</f>
        <v>1</v>
      </c>
      <c r="L922" s="15" t="n">
        <f aca="false">IFERROR(G922/F922,0)</f>
        <v>0.985507246376812</v>
      </c>
      <c r="M922" s="15" t="n">
        <f aca="false">IFERROR((I922-H922)/H922,0)</f>
        <v>0.0115481852851695</v>
      </c>
      <c r="N922" s="16" t="n">
        <f aca="false">G922*I922</f>
        <v>577887.12</v>
      </c>
    </row>
    <row r="923" customFormat="false" ht="15" hidden="false" customHeight="true" outlineLevel="0" collapsed="false">
      <c r="A923" s="4" t="s">
        <v>1099</v>
      </c>
      <c r="B923" s="4" t="s">
        <v>91</v>
      </c>
      <c r="C923" s="13" t="n">
        <v>45531</v>
      </c>
      <c r="D923" s="13" t="n">
        <v>45548</v>
      </c>
      <c r="E923" s="13" t="n">
        <v>45550</v>
      </c>
      <c r="F923" s="4" t="n">
        <v>248</v>
      </c>
      <c r="G923" s="4" t="n">
        <v>244</v>
      </c>
      <c r="H923" s="4" t="n">
        <v>496.29</v>
      </c>
      <c r="I923" s="4" t="n">
        <v>494</v>
      </c>
      <c r="J923" s="14" t="n">
        <f aca="false">E923-D923</f>
        <v>2</v>
      </c>
      <c r="K923" s="14" t="n">
        <f aca="false">IF(J923&lt;=0,1,0)</f>
        <v>0</v>
      </c>
      <c r="L923" s="15" t="n">
        <f aca="false">IFERROR(G923/F923,0)</f>
        <v>0.983870967741936</v>
      </c>
      <c r="M923" s="15" t="n">
        <f aca="false">IFERROR((I923-H923)/H923,0)</f>
        <v>-0.00461423764331343</v>
      </c>
      <c r="N923" s="16" t="n">
        <f aca="false">G923*I923</f>
        <v>120536</v>
      </c>
    </row>
    <row r="924" customFormat="false" ht="15" hidden="false" customHeight="true" outlineLevel="0" collapsed="false">
      <c r="A924" s="4" t="s">
        <v>1100</v>
      </c>
      <c r="B924" s="4" t="s">
        <v>95</v>
      </c>
      <c r="C924" s="13" t="n">
        <v>45098</v>
      </c>
      <c r="D924" s="13" t="n">
        <v>45105</v>
      </c>
      <c r="E924" s="13" t="n">
        <v>45103</v>
      </c>
      <c r="F924" s="4" t="n">
        <v>732</v>
      </c>
      <c r="G924" s="4" t="n">
        <v>728</v>
      </c>
      <c r="H924" s="4" t="n">
        <v>20.39</v>
      </c>
      <c r="I924" s="4" t="n">
        <v>20.48</v>
      </c>
      <c r="J924" s="14" t="n">
        <f aca="false">E924-D924</f>
        <v>-2</v>
      </c>
      <c r="K924" s="14" t="n">
        <f aca="false">IF(J924&lt;=0,1,0)</f>
        <v>1</v>
      </c>
      <c r="L924" s="15" t="n">
        <f aca="false">IFERROR(G924/F924,0)</f>
        <v>0.994535519125683</v>
      </c>
      <c r="M924" s="15" t="n">
        <f aca="false">IFERROR((I924-H924)/H924,0)</f>
        <v>0.00441392839627268</v>
      </c>
      <c r="N924" s="16" t="n">
        <f aca="false">G924*I924</f>
        <v>14909.44</v>
      </c>
    </row>
    <row r="925" customFormat="false" ht="15" hidden="false" customHeight="true" outlineLevel="0" collapsed="false">
      <c r="A925" s="4" t="s">
        <v>1101</v>
      </c>
      <c r="B925" s="4" t="s">
        <v>151</v>
      </c>
      <c r="C925" s="13" t="n">
        <v>45469</v>
      </c>
      <c r="D925" s="13" t="n">
        <v>45475</v>
      </c>
      <c r="E925" s="13" t="n">
        <v>45477</v>
      </c>
      <c r="F925" s="4" t="n">
        <v>15</v>
      </c>
      <c r="G925" s="4" t="n">
        <v>14</v>
      </c>
      <c r="H925" s="4" t="n">
        <v>503.46</v>
      </c>
      <c r="I925" s="4" t="n">
        <v>507.35</v>
      </c>
      <c r="J925" s="14" t="n">
        <f aca="false">E925-D925</f>
        <v>2</v>
      </c>
      <c r="K925" s="14" t="n">
        <f aca="false">IF(J925&lt;=0,1,0)</f>
        <v>0</v>
      </c>
      <c r="L925" s="15" t="n">
        <f aca="false">IFERROR(G925/F925,0)</f>
        <v>0.933333333333333</v>
      </c>
      <c r="M925" s="15" t="n">
        <f aca="false">IFERROR((I925-H925)/H925,0)</f>
        <v>0.00772653239582101</v>
      </c>
      <c r="N925" s="16" t="n">
        <f aca="false">G925*I925</f>
        <v>7102.9</v>
      </c>
    </row>
    <row r="926" customFormat="false" ht="15" hidden="false" customHeight="true" outlineLevel="0" collapsed="false">
      <c r="A926" s="4" t="s">
        <v>1102</v>
      </c>
      <c r="B926" s="4" t="s">
        <v>70</v>
      </c>
      <c r="C926" s="13" t="n">
        <v>45457</v>
      </c>
      <c r="D926" s="13" t="n">
        <v>45464</v>
      </c>
      <c r="E926" s="13" t="n">
        <v>45466</v>
      </c>
      <c r="F926" s="4" t="n">
        <v>1919</v>
      </c>
      <c r="G926" s="4" t="n">
        <v>1733</v>
      </c>
      <c r="H926" s="4" t="n">
        <v>35.88</v>
      </c>
      <c r="I926" s="4" t="n">
        <v>37.94</v>
      </c>
      <c r="J926" s="14" t="n">
        <f aca="false">E926-D926</f>
        <v>2</v>
      </c>
      <c r="K926" s="14" t="n">
        <f aca="false">IF(J926&lt;=0,1,0)</f>
        <v>0</v>
      </c>
      <c r="L926" s="15" t="n">
        <f aca="false">IFERROR(G926/F926,0)</f>
        <v>0.903074517978114</v>
      </c>
      <c r="M926" s="15" t="n">
        <f aca="false">IFERROR((I926-H926)/H926,0)</f>
        <v>0.0574136008918616</v>
      </c>
      <c r="N926" s="16" t="n">
        <f aca="false">G926*I926</f>
        <v>65750.02</v>
      </c>
    </row>
    <row r="927" customFormat="false" ht="15" hidden="false" customHeight="true" outlineLevel="0" collapsed="false">
      <c r="A927" s="4" t="s">
        <v>1103</v>
      </c>
      <c r="B927" s="4" t="s">
        <v>151</v>
      </c>
      <c r="C927" s="13" t="n">
        <v>45557</v>
      </c>
      <c r="D927" s="13" t="n">
        <v>45564</v>
      </c>
      <c r="E927" s="13" t="n">
        <v>45567</v>
      </c>
      <c r="F927" s="4" t="n">
        <v>10</v>
      </c>
      <c r="G927" s="4" t="n">
        <v>10</v>
      </c>
      <c r="H927" s="4" t="n">
        <v>503.46</v>
      </c>
      <c r="I927" s="4" t="n">
        <v>511.14</v>
      </c>
      <c r="J927" s="14" t="n">
        <f aca="false">E927-D927</f>
        <v>3</v>
      </c>
      <c r="K927" s="14" t="n">
        <f aca="false">IF(J927&lt;=0,1,0)</f>
        <v>0</v>
      </c>
      <c r="L927" s="15" t="n">
        <f aca="false">IFERROR(G927/F927,0)</f>
        <v>1</v>
      </c>
      <c r="M927" s="15" t="n">
        <f aca="false">IFERROR((I927-H927)/H927,0)</f>
        <v>0.0152544392801812</v>
      </c>
      <c r="N927" s="16" t="n">
        <f aca="false">G927*I927</f>
        <v>5111.4</v>
      </c>
    </row>
    <row r="928" customFormat="false" ht="15" hidden="false" customHeight="true" outlineLevel="0" collapsed="false">
      <c r="A928" s="4" t="s">
        <v>1104</v>
      </c>
      <c r="B928" s="4" t="s">
        <v>125</v>
      </c>
      <c r="C928" s="13" t="n">
        <v>44942</v>
      </c>
      <c r="D928" s="13" t="n">
        <v>44949</v>
      </c>
      <c r="E928" s="13" t="n">
        <v>44950</v>
      </c>
      <c r="F928" s="4" t="n">
        <v>2</v>
      </c>
      <c r="G928" s="4" t="n">
        <v>2</v>
      </c>
      <c r="H928" s="4" t="n">
        <v>729.32</v>
      </c>
      <c r="I928" s="4" t="n">
        <v>723.03</v>
      </c>
      <c r="J928" s="14" t="n">
        <f aca="false">E928-D928</f>
        <v>1</v>
      </c>
      <c r="K928" s="14" t="n">
        <f aca="false">IF(J928&lt;=0,1,0)</f>
        <v>0</v>
      </c>
      <c r="L928" s="15" t="n">
        <f aca="false">IFERROR(G928/F928,0)</f>
        <v>1</v>
      </c>
      <c r="M928" s="15" t="n">
        <f aca="false">IFERROR((I928-H928)/H928,0)</f>
        <v>-0.00862447211100762</v>
      </c>
      <c r="N928" s="16" t="n">
        <f aca="false">G928*I928</f>
        <v>1446.06</v>
      </c>
    </row>
    <row r="929" customFormat="false" ht="15" hidden="false" customHeight="true" outlineLevel="0" collapsed="false">
      <c r="A929" s="4" t="s">
        <v>1105</v>
      </c>
      <c r="B929" s="4" t="s">
        <v>74</v>
      </c>
      <c r="C929" s="13" t="n">
        <v>45224</v>
      </c>
      <c r="D929" s="13" t="n">
        <v>45231</v>
      </c>
      <c r="E929" s="13" t="n">
        <v>45227</v>
      </c>
      <c r="F929" s="4" t="n">
        <v>17</v>
      </c>
      <c r="G929" s="4" t="n">
        <v>16</v>
      </c>
      <c r="H929" s="4" t="n">
        <v>1294.62</v>
      </c>
      <c r="I929" s="4" t="n">
        <v>1336.91</v>
      </c>
      <c r="J929" s="14" t="n">
        <f aca="false">E929-D929</f>
        <v>-4</v>
      </c>
      <c r="K929" s="14" t="n">
        <f aca="false">IF(J929&lt;=0,1,0)</f>
        <v>1</v>
      </c>
      <c r="L929" s="15" t="n">
        <f aca="false">IFERROR(G929/F929,0)</f>
        <v>0.941176470588235</v>
      </c>
      <c r="M929" s="15" t="n">
        <f aca="false">IFERROR((I929-H929)/H929,0)</f>
        <v>0.0326659560334308</v>
      </c>
      <c r="N929" s="16" t="n">
        <f aca="false">G929*I929</f>
        <v>21390.56</v>
      </c>
    </row>
    <row r="930" customFormat="false" ht="15" hidden="false" customHeight="true" outlineLevel="0" collapsed="false">
      <c r="A930" s="4" t="s">
        <v>1106</v>
      </c>
      <c r="B930" s="4" t="s">
        <v>105</v>
      </c>
      <c r="C930" s="13" t="n">
        <v>45604</v>
      </c>
      <c r="D930" s="13" t="n">
        <v>45623</v>
      </c>
      <c r="E930" s="13" t="n">
        <v>45624</v>
      </c>
      <c r="F930" s="4" t="n">
        <v>290</v>
      </c>
      <c r="G930" s="4" t="n">
        <v>267</v>
      </c>
      <c r="H930" s="4" t="n">
        <v>685.84</v>
      </c>
      <c r="I930" s="4" t="n">
        <v>730.57</v>
      </c>
      <c r="J930" s="14" t="n">
        <f aca="false">E930-D930</f>
        <v>1</v>
      </c>
      <c r="K930" s="14" t="n">
        <f aca="false">IF(J930&lt;=0,1,0)</f>
        <v>0</v>
      </c>
      <c r="L930" s="15" t="n">
        <f aca="false">IFERROR(G930/F930,0)</f>
        <v>0.920689655172414</v>
      </c>
      <c r="M930" s="15" t="n">
        <f aca="false">IFERROR((I930-H930)/H930,0)</f>
        <v>0.0652192931295929</v>
      </c>
      <c r="N930" s="16" t="n">
        <f aca="false">G930*I930</f>
        <v>195062.19</v>
      </c>
    </row>
    <row r="931" customFormat="false" ht="15" hidden="false" customHeight="true" outlineLevel="0" collapsed="false">
      <c r="A931" s="4" t="s">
        <v>1107</v>
      </c>
      <c r="B931" s="4" t="s">
        <v>37</v>
      </c>
      <c r="C931" s="13" t="n">
        <v>45609</v>
      </c>
      <c r="D931" s="13" t="n">
        <v>45618</v>
      </c>
      <c r="E931" s="13" t="n">
        <v>45619</v>
      </c>
      <c r="F931" s="4" t="n">
        <v>3211</v>
      </c>
      <c r="G931" s="4" t="n">
        <v>3178</v>
      </c>
      <c r="H931" s="4" t="n">
        <v>22.26</v>
      </c>
      <c r="I931" s="4" t="n">
        <v>21.4</v>
      </c>
      <c r="J931" s="14" t="n">
        <f aca="false">E931-D931</f>
        <v>1</v>
      </c>
      <c r="K931" s="14" t="n">
        <f aca="false">IF(J931&lt;=0,1,0)</f>
        <v>0</v>
      </c>
      <c r="L931" s="15" t="n">
        <f aca="false">IFERROR(G931/F931,0)</f>
        <v>0.989722827779508</v>
      </c>
      <c r="M931" s="15" t="n">
        <f aca="false">IFERROR((I931-H931)/H931,0)</f>
        <v>-0.0386343216531897</v>
      </c>
      <c r="N931" s="16" t="n">
        <f aca="false">G931*I931</f>
        <v>68009.2</v>
      </c>
    </row>
    <row r="932" customFormat="false" ht="15" hidden="false" customHeight="true" outlineLevel="0" collapsed="false">
      <c r="A932" s="4" t="s">
        <v>1108</v>
      </c>
      <c r="B932" s="4" t="s">
        <v>43</v>
      </c>
      <c r="C932" s="13" t="n">
        <v>45062</v>
      </c>
      <c r="D932" s="13" t="n">
        <v>45080</v>
      </c>
      <c r="E932" s="13" t="n">
        <v>45083</v>
      </c>
      <c r="F932" s="4" t="n">
        <v>381</v>
      </c>
      <c r="G932" s="4" t="n">
        <v>375</v>
      </c>
      <c r="H932" s="4" t="n">
        <v>1321.6</v>
      </c>
      <c r="I932" s="4" t="n">
        <v>1327.4</v>
      </c>
      <c r="J932" s="14" t="n">
        <f aca="false">E932-D932</f>
        <v>3</v>
      </c>
      <c r="K932" s="14" t="n">
        <f aca="false">IF(J932&lt;=0,1,0)</f>
        <v>0</v>
      </c>
      <c r="L932" s="15" t="n">
        <f aca="false">IFERROR(G932/F932,0)</f>
        <v>0.984251968503937</v>
      </c>
      <c r="M932" s="15" t="n">
        <f aca="false">IFERROR((I932-H932)/H932,0)</f>
        <v>0.00438861985472169</v>
      </c>
      <c r="N932" s="16" t="n">
        <f aca="false">G932*I932</f>
        <v>497775</v>
      </c>
    </row>
    <row r="933" customFormat="false" ht="15" hidden="false" customHeight="true" outlineLevel="0" collapsed="false">
      <c r="A933" s="4" t="s">
        <v>1109</v>
      </c>
      <c r="B933" s="4" t="s">
        <v>43</v>
      </c>
      <c r="C933" s="13" t="n">
        <v>45372</v>
      </c>
      <c r="D933" s="13" t="n">
        <v>45389</v>
      </c>
      <c r="E933" s="13" t="n">
        <v>45392</v>
      </c>
      <c r="F933" s="4" t="n">
        <v>52</v>
      </c>
      <c r="G933" s="4" t="n">
        <v>51</v>
      </c>
      <c r="H933" s="4" t="n">
        <v>1321.6</v>
      </c>
      <c r="I933" s="4" t="n">
        <v>1332.78</v>
      </c>
      <c r="J933" s="14" t="n">
        <f aca="false">E933-D933</f>
        <v>3</v>
      </c>
      <c r="K933" s="14" t="n">
        <f aca="false">IF(J933&lt;=0,1,0)</f>
        <v>0</v>
      </c>
      <c r="L933" s="15" t="n">
        <f aca="false">IFERROR(G933/F933,0)</f>
        <v>0.980769230769231</v>
      </c>
      <c r="M933" s="15" t="n">
        <f aca="false">IFERROR((I933-H933)/H933,0)</f>
        <v>0.00845944309927366</v>
      </c>
      <c r="N933" s="16" t="n">
        <f aca="false">G933*I933</f>
        <v>67971.78</v>
      </c>
    </row>
    <row r="934" customFormat="false" ht="15" hidden="false" customHeight="true" outlineLevel="0" collapsed="false">
      <c r="A934" s="4" t="s">
        <v>1110</v>
      </c>
      <c r="B934" s="4" t="s">
        <v>113</v>
      </c>
      <c r="C934" s="13" t="n">
        <v>45520</v>
      </c>
      <c r="D934" s="13" t="n">
        <v>45531</v>
      </c>
      <c r="E934" s="13" t="n">
        <v>45531</v>
      </c>
      <c r="F934" s="4" t="n">
        <v>927</v>
      </c>
      <c r="G934" s="4" t="n">
        <v>906</v>
      </c>
      <c r="H934" s="4" t="n">
        <v>170.42</v>
      </c>
      <c r="I934" s="4" t="n">
        <v>172.51</v>
      </c>
      <c r="J934" s="14" t="n">
        <f aca="false">E934-D934</f>
        <v>0</v>
      </c>
      <c r="K934" s="14" t="n">
        <f aca="false">IF(J934&lt;=0,1,0)</f>
        <v>1</v>
      </c>
      <c r="L934" s="15" t="n">
        <f aca="false">IFERROR(G934/F934,0)</f>
        <v>0.977346278317152</v>
      </c>
      <c r="M934" s="15" t="n">
        <f aca="false">IFERROR((I934-H934)/H934,0)</f>
        <v>0.0122638188006103</v>
      </c>
      <c r="N934" s="16" t="n">
        <f aca="false">G934*I934</f>
        <v>156294.06</v>
      </c>
    </row>
    <row r="935" customFormat="false" ht="15" hidden="false" customHeight="true" outlineLevel="0" collapsed="false">
      <c r="A935" s="4" t="s">
        <v>1111</v>
      </c>
      <c r="B935" s="4" t="s">
        <v>145</v>
      </c>
      <c r="C935" s="13" t="n">
        <v>44990</v>
      </c>
      <c r="D935" s="13" t="n">
        <v>44999</v>
      </c>
      <c r="E935" s="13" t="n">
        <v>45007</v>
      </c>
      <c r="F935" s="4" t="n">
        <v>1726</v>
      </c>
      <c r="G935" s="4" t="n">
        <v>1665</v>
      </c>
      <c r="H935" s="4" t="n">
        <v>237.04</v>
      </c>
      <c r="I935" s="4" t="n">
        <v>235.52</v>
      </c>
      <c r="J935" s="14" t="n">
        <f aca="false">E935-D935</f>
        <v>8</v>
      </c>
      <c r="K935" s="14" t="n">
        <f aca="false">IF(J935&lt;=0,1,0)</f>
        <v>0</v>
      </c>
      <c r="L935" s="15" t="n">
        <f aca="false">IFERROR(G935/F935,0)</f>
        <v>0.964658169177289</v>
      </c>
      <c r="M935" s="15" t="n">
        <f aca="false">IFERROR((I935-H935)/H935,0)</f>
        <v>-0.00641241984475186</v>
      </c>
      <c r="N935" s="16" t="n">
        <f aca="false">G935*I935</f>
        <v>392140.8</v>
      </c>
    </row>
    <row r="936" customFormat="false" ht="15" hidden="false" customHeight="true" outlineLevel="0" collapsed="false">
      <c r="A936" s="4" t="s">
        <v>1112</v>
      </c>
      <c r="B936" s="4" t="s">
        <v>87</v>
      </c>
      <c r="C936" s="13" t="n">
        <v>45370</v>
      </c>
      <c r="D936" s="13" t="n">
        <v>45381</v>
      </c>
      <c r="E936" s="13" t="n">
        <v>45379</v>
      </c>
      <c r="F936" s="4" t="n">
        <v>1891</v>
      </c>
      <c r="G936" s="4" t="n">
        <v>1747</v>
      </c>
      <c r="H936" s="4" t="n">
        <v>161.95</v>
      </c>
      <c r="I936" s="4" t="n">
        <v>186.47</v>
      </c>
      <c r="J936" s="14" t="n">
        <f aca="false">E936-D936</f>
        <v>-2</v>
      </c>
      <c r="K936" s="14" t="n">
        <f aca="false">IF(J936&lt;=0,1,0)</f>
        <v>1</v>
      </c>
      <c r="L936" s="15" t="n">
        <f aca="false">IFERROR(G936/F936,0)</f>
        <v>0.923849814912745</v>
      </c>
      <c r="M936" s="15" t="n">
        <f aca="false">IFERROR((I936-H936)/H936,0)</f>
        <v>0.151404754553875</v>
      </c>
      <c r="N936" s="16" t="n">
        <f aca="false">G936*I936</f>
        <v>325763.09</v>
      </c>
    </row>
    <row r="937" customFormat="false" ht="15" hidden="false" customHeight="true" outlineLevel="0" collapsed="false">
      <c r="A937" s="4" t="s">
        <v>1113</v>
      </c>
      <c r="B937" s="4" t="s">
        <v>97</v>
      </c>
      <c r="C937" s="13" t="n">
        <v>45058</v>
      </c>
      <c r="D937" s="13" t="n">
        <v>45068</v>
      </c>
      <c r="E937" s="13" t="n">
        <v>45071</v>
      </c>
      <c r="F937" s="4" t="n">
        <v>1319</v>
      </c>
      <c r="G937" s="4" t="n">
        <v>1306</v>
      </c>
      <c r="H937" s="4" t="n">
        <v>123.04</v>
      </c>
      <c r="I937" s="4" t="n">
        <v>123.23</v>
      </c>
      <c r="J937" s="14" t="n">
        <f aca="false">E937-D937</f>
        <v>3</v>
      </c>
      <c r="K937" s="14" t="n">
        <f aca="false">IF(J937&lt;=0,1,0)</f>
        <v>0</v>
      </c>
      <c r="L937" s="15" t="n">
        <f aca="false">IFERROR(G937/F937,0)</f>
        <v>0.990144048521607</v>
      </c>
      <c r="M937" s="15" t="n">
        <f aca="false">IFERROR((I937-H937)/H937,0)</f>
        <v>0.00154421326397918</v>
      </c>
      <c r="N937" s="16" t="n">
        <f aca="false">G937*I937</f>
        <v>160938.38</v>
      </c>
    </row>
    <row r="938" customFormat="false" ht="15" hidden="false" customHeight="true" outlineLevel="0" collapsed="false">
      <c r="A938" s="4" t="s">
        <v>1114</v>
      </c>
      <c r="B938" s="4" t="s">
        <v>123</v>
      </c>
      <c r="C938" s="13" t="n">
        <v>45645</v>
      </c>
      <c r="D938" s="13" t="n">
        <v>45659</v>
      </c>
      <c r="E938" s="13" t="n">
        <v>45659</v>
      </c>
      <c r="F938" s="4" t="n">
        <v>193</v>
      </c>
      <c r="G938" s="4" t="n">
        <v>191</v>
      </c>
      <c r="H938" s="4" t="n">
        <v>214.07</v>
      </c>
      <c r="I938" s="4" t="n">
        <v>255.2</v>
      </c>
      <c r="J938" s="14" t="n">
        <f aca="false">E938-D938</f>
        <v>0</v>
      </c>
      <c r="K938" s="14" t="n">
        <f aca="false">IF(J938&lt;=0,1,0)</f>
        <v>1</v>
      </c>
      <c r="L938" s="15" t="n">
        <f aca="false">IFERROR(G938/F938,0)</f>
        <v>0.989637305699482</v>
      </c>
      <c r="M938" s="15" t="n">
        <f aca="false">IFERROR((I938-H938)/H938,0)</f>
        <v>0.192133414303732</v>
      </c>
      <c r="N938" s="16" t="n">
        <f aca="false">G938*I938</f>
        <v>48743.2</v>
      </c>
    </row>
    <row r="939" customFormat="false" ht="15" hidden="false" customHeight="true" outlineLevel="0" collapsed="false">
      <c r="A939" s="4" t="s">
        <v>1115</v>
      </c>
      <c r="B939" s="4" t="s">
        <v>119</v>
      </c>
      <c r="C939" s="13" t="n">
        <v>45247</v>
      </c>
      <c r="D939" s="13" t="n">
        <v>45256</v>
      </c>
      <c r="E939" s="13" t="n">
        <v>45258</v>
      </c>
      <c r="F939" s="4" t="n">
        <v>3873</v>
      </c>
      <c r="G939" s="4" t="n">
        <v>3851</v>
      </c>
      <c r="H939" s="4" t="n">
        <v>50.92</v>
      </c>
      <c r="I939" s="4" t="n">
        <v>49.36</v>
      </c>
      <c r="J939" s="14" t="n">
        <f aca="false">E939-D939</f>
        <v>2</v>
      </c>
      <c r="K939" s="14" t="n">
        <f aca="false">IF(J939&lt;=0,1,0)</f>
        <v>0</v>
      </c>
      <c r="L939" s="15" t="n">
        <f aca="false">IFERROR(G939/F939,0)</f>
        <v>0.99431964885102</v>
      </c>
      <c r="M939" s="15" t="n">
        <f aca="false">IFERROR((I939-H939)/H939,0)</f>
        <v>-0.0306362922230951</v>
      </c>
      <c r="N939" s="16" t="n">
        <f aca="false">G939*I939</f>
        <v>190085.36</v>
      </c>
    </row>
    <row r="940" customFormat="false" ht="15" hidden="false" customHeight="true" outlineLevel="0" collapsed="false">
      <c r="A940" s="4" t="s">
        <v>1116</v>
      </c>
      <c r="B940" s="4" t="s">
        <v>99</v>
      </c>
      <c r="C940" s="13" t="n">
        <v>44969</v>
      </c>
      <c r="D940" s="13" t="n">
        <v>44977</v>
      </c>
      <c r="E940" s="13" t="n">
        <v>44981</v>
      </c>
      <c r="F940" s="4" t="n">
        <v>4822</v>
      </c>
      <c r="G940" s="4" t="n">
        <v>4529</v>
      </c>
      <c r="H940" s="4" t="n">
        <v>11.5</v>
      </c>
      <c r="I940" s="4" t="n">
        <v>11.7</v>
      </c>
      <c r="J940" s="14" t="n">
        <f aca="false">E940-D940</f>
        <v>4</v>
      </c>
      <c r="K940" s="14" t="n">
        <f aca="false">IF(J940&lt;=0,1,0)</f>
        <v>0</v>
      </c>
      <c r="L940" s="15" t="n">
        <f aca="false">IFERROR(G940/F940,0)</f>
        <v>0.939236831190378</v>
      </c>
      <c r="M940" s="15" t="n">
        <f aca="false">IFERROR((I940-H940)/H940,0)</f>
        <v>0.017391304347826</v>
      </c>
      <c r="N940" s="16" t="n">
        <f aca="false">G940*I940</f>
        <v>52989.3</v>
      </c>
    </row>
    <row r="941" customFormat="false" ht="15" hidden="false" customHeight="true" outlineLevel="0" collapsed="false">
      <c r="A941" s="4" t="s">
        <v>1117</v>
      </c>
      <c r="B941" s="4" t="s">
        <v>99</v>
      </c>
      <c r="C941" s="13" t="n">
        <v>45494</v>
      </c>
      <c r="D941" s="13" t="n">
        <v>45500</v>
      </c>
      <c r="E941" s="13" t="n">
        <v>45512</v>
      </c>
      <c r="F941" s="4" t="n">
        <v>984</v>
      </c>
      <c r="G941" s="4" t="n">
        <v>922</v>
      </c>
      <c r="H941" s="4" t="n">
        <v>11.5</v>
      </c>
      <c r="I941" s="4" t="n">
        <v>12.58</v>
      </c>
      <c r="J941" s="14" t="n">
        <f aca="false">E941-D941</f>
        <v>12</v>
      </c>
      <c r="K941" s="14" t="n">
        <f aca="false">IF(J941&lt;=0,1,0)</f>
        <v>0</v>
      </c>
      <c r="L941" s="15" t="n">
        <f aca="false">IFERROR(G941/F941,0)</f>
        <v>0.936991869918699</v>
      </c>
      <c r="M941" s="15" t="n">
        <f aca="false">IFERROR((I941-H941)/H941,0)</f>
        <v>0.0939130434782609</v>
      </c>
      <c r="N941" s="16" t="n">
        <f aca="false">G941*I941</f>
        <v>11598.76</v>
      </c>
    </row>
    <row r="942" customFormat="false" ht="15" hidden="false" customHeight="true" outlineLevel="0" collapsed="false">
      <c r="A942" s="4" t="s">
        <v>1118</v>
      </c>
      <c r="B942" s="4" t="s">
        <v>70</v>
      </c>
      <c r="C942" s="13" t="n">
        <v>45012</v>
      </c>
      <c r="D942" s="13" t="n">
        <v>45020</v>
      </c>
      <c r="E942" s="13" t="n">
        <v>45022</v>
      </c>
      <c r="F942" s="4" t="n">
        <v>2479</v>
      </c>
      <c r="G942" s="4" t="n">
        <v>2273</v>
      </c>
      <c r="H942" s="4" t="n">
        <v>35.88</v>
      </c>
      <c r="I942" s="4" t="n">
        <v>35.73</v>
      </c>
      <c r="J942" s="14" t="n">
        <f aca="false">E942-D942</f>
        <v>2</v>
      </c>
      <c r="K942" s="14" t="n">
        <f aca="false">IF(J942&lt;=0,1,0)</f>
        <v>0</v>
      </c>
      <c r="L942" s="15" t="n">
        <f aca="false">IFERROR(G942/F942,0)</f>
        <v>0.916901976603469</v>
      </c>
      <c r="M942" s="15" t="n">
        <f aca="false">IFERROR((I942-H942)/H942,0)</f>
        <v>-0.00418060200668912</v>
      </c>
      <c r="N942" s="16" t="n">
        <f aca="false">G942*I942</f>
        <v>81214.29</v>
      </c>
    </row>
    <row r="943" customFormat="false" ht="15" hidden="false" customHeight="true" outlineLevel="0" collapsed="false">
      <c r="A943" s="4" t="s">
        <v>1119</v>
      </c>
      <c r="B943" s="4" t="s">
        <v>145</v>
      </c>
      <c r="C943" s="13" t="n">
        <v>44959</v>
      </c>
      <c r="D943" s="13" t="n">
        <v>44970</v>
      </c>
      <c r="E943" s="13" t="n">
        <v>44963</v>
      </c>
      <c r="F943" s="4" t="n">
        <v>544</v>
      </c>
      <c r="G943" s="4" t="n">
        <v>516</v>
      </c>
      <c r="H943" s="4" t="n">
        <v>237.04</v>
      </c>
      <c r="I943" s="4" t="n">
        <v>237.6</v>
      </c>
      <c r="J943" s="14" t="n">
        <f aca="false">E943-D943</f>
        <v>-7</v>
      </c>
      <c r="K943" s="14" t="n">
        <f aca="false">IF(J943&lt;=0,1,0)</f>
        <v>1</v>
      </c>
      <c r="L943" s="15" t="n">
        <f aca="false">IFERROR(G943/F943,0)</f>
        <v>0.948529411764706</v>
      </c>
      <c r="M943" s="15" t="n">
        <f aca="false">IFERROR((I943-H943)/H943,0)</f>
        <v>0.00236247046911915</v>
      </c>
      <c r="N943" s="16" t="n">
        <f aca="false">G943*I943</f>
        <v>122601.6</v>
      </c>
    </row>
    <row r="944" customFormat="false" ht="15" hidden="false" customHeight="true" outlineLevel="0" collapsed="false">
      <c r="A944" s="4" t="s">
        <v>1120</v>
      </c>
      <c r="B944" s="4" t="s">
        <v>63</v>
      </c>
      <c r="C944" s="13" t="n">
        <v>45429</v>
      </c>
      <c r="D944" s="13" t="n">
        <v>45438</v>
      </c>
      <c r="E944" s="13" t="n">
        <v>45441</v>
      </c>
      <c r="F944" s="4" t="n">
        <v>1516</v>
      </c>
      <c r="G944" s="4" t="n">
        <v>1433</v>
      </c>
      <c r="H944" s="4" t="n">
        <v>239.8</v>
      </c>
      <c r="I944" s="4" t="n">
        <v>260.96</v>
      </c>
      <c r="J944" s="14" t="n">
        <f aca="false">E944-D944</f>
        <v>3</v>
      </c>
      <c r="K944" s="14" t="n">
        <f aca="false">IF(J944&lt;=0,1,0)</f>
        <v>0</v>
      </c>
      <c r="L944" s="15" t="n">
        <f aca="false">IFERROR(G944/F944,0)</f>
        <v>0.945250659630607</v>
      </c>
      <c r="M944" s="15" t="n">
        <f aca="false">IFERROR((I944-H944)/H944,0)</f>
        <v>0.0882402001668055</v>
      </c>
      <c r="N944" s="16" t="n">
        <f aca="false">G944*I944</f>
        <v>373955.68</v>
      </c>
    </row>
    <row r="945" customFormat="false" ht="15" hidden="false" customHeight="true" outlineLevel="0" collapsed="false">
      <c r="A945" s="4" t="s">
        <v>1121</v>
      </c>
      <c r="B945" s="4" t="s">
        <v>89</v>
      </c>
      <c r="C945" s="13" t="n">
        <v>45419</v>
      </c>
      <c r="D945" s="13" t="n">
        <v>45425</v>
      </c>
      <c r="E945" s="13" t="n">
        <v>45428</v>
      </c>
      <c r="F945" s="4" t="n">
        <v>7</v>
      </c>
      <c r="G945" s="4" t="n">
        <v>7</v>
      </c>
      <c r="H945" s="4" t="n">
        <v>1929.81</v>
      </c>
      <c r="I945" s="4" t="n">
        <v>1927.99</v>
      </c>
      <c r="J945" s="14" t="n">
        <f aca="false">E945-D945</f>
        <v>3</v>
      </c>
      <c r="K945" s="14" t="n">
        <f aca="false">IF(J945&lt;=0,1,0)</f>
        <v>0</v>
      </c>
      <c r="L945" s="15" t="n">
        <f aca="false">IFERROR(G945/F945,0)</f>
        <v>1</v>
      </c>
      <c r="M945" s="15" t="n">
        <f aca="false">IFERROR((I945-H945)/H945,0)</f>
        <v>-0.000943098025194157</v>
      </c>
      <c r="N945" s="16" t="n">
        <f aca="false">G945*I945</f>
        <v>13495.93</v>
      </c>
    </row>
    <row r="946" customFormat="false" ht="15" hidden="false" customHeight="true" outlineLevel="0" collapsed="false">
      <c r="A946" s="4" t="s">
        <v>1122</v>
      </c>
      <c r="B946" s="4" t="s">
        <v>143</v>
      </c>
      <c r="C946" s="13" t="n">
        <v>45610</v>
      </c>
      <c r="D946" s="13" t="n">
        <v>45619</v>
      </c>
      <c r="E946" s="13" t="n">
        <v>45629</v>
      </c>
      <c r="F946" s="4" t="n">
        <v>3636</v>
      </c>
      <c r="G946" s="4" t="n">
        <v>3418</v>
      </c>
      <c r="H946" s="4" t="n">
        <v>20.6</v>
      </c>
      <c r="I946" s="4" t="n">
        <v>22.33</v>
      </c>
      <c r="J946" s="14" t="n">
        <f aca="false">E946-D946</f>
        <v>10</v>
      </c>
      <c r="K946" s="14" t="n">
        <f aca="false">IF(J946&lt;=0,1,0)</f>
        <v>0</v>
      </c>
      <c r="L946" s="15" t="n">
        <f aca="false">IFERROR(G946/F946,0)</f>
        <v>0.94004400440044</v>
      </c>
      <c r="M946" s="15" t="n">
        <f aca="false">IFERROR((I946-H946)/H946,0)</f>
        <v>0.0839805825242717</v>
      </c>
      <c r="N946" s="16" t="n">
        <f aca="false">G946*I946</f>
        <v>76323.94</v>
      </c>
    </row>
    <row r="947" customFormat="false" ht="15" hidden="false" customHeight="true" outlineLevel="0" collapsed="false">
      <c r="A947" s="4" t="s">
        <v>1123</v>
      </c>
      <c r="B947" s="4" t="s">
        <v>77</v>
      </c>
      <c r="C947" s="13" t="n">
        <v>45506</v>
      </c>
      <c r="D947" s="13" t="n">
        <v>45512</v>
      </c>
      <c r="E947" s="13" t="n">
        <v>45527</v>
      </c>
      <c r="F947" s="4" t="n">
        <v>1510</v>
      </c>
      <c r="G947" s="4" t="n">
        <v>1476</v>
      </c>
      <c r="H947" s="4" t="n">
        <v>36.83</v>
      </c>
      <c r="I947" s="4" t="n">
        <v>35.59</v>
      </c>
      <c r="J947" s="14" t="n">
        <f aca="false">E947-D947</f>
        <v>15</v>
      </c>
      <c r="K947" s="14" t="n">
        <f aca="false">IF(J947&lt;=0,1,0)</f>
        <v>0</v>
      </c>
      <c r="L947" s="15" t="n">
        <f aca="false">IFERROR(G947/F947,0)</f>
        <v>0.977483443708609</v>
      </c>
      <c r="M947" s="15" t="n">
        <f aca="false">IFERROR((I947-H947)/H947,0)</f>
        <v>-0.0336682052674449</v>
      </c>
      <c r="N947" s="16" t="n">
        <f aca="false">G947*I947</f>
        <v>52530.84</v>
      </c>
    </row>
    <row r="948" customFormat="false" ht="15" hidden="false" customHeight="true" outlineLevel="0" collapsed="false">
      <c r="A948" s="4" t="s">
        <v>1124</v>
      </c>
      <c r="B948" s="4" t="s">
        <v>159</v>
      </c>
      <c r="C948" s="13" t="n">
        <v>45266</v>
      </c>
      <c r="D948" s="13" t="n">
        <v>45274</v>
      </c>
      <c r="E948" s="13" t="n">
        <v>45282</v>
      </c>
      <c r="F948" s="4" t="n">
        <v>4590</v>
      </c>
      <c r="G948" s="4" t="n">
        <v>4545</v>
      </c>
      <c r="H948" s="4" t="n">
        <v>32.91</v>
      </c>
      <c r="I948" s="4" t="n">
        <v>32.7</v>
      </c>
      <c r="J948" s="14" t="n">
        <f aca="false">E948-D948</f>
        <v>8</v>
      </c>
      <c r="K948" s="14" t="n">
        <f aca="false">IF(J948&lt;=0,1,0)</f>
        <v>0</v>
      </c>
      <c r="L948" s="15" t="n">
        <f aca="false">IFERROR(G948/F948,0)</f>
        <v>0.990196078431373</v>
      </c>
      <c r="M948" s="15" t="n">
        <f aca="false">IFERROR((I948-H948)/H948,0)</f>
        <v>-0.00638103919781203</v>
      </c>
      <c r="N948" s="16" t="n">
        <f aca="false">G948*I948</f>
        <v>148621.5</v>
      </c>
    </row>
    <row r="949" customFormat="false" ht="15" hidden="false" customHeight="true" outlineLevel="0" collapsed="false">
      <c r="A949" s="4" t="s">
        <v>1125</v>
      </c>
      <c r="B949" s="4" t="s">
        <v>32</v>
      </c>
      <c r="C949" s="13" t="n">
        <v>44953</v>
      </c>
      <c r="D949" s="13" t="n">
        <v>44962</v>
      </c>
      <c r="E949" s="13" t="n">
        <v>44964</v>
      </c>
      <c r="F949" s="4" t="n">
        <v>1643</v>
      </c>
      <c r="G949" s="4" t="n">
        <v>1574</v>
      </c>
      <c r="H949" s="4" t="n">
        <v>32.49</v>
      </c>
      <c r="I949" s="4" t="n">
        <v>32.57</v>
      </c>
      <c r="J949" s="14" t="n">
        <f aca="false">E949-D949</f>
        <v>2</v>
      </c>
      <c r="K949" s="14" t="n">
        <f aca="false">IF(J949&lt;=0,1,0)</f>
        <v>0</v>
      </c>
      <c r="L949" s="15" t="n">
        <f aca="false">IFERROR(G949/F949,0)</f>
        <v>0.95800365185636</v>
      </c>
      <c r="M949" s="15" t="n">
        <f aca="false">IFERROR((I949-H949)/H949,0)</f>
        <v>0.0024622960911049</v>
      </c>
      <c r="N949" s="16" t="n">
        <f aca="false">G949*I949</f>
        <v>51265.18</v>
      </c>
    </row>
    <row r="950" customFormat="false" ht="15" hidden="false" customHeight="true" outlineLevel="0" collapsed="false">
      <c r="A950" s="4" t="s">
        <v>1126</v>
      </c>
      <c r="B950" s="4" t="s">
        <v>107</v>
      </c>
      <c r="C950" s="13" t="n">
        <v>45049</v>
      </c>
      <c r="D950" s="13" t="n">
        <v>45057</v>
      </c>
      <c r="E950" s="13" t="n">
        <v>45061</v>
      </c>
      <c r="F950" s="4" t="n">
        <v>3128</v>
      </c>
      <c r="G950" s="4" t="n">
        <v>3128</v>
      </c>
      <c r="H950" s="4" t="n">
        <v>40.41</v>
      </c>
      <c r="I950" s="4" t="n">
        <v>40.22</v>
      </c>
      <c r="J950" s="14" t="n">
        <f aca="false">E950-D950</f>
        <v>4</v>
      </c>
      <c r="K950" s="14" t="n">
        <f aca="false">IF(J950&lt;=0,1,0)</f>
        <v>0</v>
      </c>
      <c r="L950" s="15" t="n">
        <f aca="false">IFERROR(G950/F950,0)</f>
        <v>1</v>
      </c>
      <c r="M950" s="15" t="n">
        <f aca="false">IFERROR((I950-H950)/H950,0)</f>
        <v>-0.00470180648354362</v>
      </c>
      <c r="N950" s="16" t="n">
        <f aca="false">G950*I950</f>
        <v>125808.16</v>
      </c>
    </row>
    <row r="951" customFormat="false" ht="15" hidden="false" customHeight="true" outlineLevel="0" collapsed="false">
      <c r="A951" s="4" t="s">
        <v>1127</v>
      </c>
      <c r="B951" s="4" t="s">
        <v>83</v>
      </c>
      <c r="C951" s="13" t="n">
        <v>45048</v>
      </c>
      <c r="D951" s="13" t="n">
        <v>45057</v>
      </c>
      <c r="E951" s="13" t="n">
        <v>45057</v>
      </c>
      <c r="F951" s="4" t="n">
        <v>1864</v>
      </c>
      <c r="G951" s="4" t="n">
        <v>1835</v>
      </c>
      <c r="H951" s="4" t="n">
        <v>101.36</v>
      </c>
      <c r="I951" s="4" t="n">
        <v>103.07</v>
      </c>
      <c r="J951" s="14" t="n">
        <f aca="false">E951-D951</f>
        <v>0</v>
      </c>
      <c r="K951" s="14" t="n">
        <f aca="false">IF(J951&lt;=0,1,0)</f>
        <v>1</v>
      </c>
      <c r="L951" s="15" t="n">
        <f aca="false">IFERROR(G951/F951,0)</f>
        <v>0.984442060085837</v>
      </c>
      <c r="M951" s="15" t="n">
        <f aca="false">IFERROR((I951-H951)/H951,0)</f>
        <v>0.0168705603788476</v>
      </c>
      <c r="N951" s="16" t="n">
        <f aca="false">G951*I951</f>
        <v>189133.45</v>
      </c>
    </row>
    <row r="952" customFormat="false" ht="15" hidden="false" customHeight="true" outlineLevel="0" collapsed="false">
      <c r="A952" s="4" t="s">
        <v>1128</v>
      </c>
      <c r="B952" s="4" t="s">
        <v>143</v>
      </c>
      <c r="C952" s="13" t="n">
        <v>45418</v>
      </c>
      <c r="D952" s="13" t="n">
        <v>45427</v>
      </c>
      <c r="E952" s="13" t="n">
        <v>45440</v>
      </c>
      <c r="F952" s="4" t="n">
        <v>1757</v>
      </c>
      <c r="G952" s="4" t="n">
        <v>1593</v>
      </c>
      <c r="H952" s="4" t="n">
        <v>20.6</v>
      </c>
      <c r="I952" s="4" t="n">
        <v>21.9</v>
      </c>
      <c r="J952" s="14" t="n">
        <f aca="false">E952-D952</f>
        <v>13</v>
      </c>
      <c r="K952" s="14" t="n">
        <f aca="false">IF(J952&lt;=0,1,0)</f>
        <v>0</v>
      </c>
      <c r="L952" s="15" t="n">
        <f aca="false">IFERROR(G952/F952,0)</f>
        <v>0.906659077973819</v>
      </c>
      <c r="M952" s="15" t="n">
        <f aca="false">IFERROR((I952-H952)/H952,0)</f>
        <v>0.0631067961165047</v>
      </c>
      <c r="N952" s="16" t="n">
        <f aca="false">G952*I952</f>
        <v>34886.7</v>
      </c>
    </row>
    <row r="953" customFormat="false" ht="15" hidden="false" customHeight="true" outlineLevel="0" collapsed="false">
      <c r="A953" s="4" t="s">
        <v>1129</v>
      </c>
      <c r="B953" s="4" t="s">
        <v>137</v>
      </c>
      <c r="C953" s="13" t="n">
        <v>44955</v>
      </c>
      <c r="D953" s="13" t="n">
        <v>44972</v>
      </c>
      <c r="E953" s="13" t="n">
        <v>44975</v>
      </c>
      <c r="F953" s="4" t="n">
        <v>461</v>
      </c>
      <c r="G953" s="4" t="n">
        <v>421</v>
      </c>
      <c r="H953" s="4" t="n">
        <v>1047.25</v>
      </c>
      <c r="I953" s="4" t="n">
        <v>1051.64</v>
      </c>
      <c r="J953" s="14" t="n">
        <f aca="false">E953-D953</f>
        <v>3</v>
      </c>
      <c r="K953" s="14" t="n">
        <f aca="false">IF(J953&lt;=0,1,0)</f>
        <v>0</v>
      </c>
      <c r="L953" s="15" t="n">
        <f aca="false">IFERROR(G953/F953,0)</f>
        <v>0.913232104121475</v>
      </c>
      <c r="M953" s="15" t="n">
        <f aca="false">IFERROR((I953-H953)/H953,0)</f>
        <v>0.00419193124850809</v>
      </c>
      <c r="N953" s="16" t="n">
        <f aca="false">G953*I953</f>
        <v>442740.44</v>
      </c>
    </row>
    <row r="954" customFormat="false" ht="15" hidden="false" customHeight="true" outlineLevel="0" collapsed="false">
      <c r="A954" s="4" t="s">
        <v>1130</v>
      </c>
      <c r="B954" s="4" t="s">
        <v>139</v>
      </c>
      <c r="C954" s="13" t="n">
        <v>45230</v>
      </c>
      <c r="D954" s="13" t="n">
        <v>45241</v>
      </c>
      <c r="E954" s="13" t="n">
        <v>45244</v>
      </c>
      <c r="F954" s="4" t="n">
        <v>368</v>
      </c>
      <c r="G954" s="4" t="n">
        <v>336</v>
      </c>
      <c r="H954" s="4" t="n">
        <v>207.64</v>
      </c>
      <c r="I954" s="4" t="n">
        <v>210.17</v>
      </c>
      <c r="J954" s="14" t="n">
        <f aca="false">E954-D954</f>
        <v>3</v>
      </c>
      <c r="K954" s="14" t="n">
        <f aca="false">IF(J954&lt;=0,1,0)</f>
        <v>0</v>
      </c>
      <c r="L954" s="15" t="n">
        <f aca="false">IFERROR(G954/F954,0)</f>
        <v>0.91304347826087</v>
      </c>
      <c r="M954" s="15" t="n">
        <f aca="false">IFERROR((I954-H954)/H954,0)</f>
        <v>0.0121845501830091</v>
      </c>
      <c r="N954" s="16" t="n">
        <f aca="false">G954*I954</f>
        <v>70617.12</v>
      </c>
    </row>
    <row r="955" customFormat="false" ht="15" hidden="false" customHeight="true" outlineLevel="0" collapsed="false">
      <c r="A955" s="4" t="s">
        <v>1131</v>
      </c>
      <c r="B955" s="4" t="s">
        <v>163</v>
      </c>
      <c r="C955" s="13" t="n">
        <v>45502</v>
      </c>
      <c r="D955" s="13" t="n">
        <v>45521</v>
      </c>
      <c r="E955" s="13" t="n">
        <v>45517</v>
      </c>
      <c r="F955" s="4" t="n">
        <v>193</v>
      </c>
      <c r="G955" s="4" t="n">
        <v>183</v>
      </c>
      <c r="H955" s="4" t="n">
        <v>482.79</v>
      </c>
      <c r="I955" s="4" t="n">
        <v>493.2</v>
      </c>
      <c r="J955" s="14" t="n">
        <f aca="false">E955-D955</f>
        <v>-4</v>
      </c>
      <c r="K955" s="14" t="n">
        <f aca="false">IF(J955&lt;=0,1,0)</f>
        <v>1</v>
      </c>
      <c r="L955" s="15" t="n">
        <f aca="false">IFERROR(G955/F955,0)</f>
        <v>0.948186528497409</v>
      </c>
      <c r="M955" s="15" t="n">
        <f aca="false">IFERROR((I955-H955)/H955,0)</f>
        <v>0.0215621698875287</v>
      </c>
      <c r="N955" s="16" t="n">
        <f aca="false">G955*I955</f>
        <v>90255.6</v>
      </c>
    </row>
    <row r="956" customFormat="false" ht="15" hidden="false" customHeight="true" outlineLevel="0" collapsed="false">
      <c r="A956" s="4" t="s">
        <v>1132</v>
      </c>
      <c r="B956" s="4" t="s">
        <v>91</v>
      </c>
      <c r="C956" s="13" t="n">
        <v>45338</v>
      </c>
      <c r="D956" s="13" t="n">
        <v>45356</v>
      </c>
      <c r="E956" s="13" t="n">
        <v>45350</v>
      </c>
      <c r="F956" s="4" t="n">
        <v>235</v>
      </c>
      <c r="G956" s="4" t="n">
        <v>231</v>
      </c>
      <c r="H956" s="4" t="n">
        <v>496.29</v>
      </c>
      <c r="I956" s="4" t="n">
        <v>491.73</v>
      </c>
      <c r="J956" s="14" t="n">
        <f aca="false">E956-D956</f>
        <v>-6</v>
      </c>
      <c r="K956" s="14" t="n">
        <f aca="false">IF(J956&lt;=0,1,0)</f>
        <v>1</v>
      </c>
      <c r="L956" s="15" t="n">
        <f aca="false">IFERROR(G956/F956,0)</f>
        <v>0.982978723404255</v>
      </c>
      <c r="M956" s="15" t="n">
        <f aca="false">IFERROR((I956-H956)/H956,0)</f>
        <v>-0.00918817626790788</v>
      </c>
      <c r="N956" s="16" t="n">
        <f aca="false">G956*I956</f>
        <v>113589.63</v>
      </c>
    </row>
    <row r="957" customFormat="false" ht="15" hidden="false" customHeight="true" outlineLevel="0" collapsed="false">
      <c r="A957" s="4" t="s">
        <v>1133</v>
      </c>
      <c r="B957" s="4" t="s">
        <v>61</v>
      </c>
      <c r="C957" s="13" t="n">
        <v>45636</v>
      </c>
      <c r="D957" s="13" t="n">
        <v>45647</v>
      </c>
      <c r="E957" s="13" t="n">
        <v>45650</v>
      </c>
      <c r="F957" s="4" t="n">
        <v>1396</v>
      </c>
      <c r="G957" s="4" t="n">
        <v>1347</v>
      </c>
      <c r="H957" s="4" t="n">
        <v>107.41</v>
      </c>
      <c r="I957" s="4" t="n">
        <v>107.9</v>
      </c>
      <c r="J957" s="14" t="n">
        <f aca="false">E957-D957</f>
        <v>3</v>
      </c>
      <c r="K957" s="14" t="n">
        <f aca="false">IF(J957&lt;=0,1,0)</f>
        <v>0</v>
      </c>
      <c r="L957" s="15" t="n">
        <f aca="false">IFERROR(G957/F957,0)</f>
        <v>0.964899713467049</v>
      </c>
      <c r="M957" s="15" t="n">
        <f aca="false">IFERROR((I957-H957)/H957,0)</f>
        <v>0.00456195884926924</v>
      </c>
      <c r="N957" s="16" t="n">
        <f aca="false">G957*I957</f>
        <v>145341.3</v>
      </c>
    </row>
    <row r="958" customFormat="false" ht="15" hidden="false" customHeight="true" outlineLevel="0" collapsed="false">
      <c r="A958" s="4" t="s">
        <v>1134</v>
      </c>
      <c r="B958" s="4" t="s">
        <v>149</v>
      </c>
      <c r="C958" s="13" t="n">
        <v>45009</v>
      </c>
      <c r="D958" s="13" t="n">
        <v>45014</v>
      </c>
      <c r="E958" s="13" t="n">
        <v>45015</v>
      </c>
      <c r="F958" s="4" t="n">
        <v>1</v>
      </c>
      <c r="G958" s="4" t="n">
        <v>1</v>
      </c>
      <c r="H958" s="4" t="n">
        <v>1458.52</v>
      </c>
      <c r="I958" s="4" t="n">
        <v>1451.5</v>
      </c>
      <c r="J958" s="14" t="n">
        <f aca="false">E958-D958</f>
        <v>1</v>
      </c>
      <c r="K958" s="14" t="n">
        <f aca="false">IF(J958&lt;=0,1,0)</f>
        <v>0</v>
      </c>
      <c r="L958" s="15" t="n">
        <f aca="false">IFERROR(G958/F958,0)</f>
        <v>1</v>
      </c>
      <c r="M958" s="15" t="n">
        <f aca="false">IFERROR((I958-H958)/H958,0)</f>
        <v>-0.0048130982091435</v>
      </c>
      <c r="N958" s="16" t="n">
        <f aca="false">G958*I958</f>
        <v>1451.5</v>
      </c>
    </row>
    <row r="959" customFormat="false" ht="15" hidden="false" customHeight="true" outlineLevel="0" collapsed="false">
      <c r="A959" s="4" t="s">
        <v>1135</v>
      </c>
      <c r="B959" s="4" t="s">
        <v>113</v>
      </c>
      <c r="C959" s="13" t="n">
        <v>45219</v>
      </c>
      <c r="D959" s="13" t="n">
        <v>45229</v>
      </c>
      <c r="E959" s="13" t="n">
        <v>45232</v>
      </c>
      <c r="F959" s="4" t="n">
        <v>1549</v>
      </c>
      <c r="G959" s="4" t="n">
        <v>1549</v>
      </c>
      <c r="H959" s="4" t="n">
        <v>170.42</v>
      </c>
      <c r="I959" s="4" t="n">
        <v>171.31</v>
      </c>
      <c r="J959" s="14" t="n">
        <f aca="false">E959-D959</f>
        <v>3</v>
      </c>
      <c r="K959" s="14" t="n">
        <f aca="false">IF(J959&lt;=0,1,0)</f>
        <v>0</v>
      </c>
      <c r="L959" s="15" t="n">
        <f aca="false">IFERROR(G959/F959,0)</f>
        <v>1</v>
      </c>
      <c r="M959" s="15" t="n">
        <f aca="false">IFERROR((I959-H959)/H959,0)</f>
        <v>0.005222391738059</v>
      </c>
      <c r="N959" s="16" t="n">
        <f aca="false">G959*I959</f>
        <v>265359.19</v>
      </c>
    </row>
    <row r="960" customFormat="false" ht="15" hidden="false" customHeight="true" outlineLevel="0" collapsed="false">
      <c r="A960" s="4" t="s">
        <v>1136</v>
      </c>
      <c r="B960" s="4" t="s">
        <v>143</v>
      </c>
      <c r="C960" s="13" t="n">
        <v>45282</v>
      </c>
      <c r="D960" s="13" t="n">
        <v>45289</v>
      </c>
      <c r="E960" s="13" t="n">
        <v>45299</v>
      </c>
      <c r="F960" s="4" t="n">
        <v>3561</v>
      </c>
      <c r="G960" s="4" t="n">
        <v>3470</v>
      </c>
      <c r="H960" s="4" t="n">
        <v>20.6</v>
      </c>
      <c r="I960" s="4" t="n">
        <v>21.39</v>
      </c>
      <c r="J960" s="14" t="n">
        <f aca="false">E960-D960</f>
        <v>10</v>
      </c>
      <c r="K960" s="14" t="n">
        <f aca="false">IF(J960&lt;=0,1,0)</f>
        <v>0</v>
      </c>
      <c r="L960" s="15" t="n">
        <f aca="false">IFERROR(G960/F960,0)</f>
        <v>0.974445380511092</v>
      </c>
      <c r="M960" s="15" t="n">
        <f aca="false">IFERROR((I960-H960)/H960,0)</f>
        <v>0.0383495145631068</v>
      </c>
      <c r="N960" s="16" t="n">
        <f aca="false">G960*I960</f>
        <v>74223.3</v>
      </c>
    </row>
    <row r="961" customFormat="false" ht="15" hidden="false" customHeight="true" outlineLevel="0" collapsed="false">
      <c r="A961" s="4" t="s">
        <v>1137</v>
      </c>
      <c r="B961" s="4" t="s">
        <v>58</v>
      </c>
      <c r="C961" s="13" t="n">
        <v>45009</v>
      </c>
      <c r="D961" s="13" t="n">
        <v>45023</v>
      </c>
      <c r="E961" s="13" t="n">
        <v>45022</v>
      </c>
      <c r="F961" s="4" t="n">
        <v>178</v>
      </c>
      <c r="G961" s="4" t="n">
        <v>178</v>
      </c>
      <c r="H961" s="4" t="n">
        <v>135.68</v>
      </c>
      <c r="I961" s="4" t="n">
        <v>140.63</v>
      </c>
      <c r="J961" s="14" t="n">
        <f aca="false">E961-D961</f>
        <v>-1</v>
      </c>
      <c r="K961" s="14" t="n">
        <f aca="false">IF(J961&lt;=0,1,0)</f>
        <v>1</v>
      </c>
      <c r="L961" s="15" t="n">
        <f aca="false">IFERROR(G961/F961,0)</f>
        <v>1</v>
      </c>
      <c r="M961" s="15" t="n">
        <f aca="false">IFERROR((I961-H961)/H961,0)</f>
        <v>0.0364829009433961</v>
      </c>
      <c r="N961" s="16" t="n">
        <f aca="false">G961*I961</f>
        <v>25032.14</v>
      </c>
    </row>
    <row r="962" customFormat="false" ht="15" hidden="false" customHeight="true" outlineLevel="0" collapsed="false">
      <c r="A962" s="4" t="s">
        <v>1138</v>
      </c>
      <c r="B962" s="4" t="s">
        <v>50</v>
      </c>
      <c r="C962" s="13" t="n">
        <v>45567</v>
      </c>
      <c r="D962" s="13" t="n">
        <v>45587</v>
      </c>
      <c r="E962" s="13" t="n">
        <v>45583</v>
      </c>
      <c r="F962" s="4" t="n">
        <v>348</v>
      </c>
      <c r="G962" s="4" t="n">
        <v>348</v>
      </c>
      <c r="H962" s="4" t="n">
        <v>707.19</v>
      </c>
      <c r="I962" s="4" t="n">
        <v>769.09</v>
      </c>
      <c r="J962" s="14" t="n">
        <f aca="false">E962-D962</f>
        <v>-4</v>
      </c>
      <c r="K962" s="14" t="n">
        <f aca="false">IF(J962&lt;=0,1,0)</f>
        <v>1</v>
      </c>
      <c r="L962" s="15" t="n">
        <f aca="false">IFERROR(G962/F962,0)</f>
        <v>1</v>
      </c>
      <c r="M962" s="15" t="n">
        <f aca="false">IFERROR((I962-H962)/H962,0)</f>
        <v>0.0875295182341379</v>
      </c>
      <c r="N962" s="16" t="n">
        <f aca="false">G962*I962</f>
        <v>267643.32</v>
      </c>
    </row>
    <row r="963" customFormat="false" ht="15" hidden="false" customHeight="true" outlineLevel="0" collapsed="false">
      <c r="A963" s="4" t="s">
        <v>1139</v>
      </c>
      <c r="B963" s="4" t="s">
        <v>77</v>
      </c>
      <c r="C963" s="13" t="n">
        <v>45429</v>
      </c>
      <c r="D963" s="13" t="n">
        <v>45435</v>
      </c>
      <c r="E963" s="13" t="n">
        <v>45452</v>
      </c>
      <c r="F963" s="4" t="n">
        <v>2159</v>
      </c>
      <c r="G963" s="4" t="n">
        <v>2125</v>
      </c>
      <c r="H963" s="4" t="n">
        <v>36.83</v>
      </c>
      <c r="I963" s="4" t="n">
        <v>34.85</v>
      </c>
      <c r="J963" s="14" t="n">
        <f aca="false">E963-D963</f>
        <v>17</v>
      </c>
      <c r="K963" s="14" t="n">
        <f aca="false">IF(J963&lt;=0,1,0)</f>
        <v>0</v>
      </c>
      <c r="L963" s="15" t="n">
        <f aca="false">IFERROR(G963/F963,0)</f>
        <v>0.984251968503937</v>
      </c>
      <c r="M963" s="15" t="n">
        <f aca="false">IFERROR((I963-H963)/H963,0)</f>
        <v>-0.053760521314146</v>
      </c>
      <c r="N963" s="16" t="n">
        <f aca="false">G963*I963</f>
        <v>74056.25</v>
      </c>
    </row>
    <row r="964" customFormat="false" ht="15" hidden="false" customHeight="true" outlineLevel="0" collapsed="false">
      <c r="A964" s="4" t="s">
        <v>1140</v>
      </c>
      <c r="B964" s="4" t="s">
        <v>91</v>
      </c>
      <c r="C964" s="13" t="n">
        <v>45139</v>
      </c>
      <c r="D964" s="13" t="n">
        <v>45157</v>
      </c>
      <c r="E964" s="13" t="n">
        <v>45147</v>
      </c>
      <c r="F964" s="4" t="n">
        <v>206</v>
      </c>
      <c r="G964" s="4" t="n">
        <v>202</v>
      </c>
      <c r="H964" s="4" t="n">
        <v>496.29</v>
      </c>
      <c r="I964" s="4" t="n">
        <v>496.37</v>
      </c>
      <c r="J964" s="14" t="n">
        <f aca="false">E964-D964</f>
        <v>-10</v>
      </c>
      <c r="K964" s="14" t="n">
        <f aca="false">IF(J964&lt;=0,1,0)</f>
        <v>1</v>
      </c>
      <c r="L964" s="15" t="n">
        <f aca="false">IFERROR(G964/F964,0)</f>
        <v>0.980582524271845</v>
      </c>
      <c r="M964" s="15" t="n">
        <f aca="false">IFERROR((I964-H964)/H964,0)</f>
        <v>0.000161196074875545</v>
      </c>
      <c r="N964" s="16" t="n">
        <f aca="false">G964*I964</f>
        <v>100266.74</v>
      </c>
    </row>
    <row r="965" customFormat="false" ht="15" hidden="false" customHeight="true" outlineLevel="0" collapsed="false">
      <c r="A965" s="4" t="s">
        <v>1141</v>
      </c>
      <c r="B965" s="4" t="s">
        <v>87</v>
      </c>
      <c r="C965" s="13" t="n">
        <v>45278</v>
      </c>
      <c r="D965" s="13" t="n">
        <v>45287</v>
      </c>
      <c r="E965" s="13" t="n">
        <v>45288</v>
      </c>
      <c r="F965" s="4" t="n">
        <v>1497</v>
      </c>
      <c r="G965" s="4" t="n">
        <v>1346</v>
      </c>
      <c r="H965" s="4" t="n">
        <v>161.95</v>
      </c>
      <c r="I965" s="4" t="n">
        <v>178.91</v>
      </c>
      <c r="J965" s="14" t="n">
        <f aca="false">E965-D965</f>
        <v>1</v>
      </c>
      <c r="K965" s="14" t="n">
        <f aca="false">IF(J965&lt;=0,1,0)</f>
        <v>0</v>
      </c>
      <c r="L965" s="15" t="n">
        <f aca="false">IFERROR(G965/F965,0)</f>
        <v>0.899131596526386</v>
      </c>
      <c r="M965" s="15" t="n">
        <f aca="false">IFERROR((I965-H965)/H965,0)</f>
        <v>0.104723680148194</v>
      </c>
      <c r="N965" s="16" t="n">
        <f aca="false">G965*I965</f>
        <v>240812.86</v>
      </c>
    </row>
    <row r="966" customFormat="false" ht="15" hidden="false" customHeight="true" outlineLevel="0" collapsed="false">
      <c r="A966" s="4" t="s">
        <v>1142</v>
      </c>
      <c r="B966" s="4" t="s">
        <v>63</v>
      </c>
      <c r="C966" s="13" t="n">
        <v>45327</v>
      </c>
      <c r="D966" s="13" t="n">
        <v>45337</v>
      </c>
      <c r="E966" s="13" t="n">
        <v>45337</v>
      </c>
      <c r="F966" s="4" t="n">
        <v>340</v>
      </c>
      <c r="G966" s="4" t="n">
        <v>316</v>
      </c>
      <c r="H966" s="4" t="n">
        <v>239.8</v>
      </c>
      <c r="I966" s="4" t="n">
        <v>255.8</v>
      </c>
      <c r="J966" s="14" t="n">
        <f aca="false">E966-D966</f>
        <v>0</v>
      </c>
      <c r="K966" s="14" t="n">
        <f aca="false">IF(J966&lt;=0,1,0)</f>
        <v>1</v>
      </c>
      <c r="L966" s="15" t="n">
        <f aca="false">IFERROR(G966/F966,0)</f>
        <v>0.929411764705882</v>
      </c>
      <c r="M966" s="15" t="n">
        <f aca="false">IFERROR((I966-H966)/H966,0)</f>
        <v>0.0667222685571309</v>
      </c>
      <c r="N966" s="16" t="n">
        <f aca="false">G966*I966</f>
        <v>80832.8</v>
      </c>
    </row>
    <row r="967" customFormat="false" ht="15" hidden="false" customHeight="true" outlineLevel="0" collapsed="false">
      <c r="A967" s="4" t="s">
        <v>1143</v>
      </c>
      <c r="B967" s="4" t="s">
        <v>139</v>
      </c>
      <c r="C967" s="13" t="n">
        <v>45280</v>
      </c>
      <c r="D967" s="13" t="n">
        <v>45290</v>
      </c>
      <c r="E967" s="13" t="n">
        <v>45294</v>
      </c>
      <c r="F967" s="4" t="n">
        <v>1428</v>
      </c>
      <c r="G967" s="4" t="n">
        <v>1259</v>
      </c>
      <c r="H967" s="4" t="n">
        <v>207.64</v>
      </c>
      <c r="I967" s="4" t="n">
        <v>216.4</v>
      </c>
      <c r="J967" s="14" t="n">
        <f aca="false">E967-D967</f>
        <v>4</v>
      </c>
      <c r="K967" s="14" t="n">
        <f aca="false">IF(J967&lt;=0,1,0)</f>
        <v>0</v>
      </c>
      <c r="L967" s="15" t="n">
        <f aca="false">IFERROR(G967/F967,0)</f>
        <v>0.881652661064426</v>
      </c>
      <c r="M967" s="15" t="n">
        <f aca="false">IFERROR((I967-H967)/H967,0)</f>
        <v>0.0421884030052014</v>
      </c>
      <c r="N967" s="16" t="n">
        <f aca="false">G967*I967</f>
        <v>272447.6</v>
      </c>
    </row>
    <row r="968" customFormat="false" ht="15" hidden="false" customHeight="true" outlineLevel="0" collapsed="false">
      <c r="A968" s="4" t="s">
        <v>1144</v>
      </c>
      <c r="B968" s="4" t="s">
        <v>63</v>
      </c>
      <c r="C968" s="13" t="n">
        <v>45045</v>
      </c>
      <c r="D968" s="13" t="n">
        <v>45057</v>
      </c>
      <c r="E968" s="13" t="n">
        <v>45066</v>
      </c>
      <c r="F968" s="4" t="n">
        <v>1782</v>
      </c>
      <c r="G968" s="4" t="n">
        <v>1691</v>
      </c>
      <c r="H968" s="4" t="n">
        <v>239.8</v>
      </c>
      <c r="I968" s="4" t="n">
        <v>244.29</v>
      </c>
      <c r="J968" s="14" t="n">
        <f aca="false">E968-D968</f>
        <v>9</v>
      </c>
      <c r="K968" s="14" t="n">
        <f aca="false">IF(J968&lt;=0,1,0)</f>
        <v>0</v>
      </c>
      <c r="L968" s="15" t="n">
        <f aca="false">IFERROR(G968/F968,0)</f>
        <v>0.948933782267116</v>
      </c>
      <c r="M968" s="15" t="n">
        <f aca="false">IFERROR((I968-H968)/H968,0)</f>
        <v>0.0187239366138448</v>
      </c>
      <c r="N968" s="16" t="n">
        <f aca="false">G968*I968</f>
        <v>413094.39</v>
      </c>
    </row>
    <row r="969" customFormat="false" ht="15" hidden="false" customHeight="true" outlineLevel="0" collapsed="false">
      <c r="A969" s="4" t="s">
        <v>1145</v>
      </c>
      <c r="B969" s="4" t="s">
        <v>151</v>
      </c>
      <c r="C969" s="13" t="n">
        <v>45612</v>
      </c>
      <c r="D969" s="13" t="n">
        <v>45618</v>
      </c>
      <c r="E969" s="13" t="n">
        <v>45619</v>
      </c>
      <c r="F969" s="4" t="n">
        <v>7</v>
      </c>
      <c r="G969" s="4" t="n">
        <v>7</v>
      </c>
      <c r="H969" s="4" t="n">
        <v>503.46</v>
      </c>
      <c r="I969" s="4" t="n">
        <v>509.8</v>
      </c>
      <c r="J969" s="14" t="n">
        <f aca="false">E969-D969</f>
        <v>1</v>
      </c>
      <c r="K969" s="14" t="n">
        <f aca="false">IF(J969&lt;=0,1,0)</f>
        <v>0</v>
      </c>
      <c r="L969" s="15" t="n">
        <f aca="false">IFERROR(G969/F969,0)</f>
        <v>1</v>
      </c>
      <c r="M969" s="15" t="n">
        <f aca="false">IFERROR((I969-H969)/H969,0)</f>
        <v>0.0125928574266079</v>
      </c>
      <c r="N969" s="16" t="n">
        <f aca="false">G969*I969</f>
        <v>3568.6</v>
      </c>
    </row>
    <row r="970" customFormat="false" ht="15" hidden="false" customHeight="true" outlineLevel="0" collapsed="false">
      <c r="A970" s="4" t="s">
        <v>1146</v>
      </c>
      <c r="B970" s="4" t="s">
        <v>121</v>
      </c>
      <c r="C970" s="13" t="n">
        <v>45166</v>
      </c>
      <c r="D970" s="13" t="n">
        <v>45176</v>
      </c>
      <c r="E970" s="13" t="n">
        <v>45180</v>
      </c>
      <c r="F970" s="4" t="n">
        <v>264</v>
      </c>
      <c r="G970" s="4" t="n">
        <v>242</v>
      </c>
      <c r="H970" s="4" t="n">
        <v>206.07</v>
      </c>
      <c r="I970" s="4" t="n">
        <v>214.7</v>
      </c>
      <c r="J970" s="14" t="n">
        <f aca="false">E970-D970</f>
        <v>4</v>
      </c>
      <c r="K970" s="14" t="n">
        <f aca="false">IF(J970&lt;=0,1,0)</f>
        <v>0</v>
      </c>
      <c r="L970" s="15" t="n">
        <f aca="false">IFERROR(G970/F970,0)</f>
        <v>0.916666666666667</v>
      </c>
      <c r="M970" s="15" t="n">
        <f aca="false">IFERROR((I970-H970)/H970,0)</f>
        <v>0.0418789731644587</v>
      </c>
      <c r="N970" s="16" t="n">
        <f aca="false">G970*I970</f>
        <v>51957.4</v>
      </c>
    </row>
    <row r="971" customFormat="false" ht="15" hidden="false" customHeight="true" outlineLevel="0" collapsed="false">
      <c r="A971" s="4" t="s">
        <v>1147</v>
      </c>
      <c r="B971" s="4" t="s">
        <v>123</v>
      </c>
      <c r="C971" s="13" t="n">
        <v>44937</v>
      </c>
      <c r="D971" s="13" t="n">
        <v>44951</v>
      </c>
      <c r="E971" s="13" t="n">
        <v>44954</v>
      </c>
      <c r="F971" s="4" t="n">
        <v>128</v>
      </c>
      <c r="G971" s="4" t="n">
        <v>128</v>
      </c>
      <c r="H971" s="4" t="n">
        <v>214.07</v>
      </c>
      <c r="I971" s="4" t="n">
        <v>214.37</v>
      </c>
      <c r="J971" s="14" t="n">
        <f aca="false">E971-D971</f>
        <v>3</v>
      </c>
      <c r="K971" s="14" t="n">
        <f aca="false">IF(J971&lt;=0,1,0)</f>
        <v>0</v>
      </c>
      <c r="L971" s="15" t="n">
        <f aca="false">IFERROR(G971/F971,0)</f>
        <v>1</v>
      </c>
      <c r="M971" s="15" t="n">
        <f aca="false">IFERROR((I971-H971)/H971,0)</f>
        <v>0.0014014107534919</v>
      </c>
      <c r="N971" s="16" t="n">
        <f aca="false">G971*I971</f>
        <v>27439.36</v>
      </c>
    </row>
    <row r="972" customFormat="false" ht="15" hidden="false" customHeight="true" outlineLevel="0" collapsed="false">
      <c r="A972" s="4" t="s">
        <v>1148</v>
      </c>
      <c r="B972" s="4" t="s">
        <v>155</v>
      </c>
      <c r="C972" s="13" t="n">
        <v>44994</v>
      </c>
      <c r="D972" s="13" t="n">
        <v>45001</v>
      </c>
      <c r="E972" s="13" t="n">
        <v>44998</v>
      </c>
      <c r="F972" s="4" t="n">
        <v>1247</v>
      </c>
      <c r="G972" s="4" t="n">
        <v>1228</v>
      </c>
      <c r="H972" s="4" t="n">
        <v>24.04</v>
      </c>
      <c r="I972" s="4" t="n">
        <v>23.81</v>
      </c>
      <c r="J972" s="14" t="n">
        <f aca="false">E972-D972</f>
        <v>-3</v>
      </c>
      <c r="K972" s="14" t="n">
        <f aca="false">IF(J972&lt;=0,1,0)</f>
        <v>1</v>
      </c>
      <c r="L972" s="15" t="n">
        <f aca="false">IFERROR(G972/F972,0)</f>
        <v>0.98476343223737</v>
      </c>
      <c r="M972" s="15" t="n">
        <f aca="false">IFERROR((I972-H972)/H972,0)</f>
        <v>-0.00956738768718804</v>
      </c>
      <c r="N972" s="16" t="n">
        <f aca="false">G972*I972</f>
        <v>29238.68</v>
      </c>
    </row>
    <row r="973" customFormat="false" ht="15" hidden="false" customHeight="true" outlineLevel="0" collapsed="false">
      <c r="A973" s="4" t="s">
        <v>1149</v>
      </c>
      <c r="B973" s="4" t="s">
        <v>63</v>
      </c>
      <c r="C973" s="13" t="n">
        <v>45430</v>
      </c>
      <c r="D973" s="13" t="n">
        <v>45441</v>
      </c>
      <c r="E973" s="13" t="n">
        <v>45450</v>
      </c>
      <c r="F973" s="4" t="n">
        <v>1214</v>
      </c>
      <c r="G973" s="4" t="n">
        <v>1104</v>
      </c>
      <c r="H973" s="4" t="n">
        <v>239.8</v>
      </c>
      <c r="I973" s="4" t="n">
        <v>262.45</v>
      </c>
      <c r="J973" s="14" t="n">
        <f aca="false">E973-D973</f>
        <v>9</v>
      </c>
      <c r="K973" s="14" t="n">
        <f aca="false">IF(J973&lt;=0,1,0)</f>
        <v>0</v>
      </c>
      <c r="L973" s="15" t="n">
        <f aca="false">IFERROR(G973/F973,0)</f>
        <v>0.909390444810544</v>
      </c>
      <c r="M973" s="15" t="n">
        <f aca="false">IFERROR((I973-H973)/H973,0)</f>
        <v>0.0944537114261884</v>
      </c>
      <c r="N973" s="16" t="n">
        <f aca="false">G973*I973</f>
        <v>289744.8</v>
      </c>
    </row>
    <row r="974" customFormat="false" ht="15" hidden="false" customHeight="true" outlineLevel="0" collapsed="false">
      <c r="A974" s="4" t="s">
        <v>1150</v>
      </c>
      <c r="B974" s="4" t="s">
        <v>55</v>
      </c>
      <c r="C974" s="13" t="n">
        <v>45405</v>
      </c>
      <c r="D974" s="13" t="n">
        <v>45424</v>
      </c>
      <c r="E974" s="13" t="n">
        <v>45425</v>
      </c>
      <c r="F974" s="4" t="n">
        <v>414</v>
      </c>
      <c r="G974" s="4" t="n">
        <v>390</v>
      </c>
      <c r="H974" s="4" t="n">
        <v>598.09</v>
      </c>
      <c r="I974" s="4" t="n">
        <v>570.07</v>
      </c>
      <c r="J974" s="14" t="n">
        <f aca="false">E974-D974</f>
        <v>1</v>
      </c>
      <c r="K974" s="14" t="n">
        <f aca="false">IF(J974&lt;=0,1,0)</f>
        <v>0</v>
      </c>
      <c r="L974" s="15" t="n">
        <f aca="false">IFERROR(G974/F974,0)</f>
        <v>0.942028985507246</v>
      </c>
      <c r="M974" s="15" t="n">
        <f aca="false">IFERROR((I974-H974)/H974,0)</f>
        <v>-0.046849136417596</v>
      </c>
      <c r="N974" s="16" t="n">
        <f aca="false">G974*I974</f>
        <v>222327.3</v>
      </c>
    </row>
    <row r="975" customFormat="false" ht="15" hidden="false" customHeight="true" outlineLevel="0" collapsed="false">
      <c r="A975" s="4" t="s">
        <v>1151</v>
      </c>
      <c r="B975" s="4" t="s">
        <v>121</v>
      </c>
      <c r="C975" s="13" t="n">
        <v>45011</v>
      </c>
      <c r="D975" s="13" t="n">
        <v>45023</v>
      </c>
      <c r="E975" s="13" t="n">
        <v>45023</v>
      </c>
      <c r="F975" s="4" t="n">
        <v>1552</v>
      </c>
      <c r="G975" s="4" t="n">
        <v>1400</v>
      </c>
      <c r="H975" s="4" t="n">
        <v>206.07</v>
      </c>
      <c r="I975" s="4" t="n">
        <v>209.56</v>
      </c>
      <c r="J975" s="14" t="n">
        <f aca="false">E975-D975</f>
        <v>0</v>
      </c>
      <c r="K975" s="14" t="n">
        <f aca="false">IF(J975&lt;=0,1,0)</f>
        <v>1</v>
      </c>
      <c r="L975" s="15" t="n">
        <f aca="false">IFERROR(G975/F975,0)</f>
        <v>0.902061855670103</v>
      </c>
      <c r="M975" s="15" t="n">
        <f aca="false">IFERROR((I975-H975)/H975,0)</f>
        <v>0.0169359926238657</v>
      </c>
      <c r="N975" s="16" t="n">
        <f aca="false">G975*I975</f>
        <v>293384</v>
      </c>
    </row>
    <row r="976" customFormat="false" ht="15" hidden="false" customHeight="true" outlineLevel="0" collapsed="false">
      <c r="A976" s="4" t="s">
        <v>1152</v>
      </c>
      <c r="B976" s="4" t="s">
        <v>157</v>
      </c>
      <c r="C976" s="13" t="n">
        <v>45598</v>
      </c>
      <c r="D976" s="13" t="n">
        <v>45607</v>
      </c>
      <c r="E976" s="13" t="n">
        <v>45609</v>
      </c>
      <c r="F976" s="4" t="n">
        <v>929</v>
      </c>
      <c r="G976" s="4" t="n">
        <v>898</v>
      </c>
      <c r="H976" s="4" t="n">
        <v>13.1</v>
      </c>
      <c r="I976" s="4" t="n">
        <v>13.81</v>
      </c>
      <c r="J976" s="14" t="n">
        <f aca="false">E976-D976</f>
        <v>2</v>
      </c>
      <c r="K976" s="14" t="n">
        <f aca="false">IF(J976&lt;=0,1,0)</f>
        <v>0</v>
      </c>
      <c r="L976" s="15" t="n">
        <f aca="false">IFERROR(G976/F976,0)</f>
        <v>0.966630785791173</v>
      </c>
      <c r="M976" s="15" t="n">
        <f aca="false">IFERROR((I976-H976)/H976,0)</f>
        <v>0.0541984732824428</v>
      </c>
      <c r="N976" s="16" t="n">
        <f aca="false">G976*I976</f>
        <v>12401.38</v>
      </c>
    </row>
    <row r="977" customFormat="false" ht="15" hidden="false" customHeight="true" outlineLevel="0" collapsed="false">
      <c r="A977" s="4" t="s">
        <v>1153</v>
      </c>
      <c r="B977" s="4" t="s">
        <v>141</v>
      </c>
      <c r="C977" s="13" t="n">
        <v>45165</v>
      </c>
      <c r="D977" s="13" t="n">
        <v>45183</v>
      </c>
      <c r="E977" s="13" t="n">
        <v>45186</v>
      </c>
      <c r="F977" s="4" t="n">
        <v>437</v>
      </c>
      <c r="G977" s="4" t="n">
        <v>437</v>
      </c>
      <c r="H977" s="4" t="n">
        <v>1252.36</v>
      </c>
      <c r="I977" s="4" t="n">
        <v>1229.35</v>
      </c>
      <c r="J977" s="14" t="n">
        <f aca="false">E977-D977</f>
        <v>3</v>
      </c>
      <c r="K977" s="14" t="n">
        <f aca="false">IF(J977&lt;=0,1,0)</f>
        <v>0</v>
      </c>
      <c r="L977" s="15" t="n">
        <f aca="false">IFERROR(G977/F977,0)</f>
        <v>1</v>
      </c>
      <c r="M977" s="15" t="n">
        <f aca="false">IFERROR((I977-H977)/H977,0)</f>
        <v>-0.0183733111884762</v>
      </c>
      <c r="N977" s="16" t="n">
        <f aca="false">G977*I977</f>
        <v>537225.95</v>
      </c>
    </row>
    <row r="978" customFormat="false" ht="15" hidden="false" customHeight="true" outlineLevel="0" collapsed="false">
      <c r="A978" s="4" t="s">
        <v>1154</v>
      </c>
      <c r="B978" s="4" t="s">
        <v>70</v>
      </c>
      <c r="C978" s="13" t="n">
        <v>45165</v>
      </c>
      <c r="D978" s="13" t="n">
        <v>45171</v>
      </c>
      <c r="E978" s="13" t="n">
        <v>45173</v>
      </c>
      <c r="F978" s="4" t="n">
        <v>2197</v>
      </c>
      <c r="G978" s="4" t="n">
        <v>2042</v>
      </c>
      <c r="H978" s="4" t="n">
        <v>35.88</v>
      </c>
      <c r="I978" s="4" t="n">
        <v>36.76</v>
      </c>
      <c r="J978" s="14" t="n">
        <f aca="false">E978-D978</f>
        <v>2</v>
      </c>
      <c r="K978" s="14" t="n">
        <f aca="false">IF(J978&lt;=0,1,0)</f>
        <v>0</v>
      </c>
      <c r="L978" s="15" t="n">
        <f aca="false">IFERROR(G978/F978,0)</f>
        <v>0.929449248975876</v>
      </c>
      <c r="M978" s="15" t="n">
        <f aca="false">IFERROR((I978-H978)/H978,0)</f>
        <v>0.0245261984392418</v>
      </c>
      <c r="N978" s="16" t="n">
        <f aca="false">G978*I978</f>
        <v>75063.92</v>
      </c>
    </row>
    <row r="979" customFormat="false" ht="15" hidden="false" customHeight="true" outlineLevel="0" collapsed="false">
      <c r="A979" s="4" t="s">
        <v>1155</v>
      </c>
      <c r="B979" s="4" t="s">
        <v>137</v>
      </c>
      <c r="C979" s="13" t="n">
        <v>45004</v>
      </c>
      <c r="D979" s="13" t="n">
        <v>45022</v>
      </c>
      <c r="E979" s="13" t="n">
        <v>45017</v>
      </c>
      <c r="F979" s="4" t="n">
        <v>267</v>
      </c>
      <c r="G979" s="4" t="n">
        <v>242</v>
      </c>
      <c r="H979" s="4" t="n">
        <v>1047.25</v>
      </c>
      <c r="I979" s="4" t="n">
        <v>1066.87</v>
      </c>
      <c r="J979" s="14" t="n">
        <f aca="false">E979-D979</f>
        <v>-5</v>
      </c>
      <c r="K979" s="14" t="n">
        <f aca="false">IF(J979&lt;=0,1,0)</f>
        <v>1</v>
      </c>
      <c r="L979" s="15" t="n">
        <f aca="false">IFERROR(G979/F979,0)</f>
        <v>0.906367041198502</v>
      </c>
      <c r="M979" s="15" t="n">
        <f aca="false">IFERROR((I979-H979)/H979,0)</f>
        <v>0.0187347815707805</v>
      </c>
      <c r="N979" s="16" t="n">
        <f aca="false">G979*I979</f>
        <v>258182.54</v>
      </c>
    </row>
    <row r="980" customFormat="false" ht="15" hidden="false" customHeight="true" outlineLevel="0" collapsed="false">
      <c r="A980" s="4" t="s">
        <v>1156</v>
      </c>
      <c r="B980" s="4" t="s">
        <v>151</v>
      </c>
      <c r="C980" s="13" t="n">
        <v>44932</v>
      </c>
      <c r="D980" s="13" t="n">
        <v>44937</v>
      </c>
      <c r="E980" s="13" t="n">
        <v>44937</v>
      </c>
      <c r="F980" s="4" t="n">
        <v>16</v>
      </c>
      <c r="G980" s="4" t="n">
        <v>16</v>
      </c>
      <c r="H980" s="4" t="n">
        <v>503.46</v>
      </c>
      <c r="I980" s="4" t="n">
        <v>501.62</v>
      </c>
      <c r="J980" s="14" t="n">
        <f aca="false">E980-D980</f>
        <v>0</v>
      </c>
      <c r="K980" s="14" t="n">
        <f aca="false">IF(J980&lt;=0,1,0)</f>
        <v>1</v>
      </c>
      <c r="L980" s="15" t="n">
        <f aca="false">IFERROR(G980/F980,0)</f>
        <v>1</v>
      </c>
      <c r="M980" s="15" t="n">
        <f aca="false">IFERROR((I980-H980)/H980,0)</f>
        <v>-0.00365470941087668</v>
      </c>
      <c r="N980" s="16" t="n">
        <f aca="false">G980*I980</f>
        <v>8025.92</v>
      </c>
    </row>
    <row r="981" customFormat="false" ht="15" hidden="false" customHeight="true" outlineLevel="0" collapsed="false">
      <c r="A981" s="4" t="s">
        <v>1157</v>
      </c>
      <c r="B981" s="4" t="s">
        <v>131</v>
      </c>
      <c r="C981" s="13" t="n">
        <v>45420</v>
      </c>
      <c r="D981" s="13" t="n">
        <v>45429</v>
      </c>
      <c r="E981" s="13" t="n">
        <v>45428</v>
      </c>
      <c r="F981" s="4" t="n">
        <v>1056</v>
      </c>
      <c r="G981" s="4" t="n">
        <v>1042</v>
      </c>
      <c r="H981" s="4" t="n">
        <v>88.52</v>
      </c>
      <c r="I981" s="4" t="n">
        <v>91.54</v>
      </c>
      <c r="J981" s="14" t="n">
        <f aca="false">E981-D981</f>
        <v>-1</v>
      </c>
      <c r="K981" s="14" t="n">
        <f aca="false">IF(J981&lt;=0,1,0)</f>
        <v>1</v>
      </c>
      <c r="L981" s="15" t="n">
        <f aca="false">IFERROR(G981/F981,0)</f>
        <v>0.986742424242424</v>
      </c>
      <c r="M981" s="15" t="n">
        <f aca="false">IFERROR((I981-H981)/H981,0)</f>
        <v>0.034116583822865</v>
      </c>
      <c r="N981" s="16" t="n">
        <f aca="false">G981*I981</f>
        <v>95384.68</v>
      </c>
    </row>
    <row r="982" customFormat="false" ht="15" hidden="false" customHeight="true" outlineLevel="0" collapsed="false">
      <c r="A982" s="4" t="s">
        <v>1158</v>
      </c>
      <c r="B982" s="4" t="s">
        <v>95</v>
      </c>
      <c r="C982" s="13" t="n">
        <v>45159</v>
      </c>
      <c r="D982" s="13" t="n">
        <v>45168</v>
      </c>
      <c r="E982" s="13" t="n">
        <v>45167</v>
      </c>
      <c r="F982" s="4" t="n">
        <v>3850</v>
      </c>
      <c r="G982" s="4" t="n">
        <v>3730</v>
      </c>
      <c r="H982" s="4" t="n">
        <v>20.39</v>
      </c>
      <c r="I982" s="4" t="n">
        <v>20.74</v>
      </c>
      <c r="J982" s="14" t="n">
        <f aca="false">E982-D982</f>
        <v>-1</v>
      </c>
      <c r="K982" s="14" t="n">
        <f aca="false">IF(J982&lt;=0,1,0)</f>
        <v>1</v>
      </c>
      <c r="L982" s="15" t="n">
        <f aca="false">IFERROR(G982/F982,0)</f>
        <v>0.968831168831169</v>
      </c>
      <c r="M982" s="15" t="n">
        <f aca="false">IFERROR((I982-H982)/H982,0)</f>
        <v>0.0171652770966159</v>
      </c>
      <c r="N982" s="16" t="n">
        <f aca="false">G982*I982</f>
        <v>77360.2</v>
      </c>
    </row>
    <row r="983" customFormat="false" ht="15" hidden="false" customHeight="true" outlineLevel="0" collapsed="false">
      <c r="A983" s="4" t="s">
        <v>1159</v>
      </c>
      <c r="B983" s="4" t="s">
        <v>99</v>
      </c>
      <c r="C983" s="13" t="n">
        <v>45530</v>
      </c>
      <c r="D983" s="13" t="n">
        <v>45539</v>
      </c>
      <c r="E983" s="13" t="n">
        <v>45543</v>
      </c>
      <c r="F983" s="4" t="n">
        <v>4517</v>
      </c>
      <c r="G983" s="4" t="n">
        <v>4196</v>
      </c>
      <c r="H983" s="4" t="n">
        <v>11.5</v>
      </c>
      <c r="I983" s="4" t="n">
        <v>12.81</v>
      </c>
      <c r="J983" s="14" t="n">
        <f aca="false">E983-D983</f>
        <v>4</v>
      </c>
      <c r="K983" s="14" t="n">
        <f aca="false">IF(J983&lt;=0,1,0)</f>
        <v>0</v>
      </c>
      <c r="L983" s="15" t="n">
        <f aca="false">IFERROR(G983/F983,0)</f>
        <v>0.928935133938455</v>
      </c>
      <c r="M983" s="15" t="n">
        <f aca="false">IFERROR((I983-H983)/H983,0)</f>
        <v>0.113913043478261</v>
      </c>
      <c r="N983" s="16" t="n">
        <f aca="false">G983*I983</f>
        <v>53750.76</v>
      </c>
    </row>
    <row r="984" customFormat="false" ht="15" hidden="false" customHeight="true" outlineLevel="0" collapsed="false">
      <c r="A984" s="4" t="s">
        <v>1160</v>
      </c>
      <c r="B984" s="4" t="s">
        <v>50</v>
      </c>
      <c r="C984" s="13" t="n">
        <v>45307</v>
      </c>
      <c r="D984" s="13" t="n">
        <v>45326</v>
      </c>
      <c r="E984" s="13" t="n">
        <v>45325</v>
      </c>
      <c r="F984" s="4" t="n">
        <v>316</v>
      </c>
      <c r="G984" s="4" t="n">
        <v>316</v>
      </c>
      <c r="H984" s="4" t="n">
        <v>707.19</v>
      </c>
      <c r="I984" s="4" t="n">
        <v>737.02</v>
      </c>
      <c r="J984" s="14" t="n">
        <f aca="false">E984-D984</f>
        <v>-1</v>
      </c>
      <c r="K984" s="14" t="n">
        <f aca="false">IF(J984&lt;=0,1,0)</f>
        <v>1</v>
      </c>
      <c r="L984" s="15" t="n">
        <f aca="false">IFERROR(G984/F984,0)</f>
        <v>1</v>
      </c>
      <c r="M984" s="15" t="n">
        <f aca="false">IFERROR((I984-H984)/H984,0)</f>
        <v>0.0421810263154173</v>
      </c>
      <c r="N984" s="16" t="n">
        <f aca="false">G984*I984</f>
        <v>232898.32</v>
      </c>
    </row>
    <row r="985" customFormat="false" ht="15" hidden="false" customHeight="true" outlineLevel="0" collapsed="false">
      <c r="A985" s="4" t="s">
        <v>1161</v>
      </c>
      <c r="B985" s="4" t="s">
        <v>50</v>
      </c>
      <c r="C985" s="13" t="n">
        <v>45432</v>
      </c>
      <c r="D985" s="13" t="n">
        <v>45451</v>
      </c>
      <c r="E985" s="13" t="n">
        <v>45452</v>
      </c>
      <c r="F985" s="4" t="n">
        <v>205</v>
      </c>
      <c r="G985" s="4" t="n">
        <v>196</v>
      </c>
      <c r="H985" s="4" t="n">
        <v>707.19</v>
      </c>
      <c r="I985" s="4" t="n">
        <v>755.39</v>
      </c>
      <c r="J985" s="14" t="n">
        <f aca="false">E985-D985</f>
        <v>1</v>
      </c>
      <c r="K985" s="14" t="n">
        <f aca="false">IF(J985&lt;=0,1,0)</f>
        <v>0</v>
      </c>
      <c r="L985" s="15" t="n">
        <f aca="false">IFERROR(G985/F985,0)</f>
        <v>0.95609756097561</v>
      </c>
      <c r="M985" s="15" t="n">
        <f aca="false">IFERROR((I985-H985)/H985,0)</f>
        <v>0.0681570723567923</v>
      </c>
      <c r="N985" s="16" t="n">
        <f aca="false">G985*I985</f>
        <v>148056.44</v>
      </c>
    </row>
    <row r="986" customFormat="false" ht="15" hidden="false" customHeight="true" outlineLevel="0" collapsed="false">
      <c r="A986" s="4" t="s">
        <v>1162</v>
      </c>
      <c r="B986" s="4" t="s">
        <v>32</v>
      </c>
      <c r="C986" s="13" t="n">
        <v>45186</v>
      </c>
      <c r="D986" s="13" t="n">
        <v>45195</v>
      </c>
      <c r="E986" s="13" t="n">
        <v>45196</v>
      </c>
      <c r="F986" s="4" t="n">
        <v>2428</v>
      </c>
      <c r="G986" s="4" t="n">
        <v>2197</v>
      </c>
      <c r="H986" s="4" t="n">
        <v>32.49</v>
      </c>
      <c r="I986" s="4" t="n">
        <v>32.58</v>
      </c>
      <c r="J986" s="14" t="n">
        <f aca="false">E986-D986</f>
        <v>1</v>
      </c>
      <c r="K986" s="14" t="n">
        <f aca="false">IF(J986&lt;=0,1,0)</f>
        <v>0</v>
      </c>
      <c r="L986" s="15" t="n">
        <f aca="false">IFERROR(G986/F986,0)</f>
        <v>0.904859967051071</v>
      </c>
      <c r="M986" s="15" t="n">
        <f aca="false">IFERROR((I986-H986)/H986,0)</f>
        <v>0.00277008310249296</v>
      </c>
      <c r="N986" s="16" t="n">
        <f aca="false">G986*I986</f>
        <v>71578.26</v>
      </c>
    </row>
    <row r="987" customFormat="false" ht="15" hidden="false" customHeight="true" outlineLevel="0" collapsed="false">
      <c r="A987" s="4" t="s">
        <v>1163</v>
      </c>
      <c r="B987" s="4" t="s">
        <v>121</v>
      </c>
      <c r="C987" s="13" t="n">
        <v>45439</v>
      </c>
      <c r="D987" s="13" t="n">
        <v>45448</v>
      </c>
      <c r="E987" s="13" t="n">
        <v>45450</v>
      </c>
      <c r="F987" s="4" t="n">
        <v>1223</v>
      </c>
      <c r="G987" s="4" t="n">
        <v>1171</v>
      </c>
      <c r="H987" s="4" t="n">
        <v>206.07</v>
      </c>
      <c r="I987" s="4" t="n">
        <v>225.49</v>
      </c>
      <c r="J987" s="14" t="n">
        <f aca="false">E987-D987</f>
        <v>2</v>
      </c>
      <c r="K987" s="14" t="n">
        <f aca="false">IF(J987&lt;=0,1,0)</f>
        <v>0</v>
      </c>
      <c r="L987" s="15" t="n">
        <f aca="false">IFERROR(G987/F987,0)</f>
        <v>0.957481602616517</v>
      </c>
      <c r="M987" s="15" t="n">
        <f aca="false">IFERROR((I987-H987)/H987,0)</f>
        <v>0.0942398214199059</v>
      </c>
      <c r="N987" s="16" t="n">
        <f aca="false">G987*I987</f>
        <v>264048.79</v>
      </c>
    </row>
    <row r="988" customFormat="false" ht="15" hidden="false" customHeight="true" outlineLevel="0" collapsed="false">
      <c r="A988" s="4" t="s">
        <v>1164</v>
      </c>
      <c r="B988" s="4" t="s">
        <v>111</v>
      </c>
      <c r="C988" s="13" t="n">
        <v>45057</v>
      </c>
      <c r="D988" s="13" t="n">
        <v>45068</v>
      </c>
      <c r="E988" s="13" t="n">
        <v>45074</v>
      </c>
      <c r="F988" s="4" t="n">
        <v>267</v>
      </c>
      <c r="G988" s="4" t="n">
        <v>259</v>
      </c>
      <c r="H988" s="4" t="n">
        <v>148.08</v>
      </c>
      <c r="I988" s="4" t="n">
        <v>149.71</v>
      </c>
      <c r="J988" s="14" t="n">
        <f aca="false">E988-D988</f>
        <v>6</v>
      </c>
      <c r="K988" s="14" t="n">
        <f aca="false">IF(J988&lt;=0,1,0)</f>
        <v>0</v>
      </c>
      <c r="L988" s="15" t="n">
        <f aca="false">IFERROR(G988/F988,0)</f>
        <v>0.970037453183521</v>
      </c>
      <c r="M988" s="15" t="n">
        <f aca="false">IFERROR((I988-H988)/H988,0)</f>
        <v>0.0110075634792004</v>
      </c>
      <c r="N988" s="16" t="n">
        <f aca="false">G988*I988</f>
        <v>38774.89</v>
      </c>
    </row>
    <row r="989" customFormat="false" ht="15" hidden="false" customHeight="true" outlineLevel="0" collapsed="false">
      <c r="A989" s="4" t="s">
        <v>1165</v>
      </c>
      <c r="B989" s="4" t="s">
        <v>143</v>
      </c>
      <c r="C989" s="13" t="n">
        <v>45443</v>
      </c>
      <c r="D989" s="13" t="n">
        <v>45451</v>
      </c>
      <c r="E989" s="13" t="n">
        <v>45456</v>
      </c>
      <c r="F989" s="4" t="n">
        <v>3828</v>
      </c>
      <c r="G989" s="4" t="n">
        <v>3636</v>
      </c>
      <c r="H989" s="4" t="n">
        <v>20.6</v>
      </c>
      <c r="I989" s="4" t="n">
        <v>21.95</v>
      </c>
      <c r="J989" s="14" t="n">
        <f aca="false">E989-D989</f>
        <v>5</v>
      </c>
      <c r="K989" s="14" t="n">
        <f aca="false">IF(J989&lt;=0,1,0)</f>
        <v>0</v>
      </c>
      <c r="L989" s="15" t="n">
        <f aca="false">IFERROR(G989/F989,0)</f>
        <v>0.949843260188088</v>
      </c>
      <c r="M989" s="15" t="n">
        <f aca="false">IFERROR((I989-H989)/H989,0)</f>
        <v>0.0655339805825242</v>
      </c>
      <c r="N989" s="16" t="n">
        <f aca="false">G989*I989</f>
        <v>79810.2</v>
      </c>
    </row>
    <row r="990" customFormat="false" ht="15" hidden="false" customHeight="true" outlineLevel="0" collapsed="false">
      <c r="A990" s="4" t="s">
        <v>1166</v>
      </c>
      <c r="B990" s="4" t="s">
        <v>85</v>
      </c>
      <c r="C990" s="13" t="n">
        <v>45447</v>
      </c>
      <c r="D990" s="13" t="n">
        <v>45457</v>
      </c>
      <c r="E990" s="13" t="n">
        <v>45461</v>
      </c>
      <c r="F990" s="4" t="n">
        <v>1428</v>
      </c>
      <c r="G990" s="4" t="n">
        <v>1392</v>
      </c>
      <c r="H990" s="4" t="n">
        <v>241.88</v>
      </c>
      <c r="I990" s="4" t="n">
        <v>236.16</v>
      </c>
      <c r="J990" s="14" t="n">
        <f aca="false">E990-D990</f>
        <v>4</v>
      </c>
      <c r="K990" s="14" t="n">
        <f aca="false">IF(J990&lt;=0,1,0)</f>
        <v>0</v>
      </c>
      <c r="L990" s="15" t="n">
        <f aca="false">IFERROR(G990/F990,0)</f>
        <v>0.974789915966387</v>
      </c>
      <c r="M990" s="15" t="n">
        <f aca="false">IFERROR((I990-H990)/H990,0)</f>
        <v>-0.0236480899619646</v>
      </c>
      <c r="N990" s="16" t="n">
        <f aca="false">G990*I990</f>
        <v>328734.72</v>
      </c>
    </row>
    <row r="991" customFormat="false" ht="15" hidden="false" customHeight="true" outlineLevel="0" collapsed="false">
      <c r="A991" s="4" t="s">
        <v>1167</v>
      </c>
      <c r="B991" s="4" t="s">
        <v>72</v>
      </c>
      <c r="C991" s="13" t="n">
        <v>45098</v>
      </c>
      <c r="D991" s="13" t="n">
        <v>45107</v>
      </c>
      <c r="E991" s="13" t="n">
        <v>45106</v>
      </c>
      <c r="F991" s="4" t="n">
        <v>2019</v>
      </c>
      <c r="G991" s="4" t="n">
        <v>1943</v>
      </c>
      <c r="H991" s="4" t="n">
        <v>34.53</v>
      </c>
      <c r="I991" s="4" t="n">
        <v>35.53</v>
      </c>
      <c r="J991" s="14" t="n">
        <f aca="false">E991-D991</f>
        <v>-1</v>
      </c>
      <c r="K991" s="14" t="n">
        <f aca="false">IF(J991&lt;=0,1,0)</f>
        <v>1</v>
      </c>
      <c r="L991" s="15" t="n">
        <f aca="false">IFERROR(G991/F991,0)</f>
        <v>0.96235760277365</v>
      </c>
      <c r="M991" s="15" t="n">
        <f aca="false">IFERROR((I991-H991)/H991,0)</f>
        <v>0.0289603243556328</v>
      </c>
      <c r="N991" s="16" t="n">
        <f aca="false">G991*I991</f>
        <v>69034.79</v>
      </c>
    </row>
    <row r="992" customFormat="false" ht="15" hidden="false" customHeight="true" outlineLevel="0" collapsed="false">
      <c r="A992" s="4" t="s">
        <v>1168</v>
      </c>
      <c r="B992" s="4" t="s">
        <v>52</v>
      </c>
      <c r="C992" s="13" t="n">
        <v>45643</v>
      </c>
      <c r="D992" s="13" t="n">
        <v>45654</v>
      </c>
      <c r="E992" s="13" t="n">
        <v>45662</v>
      </c>
      <c r="F992" s="4" t="n">
        <v>1838</v>
      </c>
      <c r="G992" s="4" t="n">
        <v>1609</v>
      </c>
      <c r="H992" s="4" t="n">
        <v>170.24</v>
      </c>
      <c r="I992" s="4" t="n">
        <v>178.99</v>
      </c>
      <c r="J992" s="14" t="n">
        <f aca="false">E992-D992</f>
        <v>8</v>
      </c>
      <c r="K992" s="14" t="n">
        <f aca="false">IF(J992&lt;=0,1,0)</f>
        <v>0</v>
      </c>
      <c r="L992" s="15" t="n">
        <f aca="false">IFERROR(G992/F992,0)</f>
        <v>0.875408052230686</v>
      </c>
      <c r="M992" s="15" t="n">
        <f aca="false">IFERROR((I992-H992)/H992,0)</f>
        <v>0.0513980263157895</v>
      </c>
      <c r="N992" s="16" t="n">
        <f aca="false">G992*I992</f>
        <v>287994.91</v>
      </c>
    </row>
    <row r="993" customFormat="false" ht="15" hidden="false" customHeight="true" outlineLevel="0" collapsed="false">
      <c r="A993" s="4" t="s">
        <v>1169</v>
      </c>
      <c r="B993" s="4" t="s">
        <v>145</v>
      </c>
      <c r="C993" s="13" t="n">
        <v>45007</v>
      </c>
      <c r="D993" s="13" t="n">
        <v>45019</v>
      </c>
      <c r="E993" s="13" t="n">
        <v>45019</v>
      </c>
      <c r="F993" s="4" t="n">
        <v>240</v>
      </c>
      <c r="G993" s="4" t="n">
        <v>230</v>
      </c>
      <c r="H993" s="4" t="n">
        <v>237.04</v>
      </c>
      <c r="I993" s="4" t="n">
        <v>242.52</v>
      </c>
      <c r="J993" s="14" t="n">
        <f aca="false">E993-D993</f>
        <v>0</v>
      </c>
      <c r="K993" s="14" t="n">
        <f aca="false">IF(J993&lt;=0,1,0)</f>
        <v>1</v>
      </c>
      <c r="L993" s="15" t="n">
        <f aca="false">IFERROR(G993/F993,0)</f>
        <v>0.958333333333333</v>
      </c>
      <c r="M993" s="15" t="n">
        <f aca="false">IFERROR((I993-H993)/H993,0)</f>
        <v>0.0231184610192373</v>
      </c>
      <c r="N993" s="16" t="n">
        <f aca="false">G993*I993</f>
        <v>55779.6</v>
      </c>
    </row>
    <row r="994" customFormat="false" ht="15" hidden="false" customHeight="true" outlineLevel="0" collapsed="false">
      <c r="A994" s="4" t="s">
        <v>1170</v>
      </c>
      <c r="B994" s="4" t="s">
        <v>70</v>
      </c>
      <c r="C994" s="13" t="n">
        <v>45450</v>
      </c>
      <c r="D994" s="13" t="n">
        <v>45458</v>
      </c>
      <c r="E994" s="13" t="n">
        <v>45456</v>
      </c>
      <c r="F994" s="4" t="n">
        <v>4294</v>
      </c>
      <c r="G994" s="4" t="n">
        <v>3999</v>
      </c>
      <c r="H994" s="4" t="n">
        <v>35.88</v>
      </c>
      <c r="I994" s="4" t="n">
        <v>37.38</v>
      </c>
      <c r="J994" s="14" t="n">
        <f aca="false">E994-D994</f>
        <v>-2</v>
      </c>
      <c r="K994" s="14" t="n">
        <f aca="false">IF(J994&lt;=0,1,0)</f>
        <v>1</v>
      </c>
      <c r="L994" s="15" t="n">
        <f aca="false">IFERROR(G994/F994,0)</f>
        <v>0.931299487657196</v>
      </c>
      <c r="M994" s="15" t="n">
        <f aca="false">IFERROR((I994-H994)/H994,0)</f>
        <v>0.0418060200668896</v>
      </c>
      <c r="N994" s="16" t="n">
        <f aca="false">G994*I994</f>
        <v>149482.62</v>
      </c>
    </row>
    <row r="995" customFormat="false" ht="15" hidden="false" customHeight="true" outlineLevel="0" collapsed="false">
      <c r="A995" s="4" t="s">
        <v>1171</v>
      </c>
      <c r="B995" s="4" t="s">
        <v>41</v>
      </c>
      <c r="C995" s="13" t="n">
        <v>45533</v>
      </c>
      <c r="D995" s="13" t="n">
        <v>45542</v>
      </c>
      <c r="E995" s="13" t="n">
        <v>45541</v>
      </c>
      <c r="F995" s="4" t="n">
        <v>1547</v>
      </c>
      <c r="G995" s="4" t="n">
        <v>1511</v>
      </c>
      <c r="H995" s="4" t="n">
        <v>45.51</v>
      </c>
      <c r="I995" s="4" t="n">
        <v>43.31</v>
      </c>
      <c r="J995" s="14" t="n">
        <f aca="false">E995-D995</f>
        <v>-1</v>
      </c>
      <c r="K995" s="14" t="n">
        <f aca="false">IF(J995&lt;=0,1,0)</f>
        <v>1</v>
      </c>
      <c r="L995" s="15" t="n">
        <f aca="false">IFERROR(G995/F995,0)</f>
        <v>0.976729153199741</v>
      </c>
      <c r="M995" s="15" t="n">
        <f aca="false">IFERROR((I995-H995)/H995,0)</f>
        <v>-0.04834102395078</v>
      </c>
      <c r="N995" s="16" t="n">
        <f aca="false">G995*I995</f>
        <v>65441.41</v>
      </c>
    </row>
    <row r="996" customFormat="false" ht="15" hidden="false" customHeight="true" outlineLevel="0" collapsed="false">
      <c r="A996" s="4" t="s">
        <v>1172</v>
      </c>
      <c r="B996" s="4" t="s">
        <v>151</v>
      </c>
      <c r="C996" s="13" t="n">
        <v>45135</v>
      </c>
      <c r="D996" s="13" t="n">
        <v>45140</v>
      </c>
      <c r="E996" s="13" t="n">
        <v>45144</v>
      </c>
      <c r="F996" s="4" t="n">
        <v>4</v>
      </c>
      <c r="G996" s="4" t="n">
        <v>4</v>
      </c>
      <c r="H996" s="4" t="n">
        <v>503.46</v>
      </c>
      <c r="I996" s="4" t="n">
        <v>503.76</v>
      </c>
      <c r="J996" s="14" t="n">
        <f aca="false">E996-D996</f>
        <v>4</v>
      </c>
      <c r="K996" s="14" t="n">
        <f aca="false">IF(J996&lt;=0,1,0)</f>
        <v>0</v>
      </c>
      <c r="L996" s="15" t="n">
        <f aca="false">IFERROR(G996/F996,0)</f>
        <v>1</v>
      </c>
      <c r="M996" s="15" t="n">
        <f aca="false">IFERROR((I996-H996)/H996,0)</f>
        <v>0.000595876534382099</v>
      </c>
      <c r="N996" s="16" t="n">
        <f aca="false">G996*I996</f>
        <v>2015.04</v>
      </c>
    </row>
    <row r="997" customFormat="false" ht="15" hidden="false" customHeight="true" outlineLevel="0" collapsed="false">
      <c r="A997" s="4" t="s">
        <v>1173</v>
      </c>
      <c r="B997" s="4" t="s">
        <v>133</v>
      </c>
      <c r="C997" s="13" t="n">
        <v>45553</v>
      </c>
      <c r="D997" s="13" t="n">
        <v>45563</v>
      </c>
      <c r="E997" s="13" t="n">
        <v>45567</v>
      </c>
      <c r="F997" s="4" t="n">
        <v>1763</v>
      </c>
      <c r="G997" s="4" t="n">
        <v>1658</v>
      </c>
      <c r="H997" s="4" t="n">
        <v>138.21</v>
      </c>
      <c r="I997" s="4" t="n">
        <v>140.33</v>
      </c>
      <c r="J997" s="14" t="n">
        <f aca="false">E997-D997</f>
        <v>4</v>
      </c>
      <c r="K997" s="14" t="n">
        <f aca="false">IF(J997&lt;=0,1,0)</f>
        <v>0</v>
      </c>
      <c r="L997" s="15" t="n">
        <f aca="false">IFERROR(G997/F997,0)</f>
        <v>0.940442427680091</v>
      </c>
      <c r="M997" s="15" t="n">
        <f aca="false">IFERROR((I997-H997)/H997,0)</f>
        <v>0.015338976919181</v>
      </c>
      <c r="N997" s="16" t="n">
        <f aca="false">G997*I997</f>
        <v>232667.14</v>
      </c>
    </row>
    <row r="998" customFormat="false" ht="15" hidden="false" customHeight="true" outlineLevel="0" collapsed="false">
      <c r="A998" s="4" t="s">
        <v>1174</v>
      </c>
      <c r="B998" s="4" t="s">
        <v>95</v>
      </c>
      <c r="C998" s="13" t="n">
        <v>45016</v>
      </c>
      <c r="D998" s="13" t="n">
        <v>45022</v>
      </c>
      <c r="E998" s="13" t="n">
        <v>45023</v>
      </c>
      <c r="F998" s="4" t="n">
        <v>3664</v>
      </c>
      <c r="G998" s="4" t="n">
        <v>3618</v>
      </c>
      <c r="H998" s="4" t="n">
        <v>20.39</v>
      </c>
      <c r="I998" s="4" t="n">
        <v>20.17</v>
      </c>
      <c r="J998" s="14" t="n">
        <f aca="false">E998-D998</f>
        <v>1</v>
      </c>
      <c r="K998" s="14" t="n">
        <f aca="false">IF(J998&lt;=0,1,0)</f>
        <v>0</v>
      </c>
      <c r="L998" s="15" t="n">
        <f aca="false">IFERROR(G998/F998,0)</f>
        <v>0.987445414847162</v>
      </c>
      <c r="M998" s="15" t="n">
        <f aca="false">IFERROR((I998-H998)/H998,0)</f>
        <v>-0.0107896027464443</v>
      </c>
      <c r="N998" s="16" t="n">
        <f aca="false">G998*I998</f>
        <v>72975.06</v>
      </c>
    </row>
    <row r="999" customFormat="false" ht="15" hidden="false" customHeight="true" outlineLevel="0" collapsed="false">
      <c r="A999" s="4" t="s">
        <v>1175</v>
      </c>
      <c r="B999" s="4" t="s">
        <v>85</v>
      </c>
      <c r="C999" s="13" t="n">
        <v>45025</v>
      </c>
      <c r="D999" s="13" t="n">
        <v>45036</v>
      </c>
      <c r="E999" s="13" t="n">
        <v>45032</v>
      </c>
      <c r="F999" s="4" t="n">
        <v>520</v>
      </c>
      <c r="G999" s="4" t="n">
        <v>478</v>
      </c>
      <c r="H999" s="4" t="n">
        <v>241.88</v>
      </c>
      <c r="I999" s="4" t="n">
        <v>240.72</v>
      </c>
      <c r="J999" s="14" t="n">
        <f aca="false">E999-D999</f>
        <v>-4</v>
      </c>
      <c r="K999" s="14" t="n">
        <f aca="false">IF(J999&lt;=0,1,0)</f>
        <v>1</v>
      </c>
      <c r="L999" s="15" t="n">
        <f aca="false">IFERROR(G999/F999,0)</f>
        <v>0.919230769230769</v>
      </c>
      <c r="M999" s="15" t="n">
        <f aca="false">IFERROR((I999-H999)/H999,0)</f>
        <v>-0.00479576649578302</v>
      </c>
      <c r="N999" s="16" t="n">
        <f aca="false">G999*I999</f>
        <v>115064.16</v>
      </c>
    </row>
    <row r="1000" customFormat="false" ht="15" hidden="false" customHeight="true" outlineLevel="0" collapsed="false">
      <c r="A1000" s="4" t="s">
        <v>1176</v>
      </c>
      <c r="B1000" s="4" t="s">
        <v>32</v>
      </c>
      <c r="C1000" s="13" t="n">
        <v>45448</v>
      </c>
      <c r="D1000" s="13" t="n">
        <v>45454</v>
      </c>
      <c r="E1000" s="13" t="n">
        <v>45451</v>
      </c>
      <c r="F1000" s="4" t="n">
        <v>2594</v>
      </c>
      <c r="G1000" s="4" t="n">
        <v>2350</v>
      </c>
      <c r="H1000" s="4" t="n">
        <v>32.49</v>
      </c>
      <c r="I1000" s="4" t="n">
        <v>32.9</v>
      </c>
      <c r="J1000" s="14" t="n">
        <f aca="false">E1000-D1000</f>
        <v>-3</v>
      </c>
      <c r="K1000" s="14" t="n">
        <f aca="false">IF(J1000&lt;=0,1,0)</f>
        <v>1</v>
      </c>
      <c r="L1000" s="15" t="n">
        <f aca="false">IFERROR(G1000/F1000,0)</f>
        <v>0.905936777178103</v>
      </c>
      <c r="M1000" s="15" t="n">
        <f aca="false">IFERROR((I1000-H1000)/H1000,0)</f>
        <v>0.0126192674669128</v>
      </c>
      <c r="N1000" s="16" t="n">
        <f aca="false">G1000*I1000</f>
        <v>77315</v>
      </c>
    </row>
    <row r="1001" customFormat="false" ht="15" hidden="false" customHeight="true" outlineLevel="0" collapsed="false">
      <c r="A1001" s="4" t="s">
        <v>1177</v>
      </c>
      <c r="B1001" s="4" t="s">
        <v>65</v>
      </c>
      <c r="C1001" s="13" t="n">
        <v>45402</v>
      </c>
      <c r="D1001" s="13" t="n">
        <v>45422</v>
      </c>
      <c r="E1001" s="13" t="n">
        <v>45429</v>
      </c>
      <c r="F1001" s="4" t="n">
        <v>350</v>
      </c>
      <c r="G1001" s="4" t="n">
        <v>350</v>
      </c>
      <c r="H1001" s="4" t="n">
        <v>1365.59</v>
      </c>
      <c r="I1001" s="4" t="n">
        <v>1353.64</v>
      </c>
      <c r="J1001" s="14" t="n">
        <f aca="false">E1001-D1001</f>
        <v>7</v>
      </c>
      <c r="K1001" s="14" t="n">
        <f aca="false">IF(J1001&lt;=0,1,0)</f>
        <v>0</v>
      </c>
      <c r="L1001" s="15" t="n">
        <f aca="false">IFERROR(G1001/F1001,0)</f>
        <v>1</v>
      </c>
      <c r="M1001" s="15" t="n">
        <f aca="false">IFERROR((I1001-H1001)/H1001,0)</f>
        <v>-0.00875079635908276</v>
      </c>
      <c r="N1001" s="16" t="n">
        <f aca="false">G1001*I1001</f>
        <v>473774</v>
      </c>
    </row>
    <row r="1002" customFormat="false" ht="15" hidden="false" customHeight="true" outlineLevel="0" collapsed="false">
      <c r="A1002" s="4" t="s">
        <v>1178</v>
      </c>
      <c r="B1002" s="4" t="s">
        <v>41</v>
      </c>
      <c r="C1002" s="13" t="n">
        <v>45212</v>
      </c>
      <c r="D1002" s="13" t="n">
        <v>45221</v>
      </c>
      <c r="E1002" s="13" t="n">
        <v>45220</v>
      </c>
      <c r="F1002" s="4" t="n">
        <v>4270</v>
      </c>
      <c r="G1002" s="4" t="n">
        <v>4209</v>
      </c>
      <c r="H1002" s="4" t="n">
        <v>45.51</v>
      </c>
      <c r="I1002" s="4" t="n">
        <v>45.89</v>
      </c>
      <c r="J1002" s="14" t="n">
        <f aca="false">E1002-D1002</f>
        <v>-1</v>
      </c>
      <c r="K1002" s="14" t="n">
        <f aca="false">IF(J1002&lt;=0,1,0)</f>
        <v>1</v>
      </c>
      <c r="L1002" s="15" t="n">
        <f aca="false">IFERROR(G1002/F1002,0)</f>
        <v>0.985714285714286</v>
      </c>
      <c r="M1002" s="15" t="n">
        <f aca="false">IFERROR((I1002-H1002)/H1002,0)</f>
        <v>0.00834981322786207</v>
      </c>
      <c r="N1002" s="16" t="n">
        <f aca="false">G1002*I1002</f>
        <v>193151.01</v>
      </c>
    </row>
    <row r="1003" customFormat="false" ht="15" hidden="false" customHeight="true" outlineLevel="0" collapsed="false">
      <c r="A1003" s="4" t="s">
        <v>1179</v>
      </c>
      <c r="B1003" s="4" t="s">
        <v>147</v>
      </c>
      <c r="C1003" s="13" t="n">
        <v>45469</v>
      </c>
      <c r="D1003" s="13" t="n">
        <v>45480</v>
      </c>
      <c r="E1003" s="13" t="n">
        <v>45481</v>
      </c>
      <c r="F1003" s="4" t="n">
        <v>152</v>
      </c>
      <c r="G1003" s="4" t="n">
        <v>144</v>
      </c>
      <c r="H1003" s="4" t="n">
        <v>203.3</v>
      </c>
      <c r="I1003" s="4" t="n">
        <v>211.77</v>
      </c>
      <c r="J1003" s="14" t="n">
        <f aca="false">E1003-D1003</f>
        <v>1</v>
      </c>
      <c r="K1003" s="14" t="n">
        <f aca="false">IF(J1003&lt;=0,1,0)</f>
        <v>0</v>
      </c>
      <c r="L1003" s="15" t="n">
        <f aca="false">IFERROR(G1003/F1003,0)</f>
        <v>0.947368421052632</v>
      </c>
      <c r="M1003" s="15" t="n">
        <f aca="false">IFERROR((I1003-H1003)/H1003,0)</f>
        <v>0.0416625676340384</v>
      </c>
      <c r="N1003" s="16" t="n">
        <f aca="false">G1003*I1003</f>
        <v>30494.88</v>
      </c>
    </row>
    <row r="1004" customFormat="false" ht="15" hidden="false" customHeight="true" outlineLevel="0" collapsed="false">
      <c r="A1004" s="4" t="s">
        <v>1180</v>
      </c>
      <c r="B1004" s="4" t="s">
        <v>65</v>
      </c>
      <c r="C1004" s="13" t="n">
        <v>45496</v>
      </c>
      <c r="D1004" s="13" t="n">
        <v>45515</v>
      </c>
      <c r="E1004" s="13" t="n">
        <v>45510</v>
      </c>
      <c r="F1004" s="4" t="n">
        <v>394</v>
      </c>
      <c r="G1004" s="4" t="n">
        <v>394</v>
      </c>
      <c r="H1004" s="4" t="n">
        <v>1365.59</v>
      </c>
      <c r="I1004" s="4" t="n">
        <v>1377.43</v>
      </c>
      <c r="J1004" s="14" t="n">
        <f aca="false">E1004-D1004</f>
        <v>-5</v>
      </c>
      <c r="K1004" s="14" t="n">
        <f aca="false">IF(J1004&lt;=0,1,0)</f>
        <v>1</v>
      </c>
      <c r="L1004" s="15" t="n">
        <f aca="false">IFERROR(G1004/F1004,0)</f>
        <v>1</v>
      </c>
      <c r="M1004" s="15" t="n">
        <f aca="false">IFERROR((I1004-H1004)/H1004,0)</f>
        <v>0.00867024509552658</v>
      </c>
      <c r="N1004" s="16" t="n">
        <f aca="false">G1004*I1004</f>
        <v>542707.42</v>
      </c>
    </row>
    <row r="1005" customFormat="false" ht="15" hidden="false" customHeight="true" outlineLevel="0" collapsed="false">
      <c r="A1005" s="4" t="s">
        <v>1181</v>
      </c>
      <c r="B1005" s="4" t="s">
        <v>37</v>
      </c>
      <c r="C1005" s="13" t="n">
        <v>45328</v>
      </c>
      <c r="D1005" s="13" t="n">
        <v>45334</v>
      </c>
      <c r="E1005" s="13" t="n">
        <v>45332</v>
      </c>
      <c r="F1005" s="4" t="n">
        <v>1824</v>
      </c>
      <c r="G1005" s="4" t="n">
        <v>1794</v>
      </c>
      <c r="H1005" s="4" t="n">
        <v>22.26</v>
      </c>
      <c r="I1005" s="4" t="n">
        <v>21.32</v>
      </c>
      <c r="J1005" s="14" t="n">
        <f aca="false">E1005-D1005</f>
        <v>-2</v>
      </c>
      <c r="K1005" s="14" t="n">
        <f aca="false">IF(J1005&lt;=0,1,0)</f>
        <v>1</v>
      </c>
      <c r="L1005" s="15" t="n">
        <f aca="false">IFERROR(G1005/F1005,0)</f>
        <v>0.983552631578947</v>
      </c>
      <c r="M1005" s="15" t="n">
        <f aca="false">IFERROR((I1005-H1005)/H1005,0)</f>
        <v>-0.0422282120395329</v>
      </c>
      <c r="N1005" s="16" t="n">
        <f aca="false">G1005*I1005</f>
        <v>38248.08</v>
      </c>
    </row>
    <row r="1006" customFormat="false" ht="15" hidden="false" customHeight="true" outlineLevel="0" collapsed="false">
      <c r="A1006" s="4" t="s">
        <v>1182</v>
      </c>
      <c r="B1006" s="4" t="s">
        <v>125</v>
      </c>
      <c r="C1006" s="13" t="n">
        <v>45288</v>
      </c>
      <c r="D1006" s="13" t="n">
        <v>45294</v>
      </c>
      <c r="E1006" s="13" t="n">
        <v>45298</v>
      </c>
      <c r="F1006" s="4" t="n">
        <v>18</v>
      </c>
      <c r="G1006" s="4" t="n">
        <v>15</v>
      </c>
      <c r="H1006" s="4" t="n">
        <v>729.32</v>
      </c>
      <c r="I1006" s="4" t="n">
        <v>730.59</v>
      </c>
      <c r="J1006" s="14" t="n">
        <f aca="false">E1006-D1006</f>
        <v>4</v>
      </c>
      <c r="K1006" s="14" t="n">
        <f aca="false">IF(J1006&lt;=0,1,0)</f>
        <v>0</v>
      </c>
      <c r="L1006" s="15" t="n">
        <f aca="false">IFERROR(G1006/F1006,0)</f>
        <v>0.833333333333333</v>
      </c>
      <c r="M1006" s="15" t="n">
        <f aca="false">IFERROR((I1006-H1006)/H1006,0)</f>
        <v>0.00174134810508416</v>
      </c>
      <c r="N1006" s="16" t="n">
        <f aca="false">G1006*I1006</f>
        <v>10958.85</v>
      </c>
    </row>
    <row r="1007" customFormat="false" ht="15" hidden="false" customHeight="true" outlineLevel="0" collapsed="false">
      <c r="A1007" s="4" t="s">
        <v>1183</v>
      </c>
      <c r="B1007" s="4" t="s">
        <v>107</v>
      </c>
      <c r="C1007" s="13" t="n">
        <v>45425</v>
      </c>
      <c r="D1007" s="13" t="n">
        <v>45434</v>
      </c>
      <c r="E1007" s="13" t="n">
        <v>45438</v>
      </c>
      <c r="F1007" s="4" t="n">
        <v>4700</v>
      </c>
      <c r="G1007" s="4" t="n">
        <v>4597</v>
      </c>
      <c r="H1007" s="4" t="n">
        <v>40.41</v>
      </c>
      <c r="I1007" s="4" t="n">
        <v>40.57</v>
      </c>
      <c r="J1007" s="14" t="n">
        <f aca="false">E1007-D1007</f>
        <v>4</v>
      </c>
      <c r="K1007" s="14" t="n">
        <f aca="false">IF(J1007&lt;=0,1,0)</f>
        <v>0</v>
      </c>
      <c r="L1007" s="15" t="n">
        <f aca="false">IFERROR(G1007/F1007,0)</f>
        <v>0.978085106382979</v>
      </c>
      <c r="M1007" s="15" t="n">
        <f aca="false">IFERROR((I1007-H1007)/H1007,0)</f>
        <v>0.00395941598614214</v>
      </c>
      <c r="N1007" s="16" t="n">
        <f aca="false">G1007*I1007</f>
        <v>186500.29</v>
      </c>
    </row>
    <row r="1008" customFormat="false" ht="15" hidden="false" customHeight="true" outlineLevel="0" collapsed="false">
      <c r="A1008" s="4" t="s">
        <v>1184</v>
      </c>
      <c r="B1008" s="4" t="s">
        <v>141</v>
      </c>
      <c r="C1008" s="13" t="n">
        <v>45349</v>
      </c>
      <c r="D1008" s="13" t="n">
        <v>45369</v>
      </c>
      <c r="E1008" s="13" t="n">
        <v>45369</v>
      </c>
      <c r="F1008" s="4" t="n">
        <v>337</v>
      </c>
      <c r="G1008" s="4" t="n">
        <v>337</v>
      </c>
      <c r="H1008" s="4" t="n">
        <v>1252.36</v>
      </c>
      <c r="I1008" s="4" t="n">
        <v>1226.47</v>
      </c>
      <c r="J1008" s="14" t="n">
        <f aca="false">E1008-D1008</f>
        <v>0</v>
      </c>
      <c r="K1008" s="14" t="n">
        <f aca="false">IF(J1008&lt;=0,1,0)</f>
        <v>1</v>
      </c>
      <c r="L1008" s="15" t="n">
        <f aca="false">IFERROR(G1008/F1008,0)</f>
        <v>1</v>
      </c>
      <c r="M1008" s="15" t="n">
        <f aca="false">IFERROR((I1008-H1008)/H1008,0)</f>
        <v>-0.0206729694337091</v>
      </c>
      <c r="N1008" s="16" t="n">
        <f aca="false">G1008*I1008</f>
        <v>413320.39</v>
      </c>
    </row>
    <row r="1009" customFormat="false" ht="15" hidden="false" customHeight="true" outlineLevel="0" collapsed="false">
      <c r="A1009" s="4" t="s">
        <v>1185</v>
      </c>
      <c r="B1009" s="4" t="s">
        <v>121</v>
      </c>
      <c r="C1009" s="13" t="n">
        <v>45276</v>
      </c>
      <c r="D1009" s="13" t="n">
        <v>45286</v>
      </c>
      <c r="E1009" s="13" t="n">
        <v>45286</v>
      </c>
      <c r="F1009" s="4" t="n">
        <v>1562</v>
      </c>
      <c r="G1009" s="4" t="n">
        <v>1431</v>
      </c>
      <c r="H1009" s="4" t="n">
        <v>206.07</v>
      </c>
      <c r="I1009" s="4" t="n">
        <v>219.4</v>
      </c>
      <c r="J1009" s="14" t="n">
        <f aca="false">E1009-D1009</f>
        <v>0</v>
      </c>
      <c r="K1009" s="14" t="n">
        <f aca="false">IF(J1009&lt;=0,1,0)</f>
        <v>1</v>
      </c>
      <c r="L1009" s="15" t="n">
        <f aca="false">IFERROR(G1009/F1009,0)</f>
        <v>0.916133162612036</v>
      </c>
      <c r="M1009" s="15" t="n">
        <f aca="false">IFERROR((I1009-H1009)/H1009,0)</f>
        <v>0.0646867569272578</v>
      </c>
      <c r="N1009" s="16" t="n">
        <f aca="false">G1009*I1009</f>
        <v>313961.4</v>
      </c>
    </row>
    <row r="1010" customFormat="false" ht="15" hidden="false" customHeight="true" outlineLevel="0" collapsed="false">
      <c r="A1010" s="4" t="s">
        <v>1186</v>
      </c>
      <c r="B1010" s="4" t="s">
        <v>50</v>
      </c>
      <c r="C1010" s="13" t="n">
        <v>45617</v>
      </c>
      <c r="D1010" s="13" t="n">
        <v>45634</v>
      </c>
      <c r="E1010" s="13" t="n">
        <v>45632</v>
      </c>
      <c r="F1010" s="4" t="n">
        <v>486</v>
      </c>
      <c r="G1010" s="4" t="n">
        <v>486</v>
      </c>
      <c r="H1010" s="4" t="n">
        <v>707.19</v>
      </c>
      <c r="I1010" s="4" t="n">
        <v>762.69</v>
      </c>
      <c r="J1010" s="14" t="n">
        <f aca="false">E1010-D1010</f>
        <v>-2</v>
      </c>
      <c r="K1010" s="14" t="n">
        <f aca="false">IF(J1010&lt;=0,1,0)</f>
        <v>1</v>
      </c>
      <c r="L1010" s="15" t="n">
        <f aca="false">IFERROR(G1010/F1010,0)</f>
        <v>1</v>
      </c>
      <c r="M1010" s="15" t="n">
        <f aca="false">IFERROR((I1010-H1010)/H1010,0)</f>
        <v>0.0784796165104145</v>
      </c>
      <c r="N1010" s="16" t="n">
        <f aca="false">G1010*I1010</f>
        <v>370667.34</v>
      </c>
    </row>
    <row r="1011" customFormat="false" ht="15" hidden="false" customHeight="true" outlineLevel="0" collapsed="false">
      <c r="A1011" s="4" t="s">
        <v>1187</v>
      </c>
      <c r="B1011" s="4" t="s">
        <v>52</v>
      </c>
      <c r="C1011" s="13" t="n">
        <v>45369</v>
      </c>
      <c r="D1011" s="13" t="n">
        <v>45381</v>
      </c>
      <c r="E1011" s="13" t="n">
        <v>45389</v>
      </c>
      <c r="F1011" s="4" t="n">
        <v>1838</v>
      </c>
      <c r="G1011" s="4" t="n">
        <v>1569</v>
      </c>
      <c r="H1011" s="4" t="n">
        <v>170.24</v>
      </c>
      <c r="I1011" s="4" t="n">
        <v>175.84</v>
      </c>
      <c r="J1011" s="14" t="n">
        <f aca="false">E1011-D1011</f>
        <v>8</v>
      </c>
      <c r="K1011" s="14" t="n">
        <f aca="false">IF(J1011&lt;=0,1,0)</f>
        <v>0</v>
      </c>
      <c r="L1011" s="15" t="n">
        <f aca="false">IFERROR(G1011/F1011,0)</f>
        <v>0.853645266594124</v>
      </c>
      <c r="M1011" s="15" t="n">
        <f aca="false">IFERROR((I1011-H1011)/H1011,0)</f>
        <v>0.0328947368421052</v>
      </c>
      <c r="N1011" s="16" t="n">
        <f aca="false">G1011*I1011</f>
        <v>275892.96</v>
      </c>
    </row>
    <row r="1012" customFormat="false" ht="15" hidden="false" customHeight="true" outlineLevel="0" collapsed="false">
      <c r="A1012" s="4" t="s">
        <v>1188</v>
      </c>
      <c r="B1012" s="4" t="s">
        <v>70</v>
      </c>
      <c r="C1012" s="13" t="n">
        <v>45095</v>
      </c>
      <c r="D1012" s="13" t="n">
        <v>45101</v>
      </c>
      <c r="E1012" s="13" t="n">
        <v>45105</v>
      </c>
      <c r="F1012" s="4" t="n">
        <v>4607</v>
      </c>
      <c r="G1012" s="4" t="n">
        <v>4145</v>
      </c>
      <c r="H1012" s="4" t="n">
        <v>35.88</v>
      </c>
      <c r="I1012" s="4" t="n">
        <v>36.26</v>
      </c>
      <c r="J1012" s="14" t="n">
        <f aca="false">E1012-D1012</f>
        <v>4</v>
      </c>
      <c r="K1012" s="14" t="n">
        <f aca="false">IF(J1012&lt;=0,1,0)</f>
        <v>0</v>
      </c>
      <c r="L1012" s="15" t="n">
        <f aca="false">IFERROR(G1012/F1012,0)</f>
        <v>0.899717820707619</v>
      </c>
      <c r="M1012" s="15" t="n">
        <f aca="false">IFERROR((I1012-H1012)/H1012,0)</f>
        <v>0.0105908584169452</v>
      </c>
      <c r="N1012" s="16" t="n">
        <f aca="false">G1012*I1012</f>
        <v>150297.7</v>
      </c>
    </row>
    <row r="1013" customFormat="false" ht="15" hidden="false" customHeight="true" outlineLevel="0" collapsed="false">
      <c r="A1013" s="4" t="s">
        <v>1189</v>
      </c>
      <c r="B1013" s="4" t="s">
        <v>41</v>
      </c>
      <c r="C1013" s="13" t="n">
        <v>45435</v>
      </c>
      <c r="D1013" s="13" t="n">
        <v>45444</v>
      </c>
      <c r="E1013" s="13" t="n">
        <v>45447</v>
      </c>
      <c r="F1013" s="4" t="n">
        <v>1527</v>
      </c>
      <c r="G1013" s="4" t="n">
        <v>1527</v>
      </c>
      <c r="H1013" s="4" t="n">
        <v>45.51</v>
      </c>
      <c r="I1013" s="4" t="n">
        <v>45.07</v>
      </c>
      <c r="J1013" s="14" t="n">
        <f aca="false">E1013-D1013</f>
        <v>3</v>
      </c>
      <c r="K1013" s="14" t="n">
        <f aca="false">IF(J1013&lt;=0,1,0)</f>
        <v>0</v>
      </c>
      <c r="L1013" s="15" t="n">
        <f aca="false">IFERROR(G1013/F1013,0)</f>
        <v>1</v>
      </c>
      <c r="M1013" s="15" t="n">
        <f aca="false">IFERROR((I1013-H1013)/H1013,0)</f>
        <v>-0.00966820479015596</v>
      </c>
      <c r="N1013" s="16" t="n">
        <f aca="false">G1013*I1013</f>
        <v>68821.89</v>
      </c>
    </row>
    <row r="1014" customFormat="false" ht="15" hidden="false" customHeight="true" outlineLevel="0" collapsed="false">
      <c r="A1014" s="4" t="s">
        <v>1190</v>
      </c>
      <c r="B1014" s="4" t="s">
        <v>111</v>
      </c>
      <c r="C1014" s="13" t="n">
        <v>45496</v>
      </c>
      <c r="D1014" s="13" t="n">
        <v>45508</v>
      </c>
      <c r="E1014" s="13" t="n">
        <v>45513</v>
      </c>
      <c r="F1014" s="4" t="n">
        <v>1148</v>
      </c>
      <c r="G1014" s="4" t="n">
        <v>1126</v>
      </c>
      <c r="H1014" s="4" t="n">
        <v>148.08</v>
      </c>
      <c r="I1014" s="4" t="n">
        <v>149.03</v>
      </c>
      <c r="J1014" s="14" t="n">
        <f aca="false">E1014-D1014</f>
        <v>5</v>
      </c>
      <c r="K1014" s="14" t="n">
        <f aca="false">IF(J1014&lt;=0,1,0)</f>
        <v>0</v>
      </c>
      <c r="L1014" s="15" t="n">
        <f aca="false">IFERROR(G1014/F1014,0)</f>
        <v>0.980836236933798</v>
      </c>
      <c r="M1014" s="15" t="n">
        <f aca="false">IFERROR((I1014-H1014)/H1014,0)</f>
        <v>0.00641545110750938</v>
      </c>
      <c r="N1014" s="16" t="n">
        <f aca="false">G1014*I1014</f>
        <v>167807.78</v>
      </c>
    </row>
    <row r="1015" customFormat="false" ht="15" hidden="false" customHeight="true" outlineLevel="0" collapsed="false">
      <c r="A1015" s="4" t="s">
        <v>1191</v>
      </c>
      <c r="B1015" s="4" t="s">
        <v>74</v>
      </c>
      <c r="C1015" s="13" t="n">
        <v>45294</v>
      </c>
      <c r="D1015" s="13" t="n">
        <v>45301</v>
      </c>
      <c r="E1015" s="13" t="n">
        <v>45300</v>
      </c>
      <c r="F1015" s="4" t="n">
        <v>18</v>
      </c>
      <c r="G1015" s="4" t="n">
        <v>18</v>
      </c>
      <c r="H1015" s="4" t="n">
        <v>1294.62</v>
      </c>
      <c r="I1015" s="4" t="n">
        <v>1338.51</v>
      </c>
      <c r="J1015" s="14" t="n">
        <f aca="false">E1015-D1015</f>
        <v>-1</v>
      </c>
      <c r="K1015" s="14" t="n">
        <f aca="false">IF(J1015&lt;=0,1,0)</f>
        <v>1</v>
      </c>
      <c r="L1015" s="15" t="n">
        <f aca="false">IFERROR(G1015/F1015,0)</f>
        <v>1</v>
      </c>
      <c r="M1015" s="15" t="n">
        <f aca="false">IFERROR((I1015-H1015)/H1015,0)</f>
        <v>0.0339018399221394</v>
      </c>
      <c r="N1015" s="16" t="n">
        <f aca="false">G1015*I1015</f>
        <v>24093.18</v>
      </c>
    </row>
    <row r="1016" customFormat="false" ht="15" hidden="false" customHeight="true" outlineLevel="0" collapsed="false">
      <c r="A1016" s="4" t="s">
        <v>1192</v>
      </c>
      <c r="B1016" s="4" t="s">
        <v>145</v>
      </c>
      <c r="C1016" s="13" t="n">
        <v>45127</v>
      </c>
      <c r="D1016" s="13" t="n">
        <v>45137</v>
      </c>
      <c r="E1016" s="13" t="n">
        <v>45144</v>
      </c>
      <c r="F1016" s="4" t="n">
        <v>1084</v>
      </c>
      <c r="G1016" s="4" t="n">
        <v>1017</v>
      </c>
      <c r="H1016" s="4" t="n">
        <v>237.04</v>
      </c>
      <c r="I1016" s="4" t="n">
        <v>245.62</v>
      </c>
      <c r="J1016" s="14" t="n">
        <f aca="false">E1016-D1016</f>
        <v>7</v>
      </c>
      <c r="K1016" s="14" t="n">
        <f aca="false">IF(J1016&lt;=0,1,0)</f>
        <v>0</v>
      </c>
      <c r="L1016" s="15" t="n">
        <f aca="false">IFERROR(G1016/F1016,0)</f>
        <v>0.938191881918819</v>
      </c>
      <c r="M1016" s="15" t="n">
        <f aca="false">IFERROR((I1016-H1016)/H1016,0)</f>
        <v>0.0361964225447182</v>
      </c>
      <c r="N1016" s="16" t="n">
        <f aca="false">G1016*I1016</f>
        <v>249795.54</v>
      </c>
    </row>
    <row r="1017" customFormat="false" ht="15" hidden="false" customHeight="true" outlineLevel="0" collapsed="false">
      <c r="A1017" s="4" t="s">
        <v>1193</v>
      </c>
      <c r="B1017" s="4" t="s">
        <v>145</v>
      </c>
      <c r="C1017" s="13" t="n">
        <v>45398</v>
      </c>
      <c r="D1017" s="13" t="n">
        <v>45410</v>
      </c>
      <c r="E1017" s="13" t="n">
        <v>45410</v>
      </c>
      <c r="F1017" s="4" t="n">
        <v>670</v>
      </c>
      <c r="G1017" s="4" t="n">
        <v>633</v>
      </c>
      <c r="H1017" s="4" t="n">
        <v>237.04</v>
      </c>
      <c r="I1017" s="4" t="n">
        <v>265.05</v>
      </c>
      <c r="J1017" s="14" t="n">
        <f aca="false">E1017-D1017</f>
        <v>0</v>
      </c>
      <c r="K1017" s="14" t="n">
        <f aca="false">IF(J1017&lt;=0,1,0)</f>
        <v>1</v>
      </c>
      <c r="L1017" s="15" t="n">
        <f aca="false">IFERROR(G1017/F1017,0)</f>
        <v>0.944776119402985</v>
      </c>
      <c r="M1017" s="15" t="n">
        <f aca="false">IFERROR((I1017-H1017)/H1017,0)</f>
        <v>0.11816571042862</v>
      </c>
      <c r="N1017" s="16" t="n">
        <f aca="false">G1017*I1017</f>
        <v>167776.65</v>
      </c>
    </row>
    <row r="1018" customFormat="false" ht="15" hidden="false" customHeight="true" outlineLevel="0" collapsed="false">
      <c r="A1018" s="4" t="s">
        <v>1194</v>
      </c>
      <c r="B1018" s="4" t="s">
        <v>79</v>
      </c>
      <c r="C1018" s="13" t="n">
        <v>45620</v>
      </c>
      <c r="D1018" s="13" t="n">
        <v>45639</v>
      </c>
      <c r="E1018" s="13" t="n">
        <v>45641</v>
      </c>
      <c r="F1018" s="4" t="n">
        <v>247</v>
      </c>
      <c r="G1018" s="4" t="n">
        <v>228</v>
      </c>
      <c r="H1018" s="4" t="n">
        <v>821.48</v>
      </c>
      <c r="I1018" s="4" t="n">
        <v>886.71</v>
      </c>
      <c r="J1018" s="14" t="n">
        <f aca="false">E1018-D1018</f>
        <v>2</v>
      </c>
      <c r="K1018" s="14" t="n">
        <f aca="false">IF(J1018&lt;=0,1,0)</f>
        <v>0</v>
      </c>
      <c r="L1018" s="15" t="n">
        <f aca="false">IFERROR(G1018/F1018,0)</f>
        <v>0.923076923076923</v>
      </c>
      <c r="M1018" s="15" t="n">
        <f aca="false">IFERROR((I1018-H1018)/H1018,0)</f>
        <v>0.0794054633101232</v>
      </c>
      <c r="N1018" s="16" t="n">
        <f aca="false">G1018*I1018</f>
        <v>202169.88</v>
      </c>
    </row>
    <row r="1019" customFormat="false" ht="15" hidden="false" customHeight="true" outlineLevel="0" collapsed="false">
      <c r="A1019" s="4" t="s">
        <v>1195</v>
      </c>
      <c r="B1019" s="4" t="s">
        <v>43</v>
      </c>
      <c r="C1019" s="13" t="n">
        <v>45591</v>
      </c>
      <c r="D1019" s="13" t="n">
        <v>45608</v>
      </c>
      <c r="E1019" s="13" t="n">
        <v>45606</v>
      </c>
      <c r="F1019" s="4" t="n">
        <v>431</v>
      </c>
      <c r="G1019" s="4" t="n">
        <v>416</v>
      </c>
      <c r="H1019" s="4" t="n">
        <v>1321.6</v>
      </c>
      <c r="I1019" s="4" t="n">
        <v>1320</v>
      </c>
      <c r="J1019" s="14" t="n">
        <f aca="false">E1019-D1019</f>
        <v>-2</v>
      </c>
      <c r="K1019" s="14" t="n">
        <f aca="false">IF(J1019&lt;=0,1,0)</f>
        <v>1</v>
      </c>
      <c r="L1019" s="15" t="n">
        <f aca="false">IFERROR(G1019/F1019,0)</f>
        <v>0.965197215777262</v>
      </c>
      <c r="M1019" s="15" t="n">
        <f aca="false">IFERROR((I1019-H1019)/H1019,0)</f>
        <v>-0.00121065375302657</v>
      </c>
      <c r="N1019" s="16" t="n">
        <f aca="false">G1019*I1019</f>
        <v>549120</v>
      </c>
    </row>
    <row r="1020" customFormat="false" ht="15" hidden="false" customHeight="true" outlineLevel="0" collapsed="false">
      <c r="A1020" s="4" t="s">
        <v>1196</v>
      </c>
      <c r="B1020" s="4" t="s">
        <v>109</v>
      </c>
      <c r="C1020" s="13" t="n">
        <v>45230</v>
      </c>
      <c r="D1020" s="13" t="n">
        <v>45250</v>
      </c>
      <c r="E1020" s="13" t="n">
        <v>45252</v>
      </c>
      <c r="F1020" s="4" t="n">
        <v>92</v>
      </c>
      <c r="G1020" s="4" t="n">
        <v>91</v>
      </c>
      <c r="H1020" s="4" t="n">
        <v>858.02</v>
      </c>
      <c r="I1020" s="4" t="n">
        <v>877.64</v>
      </c>
      <c r="J1020" s="14" t="n">
        <f aca="false">E1020-D1020</f>
        <v>2</v>
      </c>
      <c r="K1020" s="14" t="n">
        <f aca="false">IF(J1020&lt;=0,1,0)</f>
        <v>0</v>
      </c>
      <c r="L1020" s="15" t="n">
        <f aca="false">IFERROR(G1020/F1020,0)</f>
        <v>0.989130434782609</v>
      </c>
      <c r="M1020" s="15" t="n">
        <f aca="false">IFERROR((I1020-H1020)/H1020,0)</f>
        <v>0.0228665998461574</v>
      </c>
      <c r="N1020" s="16" t="n">
        <f aca="false">G1020*I1020</f>
        <v>79865.24</v>
      </c>
    </row>
    <row r="1021" customFormat="false" ht="15" hidden="false" customHeight="true" outlineLevel="0" collapsed="false">
      <c r="A1021" s="4" t="s">
        <v>1197</v>
      </c>
      <c r="B1021" s="4" t="s">
        <v>79</v>
      </c>
      <c r="C1021" s="13" t="n">
        <v>45588</v>
      </c>
      <c r="D1021" s="13" t="n">
        <v>45607</v>
      </c>
      <c r="E1021" s="13" t="n">
        <v>45609</v>
      </c>
      <c r="F1021" s="4" t="n">
        <v>387</v>
      </c>
      <c r="G1021" s="4" t="n">
        <v>364</v>
      </c>
      <c r="H1021" s="4" t="n">
        <v>821.48</v>
      </c>
      <c r="I1021" s="4" t="n">
        <v>872.25</v>
      </c>
      <c r="J1021" s="14" t="n">
        <f aca="false">E1021-D1021</f>
        <v>2</v>
      </c>
      <c r="K1021" s="14" t="n">
        <f aca="false">IF(J1021&lt;=0,1,0)</f>
        <v>0</v>
      </c>
      <c r="L1021" s="15" t="n">
        <f aca="false">IFERROR(G1021/F1021,0)</f>
        <v>0.940568475452196</v>
      </c>
      <c r="M1021" s="15" t="n">
        <f aca="false">IFERROR((I1021-H1021)/H1021,0)</f>
        <v>0.0618030871110678</v>
      </c>
      <c r="N1021" s="16" t="n">
        <f aca="false">G1021*I1021</f>
        <v>317499</v>
      </c>
    </row>
    <row r="1022" customFormat="false" ht="15" hidden="false" customHeight="true" outlineLevel="0" collapsed="false">
      <c r="A1022" s="4" t="s">
        <v>1198</v>
      </c>
      <c r="B1022" s="4" t="s">
        <v>105</v>
      </c>
      <c r="C1022" s="13" t="n">
        <v>45024</v>
      </c>
      <c r="D1022" s="13" t="n">
        <v>45043</v>
      </c>
      <c r="E1022" s="13" t="n">
        <v>45045</v>
      </c>
      <c r="F1022" s="4" t="n">
        <v>421</v>
      </c>
      <c r="G1022" s="4" t="n">
        <v>409</v>
      </c>
      <c r="H1022" s="4" t="n">
        <v>685.84</v>
      </c>
      <c r="I1022" s="4" t="n">
        <v>694.84</v>
      </c>
      <c r="J1022" s="14" t="n">
        <f aca="false">E1022-D1022</f>
        <v>2</v>
      </c>
      <c r="K1022" s="14" t="n">
        <f aca="false">IF(J1022&lt;=0,1,0)</f>
        <v>0</v>
      </c>
      <c r="L1022" s="15" t="n">
        <f aca="false">IFERROR(G1022/F1022,0)</f>
        <v>0.971496437054632</v>
      </c>
      <c r="M1022" s="15" t="n">
        <f aca="false">IFERROR((I1022-H1022)/H1022,0)</f>
        <v>0.013122594191065</v>
      </c>
      <c r="N1022" s="16" t="n">
        <f aca="false">G1022*I1022</f>
        <v>284189.56</v>
      </c>
    </row>
    <row r="1023" customFormat="false" ht="15" hidden="false" customHeight="true" outlineLevel="0" collapsed="false">
      <c r="A1023" s="4" t="s">
        <v>1199</v>
      </c>
      <c r="B1023" s="4" t="s">
        <v>93</v>
      </c>
      <c r="C1023" s="13" t="n">
        <v>45625</v>
      </c>
      <c r="D1023" s="13" t="n">
        <v>45636</v>
      </c>
      <c r="E1023" s="13" t="n">
        <v>45636</v>
      </c>
      <c r="F1023" s="4" t="n">
        <v>1865</v>
      </c>
      <c r="G1023" s="4" t="n">
        <v>1860</v>
      </c>
      <c r="H1023" s="4" t="n">
        <v>174.25</v>
      </c>
      <c r="I1023" s="4" t="n">
        <v>187.6</v>
      </c>
      <c r="J1023" s="14" t="n">
        <f aca="false">E1023-D1023</f>
        <v>0</v>
      </c>
      <c r="K1023" s="14" t="n">
        <f aca="false">IF(J1023&lt;=0,1,0)</f>
        <v>1</v>
      </c>
      <c r="L1023" s="15" t="n">
        <f aca="false">IFERROR(G1023/F1023,0)</f>
        <v>0.997319034852547</v>
      </c>
      <c r="M1023" s="15" t="n">
        <f aca="false">IFERROR((I1023-H1023)/H1023,0)</f>
        <v>0.0766140602582496</v>
      </c>
      <c r="N1023" s="16" t="n">
        <f aca="false">G1023*I1023</f>
        <v>348936</v>
      </c>
    </row>
    <row r="1024" customFormat="false" ht="15" hidden="false" customHeight="true" outlineLevel="0" collapsed="false">
      <c r="A1024" s="4" t="s">
        <v>1200</v>
      </c>
      <c r="B1024" s="4" t="s">
        <v>61</v>
      </c>
      <c r="C1024" s="13" t="n">
        <v>45333</v>
      </c>
      <c r="D1024" s="13" t="n">
        <v>45344</v>
      </c>
      <c r="E1024" s="13" t="n">
        <v>45347</v>
      </c>
      <c r="F1024" s="4" t="n">
        <v>1159</v>
      </c>
      <c r="G1024" s="4" t="n">
        <v>1151</v>
      </c>
      <c r="H1024" s="4" t="n">
        <v>107.41</v>
      </c>
      <c r="I1024" s="4" t="n">
        <v>106.21</v>
      </c>
      <c r="J1024" s="14" t="n">
        <f aca="false">E1024-D1024</f>
        <v>3</v>
      </c>
      <c r="K1024" s="14" t="n">
        <f aca="false">IF(J1024&lt;=0,1,0)</f>
        <v>0</v>
      </c>
      <c r="L1024" s="15" t="n">
        <f aca="false">IFERROR(G1024/F1024,0)</f>
        <v>0.993097497842968</v>
      </c>
      <c r="M1024" s="15" t="n">
        <f aca="false">IFERROR((I1024-H1024)/H1024,0)</f>
        <v>-0.0111721441206592</v>
      </c>
      <c r="N1024" s="16" t="n">
        <f aca="false">G1024*I1024</f>
        <v>122247.71</v>
      </c>
    </row>
    <row r="1025" customFormat="false" ht="15" hidden="false" customHeight="true" outlineLevel="0" collapsed="false">
      <c r="A1025" s="4" t="s">
        <v>1201</v>
      </c>
      <c r="B1025" s="4" t="s">
        <v>47</v>
      </c>
      <c r="C1025" s="13" t="n">
        <v>45597</v>
      </c>
      <c r="D1025" s="13" t="n">
        <v>45609</v>
      </c>
      <c r="E1025" s="13" t="n">
        <v>45605</v>
      </c>
      <c r="F1025" s="4" t="n">
        <v>1007</v>
      </c>
      <c r="G1025" s="4" t="n">
        <v>992</v>
      </c>
      <c r="H1025" s="4" t="n">
        <v>228.68</v>
      </c>
      <c r="I1025" s="4" t="n">
        <v>232.06</v>
      </c>
      <c r="J1025" s="14" t="n">
        <f aca="false">E1025-D1025</f>
        <v>-4</v>
      </c>
      <c r="K1025" s="14" t="n">
        <f aca="false">IF(J1025&lt;=0,1,0)</f>
        <v>1</v>
      </c>
      <c r="L1025" s="15" t="n">
        <f aca="false">IFERROR(G1025/F1025,0)</f>
        <v>0.985104270109235</v>
      </c>
      <c r="M1025" s="15" t="n">
        <f aca="false">IFERROR((I1025-H1025)/H1025,0)</f>
        <v>0.0147804792723456</v>
      </c>
      <c r="N1025" s="16" t="n">
        <f aca="false">G1025*I1025</f>
        <v>230203.52</v>
      </c>
    </row>
    <row r="1026" customFormat="false" ht="15" hidden="false" customHeight="true" outlineLevel="0" collapsed="false">
      <c r="A1026" s="4" t="s">
        <v>1202</v>
      </c>
      <c r="B1026" s="4" t="s">
        <v>63</v>
      </c>
      <c r="C1026" s="13" t="n">
        <v>45454</v>
      </c>
      <c r="D1026" s="13" t="n">
        <v>45466</v>
      </c>
      <c r="E1026" s="13" t="n">
        <v>45480</v>
      </c>
      <c r="F1026" s="4" t="n">
        <v>679</v>
      </c>
      <c r="G1026" s="4" t="n">
        <v>610</v>
      </c>
      <c r="H1026" s="4" t="n">
        <v>239.8</v>
      </c>
      <c r="I1026" s="4" t="n">
        <v>259.03</v>
      </c>
      <c r="J1026" s="14" t="n">
        <f aca="false">E1026-D1026</f>
        <v>14</v>
      </c>
      <c r="K1026" s="14" t="n">
        <f aca="false">IF(J1026&lt;=0,1,0)</f>
        <v>0</v>
      </c>
      <c r="L1026" s="15" t="n">
        <f aca="false">IFERROR(G1026/F1026,0)</f>
        <v>0.898379970544919</v>
      </c>
      <c r="M1026" s="15" t="n">
        <f aca="false">IFERROR((I1026-H1026)/H1026,0)</f>
        <v>0.0801918265221016</v>
      </c>
      <c r="N1026" s="16" t="n">
        <f aca="false">G1026*I1026</f>
        <v>158008.3</v>
      </c>
    </row>
    <row r="1027" customFormat="false" ht="15" hidden="false" customHeight="true" outlineLevel="0" collapsed="false">
      <c r="A1027" s="4" t="s">
        <v>1203</v>
      </c>
      <c r="B1027" s="4" t="s">
        <v>93</v>
      </c>
      <c r="C1027" s="13" t="n">
        <v>45491</v>
      </c>
      <c r="D1027" s="13" t="n">
        <v>45501</v>
      </c>
      <c r="E1027" s="13" t="n">
        <v>45506</v>
      </c>
      <c r="F1027" s="4" t="n">
        <v>957</v>
      </c>
      <c r="G1027" s="4" t="n">
        <v>950</v>
      </c>
      <c r="H1027" s="4" t="n">
        <v>174.25</v>
      </c>
      <c r="I1027" s="4" t="n">
        <v>184.09</v>
      </c>
      <c r="J1027" s="14" t="n">
        <f aca="false">E1027-D1027</f>
        <v>5</v>
      </c>
      <c r="K1027" s="14" t="n">
        <f aca="false">IF(J1027&lt;=0,1,0)</f>
        <v>0</v>
      </c>
      <c r="L1027" s="15" t="n">
        <f aca="false">IFERROR(G1027/F1027,0)</f>
        <v>0.992685475444096</v>
      </c>
      <c r="M1027" s="15" t="n">
        <f aca="false">IFERROR((I1027-H1027)/H1027,0)</f>
        <v>0.0564705882352941</v>
      </c>
      <c r="N1027" s="16" t="n">
        <f aca="false">G1027*I1027</f>
        <v>174885.5</v>
      </c>
    </row>
    <row r="1028" customFormat="false" ht="15" hidden="false" customHeight="true" outlineLevel="0" collapsed="false">
      <c r="A1028" s="4" t="s">
        <v>1204</v>
      </c>
      <c r="B1028" s="4" t="s">
        <v>127</v>
      </c>
      <c r="C1028" s="13" t="n">
        <v>45031</v>
      </c>
      <c r="D1028" s="13" t="n">
        <v>45037</v>
      </c>
      <c r="E1028" s="13" t="n">
        <v>45037</v>
      </c>
      <c r="F1028" s="4" t="n">
        <v>13</v>
      </c>
      <c r="G1028" s="4" t="n">
        <v>13</v>
      </c>
      <c r="H1028" s="4" t="n">
        <v>1881</v>
      </c>
      <c r="I1028" s="4" t="n">
        <v>1842.43</v>
      </c>
      <c r="J1028" s="14" t="n">
        <f aca="false">E1028-D1028</f>
        <v>0</v>
      </c>
      <c r="K1028" s="14" t="n">
        <f aca="false">IF(J1028&lt;=0,1,0)</f>
        <v>1</v>
      </c>
      <c r="L1028" s="15" t="n">
        <f aca="false">IFERROR(G1028/F1028,0)</f>
        <v>1</v>
      </c>
      <c r="M1028" s="15" t="n">
        <f aca="false">IFERROR((I1028-H1028)/H1028,0)</f>
        <v>-0.0205050505050505</v>
      </c>
      <c r="N1028" s="16" t="n">
        <f aca="false">G1028*I1028</f>
        <v>23951.59</v>
      </c>
    </row>
    <row r="1029" customFormat="false" ht="15" hidden="false" customHeight="true" outlineLevel="0" collapsed="false">
      <c r="A1029" s="4" t="s">
        <v>1205</v>
      </c>
      <c r="B1029" s="4" t="s">
        <v>141</v>
      </c>
      <c r="C1029" s="13" t="n">
        <v>44975</v>
      </c>
      <c r="D1029" s="13" t="n">
        <v>44993</v>
      </c>
      <c r="E1029" s="13" t="n">
        <v>44991</v>
      </c>
      <c r="F1029" s="4" t="n">
        <v>186</v>
      </c>
      <c r="G1029" s="4" t="n">
        <v>186</v>
      </c>
      <c r="H1029" s="4" t="n">
        <v>1252.36</v>
      </c>
      <c r="I1029" s="4" t="n">
        <v>1245.47</v>
      </c>
      <c r="J1029" s="14" t="n">
        <f aca="false">E1029-D1029</f>
        <v>-2</v>
      </c>
      <c r="K1029" s="14" t="n">
        <f aca="false">IF(J1029&lt;=0,1,0)</f>
        <v>1</v>
      </c>
      <c r="L1029" s="15" t="n">
        <f aca="false">IFERROR(G1029/F1029,0)</f>
        <v>1</v>
      </c>
      <c r="M1029" s="15" t="n">
        <f aca="false">IFERROR((I1029-H1029)/H1029,0)</f>
        <v>-0.00550161295474135</v>
      </c>
      <c r="N1029" s="16" t="n">
        <f aca="false">G1029*I1029</f>
        <v>231657.42</v>
      </c>
    </row>
    <row r="1030" customFormat="false" ht="15" hidden="false" customHeight="true" outlineLevel="0" collapsed="false">
      <c r="A1030" s="4" t="s">
        <v>1206</v>
      </c>
      <c r="B1030" s="4" t="s">
        <v>55</v>
      </c>
      <c r="C1030" s="13" t="n">
        <v>45289</v>
      </c>
      <c r="D1030" s="13" t="n">
        <v>45307</v>
      </c>
      <c r="E1030" s="13" t="n">
        <v>45303</v>
      </c>
      <c r="F1030" s="4" t="n">
        <v>402</v>
      </c>
      <c r="G1030" s="4" t="n">
        <v>381</v>
      </c>
      <c r="H1030" s="4" t="n">
        <v>598.09</v>
      </c>
      <c r="I1030" s="4" t="n">
        <v>571.31</v>
      </c>
      <c r="J1030" s="14" t="n">
        <f aca="false">E1030-D1030</f>
        <v>-4</v>
      </c>
      <c r="K1030" s="14" t="n">
        <f aca="false">IF(J1030&lt;=0,1,0)</f>
        <v>1</v>
      </c>
      <c r="L1030" s="15" t="n">
        <f aca="false">IFERROR(G1030/F1030,0)</f>
        <v>0.947761194029851</v>
      </c>
      <c r="M1030" s="15" t="n">
        <f aca="false">IFERROR((I1030-H1030)/H1030,0)</f>
        <v>-0.0447758698523635</v>
      </c>
      <c r="N1030" s="16" t="n">
        <f aca="false">G1030*I1030</f>
        <v>217669.11</v>
      </c>
    </row>
    <row r="1031" customFormat="false" ht="15" hidden="false" customHeight="true" outlineLevel="0" collapsed="false">
      <c r="A1031" s="4" t="s">
        <v>1207</v>
      </c>
      <c r="B1031" s="4" t="s">
        <v>115</v>
      </c>
      <c r="C1031" s="13" t="n">
        <v>44960</v>
      </c>
      <c r="D1031" s="13" t="n">
        <v>44972</v>
      </c>
      <c r="E1031" s="13" t="n">
        <v>44979</v>
      </c>
      <c r="F1031" s="4" t="n">
        <v>70</v>
      </c>
      <c r="G1031" s="4" t="n">
        <v>67</v>
      </c>
      <c r="H1031" s="4" t="n">
        <v>115.53</v>
      </c>
      <c r="I1031" s="4" t="n">
        <v>115.46</v>
      </c>
      <c r="J1031" s="14" t="n">
        <f aca="false">E1031-D1031</f>
        <v>7</v>
      </c>
      <c r="K1031" s="14" t="n">
        <f aca="false">IF(J1031&lt;=0,1,0)</f>
        <v>0</v>
      </c>
      <c r="L1031" s="15" t="n">
        <f aca="false">IFERROR(G1031/F1031,0)</f>
        <v>0.957142857142857</v>
      </c>
      <c r="M1031" s="15" t="n">
        <f aca="false">IFERROR((I1031-H1031)/H1031,0)</f>
        <v>-0.000605903228598696</v>
      </c>
      <c r="N1031" s="16" t="n">
        <f aca="false">G1031*I1031</f>
        <v>7735.82</v>
      </c>
    </row>
    <row r="1032" customFormat="false" ht="15" hidden="false" customHeight="true" outlineLevel="0" collapsed="false">
      <c r="A1032" s="4" t="s">
        <v>1208</v>
      </c>
      <c r="B1032" s="4" t="s">
        <v>163</v>
      </c>
      <c r="C1032" s="13" t="n">
        <v>45289</v>
      </c>
      <c r="D1032" s="13" t="n">
        <v>45306</v>
      </c>
      <c r="E1032" s="13" t="n">
        <v>45301</v>
      </c>
      <c r="F1032" s="4" t="n">
        <v>357</v>
      </c>
      <c r="G1032" s="4" t="n">
        <v>353</v>
      </c>
      <c r="H1032" s="4" t="n">
        <v>482.79</v>
      </c>
      <c r="I1032" s="4" t="n">
        <v>499.44</v>
      </c>
      <c r="J1032" s="14" t="n">
        <f aca="false">E1032-D1032</f>
        <v>-5</v>
      </c>
      <c r="K1032" s="14" t="n">
        <f aca="false">IF(J1032&lt;=0,1,0)</f>
        <v>1</v>
      </c>
      <c r="L1032" s="15" t="n">
        <f aca="false">IFERROR(G1032/F1032,0)</f>
        <v>0.988795518207283</v>
      </c>
      <c r="M1032" s="15" t="n">
        <f aca="false">IFERROR((I1032-H1032)/H1032,0)</f>
        <v>0.034487044056422</v>
      </c>
      <c r="N1032" s="16" t="n">
        <f aca="false">G1032*I1032</f>
        <v>176302.32</v>
      </c>
    </row>
    <row r="1033" customFormat="false" ht="15" hidden="false" customHeight="true" outlineLevel="0" collapsed="false">
      <c r="A1033" s="4" t="s">
        <v>1209</v>
      </c>
      <c r="B1033" s="4" t="s">
        <v>163</v>
      </c>
      <c r="C1033" s="13" t="n">
        <v>45102</v>
      </c>
      <c r="D1033" s="13" t="n">
        <v>45121</v>
      </c>
      <c r="E1033" s="13" t="n">
        <v>45122</v>
      </c>
      <c r="F1033" s="4" t="n">
        <v>248</v>
      </c>
      <c r="G1033" s="4" t="n">
        <v>238</v>
      </c>
      <c r="H1033" s="4" t="n">
        <v>482.79</v>
      </c>
      <c r="I1033" s="4" t="n">
        <v>485.25</v>
      </c>
      <c r="J1033" s="14" t="n">
        <f aca="false">E1033-D1033</f>
        <v>1</v>
      </c>
      <c r="K1033" s="14" t="n">
        <f aca="false">IF(J1033&lt;=0,1,0)</f>
        <v>0</v>
      </c>
      <c r="L1033" s="15" t="n">
        <f aca="false">IFERROR(G1033/F1033,0)</f>
        <v>0.959677419354839</v>
      </c>
      <c r="M1033" s="15" t="n">
        <f aca="false">IFERROR((I1033-H1033)/H1033,0)</f>
        <v>0.00509538308581367</v>
      </c>
      <c r="N1033" s="16" t="n">
        <f aca="false">G1033*I1033</f>
        <v>115489.5</v>
      </c>
    </row>
    <row r="1034" customFormat="false" ht="15" hidden="false" customHeight="true" outlineLevel="0" collapsed="false">
      <c r="A1034" s="4" t="s">
        <v>1210</v>
      </c>
      <c r="B1034" s="4" t="s">
        <v>149</v>
      </c>
      <c r="C1034" s="13" t="n">
        <v>45500</v>
      </c>
      <c r="D1034" s="13" t="n">
        <v>45506</v>
      </c>
      <c r="E1034" s="13" t="n">
        <v>45510</v>
      </c>
      <c r="F1034" s="4" t="n">
        <v>19</v>
      </c>
      <c r="G1034" s="4" t="n">
        <v>18</v>
      </c>
      <c r="H1034" s="4" t="n">
        <v>1458.52</v>
      </c>
      <c r="I1034" s="4" t="n">
        <v>1457.88</v>
      </c>
      <c r="J1034" s="14" t="n">
        <f aca="false">E1034-D1034</f>
        <v>4</v>
      </c>
      <c r="K1034" s="14" t="n">
        <f aca="false">IF(J1034&lt;=0,1,0)</f>
        <v>0</v>
      </c>
      <c r="L1034" s="15" t="n">
        <f aca="false">IFERROR(G1034/F1034,0)</f>
        <v>0.947368421052632</v>
      </c>
      <c r="M1034" s="15" t="n">
        <f aca="false">IFERROR((I1034-H1034)/H1034,0)</f>
        <v>-0.000438800976332085</v>
      </c>
      <c r="N1034" s="16" t="n">
        <f aca="false">G1034*I1034</f>
        <v>26241.84</v>
      </c>
    </row>
    <row r="1035" customFormat="false" ht="15" hidden="false" customHeight="true" outlineLevel="0" collapsed="false">
      <c r="A1035" s="4" t="s">
        <v>1211</v>
      </c>
      <c r="B1035" s="4" t="s">
        <v>97</v>
      </c>
      <c r="C1035" s="13" t="n">
        <v>45088</v>
      </c>
      <c r="D1035" s="13" t="n">
        <v>45100</v>
      </c>
      <c r="E1035" s="13" t="n">
        <v>45105</v>
      </c>
      <c r="F1035" s="4" t="n">
        <v>1297</v>
      </c>
      <c r="G1035" s="4" t="n">
        <v>1279</v>
      </c>
      <c r="H1035" s="4" t="n">
        <v>123.04</v>
      </c>
      <c r="I1035" s="4" t="n">
        <v>122.47</v>
      </c>
      <c r="J1035" s="14" t="n">
        <f aca="false">E1035-D1035</f>
        <v>5</v>
      </c>
      <c r="K1035" s="14" t="n">
        <f aca="false">IF(J1035&lt;=0,1,0)</f>
        <v>0</v>
      </c>
      <c r="L1035" s="15" t="n">
        <f aca="false">IFERROR(G1035/F1035,0)</f>
        <v>0.986121819583655</v>
      </c>
      <c r="M1035" s="15" t="n">
        <f aca="false">IFERROR((I1035-H1035)/H1035,0)</f>
        <v>-0.00463263979193764</v>
      </c>
      <c r="N1035" s="16" t="n">
        <f aca="false">G1035*I1035</f>
        <v>156639.13</v>
      </c>
    </row>
    <row r="1036" customFormat="false" ht="15" hidden="false" customHeight="true" outlineLevel="0" collapsed="false">
      <c r="A1036" s="4" t="s">
        <v>1212</v>
      </c>
      <c r="B1036" s="4" t="s">
        <v>85</v>
      </c>
      <c r="C1036" s="13" t="n">
        <v>45439</v>
      </c>
      <c r="D1036" s="13" t="n">
        <v>45450</v>
      </c>
      <c r="E1036" s="13" t="n">
        <v>45453</v>
      </c>
      <c r="F1036" s="4" t="n">
        <v>1986</v>
      </c>
      <c r="G1036" s="4" t="n">
        <v>1986</v>
      </c>
      <c r="H1036" s="4" t="n">
        <v>241.88</v>
      </c>
      <c r="I1036" s="4" t="n">
        <v>238.38</v>
      </c>
      <c r="J1036" s="14" t="n">
        <f aca="false">E1036-D1036</f>
        <v>3</v>
      </c>
      <c r="K1036" s="14" t="n">
        <f aca="false">IF(J1036&lt;=0,1,0)</f>
        <v>0</v>
      </c>
      <c r="L1036" s="15" t="n">
        <f aca="false">IFERROR(G1036/F1036,0)</f>
        <v>1</v>
      </c>
      <c r="M1036" s="15" t="n">
        <f aca="false">IFERROR((I1036-H1036)/H1036,0)</f>
        <v>-0.0144699851165867</v>
      </c>
      <c r="N1036" s="16" t="n">
        <f aca="false">G1036*I1036</f>
        <v>473422.68</v>
      </c>
    </row>
    <row r="1037" customFormat="false" ht="15" hidden="false" customHeight="true" outlineLevel="0" collapsed="false">
      <c r="A1037" s="4" t="s">
        <v>1213</v>
      </c>
      <c r="B1037" s="4" t="s">
        <v>65</v>
      </c>
      <c r="C1037" s="13" t="n">
        <v>45420</v>
      </c>
      <c r="D1037" s="13" t="n">
        <v>45440</v>
      </c>
      <c r="E1037" s="13" t="n">
        <v>45437</v>
      </c>
      <c r="F1037" s="4" t="n">
        <v>83</v>
      </c>
      <c r="G1037" s="4" t="n">
        <v>82</v>
      </c>
      <c r="H1037" s="4" t="n">
        <v>1365.59</v>
      </c>
      <c r="I1037" s="4" t="n">
        <v>1384.07</v>
      </c>
      <c r="J1037" s="14" t="n">
        <f aca="false">E1037-D1037</f>
        <v>-3</v>
      </c>
      <c r="K1037" s="14" t="n">
        <f aca="false">IF(J1037&lt;=0,1,0)</f>
        <v>1</v>
      </c>
      <c r="L1037" s="15" t="n">
        <f aca="false">IFERROR(G1037/F1037,0)</f>
        <v>0.987951807228916</v>
      </c>
      <c r="M1037" s="15" t="n">
        <f aca="false">IFERROR((I1037-H1037)/H1037,0)</f>
        <v>0.0135326122774771</v>
      </c>
      <c r="N1037" s="16" t="n">
        <f aca="false">G1037*I1037</f>
        <v>113493.74</v>
      </c>
    </row>
    <row r="1038" customFormat="false" ht="15" hidden="false" customHeight="true" outlineLevel="0" collapsed="false">
      <c r="A1038" s="4" t="s">
        <v>1214</v>
      </c>
      <c r="B1038" s="4" t="s">
        <v>95</v>
      </c>
      <c r="C1038" s="13" t="n">
        <v>45418</v>
      </c>
      <c r="D1038" s="13" t="n">
        <v>45425</v>
      </c>
      <c r="E1038" s="13" t="n">
        <v>45423</v>
      </c>
      <c r="F1038" s="4" t="n">
        <v>2835</v>
      </c>
      <c r="G1038" s="4" t="n">
        <v>2835</v>
      </c>
      <c r="H1038" s="4" t="n">
        <v>20.39</v>
      </c>
      <c r="I1038" s="4" t="n">
        <v>20.93</v>
      </c>
      <c r="J1038" s="14" t="n">
        <f aca="false">E1038-D1038</f>
        <v>-2</v>
      </c>
      <c r="K1038" s="14" t="n">
        <f aca="false">IF(J1038&lt;=0,1,0)</f>
        <v>1</v>
      </c>
      <c r="L1038" s="15" t="n">
        <f aca="false">IFERROR(G1038/F1038,0)</f>
        <v>1</v>
      </c>
      <c r="M1038" s="15" t="n">
        <f aca="false">IFERROR((I1038-H1038)/H1038,0)</f>
        <v>0.0264835703776361</v>
      </c>
      <c r="N1038" s="16" t="n">
        <f aca="false">G1038*I1038</f>
        <v>59336.55</v>
      </c>
    </row>
    <row r="1039" customFormat="false" ht="15" hidden="false" customHeight="true" outlineLevel="0" collapsed="false">
      <c r="A1039" s="4" t="s">
        <v>1215</v>
      </c>
      <c r="B1039" s="4" t="s">
        <v>101</v>
      </c>
      <c r="C1039" s="13" t="n">
        <v>45142</v>
      </c>
      <c r="D1039" s="13" t="n">
        <v>45162</v>
      </c>
      <c r="E1039" s="13" t="n">
        <v>45163</v>
      </c>
      <c r="F1039" s="4" t="n">
        <v>368</v>
      </c>
      <c r="G1039" s="4" t="n">
        <v>355</v>
      </c>
      <c r="H1039" s="4" t="n">
        <v>442.74</v>
      </c>
      <c r="I1039" s="4" t="n">
        <v>441.29</v>
      </c>
      <c r="J1039" s="14" t="n">
        <f aca="false">E1039-D1039</f>
        <v>1</v>
      </c>
      <c r="K1039" s="14" t="n">
        <f aca="false">IF(J1039&lt;=0,1,0)</f>
        <v>0</v>
      </c>
      <c r="L1039" s="15" t="n">
        <f aca="false">IFERROR(G1039/F1039,0)</f>
        <v>0.964673913043478</v>
      </c>
      <c r="M1039" s="15" t="n">
        <f aca="false">IFERROR((I1039-H1039)/H1039,0)</f>
        <v>-0.00327505985454214</v>
      </c>
      <c r="N1039" s="16" t="n">
        <f aca="false">G1039*I1039</f>
        <v>156657.95</v>
      </c>
    </row>
    <row r="1040" customFormat="false" ht="15" hidden="false" customHeight="true" outlineLevel="0" collapsed="false">
      <c r="A1040" s="4" t="s">
        <v>1216</v>
      </c>
      <c r="B1040" s="4" t="s">
        <v>32</v>
      </c>
      <c r="C1040" s="13" t="n">
        <v>45484</v>
      </c>
      <c r="D1040" s="13" t="n">
        <v>45493</v>
      </c>
      <c r="E1040" s="13" t="n">
        <v>45492</v>
      </c>
      <c r="F1040" s="4" t="n">
        <v>2334</v>
      </c>
      <c r="G1040" s="4" t="n">
        <v>2132</v>
      </c>
      <c r="H1040" s="4" t="n">
        <v>32.49</v>
      </c>
      <c r="I1040" s="4" t="n">
        <v>33.15</v>
      </c>
      <c r="J1040" s="14" t="n">
        <f aca="false">E1040-D1040</f>
        <v>-1</v>
      </c>
      <c r="K1040" s="14" t="n">
        <f aca="false">IF(J1040&lt;=0,1,0)</f>
        <v>1</v>
      </c>
      <c r="L1040" s="15" t="n">
        <f aca="false">IFERROR(G1040/F1040,0)</f>
        <v>0.913453299057412</v>
      </c>
      <c r="M1040" s="15" t="n">
        <f aca="false">IFERROR((I1040-H1040)/H1040,0)</f>
        <v>0.0203139427516158</v>
      </c>
      <c r="N1040" s="16" t="n">
        <f aca="false">G1040*I1040</f>
        <v>70675.8</v>
      </c>
    </row>
    <row r="1041" customFormat="false" ht="15" hidden="false" customHeight="true" outlineLevel="0" collapsed="false">
      <c r="A1041" s="4" t="s">
        <v>1217</v>
      </c>
      <c r="B1041" s="4" t="s">
        <v>99</v>
      </c>
      <c r="C1041" s="13" t="n">
        <v>45421</v>
      </c>
      <c r="D1041" s="13" t="n">
        <v>45427</v>
      </c>
      <c r="E1041" s="13" t="n">
        <v>45432</v>
      </c>
      <c r="F1041" s="4" t="n">
        <v>4236</v>
      </c>
      <c r="G1041" s="4" t="n">
        <v>3711</v>
      </c>
      <c r="H1041" s="4" t="n">
        <v>11.5</v>
      </c>
      <c r="I1041" s="4" t="n">
        <v>12.53</v>
      </c>
      <c r="J1041" s="14" t="n">
        <f aca="false">E1041-D1041</f>
        <v>5</v>
      </c>
      <c r="K1041" s="14" t="n">
        <f aca="false">IF(J1041&lt;=0,1,0)</f>
        <v>0</v>
      </c>
      <c r="L1041" s="15" t="n">
        <f aca="false">IFERROR(G1041/F1041,0)</f>
        <v>0.876062322946176</v>
      </c>
      <c r="M1041" s="15" t="n">
        <f aca="false">IFERROR((I1041-H1041)/H1041,0)</f>
        <v>0.0895652173913043</v>
      </c>
      <c r="N1041" s="16" t="n">
        <f aca="false">G1041*I1041</f>
        <v>46498.83</v>
      </c>
    </row>
    <row r="1042" customFormat="false" ht="15" hidden="false" customHeight="true" outlineLevel="0" collapsed="false">
      <c r="A1042" s="4" t="s">
        <v>1218</v>
      </c>
      <c r="B1042" s="4" t="s">
        <v>37</v>
      </c>
      <c r="C1042" s="13" t="n">
        <v>45209</v>
      </c>
      <c r="D1042" s="13" t="n">
        <v>45217</v>
      </c>
      <c r="E1042" s="13" t="n">
        <v>45220</v>
      </c>
      <c r="F1042" s="4" t="n">
        <v>2385</v>
      </c>
      <c r="G1042" s="4" t="n">
        <v>2385</v>
      </c>
      <c r="H1042" s="4" t="n">
        <v>22.26</v>
      </c>
      <c r="I1042" s="4" t="n">
        <v>21.68</v>
      </c>
      <c r="J1042" s="14" t="n">
        <f aca="false">E1042-D1042</f>
        <v>3</v>
      </c>
      <c r="K1042" s="14" t="n">
        <f aca="false">IF(J1042&lt;=0,1,0)</f>
        <v>0</v>
      </c>
      <c r="L1042" s="15" t="n">
        <f aca="false">IFERROR(G1042/F1042,0)</f>
        <v>1</v>
      </c>
      <c r="M1042" s="15" t="n">
        <f aca="false">IFERROR((I1042-H1042)/H1042,0)</f>
        <v>-0.0260557053009884</v>
      </c>
      <c r="N1042" s="16" t="n">
        <f aca="false">G1042*I1042</f>
        <v>51706.8</v>
      </c>
    </row>
    <row r="1043" customFormat="false" ht="15" hidden="false" customHeight="true" outlineLevel="0" collapsed="false">
      <c r="A1043" s="4" t="s">
        <v>1219</v>
      </c>
      <c r="B1043" s="4" t="s">
        <v>83</v>
      </c>
      <c r="C1043" s="13" t="n">
        <v>45494</v>
      </c>
      <c r="D1043" s="13" t="n">
        <v>45503</v>
      </c>
      <c r="E1043" s="13" t="n">
        <v>45506</v>
      </c>
      <c r="F1043" s="4" t="n">
        <v>1813</v>
      </c>
      <c r="G1043" s="4" t="n">
        <v>1813</v>
      </c>
      <c r="H1043" s="4" t="n">
        <v>101.36</v>
      </c>
      <c r="I1043" s="4" t="n">
        <v>104.6</v>
      </c>
      <c r="J1043" s="14" t="n">
        <f aca="false">E1043-D1043</f>
        <v>3</v>
      </c>
      <c r="K1043" s="14" t="n">
        <f aca="false">IF(J1043&lt;=0,1,0)</f>
        <v>0</v>
      </c>
      <c r="L1043" s="15" t="n">
        <f aca="false">IFERROR(G1043/F1043,0)</f>
        <v>1</v>
      </c>
      <c r="M1043" s="15" t="n">
        <f aca="false">IFERROR((I1043-H1043)/H1043,0)</f>
        <v>0.031965272296764</v>
      </c>
      <c r="N1043" s="16" t="n">
        <f aca="false">G1043*I1043</f>
        <v>189639.8</v>
      </c>
    </row>
    <row r="1044" customFormat="false" ht="15" hidden="false" customHeight="true" outlineLevel="0" collapsed="false">
      <c r="A1044" s="4" t="s">
        <v>1220</v>
      </c>
      <c r="B1044" s="4" t="s">
        <v>91</v>
      </c>
      <c r="C1044" s="13" t="n">
        <v>44948</v>
      </c>
      <c r="D1044" s="13" t="n">
        <v>44967</v>
      </c>
      <c r="E1044" s="13" t="n">
        <v>44968</v>
      </c>
      <c r="F1044" s="4" t="n">
        <v>333</v>
      </c>
      <c r="G1044" s="4" t="n">
        <v>327</v>
      </c>
      <c r="H1044" s="4" t="n">
        <v>496.29</v>
      </c>
      <c r="I1044" s="4" t="n">
        <v>498.67</v>
      </c>
      <c r="J1044" s="14" t="n">
        <f aca="false">E1044-D1044</f>
        <v>1</v>
      </c>
      <c r="K1044" s="14" t="n">
        <f aca="false">IF(J1044&lt;=0,1,0)</f>
        <v>0</v>
      </c>
      <c r="L1044" s="15" t="n">
        <f aca="false">IFERROR(G1044/F1044,0)</f>
        <v>0.981981981981982</v>
      </c>
      <c r="M1044" s="15" t="n">
        <f aca="false">IFERROR((I1044-H1044)/H1044,0)</f>
        <v>0.0047955832275484</v>
      </c>
      <c r="N1044" s="16" t="n">
        <f aca="false">G1044*I1044</f>
        <v>163065.09</v>
      </c>
    </row>
    <row r="1045" customFormat="false" ht="15" hidden="false" customHeight="true" outlineLevel="0" collapsed="false">
      <c r="A1045" s="4" t="s">
        <v>1221</v>
      </c>
      <c r="B1045" s="4" t="s">
        <v>83</v>
      </c>
      <c r="C1045" s="13" t="n">
        <v>45536</v>
      </c>
      <c r="D1045" s="13" t="n">
        <v>45548</v>
      </c>
      <c r="E1045" s="13" t="n">
        <v>45551</v>
      </c>
      <c r="F1045" s="4" t="n">
        <v>964</v>
      </c>
      <c r="G1045" s="4" t="n">
        <v>964</v>
      </c>
      <c r="H1045" s="4" t="n">
        <v>101.36</v>
      </c>
      <c r="I1045" s="4" t="n">
        <v>105.64</v>
      </c>
      <c r="J1045" s="14" t="n">
        <f aca="false">E1045-D1045</f>
        <v>3</v>
      </c>
      <c r="K1045" s="14" t="n">
        <f aca="false">IF(J1045&lt;=0,1,0)</f>
        <v>0</v>
      </c>
      <c r="L1045" s="15" t="n">
        <f aca="false">IFERROR(G1045/F1045,0)</f>
        <v>1</v>
      </c>
      <c r="M1045" s="15" t="n">
        <f aca="false">IFERROR((I1045-H1045)/H1045,0)</f>
        <v>0.042225730071034</v>
      </c>
      <c r="N1045" s="16" t="n">
        <f aca="false">G1045*I1045</f>
        <v>101836.96</v>
      </c>
    </row>
    <row r="1046" customFormat="false" ht="15" hidden="false" customHeight="true" outlineLevel="0" collapsed="false">
      <c r="A1046" s="4" t="s">
        <v>1222</v>
      </c>
      <c r="B1046" s="4" t="s">
        <v>145</v>
      </c>
      <c r="C1046" s="13" t="n">
        <v>45452</v>
      </c>
      <c r="D1046" s="13" t="n">
        <v>45462</v>
      </c>
      <c r="E1046" s="13" t="n">
        <v>45463</v>
      </c>
      <c r="F1046" s="4" t="n">
        <v>787</v>
      </c>
      <c r="G1046" s="4" t="n">
        <v>735</v>
      </c>
      <c r="H1046" s="4" t="n">
        <v>237.04</v>
      </c>
      <c r="I1046" s="4" t="n">
        <v>262.69</v>
      </c>
      <c r="J1046" s="14" t="n">
        <f aca="false">E1046-D1046</f>
        <v>1</v>
      </c>
      <c r="K1046" s="14" t="n">
        <f aca="false">IF(J1046&lt;=0,1,0)</f>
        <v>0</v>
      </c>
      <c r="L1046" s="15" t="n">
        <f aca="false">IFERROR(G1046/F1046,0)</f>
        <v>0.933926302414231</v>
      </c>
      <c r="M1046" s="15" t="n">
        <f aca="false">IFERROR((I1046-H1046)/H1046,0)</f>
        <v>0.108209584880189</v>
      </c>
      <c r="N1046" s="16" t="n">
        <f aca="false">G1046*I1046</f>
        <v>193077.15</v>
      </c>
    </row>
    <row r="1047" customFormat="false" ht="15" hidden="false" customHeight="true" outlineLevel="0" collapsed="false">
      <c r="A1047" s="4" t="s">
        <v>1223</v>
      </c>
      <c r="B1047" s="4" t="s">
        <v>113</v>
      </c>
      <c r="C1047" s="13" t="n">
        <v>45108</v>
      </c>
      <c r="D1047" s="13" t="n">
        <v>45119</v>
      </c>
      <c r="E1047" s="13" t="n">
        <v>45123</v>
      </c>
      <c r="F1047" s="4" t="n">
        <v>973</v>
      </c>
      <c r="G1047" s="4" t="n">
        <v>939</v>
      </c>
      <c r="H1047" s="4" t="n">
        <v>170.42</v>
      </c>
      <c r="I1047" s="4" t="n">
        <v>171.7</v>
      </c>
      <c r="J1047" s="14" t="n">
        <f aca="false">E1047-D1047</f>
        <v>4</v>
      </c>
      <c r="K1047" s="14" t="n">
        <f aca="false">IF(J1047&lt;=0,1,0)</f>
        <v>0</v>
      </c>
      <c r="L1047" s="15" t="n">
        <f aca="false">IFERROR(G1047/F1047,0)</f>
        <v>0.965056526207605</v>
      </c>
      <c r="M1047" s="15" t="n">
        <f aca="false">IFERROR((I1047-H1047)/H1047,0)</f>
        <v>0.00751085553338811</v>
      </c>
      <c r="N1047" s="16" t="n">
        <f aca="false">G1047*I1047</f>
        <v>161226.3</v>
      </c>
    </row>
    <row r="1048" customFormat="false" ht="15" hidden="false" customHeight="true" outlineLevel="0" collapsed="false">
      <c r="A1048" s="4" t="s">
        <v>1224</v>
      </c>
      <c r="B1048" s="4" t="s">
        <v>85</v>
      </c>
      <c r="C1048" s="13" t="n">
        <v>45492</v>
      </c>
      <c r="D1048" s="13" t="n">
        <v>45504</v>
      </c>
      <c r="E1048" s="13" t="n">
        <v>45505</v>
      </c>
      <c r="F1048" s="4" t="n">
        <v>913</v>
      </c>
      <c r="G1048" s="4" t="n">
        <v>879</v>
      </c>
      <c r="H1048" s="4" t="n">
        <v>241.88</v>
      </c>
      <c r="I1048" s="4" t="n">
        <v>237.4</v>
      </c>
      <c r="J1048" s="14" t="n">
        <f aca="false">E1048-D1048</f>
        <v>1</v>
      </c>
      <c r="K1048" s="14" t="n">
        <f aca="false">IF(J1048&lt;=0,1,0)</f>
        <v>0</v>
      </c>
      <c r="L1048" s="15" t="n">
        <f aca="false">IFERROR(G1048/F1048,0)</f>
        <v>0.96276013143483</v>
      </c>
      <c r="M1048" s="15" t="n">
        <f aca="false">IFERROR((I1048-H1048)/H1048,0)</f>
        <v>-0.018521580949231</v>
      </c>
      <c r="N1048" s="16" t="n">
        <f aca="false">G1048*I1048</f>
        <v>208674.6</v>
      </c>
    </row>
    <row r="1049" customFormat="false" ht="15" hidden="false" customHeight="true" outlineLevel="0" collapsed="false">
      <c r="A1049" s="4" t="s">
        <v>1225</v>
      </c>
      <c r="B1049" s="4" t="s">
        <v>47</v>
      </c>
      <c r="C1049" s="13" t="n">
        <v>45027</v>
      </c>
      <c r="D1049" s="13" t="n">
        <v>45036</v>
      </c>
      <c r="E1049" s="13" t="n">
        <v>45033</v>
      </c>
      <c r="F1049" s="4" t="n">
        <v>254</v>
      </c>
      <c r="G1049" s="4" t="n">
        <v>249</v>
      </c>
      <c r="H1049" s="4" t="n">
        <v>228.68</v>
      </c>
      <c r="I1049" s="4" t="n">
        <v>225.99</v>
      </c>
      <c r="J1049" s="14" t="n">
        <f aca="false">E1049-D1049</f>
        <v>-3</v>
      </c>
      <c r="K1049" s="14" t="n">
        <f aca="false">IF(J1049&lt;=0,1,0)</f>
        <v>1</v>
      </c>
      <c r="L1049" s="15" t="n">
        <f aca="false">IFERROR(G1049/F1049,0)</f>
        <v>0.980314960629921</v>
      </c>
      <c r="M1049" s="15" t="n">
        <f aca="false">IFERROR((I1049-H1049)/H1049,0)</f>
        <v>-0.0117631624978135</v>
      </c>
      <c r="N1049" s="16" t="n">
        <f aca="false">G1049*I1049</f>
        <v>56271.51</v>
      </c>
    </row>
    <row r="1050" customFormat="false" ht="15" hidden="false" customHeight="true" outlineLevel="0" collapsed="false">
      <c r="A1050" s="4" t="s">
        <v>1226</v>
      </c>
      <c r="B1050" s="4" t="s">
        <v>139</v>
      </c>
      <c r="C1050" s="13" t="n">
        <v>45060</v>
      </c>
      <c r="D1050" s="13" t="n">
        <v>45069</v>
      </c>
      <c r="E1050" s="13" t="n">
        <v>45066</v>
      </c>
      <c r="F1050" s="4" t="n">
        <v>751</v>
      </c>
      <c r="G1050" s="4" t="n">
        <v>688</v>
      </c>
      <c r="H1050" s="4" t="n">
        <v>207.64</v>
      </c>
      <c r="I1050" s="4" t="n">
        <v>208.34</v>
      </c>
      <c r="J1050" s="14" t="n">
        <f aca="false">E1050-D1050</f>
        <v>-3</v>
      </c>
      <c r="K1050" s="14" t="n">
        <f aca="false">IF(J1050&lt;=0,1,0)</f>
        <v>1</v>
      </c>
      <c r="L1050" s="15" t="n">
        <f aca="false">IFERROR(G1050/F1050,0)</f>
        <v>0.916111850865513</v>
      </c>
      <c r="M1050" s="15" t="n">
        <f aca="false">IFERROR((I1050-H1050)/H1050,0)</f>
        <v>0.00337121941822393</v>
      </c>
      <c r="N1050" s="16" t="n">
        <f aca="false">G1050*I1050</f>
        <v>143337.92</v>
      </c>
    </row>
    <row r="1051" customFormat="false" ht="15" hidden="false" customHeight="true" outlineLevel="0" collapsed="false">
      <c r="A1051" s="4" t="s">
        <v>1227</v>
      </c>
      <c r="B1051" s="4" t="s">
        <v>107</v>
      </c>
      <c r="C1051" s="13" t="n">
        <v>45353</v>
      </c>
      <c r="D1051" s="13" t="n">
        <v>45359</v>
      </c>
      <c r="E1051" s="13" t="n">
        <v>45357</v>
      </c>
      <c r="F1051" s="4" t="n">
        <v>1809</v>
      </c>
      <c r="G1051" s="4" t="n">
        <v>1764</v>
      </c>
      <c r="H1051" s="4" t="n">
        <v>40.41</v>
      </c>
      <c r="I1051" s="4" t="n">
        <v>40.25</v>
      </c>
      <c r="J1051" s="14" t="n">
        <f aca="false">E1051-D1051</f>
        <v>-2</v>
      </c>
      <c r="K1051" s="14" t="n">
        <f aca="false">IF(J1051&lt;=0,1,0)</f>
        <v>1</v>
      </c>
      <c r="L1051" s="15" t="n">
        <f aca="false">IFERROR(G1051/F1051,0)</f>
        <v>0.975124378109453</v>
      </c>
      <c r="M1051" s="15" t="n">
        <f aca="false">IFERROR((I1051-H1051)/H1051,0)</f>
        <v>-0.00395941598614196</v>
      </c>
      <c r="N1051" s="16" t="n">
        <f aca="false">G1051*I1051</f>
        <v>71001</v>
      </c>
    </row>
    <row r="1052" customFormat="false" ht="15" hidden="false" customHeight="true" outlineLevel="0" collapsed="false">
      <c r="A1052" s="4" t="s">
        <v>1228</v>
      </c>
      <c r="B1052" s="4" t="s">
        <v>123</v>
      </c>
      <c r="C1052" s="13" t="n">
        <v>45001</v>
      </c>
      <c r="D1052" s="13" t="n">
        <v>45014</v>
      </c>
      <c r="E1052" s="13" t="n">
        <v>45010</v>
      </c>
      <c r="F1052" s="4" t="n">
        <v>40</v>
      </c>
      <c r="G1052" s="4" t="n">
        <v>40</v>
      </c>
      <c r="H1052" s="4" t="n">
        <v>214.07</v>
      </c>
      <c r="I1052" s="4" t="n">
        <v>217.88</v>
      </c>
      <c r="J1052" s="14" t="n">
        <f aca="false">E1052-D1052</f>
        <v>-4</v>
      </c>
      <c r="K1052" s="14" t="n">
        <f aca="false">IF(J1052&lt;=0,1,0)</f>
        <v>1</v>
      </c>
      <c r="L1052" s="15" t="n">
        <f aca="false">IFERROR(G1052/F1052,0)</f>
        <v>1</v>
      </c>
      <c r="M1052" s="15" t="n">
        <f aca="false">IFERROR((I1052-H1052)/H1052,0)</f>
        <v>0.0177979165693465</v>
      </c>
      <c r="N1052" s="16" t="n">
        <f aca="false">G1052*I1052</f>
        <v>8715.2</v>
      </c>
    </row>
    <row r="1053" customFormat="false" ht="15" hidden="false" customHeight="true" outlineLevel="0" collapsed="false">
      <c r="A1053" s="4" t="s">
        <v>1229</v>
      </c>
      <c r="B1053" s="4" t="s">
        <v>115</v>
      </c>
      <c r="C1053" s="13" t="n">
        <v>45240</v>
      </c>
      <c r="D1053" s="13" t="n">
        <v>45253</v>
      </c>
      <c r="E1053" s="13" t="n">
        <v>45259</v>
      </c>
      <c r="F1053" s="4" t="n">
        <v>98</v>
      </c>
      <c r="G1053" s="4" t="n">
        <v>95</v>
      </c>
      <c r="H1053" s="4" t="n">
        <v>115.53</v>
      </c>
      <c r="I1053" s="4" t="n">
        <v>121.01</v>
      </c>
      <c r="J1053" s="14" t="n">
        <f aca="false">E1053-D1053</f>
        <v>6</v>
      </c>
      <c r="K1053" s="14" t="n">
        <f aca="false">IF(J1053&lt;=0,1,0)</f>
        <v>0</v>
      </c>
      <c r="L1053" s="15" t="n">
        <f aca="false">IFERROR(G1053/F1053,0)</f>
        <v>0.969387755102041</v>
      </c>
      <c r="M1053" s="15" t="n">
        <f aca="false">IFERROR((I1053-H1053)/H1053,0)</f>
        <v>0.0474335670388644</v>
      </c>
      <c r="N1053" s="16" t="n">
        <f aca="false">G1053*I1053</f>
        <v>11495.95</v>
      </c>
    </row>
    <row r="1054" customFormat="false" ht="15" hidden="false" customHeight="true" outlineLevel="0" collapsed="false">
      <c r="A1054" s="4" t="s">
        <v>1230</v>
      </c>
      <c r="B1054" s="4" t="s">
        <v>81</v>
      </c>
      <c r="C1054" s="13" t="n">
        <v>45066</v>
      </c>
      <c r="D1054" s="13" t="n">
        <v>45072</v>
      </c>
      <c r="E1054" s="13" t="n">
        <v>45073</v>
      </c>
      <c r="F1054" s="4" t="n">
        <v>2</v>
      </c>
      <c r="G1054" s="4" t="n">
        <v>2</v>
      </c>
      <c r="H1054" s="4" t="n">
        <v>697.63</v>
      </c>
      <c r="I1054" s="4" t="n">
        <v>699.4</v>
      </c>
      <c r="J1054" s="14" t="n">
        <f aca="false">E1054-D1054</f>
        <v>1</v>
      </c>
      <c r="K1054" s="14" t="n">
        <f aca="false">IF(J1054&lt;=0,1,0)</f>
        <v>0</v>
      </c>
      <c r="L1054" s="15" t="n">
        <f aca="false">IFERROR(G1054/F1054,0)</f>
        <v>1</v>
      </c>
      <c r="M1054" s="15" t="n">
        <f aca="false">IFERROR((I1054-H1054)/H1054,0)</f>
        <v>0.00253716153261755</v>
      </c>
      <c r="N1054" s="16" t="n">
        <f aca="false">G1054*I1054</f>
        <v>1398.8</v>
      </c>
    </row>
    <row r="1055" customFormat="false" ht="15" hidden="false" customHeight="true" outlineLevel="0" collapsed="false">
      <c r="A1055" s="4" t="s">
        <v>1231</v>
      </c>
      <c r="B1055" s="4" t="s">
        <v>121</v>
      </c>
      <c r="C1055" s="13" t="n">
        <v>45019</v>
      </c>
      <c r="D1055" s="13" t="n">
        <v>45028</v>
      </c>
      <c r="E1055" s="13" t="n">
        <v>45029</v>
      </c>
      <c r="F1055" s="4" t="n">
        <v>219</v>
      </c>
      <c r="G1055" s="4" t="n">
        <v>198</v>
      </c>
      <c r="H1055" s="4" t="n">
        <v>206.07</v>
      </c>
      <c r="I1055" s="4" t="n">
        <v>208.2</v>
      </c>
      <c r="J1055" s="14" t="n">
        <f aca="false">E1055-D1055</f>
        <v>1</v>
      </c>
      <c r="K1055" s="14" t="n">
        <f aca="false">IF(J1055&lt;=0,1,0)</f>
        <v>0</v>
      </c>
      <c r="L1055" s="15" t="n">
        <f aca="false">IFERROR(G1055/F1055,0)</f>
        <v>0.904109589041096</v>
      </c>
      <c r="M1055" s="15" t="n">
        <f aca="false">IFERROR((I1055-H1055)/H1055,0)</f>
        <v>0.0103362934925025</v>
      </c>
      <c r="N1055" s="16" t="n">
        <f aca="false">G1055*I1055</f>
        <v>41223.6</v>
      </c>
    </row>
    <row r="1056" customFormat="false" ht="15" hidden="false" customHeight="true" outlineLevel="0" collapsed="false">
      <c r="A1056" s="4" t="s">
        <v>1232</v>
      </c>
      <c r="B1056" s="4" t="s">
        <v>72</v>
      </c>
      <c r="C1056" s="13" t="n">
        <v>45233</v>
      </c>
      <c r="D1056" s="13" t="n">
        <v>45239</v>
      </c>
      <c r="E1056" s="13" t="n">
        <v>45240</v>
      </c>
      <c r="F1056" s="4" t="n">
        <v>3229</v>
      </c>
      <c r="G1056" s="4" t="n">
        <v>3143</v>
      </c>
      <c r="H1056" s="4" t="n">
        <v>34.53</v>
      </c>
      <c r="I1056" s="4" t="n">
        <v>35.64</v>
      </c>
      <c r="J1056" s="14" t="n">
        <f aca="false">E1056-D1056</f>
        <v>1</v>
      </c>
      <c r="K1056" s="14" t="n">
        <f aca="false">IF(J1056&lt;=0,1,0)</f>
        <v>0</v>
      </c>
      <c r="L1056" s="15" t="n">
        <f aca="false">IFERROR(G1056/F1056,0)</f>
        <v>0.973366367296377</v>
      </c>
      <c r="M1056" s="15" t="n">
        <f aca="false">IFERROR((I1056-H1056)/H1056,0)</f>
        <v>0.0321459600347524</v>
      </c>
      <c r="N1056" s="16" t="n">
        <f aca="false">G1056*I1056</f>
        <v>112016.52</v>
      </c>
    </row>
    <row r="1057" customFormat="false" ht="15" hidden="false" customHeight="true" outlineLevel="0" collapsed="false">
      <c r="A1057" s="4" t="s">
        <v>1233</v>
      </c>
      <c r="B1057" s="4" t="s">
        <v>91</v>
      </c>
      <c r="C1057" s="13" t="n">
        <v>45267</v>
      </c>
      <c r="D1057" s="13" t="n">
        <v>45287</v>
      </c>
      <c r="E1057" s="13" t="n">
        <v>45287</v>
      </c>
      <c r="F1057" s="4" t="n">
        <v>198</v>
      </c>
      <c r="G1057" s="4" t="n">
        <v>188</v>
      </c>
      <c r="H1057" s="4" t="n">
        <v>496.29</v>
      </c>
      <c r="I1057" s="4" t="n">
        <v>486.18</v>
      </c>
      <c r="J1057" s="14" t="n">
        <f aca="false">E1057-D1057</f>
        <v>0</v>
      </c>
      <c r="K1057" s="14" t="n">
        <f aca="false">IF(J1057&lt;=0,1,0)</f>
        <v>1</v>
      </c>
      <c r="L1057" s="15" t="n">
        <f aca="false">IFERROR(G1057/F1057,0)</f>
        <v>0.94949494949495</v>
      </c>
      <c r="M1057" s="15" t="n">
        <f aca="false">IFERROR((I1057-H1057)/H1057,0)</f>
        <v>-0.020371153962401</v>
      </c>
      <c r="N1057" s="16" t="n">
        <f aca="false">G1057*I1057</f>
        <v>91401.84</v>
      </c>
    </row>
    <row r="1058" customFormat="false" ht="15" hidden="false" customHeight="true" outlineLevel="0" collapsed="false">
      <c r="A1058" s="4" t="s">
        <v>1234</v>
      </c>
      <c r="B1058" s="4" t="s">
        <v>137</v>
      </c>
      <c r="C1058" s="13" t="n">
        <v>45637</v>
      </c>
      <c r="D1058" s="13" t="n">
        <v>45656</v>
      </c>
      <c r="E1058" s="13" t="n">
        <v>45656</v>
      </c>
      <c r="F1058" s="4" t="n">
        <v>254</v>
      </c>
      <c r="G1058" s="4" t="n">
        <v>235</v>
      </c>
      <c r="H1058" s="4" t="n">
        <v>1047.25</v>
      </c>
      <c r="I1058" s="4" t="n">
        <v>1121.99</v>
      </c>
      <c r="J1058" s="14" t="n">
        <f aca="false">E1058-D1058</f>
        <v>0</v>
      </c>
      <c r="K1058" s="14" t="n">
        <f aca="false">IF(J1058&lt;=0,1,0)</f>
        <v>1</v>
      </c>
      <c r="L1058" s="15" t="n">
        <f aca="false">IFERROR(G1058/F1058,0)</f>
        <v>0.925196850393701</v>
      </c>
      <c r="M1058" s="15" t="n">
        <f aca="false">IFERROR((I1058-H1058)/H1058,0)</f>
        <v>0.071367868226307</v>
      </c>
      <c r="N1058" s="16" t="n">
        <f aca="false">G1058*I1058</f>
        <v>263667.65</v>
      </c>
    </row>
    <row r="1059" customFormat="false" ht="15" hidden="false" customHeight="true" outlineLevel="0" collapsed="false">
      <c r="A1059" s="4" t="s">
        <v>1235</v>
      </c>
      <c r="B1059" s="4" t="s">
        <v>103</v>
      </c>
      <c r="C1059" s="13" t="n">
        <v>45072</v>
      </c>
      <c r="D1059" s="13" t="n">
        <v>45090</v>
      </c>
      <c r="E1059" s="13" t="n">
        <v>45092</v>
      </c>
      <c r="F1059" s="4" t="n">
        <v>474</v>
      </c>
      <c r="G1059" s="4" t="n">
        <v>462</v>
      </c>
      <c r="H1059" s="4" t="n">
        <v>1400.22</v>
      </c>
      <c r="I1059" s="4" t="n">
        <v>1418.61</v>
      </c>
      <c r="J1059" s="14" t="n">
        <f aca="false">E1059-D1059</f>
        <v>2</v>
      </c>
      <c r="K1059" s="14" t="n">
        <f aca="false">IF(J1059&lt;=0,1,0)</f>
        <v>0</v>
      </c>
      <c r="L1059" s="15" t="n">
        <f aca="false">IFERROR(G1059/F1059,0)</f>
        <v>0.974683544303797</v>
      </c>
      <c r="M1059" s="15" t="n">
        <f aca="false">IFERROR((I1059-H1059)/H1059,0)</f>
        <v>0.0131336504263615</v>
      </c>
      <c r="N1059" s="16" t="n">
        <f aca="false">G1059*I1059</f>
        <v>655397.82</v>
      </c>
    </row>
    <row r="1060" customFormat="false" ht="15" hidden="false" customHeight="true" outlineLevel="0" collapsed="false">
      <c r="A1060" s="4" t="s">
        <v>1236</v>
      </c>
      <c r="B1060" s="4" t="s">
        <v>137</v>
      </c>
      <c r="C1060" s="13" t="n">
        <v>44971</v>
      </c>
      <c r="D1060" s="13" t="n">
        <v>44990</v>
      </c>
      <c r="E1060" s="13" t="n">
        <v>44995</v>
      </c>
      <c r="F1060" s="4" t="n">
        <v>181</v>
      </c>
      <c r="G1060" s="4" t="n">
        <v>162</v>
      </c>
      <c r="H1060" s="4" t="n">
        <v>1047.25</v>
      </c>
      <c r="I1060" s="4" t="n">
        <v>1066.78</v>
      </c>
      <c r="J1060" s="14" t="n">
        <f aca="false">E1060-D1060</f>
        <v>5</v>
      </c>
      <c r="K1060" s="14" t="n">
        <f aca="false">IF(J1060&lt;=0,1,0)</f>
        <v>0</v>
      </c>
      <c r="L1060" s="15" t="n">
        <f aca="false">IFERROR(G1060/F1060,0)</f>
        <v>0.895027624309392</v>
      </c>
      <c r="M1060" s="15" t="n">
        <f aca="false">IFERROR((I1060-H1060)/H1060,0)</f>
        <v>0.018648842205777</v>
      </c>
      <c r="N1060" s="16" t="n">
        <f aca="false">G1060*I1060</f>
        <v>172818.36</v>
      </c>
    </row>
    <row r="1061" customFormat="false" ht="15" hidden="false" customHeight="true" outlineLevel="0" collapsed="false">
      <c r="A1061" s="4" t="s">
        <v>1237</v>
      </c>
      <c r="B1061" s="4" t="s">
        <v>37</v>
      </c>
      <c r="C1061" s="13" t="n">
        <v>45618</v>
      </c>
      <c r="D1061" s="13" t="n">
        <v>45624</v>
      </c>
      <c r="E1061" s="13" t="n">
        <v>45625</v>
      </c>
      <c r="F1061" s="4" t="n">
        <v>2921</v>
      </c>
      <c r="G1061" s="4" t="n">
        <v>2895</v>
      </c>
      <c r="H1061" s="4" t="n">
        <v>22.26</v>
      </c>
      <c r="I1061" s="4" t="n">
        <v>20.66</v>
      </c>
      <c r="J1061" s="14" t="n">
        <f aca="false">E1061-D1061</f>
        <v>1</v>
      </c>
      <c r="K1061" s="14" t="n">
        <f aca="false">IF(J1061&lt;=0,1,0)</f>
        <v>0</v>
      </c>
      <c r="L1061" s="15" t="n">
        <f aca="false">IFERROR(G1061/F1061,0)</f>
        <v>0.991098938719617</v>
      </c>
      <c r="M1061" s="15" t="n">
        <f aca="false">IFERROR((I1061-H1061)/H1061,0)</f>
        <v>-0.0718778077268644</v>
      </c>
      <c r="N1061" s="16" t="n">
        <f aca="false">G1061*I1061</f>
        <v>59810.7</v>
      </c>
    </row>
    <row r="1062" customFormat="false" ht="15" hidden="false" customHeight="true" outlineLevel="0" collapsed="false">
      <c r="A1062" s="4" t="s">
        <v>1238</v>
      </c>
      <c r="B1062" s="4" t="s">
        <v>139</v>
      </c>
      <c r="C1062" s="13" t="n">
        <v>45517</v>
      </c>
      <c r="D1062" s="13" t="n">
        <v>45529</v>
      </c>
      <c r="E1062" s="13" t="n">
        <v>45534</v>
      </c>
      <c r="F1062" s="4" t="n">
        <v>1872</v>
      </c>
      <c r="G1062" s="4" t="n">
        <v>1595</v>
      </c>
      <c r="H1062" s="4" t="n">
        <v>207.64</v>
      </c>
      <c r="I1062" s="4" t="n">
        <v>220.74</v>
      </c>
      <c r="J1062" s="14" t="n">
        <f aca="false">E1062-D1062</f>
        <v>5</v>
      </c>
      <c r="K1062" s="14" t="n">
        <f aca="false">IF(J1062&lt;=0,1,0)</f>
        <v>0</v>
      </c>
      <c r="L1062" s="15" t="n">
        <f aca="false">IFERROR(G1062/F1062,0)</f>
        <v>0.852029914529915</v>
      </c>
      <c r="M1062" s="15" t="n">
        <f aca="false">IFERROR((I1062-H1062)/H1062,0)</f>
        <v>0.0630899633981893</v>
      </c>
      <c r="N1062" s="16" t="n">
        <f aca="false">G1062*I1062</f>
        <v>352080.3</v>
      </c>
    </row>
    <row r="1063" customFormat="false" ht="15" hidden="false" customHeight="true" outlineLevel="0" collapsed="false">
      <c r="A1063" s="4" t="s">
        <v>1239</v>
      </c>
      <c r="B1063" s="4" t="s">
        <v>119</v>
      </c>
      <c r="C1063" s="13" t="n">
        <v>45501</v>
      </c>
      <c r="D1063" s="13" t="n">
        <v>45510</v>
      </c>
      <c r="E1063" s="13" t="n">
        <v>45512</v>
      </c>
      <c r="F1063" s="4" t="n">
        <v>1609</v>
      </c>
      <c r="G1063" s="4" t="n">
        <v>1609</v>
      </c>
      <c r="H1063" s="4" t="n">
        <v>50.92</v>
      </c>
      <c r="I1063" s="4" t="n">
        <v>47.58</v>
      </c>
      <c r="J1063" s="14" t="n">
        <f aca="false">E1063-D1063</f>
        <v>2</v>
      </c>
      <c r="K1063" s="14" t="n">
        <f aca="false">IF(J1063&lt;=0,1,0)</f>
        <v>0</v>
      </c>
      <c r="L1063" s="15" t="n">
        <f aca="false">IFERROR(G1063/F1063,0)</f>
        <v>1</v>
      </c>
      <c r="M1063" s="15" t="n">
        <f aca="false">IFERROR((I1063-H1063)/H1063,0)</f>
        <v>-0.065593087195601</v>
      </c>
      <c r="N1063" s="16" t="n">
        <f aca="false">G1063*I1063</f>
        <v>76556.22</v>
      </c>
    </row>
    <row r="1064" customFormat="false" ht="15" hidden="false" customHeight="true" outlineLevel="0" collapsed="false">
      <c r="A1064" s="4" t="s">
        <v>1240</v>
      </c>
      <c r="B1064" s="4" t="s">
        <v>119</v>
      </c>
      <c r="C1064" s="13" t="n">
        <v>45598</v>
      </c>
      <c r="D1064" s="13" t="n">
        <v>45605</v>
      </c>
      <c r="E1064" s="13" t="n">
        <v>45604</v>
      </c>
      <c r="F1064" s="4" t="n">
        <v>4531</v>
      </c>
      <c r="G1064" s="4" t="n">
        <v>4480</v>
      </c>
      <c r="H1064" s="4" t="n">
        <v>50.92</v>
      </c>
      <c r="I1064" s="4" t="n">
        <v>46.22</v>
      </c>
      <c r="J1064" s="14" t="n">
        <f aca="false">E1064-D1064</f>
        <v>-1</v>
      </c>
      <c r="K1064" s="14" t="n">
        <f aca="false">IF(J1064&lt;=0,1,0)</f>
        <v>1</v>
      </c>
      <c r="L1064" s="15" t="n">
        <f aca="false">IFERROR(G1064/F1064,0)</f>
        <v>0.988744206576915</v>
      </c>
      <c r="M1064" s="15" t="n">
        <f aca="false">IFERROR((I1064-H1064)/H1064,0)</f>
        <v>-0.0923016496465044</v>
      </c>
      <c r="N1064" s="16" t="n">
        <f aca="false">G1064*I1064</f>
        <v>207065.6</v>
      </c>
    </row>
    <row r="1065" customFormat="false" ht="15" hidden="false" customHeight="true" outlineLevel="0" collapsed="false">
      <c r="A1065" s="4" t="s">
        <v>1241</v>
      </c>
      <c r="B1065" s="4" t="s">
        <v>161</v>
      </c>
      <c r="C1065" s="13" t="n">
        <v>45500</v>
      </c>
      <c r="D1065" s="13" t="n">
        <v>45511</v>
      </c>
      <c r="E1065" s="13" t="n">
        <v>45516</v>
      </c>
      <c r="F1065" s="4" t="n">
        <v>1311</v>
      </c>
      <c r="G1065" s="4" t="n">
        <v>1278</v>
      </c>
      <c r="H1065" s="4" t="n">
        <v>101.94</v>
      </c>
      <c r="I1065" s="4" t="n">
        <v>113.4</v>
      </c>
      <c r="J1065" s="14" t="n">
        <f aca="false">E1065-D1065</f>
        <v>5</v>
      </c>
      <c r="K1065" s="14" t="n">
        <f aca="false">IF(J1065&lt;=0,1,0)</f>
        <v>0</v>
      </c>
      <c r="L1065" s="15" t="n">
        <f aca="false">IFERROR(G1065/F1065,0)</f>
        <v>0.974828375286041</v>
      </c>
      <c r="M1065" s="15" t="n">
        <f aca="false">IFERROR((I1065-H1065)/H1065,0)</f>
        <v>0.112419070041201</v>
      </c>
      <c r="N1065" s="16" t="n">
        <f aca="false">G1065*I1065</f>
        <v>144925.2</v>
      </c>
    </row>
    <row r="1066" customFormat="false" ht="15" hidden="false" customHeight="true" outlineLevel="0" collapsed="false">
      <c r="A1066" s="4" t="s">
        <v>1242</v>
      </c>
      <c r="B1066" s="4" t="s">
        <v>79</v>
      </c>
      <c r="C1066" s="13" t="n">
        <v>45627</v>
      </c>
      <c r="D1066" s="13" t="n">
        <v>45646</v>
      </c>
      <c r="E1066" s="13" t="n">
        <v>45647</v>
      </c>
      <c r="F1066" s="4" t="n">
        <v>482</v>
      </c>
      <c r="G1066" s="4" t="n">
        <v>456</v>
      </c>
      <c r="H1066" s="4" t="n">
        <v>821.48</v>
      </c>
      <c r="I1066" s="4" t="n">
        <v>891.75</v>
      </c>
      <c r="J1066" s="14" t="n">
        <f aca="false">E1066-D1066</f>
        <v>1</v>
      </c>
      <c r="K1066" s="14" t="n">
        <f aca="false">IF(J1066&lt;=0,1,0)</f>
        <v>0</v>
      </c>
      <c r="L1066" s="15" t="n">
        <f aca="false">IFERROR(G1066/F1066,0)</f>
        <v>0.946058091286307</v>
      </c>
      <c r="M1066" s="15" t="n">
        <f aca="false">IFERROR((I1066-H1066)/H1066,0)</f>
        <v>0.085540731362906</v>
      </c>
      <c r="N1066" s="16" t="n">
        <f aca="false">G1066*I1066</f>
        <v>406638</v>
      </c>
    </row>
    <row r="1067" customFormat="false" ht="15" hidden="false" customHeight="true" outlineLevel="0" collapsed="false">
      <c r="A1067" s="4" t="s">
        <v>1243</v>
      </c>
      <c r="B1067" s="4" t="s">
        <v>155</v>
      </c>
      <c r="C1067" s="13" t="n">
        <v>45562</v>
      </c>
      <c r="D1067" s="13" t="n">
        <v>45571</v>
      </c>
      <c r="E1067" s="13" t="n">
        <v>45568</v>
      </c>
      <c r="F1067" s="4" t="n">
        <v>3260</v>
      </c>
      <c r="G1067" s="4" t="n">
        <v>3233</v>
      </c>
      <c r="H1067" s="4" t="n">
        <v>24.04</v>
      </c>
      <c r="I1067" s="4" t="n">
        <v>22.93</v>
      </c>
      <c r="J1067" s="14" t="n">
        <f aca="false">E1067-D1067</f>
        <v>-3</v>
      </c>
      <c r="K1067" s="14" t="n">
        <f aca="false">IF(J1067&lt;=0,1,0)</f>
        <v>1</v>
      </c>
      <c r="L1067" s="15" t="n">
        <f aca="false">IFERROR(G1067/F1067,0)</f>
        <v>0.991717791411043</v>
      </c>
      <c r="M1067" s="15" t="n">
        <f aca="false">IFERROR((I1067-H1067)/H1067,0)</f>
        <v>-0.0461730449251248</v>
      </c>
      <c r="N1067" s="16" t="n">
        <f aca="false">G1067*I1067</f>
        <v>74132.69</v>
      </c>
    </row>
    <row r="1068" customFormat="false" ht="15" hidden="false" customHeight="true" outlineLevel="0" collapsed="false">
      <c r="A1068" s="4" t="s">
        <v>1244</v>
      </c>
      <c r="B1068" s="4" t="s">
        <v>127</v>
      </c>
      <c r="C1068" s="13" t="n">
        <v>45508</v>
      </c>
      <c r="D1068" s="13" t="n">
        <v>45514</v>
      </c>
      <c r="E1068" s="13" t="n">
        <v>45518</v>
      </c>
      <c r="F1068" s="4" t="n">
        <v>10</v>
      </c>
      <c r="G1068" s="4" t="n">
        <v>10</v>
      </c>
      <c r="H1068" s="4" t="n">
        <v>1881</v>
      </c>
      <c r="I1068" s="4" t="n">
        <v>1784.83</v>
      </c>
      <c r="J1068" s="14" t="n">
        <f aca="false">E1068-D1068</f>
        <v>4</v>
      </c>
      <c r="K1068" s="14" t="n">
        <f aca="false">IF(J1068&lt;=0,1,0)</f>
        <v>0</v>
      </c>
      <c r="L1068" s="15" t="n">
        <f aca="false">IFERROR(G1068/F1068,0)</f>
        <v>1</v>
      </c>
      <c r="M1068" s="15" t="n">
        <f aca="false">IFERROR((I1068-H1068)/H1068,0)</f>
        <v>-0.0511270600744285</v>
      </c>
      <c r="N1068" s="16" t="n">
        <f aca="false">G1068*I1068</f>
        <v>17848.3</v>
      </c>
    </row>
    <row r="1069" customFormat="false" ht="15" hidden="false" customHeight="true" outlineLevel="0" collapsed="false">
      <c r="A1069" s="4" t="s">
        <v>1245</v>
      </c>
      <c r="B1069" s="4" t="s">
        <v>163</v>
      </c>
      <c r="C1069" s="13" t="n">
        <v>45219</v>
      </c>
      <c r="D1069" s="13" t="n">
        <v>45237</v>
      </c>
      <c r="E1069" s="13" t="n">
        <v>45239</v>
      </c>
      <c r="F1069" s="4" t="n">
        <v>323</v>
      </c>
      <c r="G1069" s="4" t="n">
        <v>311</v>
      </c>
      <c r="H1069" s="4" t="n">
        <v>482.79</v>
      </c>
      <c r="I1069" s="4" t="n">
        <v>494.14</v>
      </c>
      <c r="J1069" s="14" t="n">
        <f aca="false">E1069-D1069</f>
        <v>2</v>
      </c>
      <c r="K1069" s="14" t="n">
        <f aca="false">IF(J1069&lt;=0,1,0)</f>
        <v>0</v>
      </c>
      <c r="L1069" s="15" t="n">
        <f aca="false">IFERROR(G1069/F1069,0)</f>
        <v>0.962848297213622</v>
      </c>
      <c r="M1069" s="15" t="n">
        <f aca="false">IFERROR((I1069-H1069)/H1069,0)</f>
        <v>0.023509186188612</v>
      </c>
      <c r="N1069" s="16" t="n">
        <f aca="false">G1069*I1069</f>
        <v>153677.54</v>
      </c>
    </row>
    <row r="1070" customFormat="false" ht="15" hidden="false" customHeight="true" outlineLevel="0" collapsed="false">
      <c r="A1070" s="4" t="s">
        <v>1246</v>
      </c>
      <c r="B1070" s="4" t="s">
        <v>85</v>
      </c>
      <c r="C1070" s="13" t="n">
        <v>45037</v>
      </c>
      <c r="D1070" s="13" t="n">
        <v>45048</v>
      </c>
      <c r="E1070" s="13" t="n">
        <v>45046</v>
      </c>
      <c r="F1070" s="4" t="n">
        <v>451</v>
      </c>
      <c r="G1070" s="4" t="n">
        <v>441</v>
      </c>
      <c r="H1070" s="4" t="n">
        <v>241.88</v>
      </c>
      <c r="I1070" s="4" t="n">
        <v>235.18</v>
      </c>
      <c r="J1070" s="14" t="n">
        <f aca="false">E1070-D1070</f>
        <v>-2</v>
      </c>
      <c r="K1070" s="14" t="n">
        <f aca="false">IF(J1070&lt;=0,1,0)</f>
        <v>1</v>
      </c>
      <c r="L1070" s="15" t="n">
        <f aca="false">IFERROR(G1070/F1070,0)</f>
        <v>0.977827050997783</v>
      </c>
      <c r="M1070" s="15" t="n">
        <f aca="false">IFERROR((I1070-H1070)/H1070,0)</f>
        <v>-0.0276996857946089</v>
      </c>
      <c r="N1070" s="16" t="n">
        <f aca="false">G1070*I1070</f>
        <v>103714.38</v>
      </c>
    </row>
    <row r="1071" customFormat="false" ht="15" hidden="false" customHeight="true" outlineLevel="0" collapsed="false">
      <c r="A1071" s="4" t="s">
        <v>1247</v>
      </c>
      <c r="B1071" s="4" t="s">
        <v>137</v>
      </c>
      <c r="C1071" s="13" t="n">
        <v>45449</v>
      </c>
      <c r="D1071" s="13" t="n">
        <v>45468</v>
      </c>
      <c r="E1071" s="13" t="n">
        <v>45468</v>
      </c>
      <c r="F1071" s="4" t="n">
        <v>302</v>
      </c>
      <c r="G1071" s="4" t="n">
        <v>284</v>
      </c>
      <c r="H1071" s="4" t="n">
        <v>1047.25</v>
      </c>
      <c r="I1071" s="4" t="n">
        <v>1088.77</v>
      </c>
      <c r="J1071" s="14" t="n">
        <f aca="false">E1071-D1071</f>
        <v>0</v>
      </c>
      <c r="K1071" s="14" t="n">
        <f aca="false">IF(J1071&lt;=0,1,0)</f>
        <v>1</v>
      </c>
      <c r="L1071" s="15" t="n">
        <f aca="false">IFERROR(G1071/F1071,0)</f>
        <v>0.940397350993378</v>
      </c>
      <c r="M1071" s="15" t="n">
        <f aca="false">IFERROR((I1071-H1071)/H1071,0)</f>
        <v>0.0396466937216519</v>
      </c>
      <c r="N1071" s="16" t="n">
        <f aca="false">G1071*I1071</f>
        <v>309210.68</v>
      </c>
    </row>
    <row r="1072" customFormat="false" ht="15" hidden="false" customHeight="true" outlineLevel="0" collapsed="false">
      <c r="A1072" s="4" t="s">
        <v>1248</v>
      </c>
      <c r="B1072" s="4" t="s">
        <v>153</v>
      </c>
      <c r="C1072" s="13" t="n">
        <v>45060</v>
      </c>
      <c r="D1072" s="13" t="n">
        <v>45080</v>
      </c>
      <c r="E1072" s="13" t="n">
        <v>45083</v>
      </c>
      <c r="F1072" s="4" t="n">
        <v>374</v>
      </c>
      <c r="G1072" s="4" t="n">
        <v>353</v>
      </c>
      <c r="H1072" s="4" t="n">
        <v>1492.04</v>
      </c>
      <c r="I1072" s="4" t="n">
        <v>1492.61</v>
      </c>
      <c r="J1072" s="14" t="n">
        <f aca="false">E1072-D1072</f>
        <v>3</v>
      </c>
      <c r="K1072" s="14" t="n">
        <f aca="false">IF(J1072&lt;=0,1,0)</f>
        <v>0</v>
      </c>
      <c r="L1072" s="15" t="n">
        <f aca="false">IFERROR(G1072/F1072,0)</f>
        <v>0.943850267379679</v>
      </c>
      <c r="M1072" s="15" t="n">
        <f aca="false">IFERROR((I1072-H1072)/H1072,0)</f>
        <v>0.000382027291493483</v>
      </c>
      <c r="N1072" s="16" t="n">
        <f aca="false">G1072*I1072</f>
        <v>526891.33</v>
      </c>
    </row>
    <row r="1073" customFormat="false" ht="15" hidden="false" customHeight="true" outlineLevel="0" collapsed="false">
      <c r="A1073" s="4" t="s">
        <v>1249</v>
      </c>
      <c r="B1073" s="4" t="s">
        <v>41</v>
      </c>
      <c r="C1073" s="13" t="n">
        <v>45572</v>
      </c>
      <c r="D1073" s="13" t="n">
        <v>45580</v>
      </c>
      <c r="E1073" s="13" t="n">
        <v>45583</v>
      </c>
      <c r="F1073" s="4" t="n">
        <v>3045</v>
      </c>
      <c r="G1073" s="4" t="n">
        <v>3045</v>
      </c>
      <c r="H1073" s="4" t="n">
        <v>45.51</v>
      </c>
      <c r="I1073" s="4" t="n">
        <v>44.33</v>
      </c>
      <c r="J1073" s="14" t="n">
        <f aca="false">E1073-D1073</f>
        <v>3</v>
      </c>
      <c r="K1073" s="14" t="n">
        <f aca="false">IF(J1073&lt;=0,1,0)</f>
        <v>0</v>
      </c>
      <c r="L1073" s="15" t="n">
        <f aca="false">IFERROR(G1073/F1073,0)</f>
        <v>1</v>
      </c>
      <c r="M1073" s="15" t="n">
        <f aca="false">IFERROR((I1073-H1073)/H1073,0)</f>
        <v>-0.025928367391782</v>
      </c>
      <c r="N1073" s="16" t="n">
        <f aca="false">G1073*I1073</f>
        <v>134984.85</v>
      </c>
    </row>
    <row r="1074" customFormat="false" ht="15" hidden="false" customHeight="true" outlineLevel="0" collapsed="false">
      <c r="A1074" s="4" t="s">
        <v>1250</v>
      </c>
      <c r="B1074" s="4" t="s">
        <v>58</v>
      </c>
      <c r="C1074" s="13" t="n">
        <v>45546</v>
      </c>
      <c r="D1074" s="13" t="n">
        <v>45559</v>
      </c>
      <c r="E1074" s="13" t="n">
        <v>45556</v>
      </c>
      <c r="F1074" s="4" t="n">
        <v>134</v>
      </c>
      <c r="G1074" s="4" t="n">
        <v>133</v>
      </c>
      <c r="H1074" s="4" t="n">
        <v>135.68</v>
      </c>
      <c r="I1074" s="4" t="n">
        <v>144.34</v>
      </c>
      <c r="J1074" s="14" t="n">
        <f aca="false">E1074-D1074</f>
        <v>-3</v>
      </c>
      <c r="K1074" s="14" t="n">
        <f aca="false">IF(J1074&lt;=0,1,0)</f>
        <v>1</v>
      </c>
      <c r="L1074" s="15" t="n">
        <f aca="false">IFERROR(G1074/F1074,0)</f>
        <v>0.992537313432836</v>
      </c>
      <c r="M1074" s="15" t="n">
        <f aca="false">IFERROR((I1074-H1074)/H1074,0)</f>
        <v>0.0638266509433962</v>
      </c>
      <c r="N1074" s="16" t="n">
        <f aca="false">G1074*I1074</f>
        <v>19197.22</v>
      </c>
    </row>
    <row r="1075" customFormat="false" ht="15" hidden="false" customHeight="true" outlineLevel="0" collapsed="false">
      <c r="A1075" s="4" t="s">
        <v>1251</v>
      </c>
      <c r="B1075" s="4" t="s">
        <v>143</v>
      </c>
      <c r="C1075" s="13" t="n">
        <v>45184</v>
      </c>
      <c r="D1075" s="13" t="n">
        <v>45191</v>
      </c>
      <c r="E1075" s="13" t="n">
        <v>45207</v>
      </c>
      <c r="F1075" s="4" t="n">
        <v>1537</v>
      </c>
      <c r="G1075" s="4" t="n">
        <v>1439</v>
      </c>
      <c r="H1075" s="4" t="n">
        <v>20.6</v>
      </c>
      <c r="I1075" s="4" t="n">
        <v>21.39</v>
      </c>
      <c r="J1075" s="14" t="n">
        <f aca="false">E1075-D1075</f>
        <v>16</v>
      </c>
      <c r="K1075" s="14" t="n">
        <f aca="false">IF(J1075&lt;=0,1,0)</f>
        <v>0</v>
      </c>
      <c r="L1075" s="15" t="n">
        <f aca="false">IFERROR(G1075/F1075,0)</f>
        <v>0.936239427456083</v>
      </c>
      <c r="M1075" s="15" t="n">
        <f aca="false">IFERROR((I1075-H1075)/H1075,0)</f>
        <v>0.0383495145631068</v>
      </c>
      <c r="N1075" s="16" t="n">
        <f aca="false">G1075*I1075</f>
        <v>30780.21</v>
      </c>
    </row>
    <row r="1076" customFormat="false" ht="15" hidden="false" customHeight="true" outlineLevel="0" collapsed="false">
      <c r="A1076" s="4" t="s">
        <v>1252</v>
      </c>
      <c r="B1076" s="4" t="s">
        <v>97</v>
      </c>
      <c r="C1076" s="13" t="n">
        <v>45259</v>
      </c>
      <c r="D1076" s="13" t="n">
        <v>45268</v>
      </c>
      <c r="E1076" s="13" t="n">
        <v>45272</v>
      </c>
      <c r="F1076" s="4" t="n">
        <v>1195</v>
      </c>
      <c r="G1076" s="4" t="n">
        <v>1195</v>
      </c>
      <c r="H1076" s="4" t="n">
        <v>123.04</v>
      </c>
      <c r="I1076" s="4" t="n">
        <v>124.48</v>
      </c>
      <c r="J1076" s="14" t="n">
        <f aca="false">E1076-D1076</f>
        <v>4</v>
      </c>
      <c r="K1076" s="14" t="n">
        <f aca="false">IF(J1076&lt;=0,1,0)</f>
        <v>0</v>
      </c>
      <c r="L1076" s="15" t="n">
        <f aca="false">IFERROR(G1076/F1076,0)</f>
        <v>1</v>
      </c>
      <c r="M1076" s="15" t="n">
        <f aca="false">IFERROR((I1076-H1076)/H1076,0)</f>
        <v>0.011703511053316</v>
      </c>
      <c r="N1076" s="16" t="n">
        <f aca="false">G1076*I1076</f>
        <v>148753.6</v>
      </c>
    </row>
    <row r="1077" customFormat="false" ht="15" hidden="false" customHeight="true" outlineLevel="0" collapsed="false">
      <c r="A1077" s="4" t="s">
        <v>1253</v>
      </c>
      <c r="B1077" s="4" t="s">
        <v>151</v>
      </c>
      <c r="C1077" s="13" t="n">
        <v>45412</v>
      </c>
      <c r="D1077" s="13" t="n">
        <v>45417</v>
      </c>
      <c r="E1077" s="13" t="n">
        <v>45417</v>
      </c>
      <c r="F1077" s="4" t="n">
        <v>14</v>
      </c>
      <c r="G1077" s="4" t="n">
        <v>14</v>
      </c>
      <c r="H1077" s="4" t="n">
        <v>503.46</v>
      </c>
      <c r="I1077" s="4" t="n">
        <v>523.56</v>
      </c>
      <c r="J1077" s="14" t="n">
        <f aca="false">E1077-D1077</f>
        <v>0</v>
      </c>
      <c r="K1077" s="14" t="n">
        <f aca="false">IF(J1077&lt;=0,1,0)</f>
        <v>1</v>
      </c>
      <c r="L1077" s="15" t="n">
        <f aca="false">IFERROR(G1077/F1077,0)</f>
        <v>1</v>
      </c>
      <c r="M1077" s="15" t="n">
        <f aca="false">IFERROR((I1077-H1077)/H1077,0)</f>
        <v>0.039923727803599</v>
      </c>
      <c r="N1077" s="16" t="n">
        <f aca="false">G1077*I1077</f>
        <v>7329.84</v>
      </c>
    </row>
    <row r="1078" customFormat="false" ht="15" hidden="false" customHeight="true" outlineLevel="0" collapsed="false">
      <c r="A1078" s="4" t="s">
        <v>1254</v>
      </c>
      <c r="B1078" s="4" t="s">
        <v>133</v>
      </c>
      <c r="C1078" s="13" t="n">
        <v>45042</v>
      </c>
      <c r="D1078" s="13" t="n">
        <v>45051</v>
      </c>
      <c r="E1078" s="13" t="n">
        <v>45054</v>
      </c>
      <c r="F1078" s="4" t="n">
        <v>1381</v>
      </c>
      <c r="G1078" s="4" t="n">
        <v>1325</v>
      </c>
      <c r="H1078" s="4" t="n">
        <v>138.21</v>
      </c>
      <c r="I1078" s="4" t="n">
        <v>138.05</v>
      </c>
      <c r="J1078" s="14" t="n">
        <f aca="false">E1078-D1078</f>
        <v>3</v>
      </c>
      <c r="K1078" s="14" t="n">
        <f aca="false">IF(J1078&lt;=0,1,0)</f>
        <v>0</v>
      </c>
      <c r="L1078" s="15" t="n">
        <f aca="false">IFERROR(G1078/F1078,0)</f>
        <v>0.959449674149167</v>
      </c>
      <c r="M1078" s="15" t="n">
        <f aca="false">IFERROR((I1078-H1078)/H1078,0)</f>
        <v>-0.00115765863540986</v>
      </c>
      <c r="N1078" s="16" t="n">
        <f aca="false">G1078*I1078</f>
        <v>182916.25</v>
      </c>
    </row>
    <row r="1079" customFormat="false" ht="15" hidden="false" customHeight="true" outlineLevel="0" collapsed="false">
      <c r="A1079" s="4" t="s">
        <v>1255</v>
      </c>
      <c r="B1079" s="4" t="s">
        <v>43</v>
      </c>
      <c r="C1079" s="13" t="n">
        <v>45178</v>
      </c>
      <c r="D1079" s="13" t="n">
        <v>45196</v>
      </c>
      <c r="E1079" s="13" t="n">
        <v>45198</v>
      </c>
      <c r="F1079" s="4" t="n">
        <v>454</v>
      </c>
      <c r="G1079" s="4" t="n">
        <v>443</v>
      </c>
      <c r="H1079" s="4" t="n">
        <v>1321.6</v>
      </c>
      <c r="I1079" s="4" t="n">
        <v>1326.31</v>
      </c>
      <c r="J1079" s="14" t="n">
        <f aca="false">E1079-D1079</f>
        <v>2</v>
      </c>
      <c r="K1079" s="14" t="n">
        <f aca="false">IF(J1079&lt;=0,1,0)</f>
        <v>0</v>
      </c>
      <c r="L1079" s="15" t="n">
        <f aca="false">IFERROR(G1079/F1079,0)</f>
        <v>0.975770925110132</v>
      </c>
      <c r="M1079" s="15" t="n">
        <f aca="false">IFERROR((I1079-H1079)/H1079,0)</f>
        <v>0.00356386198547218</v>
      </c>
      <c r="N1079" s="16" t="n">
        <f aca="false">G1079*I1079</f>
        <v>587555.33</v>
      </c>
    </row>
    <row r="1080" customFormat="false" ht="15" hidden="false" customHeight="true" outlineLevel="0" collapsed="false">
      <c r="A1080" s="4" t="s">
        <v>1256</v>
      </c>
      <c r="B1080" s="4" t="s">
        <v>159</v>
      </c>
      <c r="C1080" s="13" t="n">
        <v>45236</v>
      </c>
      <c r="D1080" s="13" t="n">
        <v>45243</v>
      </c>
      <c r="E1080" s="13" t="n">
        <v>45244</v>
      </c>
      <c r="F1080" s="4" t="n">
        <v>4299</v>
      </c>
      <c r="G1080" s="4" t="n">
        <v>4105</v>
      </c>
      <c r="H1080" s="4" t="n">
        <v>32.91</v>
      </c>
      <c r="I1080" s="4" t="n">
        <v>33.14</v>
      </c>
      <c r="J1080" s="14" t="n">
        <f aca="false">E1080-D1080</f>
        <v>1</v>
      </c>
      <c r="K1080" s="14" t="n">
        <f aca="false">IF(J1080&lt;=0,1,0)</f>
        <v>0</v>
      </c>
      <c r="L1080" s="15" t="n">
        <f aca="false">IFERROR(G1080/F1080,0)</f>
        <v>0.954873226331705</v>
      </c>
      <c r="M1080" s="15" t="n">
        <f aca="false">IFERROR((I1080-H1080)/H1080,0)</f>
        <v>0.0069887572166516</v>
      </c>
      <c r="N1080" s="16" t="n">
        <f aca="false">G1080*I1080</f>
        <v>136039.7</v>
      </c>
    </row>
    <row r="1081" customFormat="false" ht="15" hidden="false" customHeight="true" outlineLevel="0" collapsed="false">
      <c r="A1081" s="4" t="s">
        <v>1257</v>
      </c>
      <c r="B1081" s="4" t="s">
        <v>52</v>
      </c>
      <c r="C1081" s="13" t="n">
        <v>45154</v>
      </c>
      <c r="D1081" s="13" t="n">
        <v>45166</v>
      </c>
      <c r="E1081" s="13" t="n">
        <v>45173</v>
      </c>
      <c r="F1081" s="4" t="n">
        <v>1997</v>
      </c>
      <c r="G1081" s="4" t="n">
        <v>1721</v>
      </c>
      <c r="H1081" s="4" t="n">
        <v>170.24</v>
      </c>
      <c r="I1081" s="4" t="n">
        <v>171.24</v>
      </c>
      <c r="J1081" s="14" t="n">
        <f aca="false">E1081-D1081</f>
        <v>7</v>
      </c>
      <c r="K1081" s="14" t="n">
        <f aca="false">IF(J1081&lt;=0,1,0)</f>
        <v>0</v>
      </c>
      <c r="L1081" s="15" t="n">
        <f aca="false">IFERROR(G1081/F1081,0)</f>
        <v>0.86179268903355</v>
      </c>
      <c r="M1081" s="15" t="n">
        <f aca="false">IFERROR((I1081-H1081)/H1081,0)</f>
        <v>0.00587406015037594</v>
      </c>
      <c r="N1081" s="16" t="n">
        <f aca="false">G1081*I1081</f>
        <v>294704.04</v>
      </c>
    </row>
    <row r="1082" customFormat="false" ht="15" hidden="false" customHeight="true" outlineLevel="0" collapsed="false">
      <c r="A1082" s="4" t="s">
        <v>1258</v>
      </c>
      <c r="B1082" s="4" t="s">
        <v>89</v>
      </c>
      <c r="C1082" s="13" t="n">
        <v>45276</v>
      </c>
      <c r="D1082" s="13" t="n">
        <v>45280</v>
      </c>
      <c r="E1082" s="13" t="n">
        <v>45283</v>
      </c>
      <c r="F1082" s="4" t="n">
        <v>6</v>
      </c>
      <c r="G1082" s="4" t="n">
        <v>6</v>
      </c>
      <c r="H1082" s="4" t="n">
        <v>1929.81</v>
      </c>
      <c r="I1082" s="4" t="n">
        <v>1913.25</v>
      </c>
      <c r="J1082" s="14" t="n">
        <f aca="false">E1082-D1082</f>
        <v>3</v>
      </c>
      <c r="K1082" s="14" t="n">
        <f aca="false">IF(J1082&lt;=0,1,0)</f>
        <v>0</v>
      </c>
      <c r="L1082" s="15" t="n">
        <f aca="false">IFERROR(G1082/F1082,0)</f>
        <v>1</v>
      </c>
      <c r="M1082" s="15" t="n">
        <f aca="false">IFERROR((I1082-H1082)/H1082,0)</f>
        <v>-0.00858115565781084</v>
      </c>
      <c r="N1082" s="16" t="n">
        <f aca="false">G1082*I1082</f>
        <v>11479.5</v>
      </c>
    </row>
    <row r="1083" customFormat="false" ht="15" hidden="false" customHeight="true" outlineLevel="0" collapsed="false">
      <c r="A1083" s="4" t="s">
        <v>1259</v>
      </c>
      <c r="B1083" s="4" t="s">
        <v>125</v>
      </c>
      <c r="C1083" s="13" t="n">
        <v>45579</v>
      </c>
      <c r="D1083" s="13" t="n">
        <v>45585</v>
      </c>
      <c r="E1083" s="13" t="n">
        <v>45585</v>
      </c>
      <c r="F1083" s="4" t="n">
        <v>5</v>
      </c>
      <c r="G1083" s="4" t="n">
        <v>4</v>
      </c>
      <c r="H1083" s="4" t="n">
        <v>729.32</v>
      </c>
      <c r="I1083" s="4" t="n">
        <v>749.02</v>
      </c>
      <c r="J1083" s="14" t="n">
        <f aca="false">E1083-D1083</f>
        <v>0</v>
      </c>
      <c r="K1083" s="14" t="n">
        <f aca="false">IF(J1083&lt;=0,1,0)</f>
        <v>1</v>
      </c>
      <c r="L1083" s="15" t="n">
        <f aca="false">IFERROR(G1083/F1083,0)</f>
        <v>0.8</v>
      </c>
      <c r="M1083" s="15" t="n">
        <f aca="false">IFERROR((I1083-H1083)/H1083,0)</f>
        <v>0.0270114627324082</v>
      </c>
      <c r="N1083" s="16" t="n">
        <f aca="false">G1083*I1083</f>
        <v>2996.08</v>
      </c>
    </row>
    <row r="1084" customFormat="false" ht="15" hidden="false" customHeight="true" outlineLevel="0" collapsed="false">
      <c r="A1084" s="4" t="s">
        <v>1260</v>
      </c>
      <c r="B1084" s="4" t="s">
        <v>133</v>
      </c>
      <c r="C1084" s="13" t="n">
        <v>45306</v>
      </c>
      <c r="D1084" s="13" t="n">
        <v>45317</v>
      </c>
      <c r="E1084" s="13" t="n">
        <v>45322</v>
      </c>
      <c r="F1084" s="4" t="n">
        <v>392</v>
      </c>
      <c r="G1084" s="4" t="n">
        <v>371</v>
      </c>
      <c r="H1084" s="4" t="n">
        <v>138.21</v>
      </c>
      <c r="I1084" s="4" t="n">
        <v>141.18</v>
      </c>
      <c r="J1084" s="14" t="n">
        <f aca="false">E1084-D1084</f>
        <v>5</v>
      </c>
      <c r="K1084" s="14" t="n">
        <f aca="false">IF(J1084&lt;=0,1,0)</f>
        <v>0</v>
      </c>
      <c r="L1084" s="15" t="n">
        <f aca="false">IFERROR(G1084/F1084,0)</f>
        <v>0.946428571428571</v>
      </c>
      <c r="M1084" s="15" t="n">
        <f aca="false">IFERROR((I1084-H1084)/H1084,0)</f>
        <v>0.021489038419796</v>
      </c>
      <c r="N1084" s="16" t="n">
        <f aca="false">G1084*I1084</f>
        <v>52377.78</v>
      </c>
    </row>
    <row r="1085" customFormat="false" ht="15" hidden="false" customHeight="true" outlineLevel="0" collapsed="false">
      <c r="A1085" s="4" t="s">
        <v>1261</v>
      </c>
      <c r="B1085" s="4" t="s">
        <v>111</v>
      </c>
      <c r="C1085" s="13" t="n">
        <v>45161</v>
      </c>
      <c r="D1085" s="13" t="n">
        <v>45172</v>
      </c>
      <c r="E1085" s="13" t="n">
        <v>45182</v>
      </c>
      <c r="F1085" s="4" t="n">
        <v>484</v>
      </c>
      <c r="G1085" s="4" t="n">
        <v>463</v>
      </c>
      <c r="H1085" s="4" t="n">
        <v>148.08</v>
      </c>
      <c r="I1085" s="4" t="n">
        <v>144.19</v>
      </c>
      <c r="J1085" s="14" t="n">
        <f aca="false">E1085-D1085</f>
        <v>10</v>
      </c>
      <c r="K1085" s="14" t="n">
        <f aca="false">IF(J1085&lt;=0,1,0)</f>
        <v>0</v>
      </c>
      <c r="L1085" s="15" t="n">
        <f aca="false">IFERROR(G1085/F1085,0)</f>
        <v>0.956611570247934</v>
      </c>
      <c r="M1085" s="15" t="n">
        <f aca="false">IFERROR((I1085-H1085)/H1085,0)</f>
        <v>-0.0262695840086441</v>
      </c>
      <c r="N1085" s="16" t="n">
        <f aca="false">G1085*I1085</f>
        <v>66759.97</v>
      </c>
    </row>
    <row r="1086" customFormat="false" ht="15" hidden="false" customHeight="true" outlineLevel="0" collapsed="false">
      <c r="A1086" s="4" t="s">
        <v>1262</v>
      </c>
      <c r="B1086" s="4" t="s">
        <v>79</v>
      </c>
      <c r="C1086" s="13" t="n">
        <v>45133</v>
      </c>
      <c r="D1086" s="13" t="n">
        <v>45152</v>
      </c>
      <c r="E1086" s="13" t="n">
        <v>45150</v>
      </c>
      <c r="F1086" s="4" t="n">
        <v>131</v>
      </c>
      <c r="G1086" s="4" t="n">
        <v>127</v>
      </c>
      <c r="H1086" s="4" t="n">
        <v>821.48</v>
      </c>
      <c r="I1086" s="4" t="n">
        <v>833.93</v>
      </c>
      <c r="J1086" s="14" t="n">
        <f aca="false">E1086-D1086</f>
        <v>-2</v>
      </c>
      <c r="K1086" s="14" t="n">
        <f aca="false">IF(J1086&lt;=0,1,0)</f>
        <v>1</v>
      </c>
      <c r="L1086" s="15" t="n">
        <f aca="false">IFERROR(G1086/F1086,0)</f>
        <v>0.969465648854962</v>
      </c>
      <c r="M1086" s="15" t="n">
        <f aca="false">IFERROR((I1086-H1086)/H1086,0)</f>
        <v>0.0151555728684812</v>
      </c>
      <c r="N1086" s="16" t="n">
        <f aca="false">G1086*I1086</f>
        <v>105909.11</v>
      </c>
    </row>
    <row r="1087" customFormat="false" ht="15" hidden="false" customHeight="true" outlineLevel="0" collapsed="false">
      <c r="A1087" s="4" t="s">
        <v>1263</v>
      </c>
      <c r="B1087" s="4" t="s">
        <v>137</v>
      </c>
      <c r="C1087" s="13" t="n">
        <v>45165</v>
      </c>
      <c r="D1087" s="13" t="n">
        <v>45182</v>
      </c>
      <c r="E1087" s="13" t="n">
        <v>45178</v>
      </c>
      <c r="F1087" s="4" t="n">
        <v>181</v>
      </c>
      <c r="G1087" s="4" t="n">
        <v>166</v>
      </c>
      <c r="H1087" s="4" t="n">
        <v>1047.25</v>
      </c>
      <c r="I1087" s="4" t="n">
        <v>1070.26</v>
      </c>
      <c r="J1087" s="14" t="n">
        <f aca="false">E1087-D1087</f>
        <v>-4</v>
      </c>
      <c r="K1087" s="14" t="n">
        <f aca="false">IF(J1087&lt;=0,1,0)</f>
        <v>1</v>
      </c>
      <c r="L1087" s="15" t="n">
        <f aca="false">IFERROR(G1087/F1087,0)</f>
        <v>0.917127071823204</v>
      </c>
      <c r="M1087" s="15" t="n">
        <f aca="false">IFERROR((I1087-H1087)/H1087,0)</f>
        <v>0.0219718309859155</v>
      </c>
      <c r="N1087" s="16" t="n">
        <f aca="false">G1087*I1087</f>
        <v>177663.16</v>
      </c>
    </row>
    <row r="1088" customFormat="false" ht="15" hidden="false" customHeight="true" outlineLevel="0" collapsed="false">
      <c r="A1088" s="4" t="s">
        <v>1264</v>
      </c>
      <c r="B1088" s="4" t="s">
        <v>52</v>
      </c>
      <c r="C1088" s="13" t="n">
        <v>45301</v>
      </c>
      <c r="D1088" s="13" t="n">
        <v>45312</v>
      </c>
      <c r="E1088" s="13" t="n">
        <v>45318</v>
      </c>
      <c r="F1088" s="4" t="n">
        <v>818</v>
      </c>
      <c r="G1088" s="4" t="n">
        <v>661</v>
      </c>
      <c r="H1088" s="4" t="n">
        <v>170.24</v>
      </c>
      <c r="I1088" s="4" t="n">
        <v>175.01</v>
      </c>
      <c r="J1088" s="14" t="n">
        <f aca="false">E1088-D1088</f>
        <v>6</v>
      </c>
      <c r="K1088" s="14" t="n">
        <f aca="false">IF(J1088&lt;=0,1,0)</f>
        <v>0</v>
      </c>
      <c r="L1088" s="15" t="n">
        <f aca="false">IFERROR(G1088/F1088,0)</f>
        <v>0.808068459657702</v>
      </c>
      <c r="M1088" s="15" t="n">
        <f aca="false">IFERROR((I1088-H1088)/H1088,0)</f>
        <v>0.0280192669172931</v>
      </c>
      <c r="N1088" s="16" t="n">
        <f aca="false">G1088*I1088</f>
        <v>115681.61</v>
      </c>
    </row>
    <row r="1089" customFormat="false" ht="15" hidden="false" customHeight="true" outlineLevel="0" collapsed="false">
      <c r="A1089" s="4" t="s">
        <v>1265</v>
      </c>
      <c r="B1089" s="4" t="s">
        <v>107</v>
      </c>
      <c r="C1089" s="13" t="n">
        <v>45061</v>
      </c>
      <c r="D1089" s="13" t="n">
        <v>45068</v>
      </c>
      <c r="E1089" s="13" t="n">
        <v>45073</v>
      </c>
      <c r="F1089" s="4" t="n">
        <v>1694</v>
      </c>
      <c r="G1089" s="4" t="n">
        <v>1694</v>
      </c>
      <c r="H1089" s="4" t="n">
        <v>40.41</v>
      </c>
      <c r="I1089" s="4" t="n">
        <v>40.43</v>
      </c>
      <c r="J1089" s="14" t="n">
        <f aca="false">E1089-D1089</f>
        <v>5</v>
      </c>
      <c r="K1089" s="14" t="n">
        <f aca="false">IF(J1089&lt;=0,1,0)</f>
        <v>0</v>
      </c>
      <c r="L1089" s="15" t="n">
        <f aca="false">IFERROR(G1089/F1089,0)</f>
        <v>1</v>
      </c>
      <c r="M1089" s="15" t="n">
        <f aca="false">IFERROR((I1089-H1089)/H1089,0)</f>
        <v>0.000494926998267833</v>
      </c>
      <c r="N1089" s="16" t="n">
        <f aca="false">G1089*I1089</f>
        <v>68488.42</v>
      </c>
    </row>
    <row r="1090" customFormat="false" ht="15" hidden="false" customHeight="true" outlineLevel="0" collapsed="false">
      <c r="A1090" s="4" t="s">
        <v>1266</v>
      </c>
      <c r="B1090" s="4" t="s">
        <v>151</v>
      </c>
      <c r="C1090" s="13" t="n">
        <v>45029</v>
      </c>
      <c r="D1090" s="13" t="n">
        <v>45035</v>
      </c>
      <c r="E1090" s="13" t="n">
        <v>45036</v>
      </c>
      <c r="F1090" s="4" t="n">
        <v>13</v>
      </c>
      <c r="G1090" s="4" t="n">
        <v>12</v>
      </c>
      <c r="H1090" s="4" t="n">
        <v>503.46</v>
      </c>
      <c r="I1090" s="4" t="n">
        <v>508.55</v>
      </c>
      <c r="J1090" s="14" t="n">
        <f aca="false">E1090-D1090</f>
        <v>1</v>
      </c>
      <c r="K1090" s="14" t="n">
        <f aca="false">IF(J1090&lt;=0,1,0)</f>
        <v>0</v>
      </c>
      <c r="L1090" s="15" t="n">
        <f aca="false">IFERROR(G1090/F1090,0)</f>
        <v>0.923076923076923</v>
      </c>
      <c r="M1090" s="15" t="n">
        <f aca="false">IFERROR((I1090-H1090)/H1090,0)</f>
        <v>0.0101100385333493</v>
      </c>
      <c r="N1090" s="16" t="n">
        <f aca="false">G1090*I1090</f>
        <v>6102.6</v>
      </c>
    </row>
    <row r="1091" customFormat="false" ht="15" hidden="false" customHeight="true" outlineLevel="0" collapsed="false">
      <c r="A1091" s="4" t="s">
        <v>1267</v>
      </c>
      <c r="B1091" s="4" t="s">
        <v>143</v>
      </c>
      <c r="C1091" s="13" t="n">
        <v>45438</v>
      </c>
      <c r="D1091" s="13" t="n">
        <v>45444</v>
      </c>
      <c r="E1091" s="13" t="n">
        <v>45458</v>
      </c>
      <c r="F1091" s="4" t="n">
        <v>4643</v>
      </c>
      <c r="G1091" s="4" t="n">
        <v>4336</v>
      </c>
      <c r="H1091" s="4" t="n">
        <v>20.6</v>
      </c>
      <c r="I1091" s="4" t="n">
        <v>21.71</v>
      </c>
      <c r="J1091" s="14" t="n">
        <f aca="false">E1091-D1091</f>
        <v>14</v>
      </c>
      <c r="K1091" s="14" t="n">
        <f aca="false">IF(J1091&lt;=0,1,0)</f>
        <v>0</v>
      </c>
      <c r="L1091" s="15" t="n">
        <f aca="false">IFERROR(G1091/F1091,0)</f>
        <v>0.933878957570536</v>
      </c>
      <c r="M1091" s="15" t="n">
        <f aca="false">IFERROR((I1091-H1091)/H1091,0)</f>
        <v>0.053883495145631</v>
      </c>
      <c r="N1091" s="16" t="n">
        <f aca="false">G1091*I1091</f>
        <v>94134.56</v>
      </c>
    </row>
    <row r="1092" customFormat="false" ht="15" hidden="false" customHeight="true" outlineLevel="0" collapsed="false">
      <c r="A1092" s="4" t="s">
        <v>1268</v>
      </c>
      <c r="B1092" s="4" t="s">
        <v>157</v>
      </c>
      <c r="C1092" s="13" t="n">
        <v>45190</v>
      </c>
      <c r="D1092" s="13" t="n">
        <v>45198</v>
      </c>
      <c r="E1092" s="13" t="n">
        <v>45200</v>
      </c>
      <c r="F1092" s="4" t="n">
        <v>546</v>
      </c>
      <c r="G1092" s="4" t="n">
        <v>514</v>
      </c>
      <c r="H1092" s="4" t="n">
        <v>13.1</v>
      </c>
      <c r="I1092" s="4" t="n">
        <v>13.23</v>
      </c>
      <c r="J1092" s="14" t="n">
        <f aca="false">E1092-D1092</f>
        <v>2</v>
      </c>
      <c r="K1092" s="14" t="n">
        <f aca="false">IF(J1092&lt;=0,1,0)</f>
        <v>0</v>
      </c>
      <c r="L1092" s="15" t="n">
        <f aca="false">IFERROR(G1092/F1092,0)</f>
        <v>0.941391941391941</v>
      </c>
      <c r="M1092" s="15" t="n">
        <f aca="false">IFERROR((I1092-H1092)/H1092,0)</f>
        <v>0.00992366412213746</v>
      </c>
      <c r="N1092" s="16" t="n">
        <f aca="false">G1092*I1092</f>
        <v>6800.22</v>
      </c>
    </row>
    <row r="1093" customFormat="false" ht="15" hidden="false" customHeight="true" outlineLevel="0" collapsed="false">
      <c r="A1093" s="4" t="s">
        <v>1269</v>
      </c>
      <c r="B1093" s="4" t="s">
        <v>74</v>
      </c>
      <c r="C1093" s="13" t="n">
        <v>45054</v>
      </c>
      <c r="D1093" s="13" t="n">
        <v>45059</v>
      </c>
      <c r="E1093" s="13" t="n">
        <v>45064</v>
      </c>
      <c r="F1093" s="4" t="n">
        <v>4</v>
      </c>
      <c r="G1093" s="4" t="n">
        <v>4</v>
      </c>
      <c r="H1093" s="4" t="n">
        <v>1294.62</v>
      </c>
      <c r="I1093" s="4" t="n">
        <v>1339.47</v>
      </c>
      <c r="J1093" s="14" t="n">
        <f aca="false">E1093-D1093</f>
        <v>5</v>
      </c>
      <c r="K1093" s="14" t="n">
        <f aca="false">IF(J1093&lt;=0,1,0)</f>
        <v>0</v>
      </c>
      <c r="L1093" s="15" t="n">
        <f aca="false">IFERROR(G1093/F1093,0)</f>
        <v>1</v>
      </c>
      <c r="M1093" s="15" t="n">
        <f aca="false">IFERROR((I1093-H1093)/H1093,0)</f>
        <v>0.0346433702553646</v>
      </c>
      <c r="N1093" s="16" t="n">
        <f aca="false">G1093*I1093</f>
        <v>5357.88</v>
      </c>
    </row>
    <row r="1094" customFormat="false" ht="15" hidden="false" customHeight="true" outlineLevel="0" collapsed="false">
      <c r="A1094" s="4" t="s">
        <v>1270</v>
      </c>
      <c r="B1094" s="4" t="s">
        <v>32</v>
      </c>
      <c r="C1094" s="13" t="n">
        <v>45298</v>
      </c>
      <c r="D1094" s="13" t="n">
        <v>45307</v>
      </c>
      <c r="E1094" s="13" t="n">
        <v>45302</v>
      </c>
      <c r="F1094" s="4" t="n">
        <v>3404</v>
      </c>
      <c r="G1094" s="4" t="n">
        <v>3070</v>
      </c>
      <c r="H1094" s="4" t="n">
        <v>32.49</v>
      </c>
      <c r="I1094" s="4" t="n">
        <v>33.01</v>
      </c>
      <c r="J1094" s="14" t="n">
        <f aca="false">E1094-D1094</f>
        <v>-5</v>
      </c>
      <c r="K1094" s="14" t="n">
        <f aca="false">IF(J1094&lt;=0,1,0)</f>
        <v>1</v>
      </c>
      <c r="L1094" s="15" t="n">
        <f aca="false">IFERROR(G1094/F1094,0)</f>
        <v>0.901880141010576</v>
      </c>
      <c r="M1094" s="15" t="n">
        <f aca="false">IFERROR((I1094-H1094)/H1094,0)</f>
        <v>0.0160049245921821</v>
      </c>
      <c r="N1094" s="16" t="n">
        <f aca="false">G1094*I1094</f>
        <v>101340.7</v>
      </c>
    </row>
    <row r="1095" customFormat="false" ht="15" hidden="false" customHeight="true" outlineLevel="0" collapsed="false">
      <c r="A1095" s="4" t="s">
        <v>1271</v>
      </c>
      <c r="B1095" s="4" t="s">
        <v>157</v>
      </c>
      <c r="C1095" s="13" t="n">
        <v>44993</v>
      </c>
      <c r="D1095" s="13" t="n">
        <v>45000</v>
      </c>
      <c r="E1095" s="13" t="n">
        <v>45001</v>
      </c>
      <c r="F1095" s="4" t="n">
        <v>4492</v>
      </c>
      <c r="G1095" s="4" t="n">
        <v>4287</v>
      </c>
      <c r="H1095" s="4" t="n">
        <v>13.1</v>
      </c>
      <c r="I1095" s="4" t="n">
        <v>13.17</v>
      </c>
      <c r="J1095" s="14" t="n">
        <f aca="false">E1095-D1095</f>
        <v>1</v>
      </c>
      <c r="K1095" s="14" t="n">
        <f aca="false">IF(J1095&lt;=0,1,0)</f>
        <v>0</v>
      </c>
      <c r="L1095" s="15" t="n">
        <f aca="false">IFERROR(G1095/F1095,0)</f>
        <v>0.954363312555655</v>
      </c>
      <c r="M1095" s="15" t="n">
        <f aca="false">IFERROR((I1095-H1095)/H1095,0)</f>
        <v>0.0053435114503817</v>
      </c>
      <c r="N1095" s="16" t="n">
        <f aca="false">G1095*I1095</f>
        <v>56459.79</v>
      </c>
    </row>
    <row r="1096" customFormat="false" ht="15" hidden="false" customHeight="true" outlineLevel="0" collapsed="false">
      <c r="A1096" s="4" t="s">
        <v>1272</v>
      </c>
      <c r="B1096" s="4" t="s">
        <v>50</v>
      </c>
      <c r="C1096" s="13" t="n">
        <v>45173</v>
      </c>
      <c r="D1096" s="13" t="n">
        <v>45190</v>
      </c>
      <c r="E1096" s="13" t="n">
        <v>45188</v>
      </c>
      <c r="F1096" s="4" t="n">
        <v>425</v>
      </c>
      <c r="G1096" s="4" t="n">
        <v>425</v>
      </c>
      <c r="H1096" s="4" t="n">
        <v>707.19</v>
      </c>
      <c r="I1096" s="4" t="n">
        <v>742.49</v>
      </c>
      <c r="J1096" s="14" t="n">
        <f aca="false">E1096-D1096</f>
        <v>-2</v>
      </c>
      <c r="K1096" s="14" t="n">
        <f aca="false">IF(J1096&lt;=0,1,0)</f>
        <v>1</v>
      </c>
      <c r="L1096" s="15" t="n">
        <f aca="false">IFERROR(G1096/F1096,0)</f>
        <v>1</v>
      </c>
      <c r="M1096" s="15" t="n">
        <f aca="false">IFERROR((I1096-H1096)/H1096,0)</f>
        <v>0.0499158641949122</v>
      </c>
      <c r="N1096" s="16" t="n">
        <f aca="false">G1096*I1096</f>
        <v>315558.25</v>
      </c>
    </row>
    <row r="1097" customFormat="false" ht="15" hidden="false" customHeight="true" outlineLevel="0" collapsed="false">
      <c r="A1097" s="4" t="s">
        <v>1273</v>
      </c>
      <c r="B1097" s="4" t="s">
        <v>143</v>
      </c>
      <c r="C1097" s="13" t="n">
        <v>45323</v>
      </c>
      <c r="D1097" s="13" t="n">
        <v>45331</v>
      </c>
      <c r="E1097" s="13" t="n">
        <v>45346</v>
      </c>
      <c r="F1097" s="4" t="n">
        <v>4608</v>
      </c>
      <c r="G1097" s="4" t="n">
        <v>4323</v>
      </c>
      <c r="H1097" s="4" t="n">
        <v>20.6</v>
      </c>
      <c r="I1097" s="4" t="n">
        <v>21.07</v>
      </c>
      <c r="J1097" s="14" t="n">
        <f aca="false">E1097-D1097</f>
        <v>15</v>
      </c>
      <c r="K1097" s="14" t="n">
        <f aca="false">IF(J1097&lt;=0,1,0)</f>
        <v>0</v>
      </c>
      <c r="L1097" s="15" t="n">
        <f aca="false">IFERROR(G1097/F1097,0)</f>
        <v>0.938151041666667</v>
      </c>
      <c r="M1097" s="15" t="n">
        <f aca="false">IFERROR((I1097-H1097)/H1097,0)</f>
        <v>0.0228155339805825</v>
      </c>
      <c r="N1097" s="16" t="n">
        <f aca="false">G1097*I1097</f>
        <v>91085.61</v>
      </c>
    </row>
    <row r="1098" customFormat="false" ht="15" hidden="false" customHeight="true" outlineLevel="0" collapsed="false">
      <c r="A1098" s="4" t="s">
        <v>1274</v>
      </c>
      <c r="B1098" s="4" t="s">
        <v>153</v>
      </c>
      <c r="C1098" s="13" t="n">
        <v>45526</v>
      </c>
      <c r="D1098" s="13" t="n">
        <v>45543</v>
      </c>
      <c r="E1098" s="13" t="n">
        <v>45553</v>
      </c>
      <c r="F1098" s="4" t="n">
        <v>258</v>
      </c>
      <c r="G1098" s="4" t="n">
        <v>228</v>
      </c>
      <c r="H1098" s="4" t="n">
        <v>1492.04</v>
      </c>
      <c r="I1098" s="4" t="n">
        <v>1586.16</v>
      </c>
      <c r="J1098" s="14" t="n">
        <f aca="false">E1098-D1098</f>
        <v>10</v>
      </c>
      <c r="K1098" s="14" t="n">
        <f aca="false">IF(J1098&lt;=0,1,0)</f>
        <v>0</v>
      </c>
      <c r="L1098" s="15" t="n">
        <f aca="false">IFERROR(G1098/F1098,0)</f>
        <v>0.883720930232558</v>
      </c>
      <c r="M1098" s="15" t="n">
        <f aca="false">IFERROR((I1098-H1098)/H1098,0)</f>
        <v>0.0630814187287205</v>
      </c>
      <c r="N1098" s="16" t="n">
        <f aca="false">G1098*I1098</f>
        <v>361644.48</v>
      </c>
    </row>
    <row r="1099" customFormat="false" ht="15" hidden="false" customHeight="true" outlineLevel="0" collapsed="false">
      <c r="A1099" s="4" t="s">
        <v>1275</v>
      </c>
      <c r="B1099" s="4" t="s">
        <v>65</v>
      </c>
      <c r="C1099" s="13" t="n">
        <v>45425</v>
      </c>
      <c r="D1099" s="13" t="n">
        <v>45443</v>
      </c>
      <c r="E1099" s="13" t="n">
        <v>45443</v>
      </c>
      <c r="F1099" s="4" t="n">
        <v>398</v>
      </c>
      <c r="G1099" s="4" t="n">
        <v>385</v>
      </c>
      <c r="H1099" s="4" t="n">
        <v>1365.59</v>
      </c>
      <c r="I1099" s="4" t="n">
        <v>1395.62</v>
      </c>
      <c r="J1099" s="14" t="n">
        <f aca="false">E1099-D1099</f>
        <v>0</v>
      </c>
      <c r="K1099" s="14" t="n">
        <f aca="false">IF(J1099&lt;=0,1,0)</f>
        <v>1</v>
      </c>
      <c r="L1099" s="15" t="n">
        <f aca="false">IFERROR(G1099/F1099,0)</f>
        <v>0.967336683417086</v>
      </c>
      <c r="M1099" s="15" t="n">
        <f aca="false">IFERROR((I1099-H1099)/H1099,0)</f>
        <v>0.0219904949509003</v>
      </c>
      <c r="N1099" s="16" t="n">
        <f aca="false">G1099*I1099</f>
        <v>537313.7</v>
      </c>
    </row>
    <row r="1100" customFormat="false" ht="15" hidden="false" customHeight="true" outlineLevel="0" collapsed="false">
      <c r="A1100" s="4" t="s">
        <v>1276</v>
      </c>
      <c r="B1100" s="4" t="s">
        <v>109</v>
      </c>
      <c r="C1100" s="13" t="n">
        <v>44969</v>
      </c>
      <c r="D1100" s="13" t="n">
        <v>44987</v>
      </c>
      <c r="E1100" s="13" t="n">
        <v>44989</v>
      </c>
      <c r="F1100" s="4" t="n">
        <v>211</v>
      </c>
      <c r="G1100" s="4" t="n">
        <v>211</v>
      </c>
      <c r="H1100" s="4" t="n">
        <v>858.02</v>
      </c>
      <c r="I1100" s="4" t="n">
        <v>857.4</v>
      </c>
      <c r="J1100" s="14" t="n">
        <f aca="false">E1100-D1100</f>
        <v>2</v>
      </c>
      <c r="K1100" s="14" t="n">
        <f aca="false">IF(J1100&lt;=0,1,0)</f>
        <v>0</v>
      </c>
      <c r="L1100" s="15" t="n">
        <f aca="false">IFERROR(G1100/F1100,0)</f>
        <v>1</v>
      </c>
      <c r="M1100" s="15" t="n">
        <f aca="false">IFERROR((I1100-H1100)/H1100,0)</f>
        <v>-0.000722593878930566</v>
      </c>
      <c r="N1100" s="16" t="n">
        <f aca="false">G1100*I1100</f>
        <v>180911.4</v>
      </c>
    </row>
    <row r="1101" customFormat="false" ht="15" hidden="false" customHeight="true" outlineLevel="0" collapsed="false">
      <c r="A1101" s="4" t="s">
        <v>1277</v>
      </c>
      <c r="B1101" s="4" t="s">
        <v>61</v>
      </c>
      <c r="C1101" s="13" t="n">
        <v>45626</v>
      </c>
      <c r="D1101" s="13" t="n">
        <v>45635</v>
      </c>
      <c r="E1101" s="13" t="n">
        <v>45638</v>
      </c>
      <c r="F1101" s="4" t="n">
        <v>566</v>
      </c>
      <c r="G1101" s="4" t="n">
        <v>539</v>
      </c>
      <c r="H1101" s="4" t="n">
        <v>107.41</v>
      </c>
      <c r="I1101" s="4" t="n">
        <v>107.78</v>
      </c>
      <c r="J1101" s="14" t="n">
        <f aca="false">E1101-D1101</f>
        <v>3</v>
      </c>
      <c r="K1101" s="14" t="n">
        <f aca="false">IF(J1101&lt;=0,1,0)</f>
        <v>0</v>
      </c>
      <c r="L1101" s="15" t="n">
        <f aca="false">IFERROR(G1101/F1101,0)</f>
        <v>0.952296819787986</v>
      </c>
      <c r="M1101" s="15" t="n">
        <f aca="false">IFERROR((I1101-H1101)/H1101,0)</f>
        <v>0.00344474443720328</v>
      </c>
      <c r="N1101" s="16" t="n">
        <f aca="false">G1101*I1101</f>
        <v>58093.42</v>
      </c>
    </row>
    <row r="1102" customFormat="false" ht="15" hidden="false" customHeight="true" outlineLevel="0" collapsed="false">
      <c r="A1102" s="4" t="s">
        <v>1278</v>
      </c>
      <c r="B1102" s="4" t="s">
        <v>117</v>
      </c>
      <c r="C1102" s="13" t="n">
        <v>45268</v>
      </c>
      <c r="D1102" s="13" t="n">
        <v>45281</v>
      </c>
      <c r="E1102" s="13" t="n">
        <v>45282</v>
      </c>
      <c r="F1102" s="4" t="n">
        <v>214</v>
      </c>
      <c r="G1102" s="4" t="n">
        <v>198</v>
      </c>
      <c r="H1102" s="4" t="n">
        <v>396.01</v>
      </c>
      <c r="I1102" s="4" t="n">
        <v>390.07</v>
      </c>
      <c r="J1102" s="14" t="n">
        <f aca="false">E1102-D1102</f>
        <v>1</v>
      </c>
      <c r="K1102" s="14" t="n">
        <f aca="false">IF(J1102&lt;=0,1,0)</f>
        <v>0</v>
      </c>
      <c r="L1102" s="15" t="n">
        <f aca="false">IFERROR(G1102/F1102,0)</f>
        <v>0.925233644859813</v>
      </c>
      <c r="M1102" s="15" t="n">
        <f aca="false">IFERROR((I1102-H1102)/H1102,0)</f>
        <v>-0.0149996212216863</v>
      </c>
      <c r="N1102" s="16" t="n">
        <f aca="false">G1102*I1102</f>
        <v>77233.86</v>
      </c>
    </row>
    <row r="1103" customFormat="false" ht="15" hidden="false" customHeight="true" outlineLevel="0" collapsed="false">
      <c r="A1103" s="4" t="s">
        <v>1279</v>
      </c>
      <c r="B1103" s="4" t="s">
        <v>77</v>
      </c>
      <c r="C1103" s="13" t="n">
        <v>45190</v>
      </c>
      <c r="D1103" s="13" t="n">
        <v>45199</v>
      </c>
      <c r="E1103" s="13" t="n">
        <v>45213</v>
      </c>
      <c r="F1103" s="4" t="n">
        <v>1235</v>
      </c>
      <c r="G1103" s="4" t="n">
        <v>1167</v>
      </c>
      <c r="H1103" s="4" t="n">
        <v>36.83</v>
      </c>
      <c r="I1103" s="4" t="n">
        <v>35.75</v>
      </c>
      <c r="J1103" s="14" t="n">
        <f aca="false">E1103-D1103</f>
        <v>14</v>
      </c>
      <c r="K1103" s="14" t="n">
        <f aca="false">IF(J1103&lt;=0,1,0)</f>
        <v>0</v>
      </c>
      <c r="L1103" s="15" t="n">
        <f aca="false">IFERROR(G1103/F1103,0)</f>
        <v>0.944939271255061</v>
      </c>
      <c r="M1103" s="15" t="n">
        <f aca="false">IFERROR((I1103-H1103)/H1103,0)</f>
        <v>-0.0293239207168069</v>
      </c>
      <c r="N1103" s="16" t="n">
        <f aca="false">G1103*I1103</f>
        <v>41720.25</v>
      </c>
    </row>
    <row r="1104" customFormat="false" ht="15" hidden="false" customHeight="true" outlineLevel="0" collapsed="false">
      <c r="A1104" s="4" t="s">
        <v>1280</v>
      </c>
      <c r="B1104" s="4" t="s">
        <v>105</v>
      </c>
      <c r="C1104" s="13" t="n">
        <v>45251</v>
      </c>
      <c r="D1104" s="13" t="n">
        <v>45271</v>
      </c>
      <c r="E1104" s="13" t="n">
        <v>45273</v>
      </c>
      <c r="F1104" s="4" t="n">
        <v>413</v>
      </c>
      <c r="G1104" s="4" t="n">
        <v>396</v>
      </c>
      <c r="H1104" s="4" t="n">
        <v>685.84</v>
      </c>
      <c r="I1104" s="4" t="n">
        <v>699.12</v>
      </c>
      <c r="J1104" s="14" t="n">
        <f aca="false">E1104-D1104</f>
        <v>2</v>
      </c>
      <c r="K1104" s="14" t="n">
        <f aca="false">IF(J1104&lt;=0,1,0)</f>
        <v>0</v>
      </c>
      <c r="L1104" s="15" t="n">
        <f aca="false">IFERROR(G1104/F1104,0)</f>
        <v>0.958837772397094</v>
      </c>
      <c r="M1104" s="15" t="n">
        <f aca="false">IFERROR((I1104-H1104)/H1104,0)</f>
        <v>0.0193631167619269</v>
      </c>
      <c r="N1104" s="16" t="n">
        <f aca="false">G1104*I1104</f>
        <v>276851.52</v>
      </c>
    </row>
    <row r="1105" customFormat="false" ht="15" hidden="false" customHeight="true" outlineLevel="0" collapsed="false">
      <c r="A1105" s="4" t="s">
        <v>1281</v>
      </c>
      <c r="B1105" s="4" t="s">
        <v>161</v>
      </c>
      <c r="C1105" s="13" t="n">
        <v>45221</v>
      </c>
      <c r="D1105" s="13" t="n">
        <v>45230</v>
      </c>
      <c r="E1105" s="13" t="n">
        <v>45231</v>
      </c>
      <c r="F1105" s="4" t="n">
        <v>1255</v>
      </c>
      <c r="G1105" s="4" t="n">
        <v>1237</v>
      </c>
      <c r="H1105" s="4" t="n">
        <v>101.94</v>
      </c>
      <c r="I1105" s="4" t="n">
        <v>109.35</v>
      </c>
      <c r="J1105" s="14" t="n">
        <f aca="false">E1105-D1105</f>
        <v>1</v>
      </c>
      <c r="K1105" s="14" t="n">
        <f aca="false">IF(J1105&lt;=0,1,0)</f>
        <v>0</v>
      </c>
      <c r="L1105" s="15" t="n">
        <f aca="false">IFERROR(G1105/F1105,0)</f>
        <v>0.985657370517928</v>
      </c>
      <c r="M1105" s="15" t="n">
        <f aca="false">IFERROR((I1105-H1105)/H1105,0)</f>
        <v>0.0726898175397292</v>
      </c>
      <c r="N1105" s="16" t="n">
        <f aca="false">G1105*I1105</f>
        <v>135265.95</v>
      </c>
    </row>
    <row r="1106" customFormat="false" ht="15" hidden="false" customHeight="true" outlineLevel="0" collapsed="false">
      <c r="A1106" s="4" t="s">
        <v>1282</v>
      </c>
      <c r="B1106" s="4" t="s">
        <v>72</v>
      </c>
      <c r="C1106" s="13" t="n">
        <v>45397</v>
      </c>
      <c r="D1106" s="13" t="n">
        <v>45404</v>
      </c>
      <c r="E1106" s="13" t="n">
        <v>45405</v>
      </c>
      <c r="F1106" s="4" t="n">
        <v>4511</v>
      </c>
      <c r="G1106" s="4" t="n">
        <v>4137</v>
      </c>
      <c r="H1106" s="4" t="n">
        <v>34.53</v>
      </c>
      <c r="I1106" s="4" t="n">
        <v>36.55</v>
      </c>
      <c r="J1106" s="14" t="n">
        <f aca="false">E1106-D1106</f>
        <v>1</v>
      </c>
      <c r="K1106" s="14" t="n">
        <f aca="false">IF(J1106&lt;=0,1,0)</f>
        <v>0</v>
      </c>
      <c r="L1106" s="15" t="n">
        <f aca="false">IFERROR(G1106/F1106,0)</f>
        <v>0.917091553979162</v>
      </c>
      <c r="M1106" s="15" t="n">
        <f aca="false">IFERROR((I1106-H1106)/H1106,0)</f>
        <v>0.0584998551983781</v>
      </c>
      <c r="N1106" s="16" t="n">
        <f aca="false">G1106*I1106</f>
        <v>151207.35</v>
      </c>
    </row>
    <row r="1107" customFormat="false" ht="15" hidden="false" customHeight="true" outlineLevel="0" collapsed="false">
      <c r="A1107" s="4" t="s">
        <v>1283</v>
      </c>
      <c r="B1107" s="4" t="s">
        <v>143</v>
      </c>
      <c r="C1107" s="13" t="n">
        <v>45589</v>
      </c>
      <c r="D1107" s="13" t="n">
        <v>45598</v>
      </c>
      <c r="E1107" s="13" t="n">
        <v>45613</v>
      </c>
      <c r="F1107" s="4" t="n">
        <v>4672</v>
      </c>
      <c r="G1107" s="4" t="n">
        <v>4425</v>
      </c>
      <c r="H1107" s="4" t="n">
        <v>20.6</v>
      </c>
      <c r="I1107" s="4" t="n">
        <v>22.06</v>
      </c>
      <c r="J1107" s="14" t="n">
        <f aca="false">E1107-D1107</f>
        <v>15</v>
      </c>
      <c r="K1107" s="14" t="n">
        <f aca="false">IF(J1107&lt;=0,1,0)</f>
        <v>0</v>
      </c>
      <c r="L1107" s="15" t="n">
        <f aca="false">IFERROR(G1107/F1107,0)</f>
        <v>0.947131849315068</v>
      </c>
      <c r="M1107" s="15" t="n">
        <f aca="false">IFERROR((I1107-H1107)/H1107,0)</f>
        <v>0.0708737864077669</v>
      </c>
      <c r="N1107" s="16" t="n">
        <f aca="false">G1107*I1107</f>
        <v>97615.5</v>
      </c>
    </row>
    <row r="1108" customFormat="false" ht="15" hidden="false" customHeight="true" outlineLevel="0" collapsed="false">
      <c r="A1108" s="4" t="s">
        <v>1284</v>
      </c>
      <c r="B1108" s="4" t="s">
        <v>101</v>
      </c>
      <c r="C1108" s="13" t="n">
        <v>45300</v>
      </c>
      <c r="D1108" s="13" t="n">
        <v>45319</v>
      </c>
      <c r="E1108" s="13" t="n">
        <v>45321</v>
      </c>
      <c r="F1108" s="4" t="n">
        <v>263</v>
      </c>
      <c r="G1108" s="4" t="n">
        <v>250</v>
      </c>
      <c r="H1108" s="4" t="n">
        <v>442.74</v>
      </c>
      <c r="I1108" s="4" t="n">
        <v>449.14</v>
      </c>
      <c r="J1108" s="14" t="n">
        <f aca="false">E1108-D1108</f>
        <v>2</v>
      </c>
      <c r="K1108" s="14" t="n">
        <f aca="false">IF(J1108&lt;=0,1,0)</f>
        <v>0</v>
      </c>
      <c r="L1108" s="15" t="n">
        <f aca="false">IFERROR(G1108/F1108,0)</f>
        <v>0.950570342205323</v>
      </c>
      <c r="M1108" s="15" t="n">
        <f aca="false">IFERROR((I1108-H1108)/H1108,0)</f>
        <v>0.0144554365993585</v>
      </c>
      <c r="N1108" s="16" t="n">
        <f aca="false">G1108*I1108</f>
        <v>112285</v>
      </c>
    </row>
    <row r="1109" customFormat="false" ht="15" hidden="false" customHeight="true" outlineLevel="0" collapsed="false">
      <c r="A1109" s="4" t="s">
        <v>1285</v>
      </c>
      <c r="B1109" s="4" t="s">
        <v>61</v>
      </c>
      <c r="C1109" s="13" t="n">
        <v>44968</v>
      </c>
      <c r="D1109" s="13" t="n">
        <v>44979</v>
      </c>
      <c r="E1109" s="13" t="n">
        <v>44989</v>
      </c>
      <c r="F1109" s="4" t="n">
        <v>965</v>
      </c>
      <c r="G1109" s="4" t="n">
        <v>959</v>
      </c>
      <c r="H1109" s="4" t="n">
        <v>107.41</v>
      </c>
      <c r="I1109" s="4" t="n">
        <v>107</v>
      </c>
      <c r="J1109" s="14" t="n">
        <f aca="false">E1109-D1109</f>
        <v>10</v>
      </c>
      <c r="K1109" s="14" t="n">
        <f aca="false">IF(J1109&lt;=0,1,0)</f>
        <v>0</v>
      </c>
      <c r="L1109" s="15" t="n">
        <f aca="false">IFERROR(G1109/F1109,0)</f>
        <v>0.993782383419689</v>
      </c>
      <c r="M1109" s="15" t="n">
        <f aca="false">IFERROR((I1109-H1109)/H1109,0)</f>
        <v>-0.00381714924122518</v>
      </c>
      <c r="N1109" s="16" t="n">
        <f aca="false">G1109*I1109</f>
        <v>102613</v>
      </c>
    </row>
    <row r="1110" customFormat="false" ht="15" hidden="false" customHeight="true" outlineLevel="0" collapsed="false">
      <c r="A1110" s="4" t="s">
        <v>1286</v>
      </c>
      <c r="B1110" s="4" t="s">
        <v>107</v>
      </c>
      <c r="C1110" s="13" t="n">
        <v>45277</v>
      </c>
      <c r="D1110" s="13" t="n">
        <v>45286</v>
      </c>
      <c r="E1110" s="13" t="n">
        <v>45292</v>
      </c>
      <c r="F1110" s="4" t="n">
        <v>4038</v>
      </c>
      <c r="G1110" s="4" t="n">
        <v>3890</v>
      </c>
      <c r="H1110" s="4" t="n">
        <v>40.41</v>
      </c>
      <c r="I1110" s="4" t="n">
        <v>40.83</v>
      </c>
      <c r="J1110" s="14" t="n">
        <f aca="false">E1110-D1110</f>
        <v>6</v>
      </c>
      <c r="K1110" s="14" t="n">
        <f aca="false">IF(J1110&lt;=0,1,0)</f>
        <v>0</v>
      </c>
      <c r="L1110" s="15" t="n">
        <f aca="false">IFERROR(G1110/F1110,0)</f>
        <v>0.963348192174344</v>
      </c>
      <c r="M1110" s="15" t="n">
        <f aca="false">IFERROR((I1110-H1110)/H1110,0)</f>
        <v>0.0103934669636229</v>
      </c>
      <c r="N1110" s="16" t="n">
        <f aca="false">G1110*I1110</f>
        <v>158828.7</v>
      </c>
    </row>
    <row r="1111" customFormat="false" ht="15" hidden="false" customHeight="true" outlineLevel="0" collapsed="false">
      <c r="A1111" s="4" t="s">
        <v>1287</v>
      </c>
      <c r="B1111" s="4" t="s">
        <v>103</v>
      </c>
      <c r="C1111" s="13" t="n">
        <v>45052</v>
      </c>
      <c r="D1111" s="13" t="n">
        <v>45069</v>
      </c>
      <c r="E1111" s="13" t="n">
        <v>45071</v>
      </c>
      <c r="F1111" s="4" t="n">
        <v>410</v>
      </c>
      <c r="G1111" s="4" t="n">
        <v>402</v>
      </c>
      <c r="H1111" s="4" t="n">
        <v>1400.22</v>
      </c>
      <c r="I1111" s="4" t="n">
        <v>1428.05</v>
      </c>
      <c r="J1111" s="14" t="n">
        <f aca="false">E1111-D1111</f>
        <v>2</v>
      </c>
      <c r="K1111" s="14" t="n">
        <f aca="false">IF(J1111&lt;=0,1,0)</f>
        <v>0</v>
      </c>
      <c r="L1111" s="15" t="n">
        <f aca="false">IFERROR(G1111/F1111,0)</f>
        <v>0.980487804878049</v>
      </c>
      <c r="M1111" s="15" t="n">
        <f aca="false">IFERROR((I1111-H1111)/H1111,0)</f>
        <v>0.0198754481438631</v>
      </c>
      <c r="N1111" s="16" t="n">
        <f aca="false">G1111*I1111</f>
        <v>574076.1</v>
      </c>
    </row>
    <row r="1112" customFormat="false" ht="15" hidden="false" customHeight="true" outlineLevel="0" collapsed="false">
      <c r="A1112" s="4" t="s">
        <v>1288</v>
      </c>
      <c r="B1112" s="4" t="s">
        <v>43</v>
      </c>
      <c r="C1112" s="13" t="n">
        <v>45014</v>
      </c>
      <c r="D1112" s="13" t="n">
        <v>45034</v>
      </c>
      <c r="E1112" s="13" t="n">
        <v>45036</v>
      </c>
      <c r="F1112" s="4" t="n">
        <v>110</v>
      </c>
      <c r="G1112" s="4" t="n">
        <v>107</v>
      </c>
      <c r="H1112" s="4" t="n">
        <v>1321.6</v>
      </c>
      <c r="I1112" s="4" t="n">
        <v>1327.12</v>
      </c>
      <c r="J1112" s="14" t="n">
        <f aca="false">E1112-D1112</f>
        <v>2</v>
      </c>
      <c r="K1112" s="14" t="n">
        <f aca="false">IF(J1112&lt;=0,1,0)</f>
        <v>0</v>
      </c>
      <c r="L1112" s="15" t="n">
        <f aca="false">IFERROR(G1112/F1112,0)</f>
        <v>0.972727272727273</v>
      </c>
      <c r="M1112" s="15" t="n">
        <f aca="false">IFERROR((I1112-H1112)/H1112,0)</f>
        <v>0.00417675544794188</v>
      </c>
      <c r="N1112" s="16" t="n">
        <f aca="false">G1112*I1112</f>
        <v>142001.84</v>
      </c>
    </row>
    <row r="1113" customFormat="false" ht="15" hidden="false" customHeight="true" outlineLevel="0" collapsed="false">
      <c r="A1113" s="4" t="s">
        <v>1289</v>
      </c>
      <c r="B1113" s="4" t="s">
        <v>139</v>
      </c>
      <c r="C1113" s="13" t="n">
        <v>45110</v>
      </c>
      <c r="D1113" s="13" t="n">
        <v>45120</v>
      </c>
      <c r="E1113" s="13" t="n">
        <v>45120</v>
      </c>
      <c r="F1113" s="4" t="n">
        <v>452</v>
      </c>
      <c r="G1113" s="4" t="n">
        <v>405</v>
      </c>
      <c r="H1113" s="4" t="n">
        <v>207.64</v>
      </c>
      <c r="I1113" s="4" t="n">
        <v>212.35</v>
      </c>
      <c r="J1113" s="14" t="n">
        <f aca="false">E1113-D1113</f>
        <v>0</v>
      </c>
      <c r="K1113" s="14" t="n">
        <f aca="false">IF(J1113&lt;=0,1,0)</f>
        <v>1</v>
      </c>
      <c r="L1113" s="15" t="n">
        <f aca="false">IFERROR(G1113/F1113,0)</f>
        <v>0.896017699115044</v>
      </c>
      <c r="M1113" s="15" t="n">
        <f aca="false">IFERROR((I1113-H1113)/H1113,0)</f>
        <v>0.0226834906569062</v>
      </c>
      <c r="N1113" s="16" t="n">
        <f aca="false">G1113*I1113</f>
        <v>86001.75</v>
      </c>
    </row>
    <row r="1114" customFormat="false" ht="15" hidden="false" customHeight="true" outlineLevel="0" collapsed="false">
      <c r="A1114" s="4" t="s">
        <v>1290</v>
      </c>
      <c r="B1114" s="4" t="s">
        <v>143</v>
      </c>
      <c r="C1114" s="13" t="n">
        <v>45562</v>
      </c>
      <c r="D1114" s="13" t="n">
        <v>45570</v>
      </c>
      <c r="E1114" s="13" t="n">
        <v>45587</v>
      </c>
      <c r="F1114" s="4" t="n">
        <v>3559</v>
      </c>
      <c r="G1114" s="4" t="n">
        <v>3441</v>
      </c>
      <c r="H1114" s="4" t="n">
        <v>20.6</v>
      </c>
      <c r="I1114" s="4" t="n">
        <v>22.01</v>
      </c>
      <c r="J1114" s="14" t="n">
        <f aca="false">E1114-D1114</f>
        <v>17</v>
      </c>
      <c r="K1114" s="14" t="n">
        <f aca="false">IF(J1114&lt;=0,1,0)</f>
        <v>0</v>
      </c>
      <c r="L1114" s="15" t="n">
        <f aca="false">IFERROR(G1114/F1114,0)</f>
        <v>0.966844619275077</v>
      </c>
      <c r="M1114" s="15" t="n">
        <f aca="false">IFERROR((I1114-H1114)/H1114,0)</f>
        <v>0.0684466019417476</v>
      </c>
      <c r="N1114" s="16" t="n">
        <f aca="false">G1114*I1114</f>
        <v>75736.41</v>
      </c>
    </row>
    <row r="1115" customFormat="false" ht="15" hidden="false" customHeight="true" outlineLevel="0" collapsed="false">
      <c r="A1115" s="4" t="s">
        <v>1291</v>
      </c>
      <c r="B1115" s="4" t="s">
        <v>63</v>
      </c>
      <c r="C1115" s="13" t="n">
        <v>45611</v>
      </c>
      <c r="D1115" s="13" t="n">
        <v>45622</v>
      </c>
      <c r="E1115" s="13" t="n">
        <v>45627</v>
      </c>
      <c r="F1115" s="4" t="n">
        <v>926</v>
      </c>
      <c r="G1115" s="4" t="n">
        <v>881</v>
      </c>
      <c r="H1115" s="4" t="n">
        <v>239.8</v>
      </c>
      <c r="I1115" s="4" t="n">
        <v>266.24</v>
      </c>
      <c r="J1115" s="14" t="n">
        <f aca="false">E1115-D1115</f>
        <v>5</v>
      </c>
      <c r="K1115" s="14" t="n">
        <f aca="false">IF(J1115&lt;=0,1,0)</f>
        <v>0</v>
      </c>
      <c r="L1115" s="15" t="n">
        <f aca="false">IFERROR(G1115/F1115,0)</f>
        <v>0.951403887688985</v>
      </c>
      <c r="M1115" s="15" t="n">
        <f aca="false">IFERROR((I1115-H1115)/H1115,0)</f>
        <v>0.110258548790659</v>
      </c>
      <c r="N1115" s="16" t="n">
        <f aca="false">G1115*I1115</f>
        <v>234557.44</v>
      </c>
    </row>
    <row r="1116" customFormat="false" ht="15" hidden="false" customHeight="true" outlineLevel="0" collapsed="false">
      <c r="A1116" s="4" t="s">
        <v>1292</v>
      </c>
      <c r="B1116" s="4" t="s">
        <v>63</v>
      </c>
      <c r="C1116" s="13" t="n">
        <v>45332</v>
      </c>
      <c r="D1116" s="13" t="n">
        <v>45341</v>
      </c>
      <c r="E1116" s="13" t="n">
        <v>45342</v>
      </c>
      <c r="F1116" s="4" t="n">
        <v>1904</v>
      </c>
      <c r="G1116" s="4" t="n">
        <v>1754</v>
      </c>
      <c r="H1116" s="4" t="n">
        <v>239.8</v>
      </c>
      <c r="I1116" s="4" t="n">
        <v>252.22</v>
      </c>
      <c r="J1116" s="14" t="n">
        <f aca="false">E1116-D1116</f>
        <v>1</v>
      </c>
      <c r="K1116" s="14" t="n">
        <f aca="false">IF(J1116&lt;=0,1,0)</f>
        <v>0</v>
      </c>
      <c r="L1116" s="15" t="n">
        <f aca="false">IFERROR(G1116/F1116,0)</f>
        <v>0.921218487394958</v>
      </c>
      <c r="M1116" s="15" t="n">
        <f aca="false">IFERROR((I1116-H1116)/H1116,0)</f>
        <v>0.0517931609674728</v>
      </c>
      <c r="N1116" s="16" t="n">
        <f aca="false">G1116*I1116</f>
        <v>442393.88</v>
      </c>
    </row>
    <row r="1117" customFormat="false" ht="15" hidden="false" customHeight="true" outlineLevel="0" collapsed="false">
      <c r="A1117" s="4" t="s">
        <v>1293</v>
      </c>
      <c r="B1117" s="4" t="s">
        <v>55</v>
      </c>
      <c r="C1117" s="13" t="n">
        <v>45515</v>
      </c>
      <c r="D1117" s="13" t="n">
        <v>45532</v>
      </c>
      <c r="E1117" s="13" t="n">
        <v>45534</v>
      </c>
      <c r="F1117" s="4" t="n">
        <v>180</v>
      </c>
      <c r="G1117" s="4" t="n">
        <v>172</v>
      </c>
      <c r="H1117" s="4" t="n">
        <v>598.09</v>
      </c>
      <c r="I1117" s="4" t="n">
        <v>558.43</v>
      </c>
      <c r="J1117" s="14" t="n">
        <f aca="false">E1117-D1117</f>
        <v>2</v>
      </c>
      <c r="K1117" s="14" t="n">
        <f aca="false">IF(J1117&lt;=0,1,0)</f>
        <v>0</v>
      </c>
      <c r="L1117" s="15" t="n">
        <f aca="false">IFERROR(G1117/F1117,0)</f>
        <v>0.955555555555556</v>
      </c>
      <c r="M1117" s="15" t="n">
        <f aca="false">IFERROR((I1117-H1117)/H1117,0)</f>
        <v>-0.066311090304135</v>
      </c>
      <c r="N1117" s="16" t="n">
        <f aca="false">G1117*I1117</f>
        <v>96049.96</v>
      </c>
    </row>
    <row r="1118" customFormat="false" ht="15" hidden="false" customHeight="true" outlineLevel="0" collapsed="false">
      <c r="A1118" s="4" t="s">
        <v>1294</v>
      </c>
      <c r="B1118" s="4" t="s">
        <v>131</v>
      </c>
      <c r="C1118" s="13" t="n">
        <v>45036</v>
      </c>
      <c r="D1118" s="13" t="n">
        <v>45048</v>
      </c>
      <c r="E1118" s="13" t="n">
        <v>45047</v>
      </c>
      <c r="F1118" s="4" t="n">
        <v>1401</v>
      </c>
      <c r="G1118" s="4" t="n">
        <v>1401</v>
      </c>
      <c r="H1118" s="4" t="n">
        <v>88.52</v>
      </c>
      <c r="I1118" s="4" t="n">
        <v>88.16</v>
      </c>
      <c r="J1118" s="14" t="n">
        <f aca="false">E1118-D1118</f>
        <v>-1</v>
      </c>
      <c r="K1118" s="14" t="n">
        <f aca="false">IF(J1118&lt;=0,1,0)</f>
        <v>1</v>
      </c>
      <c r="L1118" s="15" t="n">
        <f aca="false">IFERROR(G1118/F1118,0)</f>
        <v>1</v>
      </c>
      <c r="M1118" s="15" t="n">
        <f aca="false">IFERROR((I1118-H1118)/H1118,0)</f>
        <v>-0.00406687754179846</v>
      </c>
      <c r="N1118" s="16" t="n">
        <f aca="false">G1118*I1118</f>
        <v>123512.16</v>
      </c>
    </row>
    <row r="1119" customFormat="false" ht="15" hidden="false" customHeight="true" outlineLevel="0" collapsed="false">
      <c r="A1119" s="4" t="s">
        <v>1295</v>
      </c>
      <c r="B1119" s="4" t="s">
        <v>77</v>
      </c>
      <c r="C1119" s="13" t="n">
        <v>45354</v>
      </c>
      <c r="D1119" s="13" t="n">
        <v>45361</v>
      </c>
      <c r="E1119" s="13" t="n">
        <v>45370</v>
      </c>
      <c r="F1119" s="4" t="n">
        <v>2353</v>
      </c>
      <c r="G1119" s="4" t="n">
        <v>2353</v>
      </c>
      <c r="H1119" s="4" t="n">
        <v>36.83</v>
      </c>
      <c r="I1119" s="4" t="n">
        <v>35.42</v>
      </c>
      <c r="J1119" s="14" t="n">
        <f aca="false">E1119-D1119</f>
        <v>9</v>
      </c>
      <c r="K1119" s="14" t="n">
        <f aca="false">IF(J1119&lt;=0,1,0)</f>
        <v>0</v>
      </c>
      <c r="L1119" s="15" t="n">
        <f aca="false">IFERROR(G1119/F1119,0)</f>
        <v>1</v>
      </c>
      <c r="M1119" s="15" t="n">
        <f aca="false">IFERROR((I1119-H1119)/H1119,0)</f>
        <v>-0.0382840076024979</v>
      </c>
      <c r="N1119" s="16" t="n">
        <f aca="false">G1119*I1119</f>
        <v>83343.26</v>
      </c>
    </row>
    <row r="1120" customFormat="false" ht="15" hidden="false" customHeight="true" outlineLevel="0" collapsed="false">
      <c r="A1120" s="4" t="s">
        <v>1296</v>
      </c>
      <c r="B1120" s="4" t="s">
        <v>119</v>
      </c>
      <c r="C1120" s="13" t="n">
        <v>45628</v>
      </c>
      <c r="D1120" s="13" t="n">
        <v>45637</v>
      </c>
      <c r="E1120" s="13" t="n">
        <v>45638</v>
      </c>
      <c r="F1120" s="4" t="n">
        <v>2152</v>
      </c>
      <c r="G1120" s="4" t="n">
        <v>2152</v>
      </c>
      <c r="H1120" s="4" t="n">
        <v>50.92</v>
      </c>
      <c r="I1120" s="4" t="n">
        <v>46.35</v>
      </c>
      <c r="J1120" s="14" t="n">
        <f aca="false">E1120-D1120</f>
        <v>1</v>
      </c>
      <c r="K1120" s="14" t="n">
        <f aca="false">IF(J1120&lt;=0,1,0)</f>
        <v>0</v>
      </c>
      <c r="L1120" s="15" t="n">
        <f aca="false">IFERROR(G1120/F1120,0)</f>
        <v>1</v>
      </c>
      <c r="M1120" s="15" t="n">
        <f aca="false">IFERROR((I1120-H1120)/H1120,0)</f>
        <v>-0.0897486252945797</v>
      </c>
      <c r="N1120" s="16" t="n">
        <f aca="false">G1120*I1120</f>
        <v>99745.2</v>
      </c>
    </row>
    <row r="1121" customFormat="false" ht="15" hidden="false" customHeight="true" outlineLevel="0" collapsed="false">
      <c r="A1121" s="4" t="s">
        <v>1297</v>
      </c>
      <c r="B1121" s="4" t="s">
        <v>95</v>
      </c>
      <c r="C1121" s="13" t="n">
        <v>45564</v>
      </c>
      <c r="D1121" s="13" t="n">
        <v>45572</v>
      </c>
      <c r="E1121" s="13" t="n">
        <v>45571</v>
      </c>
      <c r="F1121" s="4" t="n">
        <v>3568</v>
      </c>
      <c r="G1121" s="4" t="n">
        <v>3470</v>
      </c>
      <c r="H1121" s="4" t="n">
        <v>20.39</v>
      </c>
      <c r="I1121" s="4" t="n">
        <v>21.27</v>
      </c>
      <c r="J1121" s="14" t="n">
        <f aca="false">E1121-D1121</f>
        <v>-1</v>
      </c>
      <c r="K1121" s="14" t="n">
        <f aca="false">IF(J1121&lt;=0,1,0)</f>
        <v>1</v>
      </c>
      <c r="L1121" s="15" t="n">
        <f aca="false">IFERROR(G1121/F1121,0)</f>
        <v>0.972533632286996</v>
      </c>
      <c r="M1121" s="15" t="n">
        <f aca="false">IFERROR((I1121-H1121)/H1121,0)</f>
        <v>0.0431584109857773</v>
      </c>
      <c r="N1121" s="16" t="n">
        <f aca="false">G1121*I1121</f>
        <v>73806.9</v>
      </c>
    </row>
    <row r="1122" customFormat="false" ht="15" hidden="false" customHeight="true" outlineLevel="0" collapsed="false">
      <c r="A1122" s="4" t="s">
        <v>1298</v>
      </c>
      <c r="B1122" s="4" t="s">
        <v>91</v>
      </c>
      <c r="C1122" s="13" t="n">
        <v>45427</v>
      </c>
      <c r="D1122" s="13" t="n">
        <v>45445</v>
      </c>
      <c r="E1122" s="13" t="n">
        <v>45449</v>
      </c>
      <c r="F1122" s="4" t="n">
        <v>55</v>
      </c>
      <c r="G1122" s="4" t="n">
        <v>53</v>
      </c>
      <c r="H1122" s="4" t="n">
        <v>496.29</v>
      </c>
      <c r="I1122" s="4" t="n">
        <v>485.18</v>
      </c>
      <c r="J1122" s="14" t="n">
        <f aca="false">E1122-D1122</f>
        <v>4</v>
      </c>
      <c r="K1122" s="14" t="n">
        <f aca="false">IF(J1122&lt;=0,1,0)</f>
        <v>0</v>
      </c>
      <c r="L1122" s="15" t="n">
        <f aca="false">IFERROR(G1122/F1122,0)</f>
        <v>0.963636363636364</v>
      </c>
      <c r="M1122" s="15" t="n">
        <f aca="false">IFERROR((I1122-H1122)/H1122,0)</f>
        <v>-0.0223861048983458</v>
      </c>
      <c r="N1122" s="16" t="n">
        <f aca="false">G1122*I1122</f>
        <v>25714.54</v>
      </c>
    </row>
    <row r="1123" customFormat="false" ht="15" hidden="false" customHeight="true" outlineLevel="0" collapsed="false">
      <c r="A1123" s="4" t="s">
        <v>1299</v>
      </c>
      <c r="B1123" s="4" t="s">
        <v>111</v>
      </c>
      <c r="C1123" s="13" t="n">
        <v>45382</v>
      </c>
      <c r="D1123" s="13" t="n">
        <v>45392</v>
      </c>
      <c r="E1123" s="13" t="n">
        <v>45399</v>
      </c>
      <c r="F1123" s="4" t="n">
        <v>1323</v>
      </c>
      <c r="G1123" s="4" t="n">
        <v>1310</v>
      </c>
      <c r="H1123" s="4" t="n">
        <v>148.08</v>
      </c>
      <c r="I1123" s="4" t="n">
        <v>147.74</v>
      </c>
      <c r="J1123" s="14" t="n">
        <f aca="false">E1123-D1123</f>
        <v>7</v>
      </c>
      <c r="K1123" s="14" t="n">
        <f aca="false">IF(J1123&lt;=0,1,0)</f>
        <v>0</v>
      </c>
      <c r="L1123" s="15" t="n">
        <f aca="false">IFERROR(G1123/F1123,0)</f>
        <v>0.990173847316704</v>
      </c>
      <c r="M1123" s="15" t="n">
        <f aca="false">IFERROR((I1123-H1123)/H1123,0)</f>
        <v>-0.00229605618584551</v>
      </c>
      <c r="N1123" s="16" t="n">
        <f aca="false">G1123*I1123</f>
        <v>193539.4</v>
      </c>
    </row>
    <row r="1124" customFormat="false" ht="15" hidden="false" customHeight="true" outlineLevel="0" collapsed="false">
      <c r="A1124" s="4" t="s">
        <v>1300</v>
      </c>
      <c r="B1124" s="4" t="s">
        <v>133</v>
      </c>
      <c r="C1124" s="13" t="n">
        <v>45577</v>
      </c>
      <c r="D1124" s="13" t="n">
        <v>45586</v>
      </c>
      <c r="E1124" s="13" t="n">
        <v>45590</v>
      </c>
      <c r="F1124" s="4" t="n">
        <v>1597</v>
      </c>
      <c r="G1124" s="4" t="n">
        <v>1500</v>
      </c>
      <c r="H1124" s="4" t="n">
        <v>138.21</v>
      </c>
      <c r="I1124" s="4" t="n">
        <v>139.58</v>
      </c>
      <c r="J1124" s="14" t="n">
        <f aca="false">E1124-D1124</f>
        <v>4</v>
      </c>
      <c r="K1124" s="14" t="n">
        <f aca="false">IF(J1124&lt;=0,1,0)</f>
        <v>0</v>
      </c>
      <c r="L1124" s="15" t="n">
        <f aca="false">IFERROR(G1124/F1124,0)</f>
        <v>0.939261114589856</v>
      </c>
      <c r="M1124" s="15" t="n">
        <f aca="false">IFERROR((I1124-H1124)/H1124,0)</f>
        <v>0.00991245206569716</v>
      </c>
      <c r="N1124" s="16" t="n">
        <f aca="false">G1124*I1124</f>
        <v>209370</v>
      </c>
    </row>
    <row r="1125" customFormat="false" ht="15" hidden="false" customHeight="true" outlineLevel="0" collapsed="false">
      <c r="A1125" s="4" t="s">
        <v>1301</v>
      </c>
      <c r="B1125" s="4" t="s">
        <v>109</v>
      </c>
      <c r="C1125" s="13" t="n">
        <v>45251</v>
      </c>
      <c r="D1125" s="13" t="n">
        <v>45269</v>
      </c>
      <c r="E1125" s="13" t="n">
        <v>45268</v>
      </c>
      <c r="F1125" s="4" t="n">
        <v>371</v>
      </c>
      <c r="G1125" s="4" t="n">
        <v>371</v>
      </c>
      <c r="H1125" s="4" t="n">
        <v>858.02</v>
      </c>
      <c r="I1125" s="4" t="n">
        <v>867.91</v>
      </c>
      <c r="J1125" s="14" t="n">
        <f aca="false">E1125-D1125</f>
        <v>-1</v>
      </c>
      <c r="K1125" s="14" t="n">
        <f aca="false">IF(J1125&lt;=0,1,0)</f>
        <v>1</v>
      </c>
      <c r="L1125" s="15" t="n">
        <f aca="false">IFERROR(G1125/F1125,0)</f>
        <v>1</v>
      </c>
      <c r="M1125" s="15" t="n">
        <f aca="false">IFERROR((I1125-H1125)/H1125,0)</f>
        <v>0.0115265378429407</v>
      </c>
      <c r="N1125" s="16" t="n">
        <f aca="false">G1125*I1125</f>
        <v>321994.61</v>
      </c>
    </row>
    <row r="1126" customFormat="false" ht="15" hidden="false" customHeight="true" outlineLevel="0" collapsed="false">
      <c r="A1126" s="4" t="s">
        <v>1302</v>
      </c>
      <c r="B1126" s="4" t="s">
        <v>32</v>
      </c>
      <c r="C1126" s="13" t="n">
        <v>45580</v>
      </c>
      <c r="D1126" s="13" t="n">
        <v>45589</v>
      </c>
      <c r="E1126" s="13" t="n">
        <v>45590</v>
      </c>
      <c r="F1126" s="4" t="n">
        <v>4219</v>
      </c>
      <c r="G1126" s="4" t="n">
        <v>3993</v>
      </c>
      <c r="H1126" s="4" t="n">
        <v>32.49</v>
      </c>
      <c r="I1126" s="4" t="n">
        <v>33.14</v>
      </c>
      <c r="J1126" s="14" t="n">
        <f aca="false">E1126-D1126</f>
        <v>1</v>
      </c>
      <c r="K1126" s="14" t="n">
        <f aca="false">IF(J1126&lt;=0,1,0)</f>
        <v>0</v>
      </c>
      <c r="L1126" s="15" t="n">
        <f aca="false">IFERROR(G1126/F1126,0)</f>
        <v>0.946432803981986</v>
      </c>
      <c r="M1126" s="15" t="n">
        <f aca="false">IFERROR((I1126-H1126)/H1126,0)</f>
        <v>0.0200061557402277</v>
      </c>
      <c r="N1126" s="16" t="n">
        <f aca="false">G1126*I1126</f>
        <v>132328.02</v>
      </c>
    </row>
    <row r="1127" customFormat="false" ht="15" hidden="false" customHeight="true" outlineLevel="0" collapsed="false">
      <c r="A1127" s="4" t="s">
        <v>1303</v>
      </c>
      <c r="B1127" s="4" t="s">
        <v>115</v>
      </c>
      <c r="C1127" s="13" t="n">
        <v>45241</v>
      </c>
      <c r="D1127" s="13" t="n">
        <v>45253</v>
      </c>
      <c r="E1127" s="13" t="n">
        <v>45263</v>
      </c>
      <c r="F1127" s="4" t="n">
        <v>84</v>
      </c>
      <c r="G1127" s="4" t="n">
        <v>78</v>
      </c>
      <c r="H1127" s="4" t="n">
        <v>115.53</v>
      </c>
      <c r="I1127" s="4" t="n">
        <v>122.06</v>
      </c>
      <c r="J1127" s="14" t="n">
        <f aca="false">E1127-D1127</f>
        <v>10</v>
      </c>
      <c r="K1127" s="14" t="n">
        <f aca="false">IF(J1127&lt;=0,1,0)</f>
        <v>0</v>
      </c>
      <c r="L1127" s="15" t="n">
        <f aca="false">IFERROR(G1127/F1127,0)</f>
        <v>0.928571428571429</v>
      </c>
      <c r="M1127" s="15" t="n">
        <f aca="false">IFERROR((I1127-H1127)/H1127,0)</f>
        <v>0.0565221154678439</v>
      </c>
      <c r="N1127" s="16" t="n">
        <f aca="false">G1127*I1127</f>
        <v>9520.68</v>
      </c>
    </row>
    <row r="1128" customFormat="false" ht="15" hidden="false" customHeight="true" outlineLevel="0" collapsed="false">
      <c r="A1128" s="4" t="s">
        <v>1304</v>
      </c>
      <c r="B1128" s="4" t="s">
        <v>47</v>
      </c>
      <c r="C1128" s="13" t="n">
        <v>45095</v>
      </c>
      <c r="D1128" s="13" t="n">
        <v>45106</v>
      </c>
      <c r="E1128" s="13" t="n">
        <v>45107</v>
      </c>
      <c r="F1128" s="4" t="n">
        <v>1146</v>
      </c>
      <c r="G1128" s="4" t="n">
        <v>1134</v>
      </c>
      <c r="H1128" s="4" t="n">
        <v>228.68</v>
      </c>
      <c r="I1128" s="4" t="n">
        <v>231.04</v>
      </c>
      <c r="J1128" s="14" t="n">
        <f aca="false">E1128-D1128</f>
        <v>1</v>
      </c>
      <c r="K1128" s="14" t="n">
        <f aca="false">IF(J1128&lt;=0,1,0)</f>
        <v>0</v>
      </c>
      <c r="L1128" s="15" t="n">
        <f aca="false">IFERROR(G1128/F1128,0)</f>
        <v>0.989528795811518</v>
      </c>
      <c r="M1128" s="15" t="n">
        <f aca="false">IFERROR((I1128-H1128)/H1128,0)</f>
        <v>0.010320097953472</v>
      </c>
      <c r="N1128" s="16" t="n">
        <f aca="false">G1128*I1128</f>
        <v>261999.36</v>
      </c>
    </row>
    <row r="1129" customFormat="false" ht="15" hidden="false" customHeight="true" outlineLevel="0" collapsed="false">
      <c r="A1129" s="4" t="s">
        <v>1305</v>
      </c>
      <c r="B1129" s="4" t="s">
        <v>87</v>
      </c>
      <c r="C1129" s="13" t="n">
        <v>45046</v>
      </c>
      <c r="D1129" s="13" t="n">
        <v>45057</v>
      </c>
      <c r="E1129" s="13" t="n">
        <v>45057</v>
      </c>
      <c r="F1129" s="4" t="n">
        <v>1621</v>
      </c>
      <c r="G1129" s="4" t="n">
        <v>1518</v>
      </c>
      <c r="H1129" s="4" t="n">
        <v>161.95</v>
      </c>
      <c r="I1129" s="4" t="n">
        <v>167.04</v>
      </c>
      <c r="J1129" s="14" t="n">
        <f aca="false">E1129-D1129</f>
        <v>0</v>
      </c>
      <c r="K1129" s="14" t="n">
        <f aca="false">IF(J1129&lt;=0,1,0)</f>
        <v>1</v>
      </c>
      <c r="L1129" s="15" t="n">
        <f aca="false">IFERROR(G1129/F1129,0)</f>
        <v>0.936458975940777</v>
      </c>
      <c r="M1129" s="15" t="n">
        <f aca="false">IFERROR((I1129-H1129)/H1129,0)</f>
        <v>0.0314294535350417</v>
      </c>
      <c r="N1129" s="16" t="n">
        <f aca="false">G1129*I1129</f>
        <v>253566.72</v>
      </c>
    </row>
    <row r="1130" customFormat="false" ht="15" hidden="false" customHeight="true" outlineLevel="0" collapsed="false">
      <c r="A1130" s="4" t="s">
        <v>1306</v>
      </c>
      <c r="B1130" s="4" t="s">
        <v>139</v>
      </c>
      <c r="C1130" s="13" t="n">
        <v>45357</v>
      </c>
      <c r="D1130" s="13" t="n">
        <v>45368</v>
      </c>
      <c r="E1130" s="13" t="n">
        <v>45368</v>
      </c>
      <c r="F1130" s="4" t="n">
        <v>824</v>
      </c>
      <c r="G1130" s="4" t="n">
        <v>740</v>
      </c>
      <c r="H1130" s="4" t="n">
        <v>207.64</v>
      </c>
      <c r="I1130" s="4" t="n">
        <v>216.1</v>
      </c>
      <c r="J1130" s="14" t="n">
        <f aca="false">E1130-D1130</f>
        <v>0</v>
      </c>
      <c r="K1130" s="14" t="n">
        <f aca="false">IF(J1130&lt;=0,1,0)</f>
        <v>1</v>
      </c>
      <c r="L1130" s="15" t="n">
        <f aca="false">IFERROR(G1130/F1130,0)</f>
        <v>0.898058252427185</v>
      </c>
      <c r="M1130" s="15" t="n">
        <f aca="false">IFERROR((I1130-H1130)/H1130,0)</f>
        <v>0.0407435946831054</v>
      </c>
      <c r="N1130" s="16" t="n">
        <f aca="false">G1130*I1130</f>
        <v>159914</v>
      </c>
    </row>
    <row r="1131" customFormat="false" ht="15" hidden="false" customHeight="true" outlineLevel="0" collapsed="false">
      <c r="A1131" s="4" t="s">
        <v>1307</v>
      </c>
      <c r="B1131" s="4" t="s">
        <v>121</v>
      </c>
      <c r="C1131" s="13" t="n">
        <v>45241</v>
      </c>
      <c r="D1131" s="13" t="n">
        <v>45252</v>
      </c>
      <c r="E1131" s="13" t="n">
        <v>45247</v>
      </c>
      <c r="F1131" s="4" t="n">
        <v>567</v>
      </c>
      <c r="G1131" s="4" t="n">
        <v>497</v>
      </c>
      <c r="H1131" s="4" t="n">
        <v>206.07</v>
      </c>
      <c r="I1131" s="4" t="n">
        <v>214.75</v>
      </c>
      <c r="J1131" s="14" t="n">
        <f aca="false">E1131-D1131</f>
        <v>-5</v>
      </c>
      <c r="K1131" s="14" t="n">
        <f aca="false">IF(J1131&lt;=0,1,0)</f>
        <v>1</v>
      </c>
      <c r="L1131" s="15" t="n">
        <f aca="false">IFERROR(G1131/F1131,0)</f>
        <v>0.876543209876543</v>
      </c>
      <c r="M1131" s="15" t="n">
        <f aca="false">IFERROR((I1131-H1131)/H1131,0)</f>
        <v>0.0421216091619353</v>
      </c>
      <c r="N1131" s="16" t="n">
        <f aca="false">G1131*I1131</f>
        <v>106730.75</v>
      </c>
    </row>
    <row r="1132" customFormat="false" ht="15" hidden="false" customHeight="true" outlineLevel="0" collapsed="false">
      <c r="A1132" s="4" t="s">
        <v>1308</v>
      </c>
      <c r="B1132" s="4" t="s">
        <v>93</v>
      </c>
      <c r="C1132" s="13" t="n">
        <v>45038</v>
      </c>
      <c r="D1132" s="13" t="n">
        <v>45049</v>
      </c>
      <c r="E1132" s="13" t="n">
        <v>45049</v>
      </c>
      <c r="F1132" s="4" t="n">
        <v>977</v>
      </c>
      <c r="G1132" s="4" t="n">
        <v>937</v>
      </c>
      <c r="H1132" s="4" t="n">
        <v>174.25</v>
      </c>
      <c r="I1132" s="4" t="n">
        <v>177.85</v>
      </c>
      <c r="J1132" s="14" t="n">
        <f aca="false">E1132-D1132</f>
        <v>0</v>
      </c>
      <c r="K1132" s="14" t="n">
        <f aca="false">IF(J1132&lt;=0,1,0)</f>
        <v>1</v>
      </c>
      <c r="L1132" s="15" t="n">
        <f aca="false">IFERROR(G1132/F1132,0)</f>
        <v>0.959058341862845</v>
      </c>
      <c r="M1132" s="15" t="n">
        <f aca="false">IFERROR((I1132-H1132)/H1132,0)</f>
        <v>0.0206599713055954</v>
      </c>
      <c r="N1132" s="16" t="n">
        <f aca="false">G1132*I1132</f>
        <v>166645.45</v>
      </c>
    </row>
    <row r="1133" customFormat="false" ht="15" hidden="false" customHeight="true" outlineLevel="0" collapsed="false">
      <c r="A1133" s="4" t="s">
        <v>1309</v>
      </c>
      <c r="B1133" s="4" t="s">
        <v>65</v>
      </c>
      <c r="C1133" s="13" t="n">
        <v>45585</v>
      </c>
      <c r="D1133" s="13" t="n">
        <v>45604</v>
      </c>
      <c r="E1133" s="13" t="n">
        <v>45602</v>
      </c>
      <c r="F1133" s="4" t="n">
        <v>412</v>
      </c>
      <c r="G1133" s="4" t="n">
        <v>412</v>
      </c>
      <c r="H1133" s="4" t="n">
        <v>1365.59</v>
      </c>
      <c r="I1133" s="4" t="n">
        <v>1381.44</v>
      </c>
      <c r="J1133" s="14" t="n">
        <f aca="false">E1133-D1133</f>
        <v>-2</v>
      </c>
      <c r="K1133" s="14" t="n">
        <f aca="false">IF(J1133&lt;=0,1,0)</f>
        <v>1</v>
      </c>
      <c r="L1133" s="15" t="n">
        <f aca="false">IFERROR(G1133/F1133,0)</f>
        <v>1</v>
      </c>
      <c r="M1133" s="15" t="n">
        <f aca="false">IFERROR((I1133-H1133)/H1133,0)</f>
        <v>0.0116067047942649</v>
      </c>
      <c r="N1133" s="16" t="n">
        <f aca="false">G1133*I1133</f>
        <v>569153.28</v>
      </c>
    </row>
    <row r="1134" customFormat="false" ht="15" hidden="false" customHeight="true" outlineLevel="0" collapsed="false">
      <c r="A1134" s="4" t="s">
        <v>1310</v>
      </c>
      <c r="B1134" s="4" t="s">
        <v>163</v>
      </c>
      <c r="C1134" s="13" t="n">
        <v>45170</v>
      </c>
      <c r="D1134" s="13" t="n">
        <v>45190</v>
      </c>
      <c r="E1134" s="13" t="n">
        <v>45181</v>
      </c>
      <c r="F1134" s="4" t="n">
        <v>222</v>
      </c>
      <c r="G1134" s="4" t="n">
        <v>222</v>
      </c>
      <c r="H1134" s="4" t="n">
        <v>482.79</v>
      </c>
      <c r="I1134" s="4" t="n">
        <v>485.97</v>
      </c>
      <c r="J1134" s="14" t="n">
        <f aca="false">E1134-D1134</f>
        <v>-9</v>
      </c>
      <c r="K1134" s="14" t="n">
        <f aca="false">IF(J1134&lt;=0,1,0)</f>
        <v>1</v>
      </c>
      <c r="L1134" s="15" t="n">
        <f aca="false">IFERROR(G1134/F1134,0)</f>
        <v>1</v>
      </c>
      <c r="M1134" s="15" t="n">
        <f aca="false">IFERROR((I1134-H1134)/H1134,0)</f>
        <v>0.00658671472068603</v>
      </c>
      <c r="N1134" s="16" t="n">
        <f aca="false">G1134*I1134</f>
        <v>107885.34</v>
      </c>
    </row>
    <row r="1135" customFormat="false" ht="15" hidden="false" customHeight="true" outlineLevel="0" collapsed="false">
      <c r="A1135" s="4" t="s">
        <v>1311</v>
      </c>
      <c r="B1135" s="4" t="s">
        <v>95</v>
      </c>
      <c r="C1135" s="13" t="n">
        <v>45099</v>
      </c>
      <c r="D1135" s="13" t="n">
        <v>45105</v>
      </c>
      <c r="E1135" s="13" t="n">
        <v>45106</v>
      </c>
      <c r="F1135" s="4" t="n">
        <v>3962</v>
      </c>
      <c r="G1135" s="4" t="n">
        <v>3962</v>
      </c>
      <c r="H1135" s="4" t="n">
        <v>20.39</v>
      </c>
      <c r="I1135" s="4" t="n">
        <v>20.55</v>
      </c>
      <c r="J1135" s="14" t="n">
        <f aca="false">E1135-D1135</f>
        <v>1</v>
      </c>
      <c r="K1135" s="14" t="n">
        <f aca="false">IF(J1135&lt;=0,1,0)</f>
        <v>0</v>
      </c>
      <c r="L1135" s="15" t="n">
        <f aca="false">IFERROR(G1135/F1135,0)</f>
        <v>1</v>
      </c>
      <c r="M1135" s="15" t="n">
        <f aca="false">IFERROR((I1135-H1135)/H1135,0)</f>
        <v>0.00784698381559589</v>
      </c>
      <c r="N1135" s="16" t="n">
        <f aca="false">G1135*I1135</f>
        <v>81419.1</v>
      </c>
    </row>
    <row r="1136" customFormat="false" ht="15" hidden="false" customHeight="true" outlineLevel="0" collapsed="false">
      <c r="A1136" s="4" t="s">
        <v>1312</v>
      </c>
      <c r="B1136" s="4" t="s">
        <v>61</v>
      </c>
      <c r="C1136" s="13" t="n">
        <v>45546</v>
      </c>
      <c r="D1136" s="13" t="n">
        <v>45558</v>
      </c>
      <c r="E1136" s="13" t="n">
        <v>45565</v>
      </c>
      <c r="F1136" s="4" t="n">
        <v>429</v>
      </c>
      <c r="G1136" s="4" t="n">
        <v>429</v>
      </c>
      <c r="H1136" s="4" t="n">
        <v>107.41</v>
      </c>
      <c r="I1136" s="4" t="n">
        <v>106.84</v>
      </c>
      <c r="J1136" s="14" t="n">
        <f aca="false">E1136-D1136</f>
        <v>7</v>
      </c>
      <c r="K1136" s="14" t="n">
        <f aca="false">IF(J1136&lt;=0,1,0)</f>
        <v>0</v>
      </c>
      <c r="L1136" s="15" t="n">
        <f aca="false">IFERROR(G1136/F1136,0)</f>
        <v>1</v>
      </c>
      <c r="M1136" s="15" t="n">
        <f aca="false">IFERROR((I1136-H1136)/H1136,0)</f>
        <v>-0.00530676845731304</v>
      </c>
      <c r="N1136" s="16" t="n">
        <f aca="false">G1136*I1136</f>
        <v>45834.36</v>
      </c>
    </row>
    <row r="1137" customFormat="false" ht="15" hidden="false" customHeight="true" outlineLevel="0" collapsed="false">
      <c r="A1137" s="4" t="s">
        <v>1313</v>
      </c>
      <c r="B1137" s="4" t="s">
        <v>32</v>
      </c>
      <c r="C1137" s="13" t="n">
        <v>45407</v>
      </c>
      <c r="D1137" s="13" t="n">
        <v>45413</v>
      </c>
      <c r="E1137" s="13" t="n">
        <v>45413</v>
      </c>
      <c r="F1137" s="4" t="n">
        <v>1465</v>
      </c>
      <c r="G1137" s="4" t="n">
        <v>1314</v>
      </c>
      <c r="H1137" s="4" t="n">
        <v>32.49</v>
      </c>
      <c r="I1137" s="4" t="n">
        <v>32.5</v>
      </c>
      <c r="J1137" s="14" t="n">
        <f aca="false">E1137-D1137</f>
        <v>0</v>
      </c>
      <c r="K1137" s="14" t="n">
        <f aca="false">IF(J1137&lt;=0,1,0)</f>
        <v>1</v>
      </c>
      <c r="L1137" s="15" t="n">
        <f aca="false">IFERROR(G1137/F1137,0)</f>
        <v>0.896928327645051</v>
      </c>
      <c r="M1137" s="15" t="n">
        <f aca="false">IFERROR((I1137-H1137)/H1137,0)</f>
        <v>0.000307787011388058</v>
      </c>
      <c r="N1137" s="16" t="n">
        <f aca="false">G1137*I1137</f>
        <v>42705</v>
      </c>
    </row>
    <row r="1138" customFormat="false" ht="15" hidden="false" customHeight="true" outlineLevel="0" collapsed="false">
      <c r="A1138" s="4" t="s">
        <v>1314</v>
      </c>
      <c r="B1138" s="4" t="s">
        <v>79</v>
      </c>
      <c r="C1138" s="13" t="n">
        <v>45359</v>
      </c>
      <c r="D1138" s="13" t="n">
        <v>45376</v>
      </c>
      <c r="E1138" s="13" t="n">
        <v>45377</v>
      </c>
      <c r="F1138" s="4" t="n">
        <v>276</v>
      </c>
      <c r="G1138" s="4" t="n">
        <v>271</v>
      </c>
      <c r="H1138" s="4" t="n">
        <v>821.48</v>
      </c>
      <c r="I1138" s="4" t="n">
        <v>862.23</v>
      </c>
      <c r="J1138" s="14" t="n">
        <f aca="false">E1138-D1138</f>
        <v>1</v>
      </c>
      <c r="K1138" s="14" t="n">
        <f aca="false">IF(J1138&lt;=0,1,0)</f>
        <v>0</v>
      </c>
      <c r="L1138" s="15" t="n">
        <f aca="false">IFERROR(G1138/F1138,0)</f>
        <v>0.981884057971015</v>
      </c>
      <c r="M1138" s="15" t="n">
        <f aca="false">IFERROR((I1138-H1138)/H1138,0)</f>
        <v>0.0496055899108925</v>
      </c>
      <c r="N1138" s="16" t="n">
        <f aca="false">G1138*I1138</f>
        <v>233664.33</v>
      </c>
    </row>
    <row r="1139" customFormat="false" ht="15" hidden="false" customHeight="true" outlineLevel="0" collapsed="false">
      <c r="A1139" s="4" t="s">
        <v>1315</v>
      </c>
      <c r="B1139" s="4" t="s">
        <v>61</v>
      </c>
      <c r="C1139" s="13" t="n">
        <v>45160</v>
      </c>
      <c r="D1139" s="13" t="n">
        <v>45170</v>
      </c>
      <c r="E1139" s="13" t="n">
        <v>45174</v>
      </c>
      <c r="F1139" s="4" t="n">
        <v>1407</v>
      </c>
      <c r="G1139" s="4" t="n">
        <v>1382</v>
      </c>
      <c r="H1139" s="4" t="n">
        <v>107.41</v>
      </c>
      <c r="I1139" s="4" t="n">
        <v>106</v>
      </c>
      <c r="J1139" s="14" t="n">
        <f aca="false">E1139-D1139</f>
        <v>4</v>
      </c>
      <c r="K1139" s="14" t="n">
        <f aca="false">IF(J1139&lt;=0,1,0)</f>
        <v>0</v>
      </c>
      <c r="L1139" s="15" t="n">
        <f aca="false">IFERROR(G1139/F1139,0)</f>
        <v>0.982231698649609</v>
      </c>
      <c r="M1139" s="15" t="n">
        <f aca="false">IFERROR((I1139-H1139)/H1139,0)</f>
        <v>-0.0131272693417745</v>
      </c>
      <c r="N1139" s="16" t="n">
        <f aca="false">G1139*I1139</f>
        <v>146492</v>
      </c>
    </row>
    <row r="1140" customFormat="false" ht="15" hidden="false" customHeight="true" outlineLevel="0" collapsed="false">
      <c r="A1140" s="4" t="s">
        <v>1316</v>
      </c>
      <c r="B1140" s="4" t="s">
        <v>129</v>
      </c>
      <c r="C1140" s="13" t="n">
        <v>45074</v>
      </c>
      <c r="D1140" s="13" t="n">
        <v>45094</v>
      </c>
      <c r="E1140" s="13" t="n">
        <v>45094</v>
      </c>
      <c r="F1140" s="4" t="n">
        <v>219</v>
      </c>
      <c r="G1140" s="4" t="n">
        <v>210</v>
      </c>
      <c r="H1140" s="4" t="n">
        <v>709.66</v>
      </c>
      <c r="I1140" s="4" t="n">
        <v>710.15</v>
      </c>
      <c r="J1140" s="14" t="n">
        <f aca="false">E1140-D1140</f>
        <v>0</v>
      </c>
      <c r="K1140" s="14" t="n">
        <f aca="false">IF(J1140&lt;=0,1,0)</f>
        <v>1</v>
      </c>
      <c r="L1140" s="15" t="n">
        <f aca="false">IFERROR(G1140/F1140,0)</f>
        <v>0.958904109589041</v>
      </c>
      <c r="M1140" s="15" t="n">
        <f aca="false">IFERROR((I1140-H1140)/H1140,0)</f>
        <v>0.000690471493391214</v>
      </c>
      <c r="N1140" s="16" t="n">
        <f aca="false">G1140*I1140</f>
        <v>149131.5</v>
      </c>
    </row>
    <row r="1141" customFormat="false" ht="15" hidden="false" customHeight="true" outlineLevel="0" collapsed="false">
      <c r="A1141" s="4" t="s">
        <v>1317</v>
      </c>
      <c r="B1141" s="4" t="s">
        <v>113</v>
      </c>
      <c r="C1141" s="13" t="n">
        <v>45218</v>
      </c>
      <c r="D1141" s="13" t="n">
        <v>45228</v>
      </c>
      <c r="E1141" s="13" t="n">
        <v>45226</v>
      </c>
      <c r="F1141" s="4" t="n">
        <v>926</v>
      </c>
      <c r="G1141" s="4" t="n">
        <v>900</v>
      </c>
      <c r="H1141" s="4" t="n">
        <v>170.42</v>
      </c>
      <c r="I1141" s="4" t="n">
        <v>172.23</v>
      </c>
      <c r="J1141" s="14" t="n">
        <f aca="false">E1141-D1141</f>
        <v>-2</v>
      </c>
      <c r="K1141" s="14" t="n">
        <f aca="false">IF(J1141&lt;=0,1,0)</f>
        <v>1</v>
      </c>
      <c r="L1141" s="15" t="n">
        <f aca="false">IFERROR(G1141/F1141,0)</f>
        <v>0.971922246220302</v>
      </c>
      <c r="M1141" s="15" t="n">
        <f aca="false">IFERROR((I1141-H1141)/H1141,0)</f>
        <v>0.0106208191526816</v>
      </c>
      <c r="N1141" s="16" t="n">
        <f aca="false">G1141*I1141</f>
        <v>155007</v>
      </c>
    </row>
    <row r="1142" customFormat="false" ht="15" hidden="false" customHeight="true" outlineLevel="0" collapsed="false">
      <c r="A1142" s="4" t="s">
        <v>1318</v>
      </c>
      <c r="B1142" s="4" t="s">
        <v>115</v>
      </c>
      <c r="C1142" s="13" t="n">
        <v>45572</v>
      </c>
      <c r="D1142" s="13" t="n">
        <v>45584</v>
      </c>
      <c r="E1142" s="13" t="n">
        <v>45588</v>
      </c>
      <c r="F1142" s="4" t="n">
        <v>205</v>
      </c>
      <c r="G1142" s="4" t="n">
        <v>198</v>
      </c>
      <c r="H1142" s="4" t="n">
        <v>115.53</v>
      </c>
      <c r="I1142" s="4" t="n">
        <v>127.18</v>
      </c>
      <c r="J1142" s="14" t="n">
        <f aca="false">E1142-D1142</f>
        <v>4</v>
      </c>
      <c r="K1142" s="14" t="n">
        <f aca="false">IF(J1142&lt;=0,1,0)</f>
        <v>0</v>
      </c>
      <c r="L1142" s="15" t="n">
        <f aca="false">IFERROR(G1142/F1142,0)</f>
        <v>0.965853658536585</v>
      </c>
      <c r="M1142" s="15" t="n">
        <f aca="false">IFERROR((I1142-H1142)/H1142,0)</f>
        <v>0.10083960875963</v>
      </c>
      <c r="N1142" s="16" t="n">
        <f aca="false">G1142*I1142</f>
        <v>25181.64</v>
      </c>
    </row>
    <row r="1143" customFormat="false" ht="15" hidden="false" customHeight="true" outlineLevel="0" collapsed="false">
      <c r="A1143" s="4" t="s">
        <v>1319</v>
      </c>
      <c r="B1143" s="4" t="s">
        <v>135</v>
      </c>
      <c r="C1143" s="13" t="n">
        <v>45405</v>
      </c>
      <c r="D1143" s="13" t="n">
        <v>45419</v>
      </c>
      <c r="E1143" s="13" t="n">
        <v>45422</v>
      </c>
      <c r="F1143" s="4" t="n">
        <v>216</v>
      </c>
      <c r="G1143" s="4" t="n">
        <v>216</v>
      </c>
      <c r="H1143" s="4" t="n">
        <v>328.06</v>
      </c>
      <c r="I1143" s="4" t="n">
        <v>325.78</v>
      </c>
      <c r="J1143" s="14" t="n">
        <f aca="false">E1143-D1143</f>
        <v>3</v>
      </c>
      <c r="K1143" s="14" t="n">
        <f aca="false">IF(J1143&lt;=0,1,0)</f>
        <v>0</v>
      </c>
      <c r="L1143" s="15" t="n">
        <f aca="false">IFERROR(G1143/F1143,0)</f>
        <v>1</v>
      </c>
      <c r="M1143" s="15" t="n">
        <f aca="false">IFERROR((I1143-H1143)/H1143,0)</f>
        <v>-0.00694994818021103</v>
      </c>
      <c r="N1143" s="16" t="n">
        <f aca="false">G1143*I1143</f>
        <v>70368.48</v>
      </c>
    </row>
    <row r="1144" customFormat="false" ht="15" hidden="false" customHeight="true" outlineLevel="0" collapsed="false">
      <c r="A1144" s="4" t="s">
        <v>1320</v>
      </c>
      <c r="B1144" s="4" t="s">
        <v>32</v>
      </c>
      <c r="C1144" s="13" t="n">
        <v>45296</v>
      </c>
      <c r="D1144" s="13" t="n">
        <v>45302</v>
      </c>
      <c r="E1144" s="13" t="n">
        <v>45299</v>
      </c>
      <c r="F1144" s="4" t="n">
        <v>1249</v>
      </c>
      <c r="G1144" s="4" t="n">
        <v>1126</v>
      </c>
      <c r="H1144" s="4" t="n">
        <v>32.49</v>
      </c>
      <c r="I1144" s="4" t="n">
        <v>32.18</v>
      </c>
      <c r="J1144" s="14" t="n">
        <f aca="false">E1144-D1144</f>
        <v>-3</v>
      </c>
      <c r="K1144" s="14" t="n">
        <f aca="false">IF(J1144&lt;=0,1,0)</f>
        <v>1</v>
      </c>
      <c r="L1144" s="15" t="n">
        <f aca="false">IFERROR(G1144/F1144,0)</f>
        <v>0.901521216973579</v>
      </c>
      <c r="M1144" s="15" t="n">
        <f aca="false">IFERROR((I1144-H1144)/H1144,0)</f>
        <v>-0.00954139735303177</v>
      </c>
      <c r="N1144" s="16" t="n">
        <f aca="false">G1144*I1144</f>
        <v>36234.68</v>
      </c>
    </row>
    <row r="1145" customFormat="false" ht="15" hidden="false" customHeight="true" outlineLevel="0" collapsed="false">
      <c r="A1145" s="4" t="s">
        <v>1321</v>
      </c>
      <c r="B1145" s="4" t="s">
        <v>159</v>
      </c>
      <c r="C1145" s="13" t="n">
        <v>45017</v>
      </c>
      <c r="D1145" s="13" t="n">
        <v>45026</v>
      </c>
      <c r="E1145" s="13" t="n">
        <v>45022</v>
      </c>
      <c r="F1145" s="4" t="n">
        <v>4835</v>
      </c>
      <c r="G1145" s="4" t="n">
        <v>4798</v>
      </c>
      <c r="H1145" s="4" t="n">
        <v>32.91</v>
      </c>
      <c r="I1145" s="4" t="n">
        <v>33.5</v>
      </c>
      <c r="J1145" s="14" t="n">
        <f aca="false">E1145-D1145</f>
        <v>-4</v>
      </c>
      <c r="K1145" s="14" t="n">
        <f aca="false">IF(J1145&lt;=0,1,0)</f>
        <v>1</v>
      </c>
      <c r="L1145" s="15" t="n">
        <f aca="false">IFERROR(G1145/F1145,0)</f>
        <v>0.9923474663909</v>
      </c>
      <c r="M1145" s="15" t="n">
        <f aca="false">IFERROR((I1145-H1145)/H1145,0)</f>
        <v>0.0179276815557582</v>
      </c>
      <c r="N1145" s="16" t="n">
        <f aca="false">G1145*I1145</f>
        <v>160733</v>
      </c>
    </row>
    <row r="1146" customFormat="false" ht="15" hidden="false" customHeight="true" outlineLevel="0" collapsed="false">
      <c r="A1146" s="4" t="s">
        <v>1322</v>
      </c>
      <c r="B1146" s="4" t="s">
        <v>65</v>
      </c>
      <c r="C1146" s="13" t="n">
        <v>45365</v>
      </c>
      <c r="D1146" s="13" t="n">
        <v>45383</v>
      </c>
      <c r="E1146" s="13" t="n">
        <v>45383</v>
      </c>
      <c r="F1146" s="4" t="n">
        <v>285</v>
      </c>
      <c r="G1146" s="4" t="n">
        <v>281</v>
      </c>
      <c r="H1146" s="4" t="n">
        <v>1365.59</v>
      </c>
      <c r="I1146" s="4" t="n">
        <v>1360.48</v>
      </c>
      <c r="J1146" s="14" t="n">
        <f aca="false">E1146-D1146</f>
        <v>0</v>
      </c>
      <c r="K1146" s="14" t="n">
        <f aca="false">IF(J1146&lt;=0,1,0)</f>
        <v>1</v>
      </c>
      <c r="L1146" s="15" t="n">
        <f aca="false">IFERROR(G1146/F1146,0)</f>
        <v>0.985964912280702</v>
      </c>
      <c r="M1146" s="15" t="n">
        <f aca="false">IFERROR((I1146-H1146)/H1146,0)</f>
        <v>-0.00374197233430232</v>
      </c>
      <c r="N1146" s="16" t="n">
        <f aca="false">G1146*I1146</f>
        <v>382294.88</v>
      </c>
    </row>
    <row r="1147" customFormat="false" ht="15" hidden="false" customHeight="true" outlineLevel="0" collapsed="false">
      <c r="A1147" s="4" t="s">
        <v>1323</v>
      </c>
      <c r="B1147" s="4" t="s">
        <v>137</v>
      </c>
      <c r="C1147" s="13" t="n">
        <v>45498</v>
      </c>
      <c r="D1147" s="13" t="n">
        <v>45515</v>
      </c>
      <c r="E1147" s="13" t="n">
        <v>45514</v>
      </c>
      <c r="F1147" s="4" t="n">
        <v>68</v>
      </c>
      <c r="G1147" s="4" t="n">
        <v>61</v>
      </c>
      <c r="H1147" s="4" t="n">
        <v>1047.25</v>
      </c>
      <c r="I1147" s="4" t="n">
        <v>1107.09</v>
      </c>
      <c r="J1147" s="14" t="n">
        <f aca="false">E1147-D1147</f>
        <v>-1</v>
      </c>
      <c r="K1147" s="14" t="n">
        <f aca="false">IF(J1147&lt;=0,1,0)</f>
        <v>1</v>
      </c>
      <c r="L1147" s="15" t="n">
        <f aca="false">IFERROR(G1147/F1147,0)</f>
        <v>0.897058823529412</v>
      </c>
      <c r="M1147" s="15" t="n">
        <f aca="false">IFERROR((I1147-H1147)/H1147,0)</f>
        <v>0.0571401289090474</v>
      </c>
      <c r="N1147" s="16" t="n">
        <f aca="false">G1147*I1147</f>
        <v>67532.49</v>
      </c>
    </row>
    <row r="1148" customFormat="false" ht="15" hidden="false" customHeight="true" outlineLevel="0" collapsed="false">
      <c r="A1148" s="4" t="s">
        <v>1324</v>
      </c>
      <c r="B1148" s="4" t="s">
        <v>117</v>
      </c>
      <c r="C1148" s="13" t="n">
        <v>45585</v>
      </c>
      <c r="D1148" s="13" t="n">
        <v>45596</v>
      </c>
      <c r="E1148" s="13" t="n">
        <v>45606</v>
      </c>
      <c r="F1148" s="4" t="n">
        <v>194</v>
      </c>
      <c r="G1148" s="4" t="n">
        <v>179</v>
      </c>
      <c r="H1148" s="4" t="n">
        <v>396.01</v>
      </c>
      <c r="I1148" s="4" t="n">
        <v>390.74</v>
      </c>
      <c r="J1148" s="14" t="n">
        <f aca="false">E1148-D1148</f>
        <v>10</v>
      </c>
      <c r="K1148" s="14" t="n">
        <f aca="false">IF(J1148&lt;=0,1,0)</f>
        <v>0</v>
      </c>
      <c r="L1148" s="15" t="n">
        <f aca="false">IFERROR(G1148/F1148,0)</f>
        <v>0.922680412371134</v>
      </c>
      <c r="M1148" s="15" t="n">
        <f aca="false">IFERROR((I1148-H1148)/H1148,0)</f>
        <v>-0.0133077447539203</v>
      </c>
      <c r="N1148" s="16" t="n">
        <f aca="false">G1148*I1148</f>
        <v>69942.46</v>
      </c>
    </row>
    <row r="1149" customFormat="false" ht="15" hidden="false" customHeight="true" outlineLevel="0" collapsed="false">
      <c r="A1149" s="4" t="s">
        <v>1325</v>
      </c>
      <c r="B1149" s="4" t="s">
        <v>41</v>
      </c>
      <c r="C1149" s="13" t="n">
        <v>44996</v>
      </c>
      <c r="D1149" s="13" t="n">
        <v>45002</v>
      </c>
      <c r="E1149" s="13" t="n">
        <v>45000</v>
      </c>
      <c r="F1149" s="4" t="n">
        <v>2965</v>
      </c>
      <c r="G1149" s="4" t="n">
        <v>2887</v>
      </c>
      <c r="H1149" s="4" t="n">
        <v>45.51</v>
      </c>
      <c r="I1149" s="4" t="n">
        <v>45.24</v>
      </c>
      <c r="J1149" s="14" t="n">
        <f aca="false">E1149-D1149</f>
        <v>-2</v>
      </c>
      <c r="K1149" s="14" t="n">
        <f aca="false">IF(J1149&lt;=0,1,0)</f>
        <v>1</v>
      </c>
      <c r="L1149" s="15" t="n">
        <f aca="false">IFERROR(G1149/F1149,0)</f>
        <v>0.973693086003373</v>
      </c>
      <c r="M1149" s="15" t="n">
        <f aca="false">IFERROR((I1149-H1149)/H1149,0)</f>
        <v>-0.00593276203032292</v>
      </c>
      <c r="N1149" s="16" t="n">
        <f aca="false">G1149*I1149</f>
        <v>130607.88</v>
      </c>
    </row>
    <row r="1150" customFormat="false" ht="15" hidden="false" customHeight="true" outlineLevel="0" collapsed="false">
      <c r="A1150" s="4" t="s">
        <v>1326</v>
      </c>
      <c r="B1150" s="4" t="s">
        <v>55</v>
      </c>
      <c r="C1150" s="13" t="n">
        <v>45059</v>
      </c>
      <c r="D1150" s="13" t="n">
        <v>45077</v>
      </c>
      <c r="E1150" s="13" t="n">
        <v>45076</v>
      </c>
      <c r="F1150" s="4" t="n">
        <v>436</v>
      </c>
      <c r="G1150" s="4" t="n">
        <v>429</v>
      </c>
      <c r="H1150" s="4" t="n">
        <v>598.09</v>
      </c>
      <c r="I1150" s="4" t="n">
        <v>580.36</v>
      </c>
      <c r="J1150" s="14" t="n">
        <f aca="false">E1150-D1150</f>
        <v>-1</v>
      </c>
      <c r="K1150" s="14" t="n">
        <f aca="false">IF(J1150&lt;=0,1,0)</f>
        <v>1</v>
      </c>
      <c r="L1150" s="15" t="n">
        <f aca="false">IFERROR(G1150/F1150,0)</f>
        <v>0.98394495412844</v>
      </c>
      <c r="M1150" s="15" t="n">
        <f aca="false">IFERROR((I1150-H1150)/H1150,0)</f>
        <v>-0.029644367904496</v>
      </c>
      <c r="N1150" s="16" t="n">
        <f aca="false">G1150*I1150</f>
        <v>248974.44</v>
      </c>
    </row>
    <row r="1151" customFormat="false" ht="15" hidden="false" customHeight="true" outlineLevel="0" collapsed="false">
      <c r="A1151" s="4" t="s">
        <v>1327</v>
      </c>
      <c r="B1151" s="4" t="s">
        <v>141</v>
      </c>
      <c r="C1151" s="13" t="n">
        <v>45570</v>
      </c>
      <c r="D1151" s="13" t="n">
        <v>45588</v>
      </c>
      <c r="E1151" s="13" t="n">
        <v>45587</v>
      </c>
      <c r="F1151" s="4" t="n">
        <v>80</v>
      </c>
      <c r="G1151" s="4" t="n">
        <v>80</v>
      </c>
      <c r="H1151" s="4" t="n">
        <v>1252.36</v>
      </c>
      <c r="I1151" s="4" t="n">
        <v>1217.85</v>
      </c>
      <c r="J1151" s="14" t="n">
        <f aca="false">E1151-D1151</f>
        <v>-1</v>
      </c>
      <c r="K1151" s="14" t="n">
        <f aca="false">IF(J1151&lt;=0,1,0)</f>
        <v>1</v>
      </c>
      <c r="L1151" s="15" t="n">
        <f aca="false">IFERROR(G1151/F1151,0)</f>
        <v>1</v>
      </c>
      <c r="M1151" s="15" t="n">
        <f aca="false">IFERROR((I1151-H1151)/H1151,0)</f>
        <v>-0.0275559743204829</v>
      </c>
      <c r="N1151" s="16" t="n">
        <f aca="false">G1151*I1151</f>
        <v>97428</v>
      </c>
    </row>
    <row r="1152" customFormat="false" ht="15" hidden="false" customHeight="true" outlineLevel="0" collapsed="false">
      <c r="A1152" s="4" t="s">
        <v>1328</v>
      </c>
      <c r="B1152" s="4" t="s">
        <v>79</v>
      </c>
      <c r="C1152" s="13" t="n">
        <v>45042</v>
      </c>
      <c r="D1152" s="13" t="n">
        <v>45059</v>
      </c>
      <c r="E1152" s="13" t="n">
        <v>45063</v>
      </c>
      <c r="F1152" s="4" t="n">
        <v>330</v>
      </c>
      <c r="G1152" s="4" t="n">
        <v>299</v>
      </c>
      <c r="H1152" s="4" t="n">
        <v>821.48</v>
      </c>
      <c r="I1152" s="4" t="n">
        <v>838.4</v>
      </c>
      <c r="J1152" s="14" t="n">
        <f aca="false">E1152-D1152</f>
        <v>4</v>
      </c>
      <c r="K1152" s="14" t="n">
        <f aca="false">IF(J1152&lt;=0,1,0)</f>
        <v>0</v>
      </c>
      <c r="L1152" s="15" t="n">
        <f aca="false">IFERROR(G1152/F1152,0)</f>
        <v>0.906060606060606</v>
      </c>
      <c r="M1152" s="15" t="n">
        <f aca="false">IFERROR((I1152-H1152)/H1152,0)</f>
        <v>0.0205969713200564</v>
      </c>
      <c r="N1152" s="16" t="n">
        <f aca="false">G1152*I1152</f>
        <v>250681.6</v>
      </c>
    </row>
    <row r="1153" customFormat="false" ht="15" hidden="false" customHeight="true" outlineLevel="0" collapsed="false">
      <c r="A1153" s="4" t="s">
        <v>1329</v>
      </c>
      <c r="B1153" s="4" t="s">
        <v>89</v>
      </c>
      <c r="C1153" s="13" t="n">
        <v>45627</v>
      </c>
      <c r="D1153" s="13" t="n">
        <v>45632</v>
      </c>
      <c r="E1153" s="13" t="n">
        <v>45634</v>
      </c>
      <c r="F1153" s="4" t="n">
        <v>7</v>
      </c>
      <c r="G1153" s="4" t="n">
        <v>6</v>
      </c>
      <c r="H1153" s="4" t="n">
        <v>1929.81</v>
      </c>
      <c r="I1153" s="4" t="n">
        <v>1923.9</v>
      </c>
      <c r="J1153" s="14" t="n">
        <f aca="false">E1153-D1153</f>
        <v>2</v>
      </c>
      <c r="K1153" s="14" t="n">
        <f aca="false">IF(J1153&lt;=0,1,0)</f>
        <v>0</v>
      </c>
      <c r="L1153" s="15" t="n">
        <f aca="false">IFERROR(G1153/F1153,0)</f>
        <v>0.857142857142857</v>
      </c>
      <c r="M1153" s="15" t="n">
        <f aca="false">IFERROR((I1153-H1153)/H1153,0)</f>
        <v>-0.0030624776532404</v>
      </c>
      <c r="N1153" s="16" t="n">
        <f aca="false">G1153*I1153</f>
        <v>11543.4</v>
      </c>
    </row>
    <row r="1154" customFormat="false" ht="15" hidden="false" customHeight="true" outlineLevel="0" collapsed="false">
      <c r="A1154" s="4" t="s">
        <v>1330</v>
      </c>
      <c r="B1154" s="4" t="s">
        <v>107</v>
      </c>
      <c r="C1154" s="13" t="n">
        <v>44976</v>
      </c>
      <c r="D1154" s="13" t="n">
        <v>44983</v>
      </c>
      <c r="E1154" s="13" t="n">
        <v>44984</v>
      </c>
      <c r="F1154" s="4" t="n">
        <v>3155</v>
      </c>
      <c r="G1154" s="4" t="n">
        <v>3142</v>
      </c>
      <c r="H1154" s="4" t="n">
        <v>40.41</v>
      </c>
      <c r="I1154" s="4" t="n">
        <v>41.06</v>
      </c>
      <c r="J1154" s="14" t="n">
        <f aca="false">E1154-D1154</f>
        <v>1</v>
      </c>
      <c r="K1154" s="14" t="n">
        <f aca="false">IF(J1154&lt;=0,1,0)</f>
        <v>0</v>
      </c>
      <c r="L1154" s="15" t="n">
        <f aca="false">IFERROR(G1154/F1154,0)</f>
        <v>0.995879556259905</v>
      </c>
      <c r="M1154" s="15" t="n">
        <f aca="false">IFERROR((I1154-H1154)/H1154,0)</f>
        <v>0.0160851274437022</v>
      </c>
      <c r="N1154" s="16" t="n">
        <f aca="false">G1154*I1154</f>
        <v>129010.52</v>
      </c>
    </row>
    <row r="1155" customFormat="false" ht="15" hidden="false" customHeight="true" outlineLevel="0" collapsed="false">
      <c r="A1155" s="4" t="s">
        <v>1331</v>
      </c>
      <c r="B1155" s="4" t="s">
        <v>70</v>
      </c>
      <c r="C1155" s="13" t="n">
        <v>45342</v>
      </c>
      <c r="D1155" s="13" t="n">
        <v>45348</v>
      </c>
      <c r="E1155" s="13" t="n">
        <v>45350</v>
      </c>
      <c r="F1155" s="4" t="n">
        <v>3644</v>
      </c>
      <c r="G1155" s="4" t="n">
        <v>3285</v>
      </c>
      <c r="H1155" s="4" t="n">
        <v>35.88</v>
      </c>
      <c r="I1155" s="4" t="n">
        <v>37.14</v>
      </c>
      <c r="J1155" s="14" t="n">
        <f aca="false">E1155-D1155</f>
        <v>2</v>
      </c>
      <c r="K1155" s="14" t="n">
        <f aca="false">IF(J1155&lt;=0,1,0)</f>
        <v>0</v>
      </c>
      <c r="L1155" s="15" t="n">
        <f aca="false">IFERROR(G1155/F1155,0)</f>
        <v>0.901481888035126</v>
      </c>
      <c r="M1155" s="15" t="n">
        <f aca="false">IFERROR((I1155-H1155)/H1155,0)</f>
        <v>0.0351170568561872</v>
      </c>
      <c r="N1155" s="16" t="n">
        <f aca="false">G1155*I1155</f>
        <v>122004.9</v>
      </c>
    </row>
    <row r="1156" customFormat="false" ht="15" hidden="false" customHeight="true" outlineLevel="0" collapsed="false">
      <c r="A1156" s="4" t="s">
        <v>1332</v>
      </c>
      <c r="B1156" s="4" t="s">
        <v>95</v>
      </c>
      <c r="C1156" s="13" t="n">
        <v>45393</v>
      </c>
      <c r="D1156" s="13" t="n">
        <v>45400</v>
      </c>
      <c r="E1156" s="13" t="n">
        <v>45401</v>
      </c>
      <c r="F1156" s="4" t="n">
        <v>536</v>
      </c>
      <c r="G1156" s="4" t="n">
        <v>536</v>
      </c>
      <c r="H1156" s="4" t="n">
        <v>20.39</v>
      </c>
      <c r="I1156" s="4" t="n">
        <v>21.22</v>
      </c>
      <c r="J1156" s="14" t="n">
        <f aca="false">E1156-D1156</f>
        <v>1</v>
      </c>
      <c r="K1156" s="14" t="n">
        <f aca="false">IF(J1156&lt;=0,1,0)</f>
        <v>0</v>
      </c>
      <c r="L1156" s="15" t="n">
        <f aca="false">IFERROR(G1156/F1156,0)</f>
        <v>1</v>
      </c>
      <c r="M1156" s="15" t="n">
        <f aca="false">IFERROR((I1156-H1156)/H1156,0)</f>
        <v>0.0407062285434035</v>
      </c>
      <c r="N1156" s="16" t="n">
        <f aca="false">G1156*I1156</f>
        <v>11373.92</v>
      </c>
    </row>
    <row r="1157" customFormat="false" ht="15" hidden="false" customHeight="true" outlineLevel="0" collapsed="false">
      <c r="A1157" s="4" t="s">
        <v>1333</v>
      </c>
      <c r="B1157" s="4" t="s">
        <v>63</v>
      </c>
      <c r="C1157" s="13" t="n">
        <v>44968</v>
      </c>
      <c r="D1157" s="13" t="n">
        <v>44979</v>
      </c>
      <c r="E1157" s="13" t="n">
        <v>44990</v>
      </c>
      <c r="F1157" s="4" t="n">
        <v>817</v>
      </c>
      <c r="G1157" s="4" t="n">
        <v>734</v>
      </c>
      <c r="H1157" s="4" t="n">
        <v>239.8</v>
      </c>
      <c r="I1157" s="4" t="n">
        <v>242.28</v>
      </c>
      <c r="J1157" s="14" t="n">
        <f aca="false">E1157-D1157</f>
        <v>11</v>
      </c>
      <c r="K1157" s="14" t="n">
        <f aca="false">IF(J1157&lt;=0,1,0)</f>
        <v>0</v>
      </c>
      <c r="L1157" s="15" t="n">
        <f aca="false">IFERROR(G1157/F1157,0)</f>
        <v>0.898408812729498</v>
      </c>
      <c r="M1157" s="15" t="n">
        <f aca="false">IFERROR((I1157-H1157)/H1157,0)</f>
        <v>0.0103419516263553</v>
      </c>
      <c r="N1157" s="16" t="n">
        <f aca="false">G1157*I1157</f>
        <v>177833.52</v>
      </c>
    </row>
    <row r="1158" customFormat="false" ht="15" hidden="false" customHeight="true" outlineLevel="0" collapsed="false">
      <c r="A1158" s="4" t="s">
        <v>1334</v>
      </c>
      <c r="B1158" s="4" t="s">
        <v>155</v>
      </c>
      <c r="C1158" s="13" t="n">
        <v>45467</v>
      </c>
      <c r="D1158" s="13" t="n">
        <v>45475</v>
      </c>
      <c r="E1158" s="13" t="n">
        <v>45471</v>
      </c>
      <c r="F1158" s="4" t="n">
        <v>3533</v>
      </c>
      <c r="G1158" s="4" t="n">
        <v>3299</v>
      </c>
      <c r="H1158" s="4" t="n">
        <v>24.04</v>
      </c>
      <c r="I1158" s="4" t="n">
        <v>22.93</v>
      </c>
      <c r="J1158" s="14" t="n">
        <f aca="false">E1158-D1158</f>
        <v>-4</v>
      </c>
      <c r="K1158" s="14" t="n">
        <f aca="false">IF(J1158&lt;=0,1,0)</f>
        <v>1</v>
      </c>
      <c r="L1158" s="15" t="n">
        <f aca="false">IFERROR(G1158/F1158,0)</f>
        <v>0.933767336541183</v>
      </c>
      <c r="M1158" s="15" t="n">
        <f aca="false">IFERROR((I1158-H1158)/H1158,0)</f>
        <v>-0.0461730449251248</v>
      </c>
      <c r="N1158" s="16" t="n">
        <f aca="false">G1158*I1158</f>
        <v>75646.07</v>
      </c>
    </row>
    <row r="1159" customFormat="false" ht="15" hidden="false" customHeight="true" outlineLevel="0" collapsed="false">
      <c r="A1159" s="4" t="s">
        <v>1335</v>
      </c>
      <c r="B1159" s="4" t="s">
        <v>151</v>
      </c>
      <c r="C1159" s="13" t="n">
        <v>45608</v>
      </c>
      <c r="D1159" s="13" t="n">
        <v>45612</v>
      </c>
      <c r="E1159" s="13" t="n">
        <v>45615</v>
      </c>
      <c r="F1159" s="4" t="n">
        <v>19</v>
      </c>
      <c r="G1159" s="4" t="n">
        <v>19</v>
      </c>
      <c r="H1159" s="4" t="n">
        <v>503.46</v>
      </c>
      <c r="I1159" s="4" t="n">
        <v>519.95</v>
      </c>
      <c r="J1159" s="14" t="n">
        <f aca="false">E1159-D1159</f>
        <v>3</v>
      </c>
      <c r="K1159" s="14" t="n">
        <f aca="false">IF(J1159&lt;=0,1,0)</f>
        <v>0</v>
      </c>
      <c r="L1159" s="15" t="n">
        <f aca="false">IFERROR(G1159/F1159,0)</f>
        <v>1</v>
      </c>
      <c r="M1159" s="15" t="n">
        <f aca="false">IFERROR((I1159-H1159)/H1159,0)</f>
        <v>0.0327533468398683</v>
      </c>
      <c r="N1159" s="16" t="n">
        <f aca="false">G1159*I1159</f>
        <v>9879.05</v>
      </c>
    </row>
    <row r="1160" customFormat="false" ht="15" hidden="false" customHeight="true" outlineLevel="0" collapsed="false">
      <c r="A1160" s="4" t="s">
        <v>1336</v>
      </c>
      <c r="B1160" s="4" t="s">
        <v>83</v>
      </c>
      <c r="C1160" s="13" t="n">
        <v>45102</v>
      </c>
      <c r="D1160" s="13" t="n">
        <v>45114</v>
      </c>
      <c r="E1160" s="13" t="n">
        <v>45117</v>
      </c>
      <c r="F1160" s="4" t="n">
        <v>329</v>
      </c>
      <c r="G1160" s="4" t="n">
        <v>329</v>
      </c>
      <c r="H1160" s="4" t="n">
        <v>101.36</v>
      </c>
      <c r="I1160" s="4" t="n">
        <v>101.32</v>
      </c>
      <c r="J1160" s="14" t="n">
        <f aca="false">E1160-D1160</f>
        <v>3</v>
      </c>
      <c r="K1160" s="14" t="n">
        <f aca="false">IF(J1160&lt;=0,1,0)</f>
        <v>0</v>
      </c>
      <c r="L1160" s="15" t="n">
        <f aca="false">IFERROR(G1160/F1160,0)</f>
        <v>1</v>
      </c>
      <c r="M1160" s="15" t="n">
        <f aca="false">IFERROR((I1160-H1160)/H1160,0)</f>
        <v>-0.000394632991318136</v>
      </c>
      <c r="N1160" s="16" t="n">
        <f aca="false">G1160*I1160</f>
        <v>33334.28</v>
      </c>
    </row>
    <row r="1161" customFormat="false" ht="15" hidden="false" customHeight="true" outlineLevel="0" collapsed="false">
      <c r="A1161" s="4" t="s">
        <v>1337</v>
      </c>
      <c r="B1161" s="4" t="s">
        <v>157</v>
      </c>
      <c r="C1161" s="13" t="n">
        <v>45080</v>
      </c>
      <c r="D1161" s="13" t="n">
        <v>45089</v>
      </c>
      <c r="E1161" s="13" t="n">
        <v>45093</v>
      </c>
      <c r="F1161" s="4" t="n">
        <v>3111</v>
      </c>
      <c r="G1161" s="4" t="n">
        <v>2990</v>
      </c>
      <c r="H1161" s="4" t="n">
        <v>13.1</v>
      </c>
      <c r="I1161" s="4" t="n">
        <v>13.08</v>
      </c>
      <c r="J1161" s="14" t="n">
        <f aca="false">E1161-D1161</f>
        <v>4</v>
      </c>
      <c r="K1161" s="14" t="n">
        <f aca="false">IF(J1161&lt;=0,1,0)</f>
        <v>0</v>
      </c>
      <c r="L1161" s="15" t="n">
        <f aca="false">IFERROR(G1161/F1161,0)</f>
        <v>0.961105753776921</v>
      </c>
      <c r="M1161" s="15" t="n">
        <f aca="false">IFERROR((I1161-H1161)/H1161,0)</f>
        <v>-0.00152671755725188</v>
      </c>
      <c r="N1161" s="16" t="n">
        <f aca="false">G1161*I1161</f>
        <v>39109.2</v>
      </c>
    </row>
    <row r="1162" customFormat="false" ht="15" hidden="false" customHeight="true" outlineLevel="0" collapsed="false">
      <c r="A1162" s="4" t="s">
        <v>1338</v>
      </c>
      <c r="B1162" s="4" t="s">
        <v>153</v>
      </c>
      <c r="C1162" s="13" t="n">
        <v>45122</v>
      </c>
      <c r="D1162" s="13" t="n">
        <v>45142</v>
      </c>
      <c r="E1162" s="13" t="n">
        <v>45146</v>
      </c>
      <c r="F1162" s="4" t="n">
        <v>333</v>
      </c>
      <c r="G1162" s="4" t="n">
        <v>314</v>
      </c>
      <c r="H1162" s="4" t="n">
        <v>1492.04</v>
      </c>
      <c r="I1162" s="4" t="n">
        <v>1561.58</v>
      </c>
      <c r="J1162" s="14" t="n">
        <f aca="false">E1162-D1162</f>
        <v>4</v>
      </c>
      <c r="K1162" s="14" t="n">
        <f aca="false">IF(J1162&lt;=0,1,0)</f>
        <v>0</v>
      </c>
      <c r="L1162" s="15" t="n">
        <f aca="false">IFERROR(G1162/F1162,0)</f>
        <v>0.942942942942943</v>
      </c>
      <c r="M1162" s="15" t="n">
        <f aca="false">IFERROR((I1162-H1162)/H1162,0)</f>
        <v>0.0466073295622101</v>
      </c>
      <c r="N1162" s="16" t="n">
        <f aca="false">G1162*I1162</f>
        <v>490336.12</v>
      </c>
    </row>
    <row r="1163" customFormat="false" ht="15" hidden="false" customHeight="true" outlineLevel="0" collapsed="false">
      <c r="A1163" s="4" t="s">
        <v>1339</v>
      </c>
      <c r="B1163" s="4" t="s">
        <v>147</v>
      </c>
      <c r="C1163" s="13" t="n">
        <v>45019</v>
      </c>
      <c r="D1163" s="13" t="n">
        <v>45031</v>
      </c>
      <c r="E1163" s="13" t="n">
        <v>45031</v>
      </c>
      <c r="F1163" s="4" t="n">
        <v>90</v>
      </c>
      <c r="G1163" s="4" t="n">
        <v>88</v>
      </c>
      <c r="H1163" s="4" t="n">
        <v>203.3</v>
      </c>
      <c r="I1163" s="4" t="n">
        <v>201.22</v>
      </c>
      <c r="J1163" s="14" t="n">
        <f aca="false">E1163-D1163</f>
        <v>0</v>
      </c>
      <c r="K1163" s="14" t="n">
        <f aca="false">IF(J1163&lt;=0,1,0)</f>
        <v>1</v>
      </c>
      <c r="L1163" s="15" t="n">
        <f aca="false">IFERROR(G1163/F1163,0)</f>
        <v>0.977777777777778</v>
      </c>
      <c r="M1163" s="15" t="n">
        <f aca="false">IFERROR((I1163-H1163)/H1163,0)</f>
        <v>-0.0102311854402362</v>
      </c>
      <c r="N1163" s="16" t="n">
        <f aca="false">G1163*I1163</f>
        <v>17707.36</v>
      </c>
    </row>
    <row r="1164" customFormat="false" ht="15" hidden="false" customHeight="true" outlineLevel="0" collapsed="false">
      <c r="A1164" s="4" t="s">
        <v>1340</v>
      </c>
      <c r="B1164" s="4" t="s">
        <v>139</v>
      </c>
      <c r="C1164" s="13" t="n">
        <v>45315</v>
      </c>
      <c r="D1164" s="13" t="n">
        <v>45325</v>
      </c>
      <c r="E1164" s="13" t="n">
        <v>45340</v>
      </c>
      <c r="F1164" s="4" t="n">
        <v>1913</v>
      </c>
      <c r="G1164" s="4" t="n">
        <v>1658</v>
      </c>
      <c r="H1164" s="4" t="n">
        <v>207.64</v>
      </c>
      <c r="I1164" s="4" t="n">
        <v>217.76</v>
      </c>
      <c r="J1164" s="14" t="n">
        <f aca="false">E1164-D1164</f>
        <v>15</v>
      </c>
      <c r="K1164" s="14" t="n">
        <f aca="false">IF(J1164&lt;=0,1,0)</f>
        <v>0</v>
      </c>
      <c r="L1164" s="15" t="n">
        <f aca="false">IFERROR(G1164/F1164,0)</f>
        <v>0.866701515943544</v>
      </c>
      <c r="M1164" s="15" t="n">
        <f aca="false">IFERROR((I1164-H1164)/H1164,0)</f>
        <v>0.0487382007320362</v>
      </c>
      <c r="N1164" s="16" t="n">
        <f aca="false">G1164*I1164</f>
        <v>361046.08</v>
      </c>
    </row>
    <row r="1165" customFormat="false" ht="15" hidden="false" customHeight="true" outlineLevel="0" collapsed="false">
      <c r="A1165" s="4" t="s">
        <v>1341</v>
      </c>
      <c r="B1165" s="4" t="s">
        <v>41</v>
      </c>
      <c r="C1165" s="13" t="n">
        <v>45090</v>
      </c>
      <c r="D1165" s="13" t="n">
        <v>45098</v>
      </c>
      <c r="E1165" s="13" t="n">
        <v>45099</v>
      </c>
      <c r="F1165" s="4" t="n">
        <v>2316</v>
      </c>
      <c r="G1165" s="4" t="n">
        <v>2306</v>
      </c>
      <c r="H1165" s="4" t="n">
        <v>45.51</v>
      </c>
      <c r="I1165" s="4" t="n">
        <v>45.13</v>
      </c>
      <c r="J1165" s="14" t="n">
        <f aca="false">E1165-D1165</f>
        <v>1</v>
      </c>
      <c r="K1165" s="14" t="n">
        <f aca="false">IF(J1165&lt;=0,1,0)</f>
        <v>0</v>
      </c>
      <c r="L1165" s="15" t="n">
        <f aca="false">IFERROR(G1165/F1165,0)</f>
        <v>0.995682210708118</v>
      </c>
      <c r="M1165" s="15" t="n">
        <f aca="false">IFERROR((I1165-H1165)/H1165,0)</f>
        <v>-0.00834981322786191</v>
      </c>
      <c r="N1165" s="16" t="n">
        <f aca="false">G1165*I1165</f>
        <v>104069.78</v>
      </c>
    </row>
    <row r="1166" customFormat="false" ht="15" hidden="false" customHeight="true" outlineLevel="0" collapsed="false">
      <c r="A1166" s="4" t="s">
        <v>1342</v>
      </c>
      <c r="B1166" s="4" t="s">
        <v>99</v>
      </c>
      <c r="C1166" s="13" t="n">
        <v>45358</v>
      </c>
      <c r="D1166" s="13" t="n">
        <v>45367</v>
      </c>
      <c r="E1166" s="13" t="n">
        <v>45372</v>
      </c>
      <c r="F1166" s="4" t="n">
        <v>4239</v>
      </c>
      <c r="G1166" s="4" t="n">
        <v>3878</v>
      </c>
      <c r="H1166" s="4" t="n">
        <v>11.5</v>
      </c>
      <c r="I1166" s="4" t="n">
        <v>12.2</v>
      </c>
      <c r="J1166" s="14" t="n">
        <f aca="false">E1166-D1166</f>
        <v>5</v>
      </c>
      <c r="K1166" s="14" t="n">
        <f aca="false">IF(J1166&lt;=0,1,0)</f>
        <v>0</v>
      </c>
      <c r="L1166" s="15" t="n">
        <f aca="false">IFERROR(G1166/F1166,0)</f>
        <v>0.914838405284265</v>
      </c>
      <c r="M1166" s="15" t="n">
        <f aca="false">IFERROR((I1166-H1166)/H1166,0)</f>
        <v>0.0608695652173912</v>
      </c>
      <c r="N1166" s="16" t="n">
        <f aca="false">G1166*I1166</f>
        <v>47311.6</v>
      </c>
    </row>
    <row r="1167" customFormat="false" ht="15" hidden="false" customHeight="true" outlineLevel="0" collapsed="false">
      <c r="A1167" s="4" t="s">
        <v>1343</v>
      </c>
      <c r="B1167" s="4" t="s">
        <v>32</v>
      </c>
      <c r="C1167" s="13" t="n">
        <v>45115</v>
      </c>
      <c r="D1167" s="13" t="n">
        <v>45122</v>
      </c>
      <c r="E1167" s="13" t="n">
        <v>45122</v>
      </c>
      <c r="F1167" s="4" t="n">
        <v>2024</v>
      </c>
      <c r="G1167" s="4" t="n">
        <v>1812</v>
      </c>
      <c r="H1167" s="4" t="n">
        <v>32.49</v>
      </c>
      <c r="I1167" s="4" t="n">
        <v>32.47</v>
      </c>
      <c r="J1167" s="14" t="n">
        <f aca="false">E1167-D1167</f>
        <v>0</v>
      </c>
      <c r="K1167" s="14" t="n">
        <f aca="false">IF(J1167&lt;=0,1,0)</f>
        <v>1</v>
      </c>
      <c r="L1167" s="15" t="n">
        <f aca="false">IFERROR(G1167/F1167,0)</f>
        <v>0.895256916996048</v>
      </c>
      <c r="M1167" s="15" t="n">
        <f aca="false">IFERROR((I1167-H1167)/H1167,0)</f>
        <v>-0.000615574022776335</v>
      </c>
      <c r="N1167" s="16" t="n">
        <f aca="false">G1167*I1167</f>
        <v>58835.64</v>
      </c>
    </row>
    <row r="1168" customFormat="false" ht="15" hidden="false" customHeight="true" outlineLevel="0" collapsed="false">
      <c r="A1168" s="4" t="s">
        <v>1344</v>
      </c>
      <c r="B1168" s="4" t="s">
        <v>89</v>
      </c>
      <c r="C1168" s="13" t="n">
        <v>45522</v>
      </c>
      <c r="D1168" s="13" t="n">
        <v>45529</v>
      </c>
      <c r="E1168" s="13" t="n">
        <v>45536</v>
      </c>
      <c r="F1168" s="4" t="n">
        <v>14</v>
      </c>
      <c r="G1168" s="4" t="n">
        <v>13</v>
      </c>
      <c r="H1168" s="4" t="n">
        <v>1929.81</v>
      </c>
      <c r="I1168" s="4" t="n">
        <v>1910.84</v>
      </c>
      <c r="J1168" s="14" t="n">
        <f aca="false">E1168-D1168</f>
        <v>7</v>
      </c>
      <c r="K1168" s="14" t="n">
        <f aca="false">IF(J1168&lt;=0,1,0)</f>
        <v>0</v>
      </c>
      <c r="L1168" s="15" t="n">
        <f aca="false">IFERROR(G1168/F1168,0)</f>
        <v>0.928571428571429</v>
      </c>
      <c r="M1168" s="15" t="n">
        <f aca="false">IFERROR((I1168-H1168)/H1168,0)</f>
        <v>-0.009829983262601</v>
      </c>
      <c r="N1168" s="16" t="n">
        <f aca="false">G1168*I1168</f>
        <v>24840.92</v>
      </c>
    </row>
    <row r="1169" customFormat="false" ht="15" hidden="false" customHeight="true" outlineLevel="0" collapsed="false">
      <c r="A1169" s="4" t="s">
        <v>1345</v>
      </c>
      <c r="B1169" s="4" t="s">
        <v>141</v>
      </c>
      <c r="C1169" s="13" t="n">
        <v>44947</v>
      </c>
      <c r="D1169" s="13" t="n">
        <v>44965</v>
      </c>
      <c r="E1169" s="13" t="n">
        <v>44963</v>
      </c>
      <c r="F1169" s="4" t="n">
        <v>196</v>
      </c>
      <c r="G1169" s="4" t="n">
        <v>189</v>
      </c>
      <c r="H1169" s="4" t="n">
        <v>1252.36</v>
      </c>
      <c r="I1169" s="4" t="n">
        <v>1261.19</v>
      </c>
      <c r="J1169" s="14" t="n">
        <f aca="false">E1169-D1169</f>
        <v>-2</v>
      </c>
      <c r="K1169" s="14" t="n">
        <f aca="false">IF(J1169&lt;=0,1,0)</f>
        <v>1</v>
      </c>
      <c r="L1169" s="15" t="n">
        <f aca="false">IFERROR(G1169/F1169,0)</f>
        <v>0.964285714285714</v>
      </c>
      <c r="M1169" s="15" t="n">
        <f aca="false">IFERROR((I1169-H1169)/H1169,0)</f>
        <v>0.0070506883004888</v>
      </c>
      <c r="N1169" s="16" t="n">
        <f aca="false">G1169*I1169</f>
        <v>238364.91</v>
      </c>
    </row>
    <row r="1170" customFormat="false" ht="15" hidden="false" customHeight="true" outlineLevel="0" collapsed="false">
      <c r="A1170" s="4" t="s">
        <v>1346</v>
      </c>
      <c r="B1170" s="4" t="s">
        <v>139</v>
      </c>
      <c r="C1170" s="13" t="n">
        <v>45384</v>
      </c>
      <c r="D1170" s="13" t="n">
        <v>45395</v>
      </c>
      <c r="E1170" s="13" t="n">
        <v>45402</v>
      </c>
      <c r="F1170" s="4" t="n">
        <v>1236</v>
      </c>
      <c r="G1170" s="4" t="n">
        <v>1172</v>
      </c>
      <c r="H1170" s="4" t="n">
        <v>207.64</v>
      </c>
      <c r="I1170" s="4" t="n">
        <v>214.65</v>
      </c>
      <c r="J1170" s="14" t="n">
        <f aca="false">E1170-D1170</f>
        <v>7</v>
      </c>
      <c r="K1170" s="14" t="n">
        <f aca="false">IF(J1170&lt;=0,1,0)</f>
        <v>0</v>
      </c>
      <c r="L1170" s="15" t="n">
        <f aca="false">IFERROR(G1170/F1170,0)</f>
        <v>0.948220064724919</v>
      </c>
      <c r="M1170" s="15" t="n">
        <f aca="false">IFERROR((I1170-H1170)/H1170,0)</f>
        <v>0.0337603544596418</v>
      </c>
      <c r="N1170" s="16" t="n">
        <f aca="false">G1170*I1170</f>
        <v>251569.8</v>
      </c>
    </row>
    <row r="1171" customFormat="false" ht="15" hidden="false" customHeight="true" outlineLevel="0" collapsed="false">
      <c r="A1171" s="4" t="s">
        <v>1347</v>
      </c>
      <c r="B1171" s="4" t="s">
        <v>139</v>
      </c>
      <c r="C1171" s="13" t="n">
        <v>45213</v>
      </c>
      <c r="D1171" s="13" t="n">
        <v>45223</v>
      </c>
      <c r="E1171" s="13" t="n">
        <v>45225</v>
      </c>
      <c r="F1171" s="4" t="n">
        <v>1546</v>
      </c>
      <c r="G1171" s="4" t="n">
        <v>1389</v>
      </c>
      <c r="H1171" s="4" t="n">
        <v>207.64</v>
      </c>
      <c r="I1171" s="4" t="n">
        <v>212.12</v>
      </c>
      <c r="J1171" s="14" t="n">
        <f aca="false">E1171-D1171</f>
        <v>2</v>
      </c>
      <c r="K1171" s="14" t="n">
        <f aca="false">IF(J1171&lt;=0,1,0)</f>
        <v>0</v>
      </c>
      <c r="L1171" s="15" t="n">
        <f aca="false">IFERROR(G1171/F1171,0)</f>
        <v>0.898447606727038</v>
      </c>
      <c r="M1171" s="15" t="n">
        <f aca="false">IFERROR((I1171-H1171)/H1171,0)</f>
        <v>0.0215758042766327</v>
      </c>
      <c r="N1171" s="16" t="n">
        <f aca="false">G1171*I1171</f>
        <v>294634.68</v>
      </c>
    </row>
    <row r="1172" customFormat="false" ht="15" hidden="false" customHeight="true" outlineLevel="0" collapsed="false">
      <c r="A1172" s="4" t="s">
        <v>1348</v>
      </c>
      <c r="B1172" s="4" t="s">
        <v>121</v>
      </c>
      <c r="C1172" s="13" t="n">
        <v>45054</v>
      </c>
      <c r="D1172" s="13" t="n">
        <v>45066</v>
      </c>
      <c r="E1172" s="13" t="n">
        <v>45063</v>
      </c>
      <c r="F1172" s="4" t="n">
        <v>581</v>
      </c>
      <c r="G1172" s="4" t="n">
        <v>536</v>
      </c>
      <c r="H1172" s="4" t="n">
        <v>206.07</v>
      </c>
      <c r="I1172" s="4" t="n">
        <v>215.33</v>
      </c>
      <c r="J1172" s="14" t="n">
        <f aca="false">E1172-D1172</f>
        <v>-3</v>
      </c>
      <c r="K1172" s="14" t="n">
        <f aca="false">IF(J1172&lt;=0,1,0)</f>
        <v>1</v>
      </c>
      <c r="L1172" s="15" t="n">
        <f aca="false">IFERROR(G1172/F1172,0)</f>
        <v>0.922547332185886</v>
      </c>
      <c r="M1172" s="15" t="n">
        <f aca="false">IFERROR((I1172-H1172)/H1172,0)</f>
        <v>0.0449361867326638</v>
      </c>
      <c r="N1172" s="16" t="n">
        <f aca="false">G1172*I1172</f>
        <v>115416.88</v>
      </c>
    </row>
    <row r="1173" customFormat="false" ht="15" hidden="false" customHeight="true" outlineLevel="0" collapsed="false">
      <c r="A1173" s="4" t="s">
        <v>1349</v>
      </c>
      <c r="B1173" s="4" t="s">
        <v>58</v>
      </c>
      <c r="C1173" s="13" t="n">
        <v>45511</v>
      </c>
      <c r="D1173" s="13" t="n">
        <v>45523</v>
      </c>
      <c r="E1173" s="13" t="n">
        <v>45522</v>
      </c>
      <c r="F1173" s="4" t="n">
        <v>161</v>
      </c>
      <c r="G1173" s="4" t="n">
        <v>156</v>
      </c>
      <c r="H1173" s="4" t="n">
        <v>135.68</v>
      </c>
      <c r="I1173" s="4" t="n">
        <v>145.97</v>
      </c>
      <c r="J1173" s="14" t="n">
        <f aca="false">E1173-D1173</f>
        <v>-1</v>
      </c>
      <c r="K1173" s="14" t="n">
        <f aca="false">IF(J1173&lt;=0,1,0)</f>
        <v>1</v>
      </c>
      <c r="L1173" s="15" t="n">
        <f aca="false">IFERROR(G1173/F1173,0)</f>
        <v>0.968944099378882</v>
      </c>
      <c r="M1173" s="15" t="n">
        <f aca="false">IFERROR((I1173-H1173)/H1173,0)</f>
        <v>0.0758402122641509</v>
      </c>
      <c r="N1173" s="16" t="n">
        <f aca="false">G1173*I1173</f>
        <v>22771.32</v>
      </c>
    </row>
    <row r="1174" customFormat="false" ht="15" hidden="false" customHeight="true" outlineLevel="0" collapsed="false">
      <c r="A1174" s="4" t="s">
        <v>1350</v>
      </c>
      <c r="B1174" s="4" t="s">
        <v>123</v>
      </c>
      <c r="C1174" s="13" t="n">
        <v>45339</v>
      </c>
      <c r="D1174" s="13" t="n">
        <v>45353</v>
      </c>
      <c r="E1174" s="13" t="n">
        <v>45352</v>
      </c>
      <c r="F1174" s="4" t="n">
        <v>74</v>
      </c>
      <c r="G1174" s="4" t="n">
        <v>74</v>
      </c>
      <c r="H1174" s="4" t="n">
        <v>214.07</v>
      </c>
      <c r="I1174" s="4" t="n">
        <v>239.61</v>
      </c>
      <c r="J1174" s="14" t="n">
        <f aca="false">E1174-D1174</f>
        <v>-1</v>
      </c>
      <c r="K1174" s="14" t="n">
        <f aca="false">IF(J1174&lt;=0,1,0)</f>
        <v>1</v>
      </c>
      <c r="L1174" s="15" t="n">
        <f aca="false">IFERROR(G1174/F1174,0)</f>
        <v>1</v>
      </c>
      <c r="M1174" s="15" t="n">
        <f aca="false">IFERROR((I1174-H1174)/H1174,0)</f>
        <v>0.119306768813939</v>
      </c>
      <c r="N1174" s="16" t="n">
        <f aca="false">G1174*I1174</f>
        <v>17731.14</v>
      </c>
    </row>
    <row r="1175" customFormat="false" ht="15" hidden="false" customHeight="true" outlineLevel="0" collapsed="false">
      <c r="A1175" s="4" t="s">
        <v>1351</v>
      </c>
      <c r="B1175" s="4" t="s">
        <v>103</v>
      </c>
      <c r="C1175" s="13" t="n">
        <v>45111</v>
      </c>
      <c r="D1175" s="13" t="n">
        <v>45129</v>
      </c>
      <c r="E1175" s="13" t="n">
        <v>45129</v>
      </c>
      <c r="F1175" s="4" t="n">
        <v>99</v>
      </c>
      <c r="G1175" s="4" t="n">
        <v>99</v>
      </c>
      <c r="H1175" s="4" t="n">
        <v>1400.22</v>
      </c>
      <c r="I1175" s="4" t="n">
        <v>1419.08</v>
      </c>
      <c r="J1175" s="14" t="n">
        <f aca="false">E1175-D1175</f>
        <v>0</v>
      </c>
      <c r="K1175" s="14" t="n">
        <f aca="false">IF(J1175&lt;=0,1,0)</f>
        <v>1</v>
      </c>
      <c r="L1175" s="15" t="n">
        <f aca="false">IFERROR(G1175/F1175,0)</f>
        <v>1</v>
      </c>
      <c r="M1175" s="15" t="n">
        <f aca="false">IFERROR((I1175-H1175)/H1175,0)</f>
        <v>0.0134693119652625</v>
      </c>
      <c r="N1175" s="16" t="n">
        <f aca="false">G1175*I1175</f>
        <v>140488.92</v>
      </c>
    </row>
    <row r="1176" customFormat="false" ht="15" hidden="false" customHeight="true" outlineLevel="0" collapsed="false">
      <c r="A1176" s="4" t="s">
        <v>1352</v>
      </c>
      <c r="B1176" s="4" t="s">
        <v>41</v>
      </c>
      <c r="C1176" s="13" t="n">
        <v>45161</v>
      </c>
      <c r="D1176" s="13" t="n">
        <v>45167</v>
      </c>
      <c r="E1176" s="13" t="n">
        <v>45166</v>
      </c>
      <c r="F1176" s="4" t="n">
        <v>967</v>
      </c>
      <c r="G1176" s="4" t="n">
        <v>967</v>
      </c>
      <c r="H1176" s="4" t="n">
        <v>45.51</v>
      </c>
      <c r="I1176" s="4" t="n">
        <v>45.27</v>
      </c>
      <c r="J1176" s="14" t="n">
        <f aca="false">E1176-D1176</f>
        <v>-1</v>
      </c>
      <c r="K1176" s="14" t="n">
        <f aca="false">IF(J1176&lt;=0,1,0)</f>
        <v>1</v>
      </c>
      <c r="L1176" s="15" t="n">
        <f aca="false">IFERROR(G1176/F1176,0)</f>
        <v>1</v>
      </c>
      <c r="M1176" s="15" t="n">
        <f aca="false">IFERROR((I1176-H1176)/H1176,0)</f>
        <v>-0.00527356624917589</v>
      </c>
      <c r="N1176" s="16" t="n">
        <f aca="false">G1176*I1176</f>
        <v>43776.09</v>
      </c>
    </row>
    <row r="1177" customFormat="false" ht="15" hidden="false" customHeight="true" outlineLevel="0" collapsed="false">
      <c r="A1177" s="4" t="s">
        <v>1353</v>
      </c>
      <c r="B1177" s="4" t="s">
        <v>115</v>
      </c>
      <c r="C1177" s="13" t="n">
        <v>45256</v>
      </c>
      <c r="D1177" s="13" t="n">
        <v>45267</v>
      </c>
      <c r="E1177" s="13" t="n">
        <v>45275</v>
      </c>
      <c r="F1177" s="4" t="n">
        <v>74</v>
      </c>
      <c r="G1177" s="4" t="n">
        <v>68</v>
      </c>
      <c r="H1177" s="4" t="n">
        <v>115.53</v>
      </c>
      <c r="I1177" s="4" t="n">
        <v>119.95</v>
      </c>
      <c r="J1177" s="14" t="n">
        <f aca="false">E1177-D1177</f>
        <v>8</v>
      </c>
      <c r="K1177" s="14" t="n">
        <f aca="false">IF(J1177&lt;=0,1,0)</f>
        <v>0</v>
      </c>
      <c r="L1177" s="15" t="n">
        <f aca="false">IFERROR(G1177/F1177,0)</f>
        <v>0.918918918918919</v>
      </c>
      <c r="M1177" s="15" t="n">
        <f aca="false">IFERROR((I1177-H1177)/H1177,0)</f>
        <v>0.0382584610057994</v>
      </c>
      <c r="N1177" s="16" t="n">
        <f aca="false">G1177*I1177</f>
        <v>8156.6</v>
      </c>
    </row>
    <row r="1178" customFormat="false" ht="15" hidden="false" customHeight="true" outlineLevel="0" collapsed="false">
      <c r="A1178" s="4" t="s">
        <v>1354</v>
      </c>
      <c r="B1178" s="4" t="s">
        <v>74</v>
      </c>
      <c r="C1178" s="13" t="n">
        <v>45292</v>
      </c>
      <c r="D1178" s="13" t="n">
        <v>45299</v>
      </c>
      <c r="E1178" s="13" t="n">
        <v>45305</v>
      </c>
      <c r="F1178" s="4" t="n">
        <v>4</v>
      </c>
      <c r="G1178" s="4" t="n">
        <v>4</v>
      </c>
      <c r="H1178" s="4" t="n">
        <v>1294.62</v>
      </c>
      <c r="I1178" s="4" t="n">
        <v>1330.68</v>
      </c>
      <c r="J1178" s="14" t="n">
        <f aca="false">E1178-D1178</f>
        <v>6</v>
      </c>
      <c r="K1178" s="14" t="n">
        <f aca="false">IF(J1178&lt;=0,1,0)</f>
        <v>0</v>
      </c>
      <c r="L1178" s="15" t="n">
        <f aca="false">IFERROR(G1178/F1178,0)</f>
        <v>1</v>
      </c>
      <c r="M1178" s="15" t="n">
        <f aca="false">IFERROR((I1178-H1178)/H1178,0)</f>
        <v>0.0278537331417715</v>
      </c>
      <c r="N1178" s="16" t="n">
        <f aca="false">G1178*I1178</f>
        <v>5322.72</v>
      </c>
    </row>
    <row r="1179" customFormat="false" ht="15" hidden="false" customHeight="true" outlineLevel="0" collapsed="false">
      <c r="A1179" s="4" t="s">
        <v>1355</v>
      </c>
      <c r="B1179" s="4" t="s">
        <v>107</v>
      </c>
      <c r="C1179" s="13" t="n">
        <v>45375</v>
      </c>
      <c r="D1179" s="13" t="n">
        <v>45382</v>
      </c>
      <c r="E1179" s="13" t="n">
        <v>45382</v>
      </c>
      <c r="F1179" s="4" t="n">
        <v>1743</v>
      </c>
      <c r="G1179" s="4" t="n">
        <v>1743</v>
      </c>
      <c r="H1179" s="4" t="n">
        <v>40.41</v>
      </c>
      <c r="I1179" s="4" t="n">
        <v>40.49</v>
      </c>
      <c r="J1179" s="14" t="n">
        <f aca="false">E1179-D1179</f>
        <v>0</v>
      </c>
      <c r="K1179" s="14" t="n">
        <f aca="false">IF(J1179&lt;=0,1,0)</f>
        <v>1</v>
      </c>
      <c r="L1179" s="15" t="n">
        <f aca="false">IFERROR(G1179/F1179,0)</f>
        <v>1</v>
      </c>
      <c r="M1179" s="15" t="n">
        <f aca="false">IFERROR((I1179-H1179)/H1179,0)</f>
        <v>0.00197970799307116</v>
      </c>
      <c r="N1179" s="16" t="n">
        <f aca="false">G1179*I1179</f>
        <v>70574.07</v>
      </c>
    </row>
    <row r="1180" customFormat="false" ht="15" hidden="false" customHeight="true" outlineLevel="0" collapsed="false">
      <c r="A1180" s="4" t="s">
        <v>1356</v>
      </c>
      <c r="B1180" s="4" t="s">
        <v>99</v>
      </c>
      <c r="C1180" s="13" t="n">
        <v>45414</v>
      </c>
      <c r="D1180" s="13" t="n">
        <v>45423</v>
      </c>
      <c r="E1180" s="13" t="n">
        <v>45425</v>
      </c>
      <c r="F1180" s="4" t="n">
        <v>3878</v>
      </c>
      <c r="G1180" s="4" t="n">
        <v>3645</v>
      </c>
      <c r="H1180" s="4" t="n">
        <v>11.5</v>
      </c>
      <c r="I1180" s="4" t="n">
        <v>12.46</v>
      </c>
      <c r="J1180" s="14" t="n">
        <f aca="false">E1180-D1180</f>
        <v>2</v>
      </c>
      <c r="K1180" s="14" t="n">
        <f aca="false">IF(J1180&lt;=0,1,0)</f>
        <v>0</v>
      </c>
      <c r="L1180" s="15" t="n">
        <f aca="false">IFERROR(G1180/F1180,0)</f>
        <v>0.939917483238783</v>
      </c>
      <c r="M1180" s="15" t="n">
        <f aca="false">IFERROR((I1180-H1180)/H1180,0)</f>
        <v>0.0834782608695653</v>
      </c>
      <c r="N1180" s="16" t="n">
        <f aca="false">G1180*I1180</f>
        <v>45416.7</v>
      </c>
    </row>
    <row r="1181" customFormat="false" ht="15" hidden="false" customHeight="true" outlineLevel="0" collapsed="false">
      <c r="A1181" s="4" t="s">
        <v>1357</v>
      </c>
      <c r="B1181" s="4" t="s">
        <v>157</v>
      </c>
      <c r="C1181" s="13" t="n">
        <v>45086</v>
      </c>
      <c r="D1181" s="13" t="n">
        <v>45095</v>
      </c>
      <c r="E1181" s="13" t="n">
        <v>45101</v>
      </c>
      <c r="F1181" s="4" t="n">
        <v>1745</v>
      </c>
      <c r="G1181" s="4" t="n">
        <v>1641</v>
      </c>
      <c r="H1181" s="4" t="n">
        <v>13.1</v>
      </c>
      <c r="I1181" s="4" t="n">
        <v>13.26</v>
      </c>
      <c r="J1181" s="14" t="n">
        <f aca="false">E1181-D1181</f>
        <v>6</v>
      </c>
      <c r="K1181" s="14" t="n">
        <f aca="false">IF(J1181&lt;=0,1,0)</f>
        <v>0</v>
      </c>
      <c r="L1181" s="15" t="n">
        <f aca="false">IFERROR(G1181/F1181,0)</f>
        <v>0.940401146131805</v>
      </c>
      <c r="M1181" s="15" t="n">
        <f aca="false">IFERROR((I1181-H1181)/H1181,0)</f>
        <v>0.0122137404580153</v>
      </c>
      <c r="N1181" s="16" t="n">
        <f aca="false">G1181*I1181</f>
        <v>21759.66</v>
      </c>
    </row>
    <row r="1182" customFormat="false" ht="15" hidden="false" customHeight="true" outlineLevel="0" collapsed="false">
      <c r="A1182" s="4" t="s">
        <v>1358</v>
      </c>
      <c r="B1182" s="4" t="s">
        <v>85</v>
      </c>
      <c r="C1182" s="13" t="n">
        <v>45637</v>
      </c>
      <c r="D1182" s="13" t="n">
        <v>45648</v>
      </c>
      <c r="E1182" s="13" t="n">
        <v>45646</v>
      </c>
      <c r="F1182" s="4" t="n">
        <v>948</v>
      </c>
      <c r="G1182" s="4" t="n">
        <v>902</v>
      </c>
      <c r="H1182" s="4" t="n">
        <v>241.88</v>
      </c>
      <c r="I1182" s="4" t="n">
        <v>231.62</v>
      </c>
      <c r="J1182" s="14" t="n">
        <f aca="false">E1182-D1182</f>
        <v>-2</v>
      </c>
      <c r="K1182" s="14" t="n">
        <f aca="false">IF(J1182&lt;=0,1,0)</f>
        <v>1</v>
      </c>
      <c r="L1182" s="15" t="n">
        <f aca="false">IFERROR(G1182/F1182,0)</f>
        <v>0.951476793248945</v>
      </c>
      <c r="M1182" s="15" t="n">
        <f aca="false">IFERROR((I1182-H1182)/H1182,0)</f>
        <v>-0.0424177277989085</v>
      </c>
      <c r="N1182" s="16" t="n">
        <f aca="false">G1182*I1182</f>
        <v>208921.24</v>
      </c>
    </row>
    <row r="1183" customFormat="false" ht="15" hidden="false" customHeight="true" outlineLevel="0" collapsed="false">
      <c r="A1183" s="4" t="s">
        <v>1359</v>
      </c>
      <c r="B1183" s="4" t="s">
        <v>107</v>
      </c>
      <c r="C1183" s="13" t="n">
        <v>45442</v>
      </c>
      <c r="D1183" s="13" t="n">
        <v>45450</v>
      </c>
      <c r="E1183" s="13" t="n">
        <v>45451</v>
      </c>
      <c r="F1183" s="4" t="n">
        <v>2031</v>
      </c>
      <c r="G1183" s="4" t="n">
        <v>1978</v>
      </c>
      <c r="H1183" s="4" t="n">
        <v>40.41</v>
      </c>
      <c r="I1183" s="4" t="n">
        <v>40.17</v>
      </c>
      <c r="J1183" s="14" t="n">
        <f aca="false">E1183-D1183</f>
        <v>1</v>
      </c>
      <c r="K1183" s="14" t="n">
        <f aca="false">IF(J1183&lt;=0,1,0)</f>
        <v>0</v>
      </c>
      <c r="L1183" s="15" t="n">
        <f aca="false">IFERROR(G1183/F1183,0)</f>
        <v>0.973904480551453</v>
      </c>
      <c r="M1183" s="15" t="n">
        <f aca="false">IFERROR((I1183-H1183)/H1183,0)</f>
        <v>-0.00593912397921294</v>
      </c>
      <c r="N1183" s="16" t="n">
        <f aca="false">G1183*I1183</f>
        <v>79456.26</v>
      </c>
    </row>
    <row r="1184" customFormat="false" ht="15" hidden="false" customHeight="true" outlineLevel="0" collapsed="false">
      <c r="A1184" s="4" t="s">
        <v>1360</v>
      </c>
      <c r="B1184" s="4" t="s">
        <v>133</v>
      </c>
      <c r="C1184" s="13" t="n">
        <v>45206</v>
      </c>
      <c r="D1184" s="13" t="n">
        <v>45217</v>
      </c>
      <c r="E1184" s="13" t="n">
        <v>45218</v>
      </c>
      <c r="F1184" s="4" t="n">
        <v>1170</v>
      </c>
      <c r="G1184" s="4" t="n">
        <v>1112</v>
      </c>
      <c r="H1184" s="4" t="n">
        <v>138.21</v>
      </c>
      <c r="I1184" s="4" t="n">
        <v>139.41</v>
      </c>
      <c r="J1184" s="14" t="n">
        <f aca="false">E1184-D1184</f>
        <v>1</v>
      </c>
      <c r="K1184" s="14" t="n">
        <f aca="false">IF(J1184&lt;=0,1,0)</f>
        <v>0</v>
      </c>
      <c r="L1184" s="15" t="n">
        <f aca="false">IFERROR(G1184/F1184,0)</f>
        <v>0.95042735042735</v>
      </c>
      <c r="M1184" s="15" t="n">
        <f aca="false">IFERROR((I1184-H1184)/H1184,0)</f>
        <v>0.00868243976557404</v>
      </c>
      <c r="N1184" s="16" t="n">
        <f aca="false">G1184*I1184</f>
        <v>155023.92</v>
      </c>
    </row>
    <row r="1185" customFormat="false" ht="15" hidden="false" customHeight="true" outlineLevel="0" collapsed="false">
      <c r="A1185" s="4" t="s">
        <v>1361</v>
      </c>
      <c r="B1185" s="4" t="s">
        <v>87</v>
      </c>
      <c r="C1185" s="13" t="n">
        <v>45486</v>
      </c>
      <c r="D1185" s="13" t="n">
        <v>45498</v>
      </c>
      <c r="E1185" s="13" t="n">
        <v>45499</v>
      </c>
      <c r="F1185" s="4" t="n">
        <v>1075</v>
      </c>
      <c r="G1185" s="4" t="n">
        <v>965</v>
      </c>
      <c r="H1185" s="4" t="n">
        <v>161.95</v>
      </c>
      <c r="I1185" s="4" t="n">
        <v>192.85</v>
      </c>
      <c r="J1185" s="14" t="n">
        <f aca="false">E1185-D1185</f>
        <v>1</v>
      </c>
      <c r="K1185" s="14" t="n">
        <f aca="false">IF(J1185&lt;=0,1,0)</f>
        <v>0</v>
      </c>
      <c r="L1185" s="15" t="n">
        <f aca="false">IFERROR(G1185/F1185,0)</f>
        <v>0.897674418604651</v>
      </c>
      <c r="M1185" s="15" t="n">
        <f aca="false">IFERROR((I1185-H1185)/H1185,0)</f>
        <v>0.190799629515283</v>
      </c>
      <c r="N1185" s="16" t="n">
        <f aca="false">G1185*I1185</f>
        <v>186100.25</v>
      </c>
    </row>
    <row r="1186" customFormat="false" ht="15" hidden="false" customHeight="true" outlineLevel="0" collapsed="false">
      <c r="A1186" s="4" t="s">
        <v>1362</v>
      </c>
      <c r="B1186" s="4" t="s">
        <v>111</v>
      </c>
      <c r="C1186" s="13" t="n">
        <v>45049</v>
      </c>
      <c r="D1186" s="13" t="n">
        <v>45060</v>
      </c>
      <c r="E1186" s="13" t="n">
        <v>45066</v>
      </c>
      <c r="F1186" s="4" t="n">
        <v>1936</v>
      </c>
      <c r="G1186" s="4" t="n">
        <v>1861</v>
      </c>
      <c r="H1186" s="4" t="n">
        <v>148.08</v>
      </c>
      <c r="I1186" s="4" t="n">
        <v>146.99</v>
      </c>
      <c r="J1186" s="14" t="n">
        <f aca="false">E1186-D1186</f>
        <v>6</v>
      </c>
      <c r="K1186" s="14" t="n">
        <f aca="false">IF(J1186&lt;=0,1,0)</f>
        <v>0</v>
      </c>
      <c r="L1186" s="15" t="n">
        <f aca="false">IFERROR(G1186/F1186,0)</f>
        <v>0.961260330578512</v>
      </c>
      <c r="M1186" s="15" t="n">
        <f aca="false">IFERROR((I1186-H1186)/H1186,0)</f>
        <v>-0.0073608860075635</v>
      </c>
      <c r="N1186" s="16" t="n">
        <f aca="false">G1186*I1186</f>
        <v>273548.39</v>
      </c>
    </row>
    <row r="1187" customFormat="false" ht="15" hidden="false" customHeight="true" outlineLevel="0" collapsed="false">
      <c r="A1187" s="4" t="s">
        <v>1363</v>
      </c>
      <c r="B1187" s="4" t="s">
        <v>163</v>
      </c>
      <c r="C1187" s="13" t="n">
        <v>45360</v>
      </c>
      <c r="D1187" s="13" t="n">
        <v>45378</v>
      </c>
      <c r="E1187" s="13" t="n">
        <v>45383</v>
      </c>
      <c r="F1187" s="4" t="n">
        <v>132</v>
      </c>
      <c r="G1187" s="4" t="n">
        <v>130</v>
      </c>
      <c r="H1187" s="4" t="n">
        <v>482.79</v>
      </c>
      <c r="I1187" s="4" t="n">
        <v>493.39</v>
      </c>
      <c r="J1187" s="14" t="n">
        <f aca="false">E1187-D1187</f>
        <v>5</v>
      </c>
      <c r="K1187" s="14" t="n">
        <f aca="false">IF(J1187&lt;=0,1,0)</f>
        <v>0</v>
      </c>
      <c r="L1187" s="15" t="n">
        <f aca="false">IFERROR(G1187/F1187,0)</f>
        <v>0.984848484848485</v>
      </c>
      <c r="M1187" s="15" t="n">
        <f aca="false">IFERROR((I1187-H1187)/H1187,0)</f>
        <v>0.02195571573562</v>
      </c>
      <c r="N1187" s="16" t="n">
        <f aca="false">G1187*I1187</f>
        <v>64140.7</v>
      </c>
    </row>
    <row r="1188" customFormat="false" ht="15" hidden="false" customHeight="true" outlineLevel="0" collapsed="false">
      <c r="A1188" s="4" t="s">
        <v>1364</v>
      </c>
      <c r="B1188" s="4" t="s">
        <v>151</v>
      </c>
      <c r="C1188" s="13" t="n">
        <v>45049</v>
      </c>
      <c r="D1188" s="13" t="n">
        <v>45056</v>
      </c>
      <c r="E1188" s="13" t="n">
        <v>45058</v>
      </c>
      <c r="F1188" s="4" t="n">
        <v>14</v>
      </c>
      <c r="G1188" s="4" t="n">
        <v>14</v>
      </c>
      <c r="H1188" s="4" t="n">
        <v>503.46</v>
      </c>
      <c r="I1188" s="4" t="n">
        <v>509.48</v>
      </c>
      <c r="J1188" s="14" t="n">
        <f aca="false">E1188-D1188</f>
        <v>2</v>
      </c>
      <c r="K1188" s="14" t="n">
        <f aca="false">IF(J1188&lt;=0,1,0)</f>
        <v>0</v>
      </c>
      <c r="L1188" s="15" t="n">
        <f aca="false">IFERROR(G1188/F1188,0)</f>
        <v>1</v>
      </c>
      <c r="M1188" s="15" t="n">
        <f aca="false">IFERROR((I1188-H1188)/H1188,0)</f>
        <v>0.0119572557899337</v>
      </c>
      <c r="N1188" s="16" t="n">
        <f aca="false">G1188*I1188</f>
        <v>7132.72</v>
      </c>
    </row>
    <row r="1189" customFormat="false" ht="15" hidden="false" customHeight="true" outlineLevel="0" collapsed="false">
      <c r="A1189" s="4" t="s">
        <v>1365</v>
      </c>
      <c r="B1189" s="4" t="s">
        <v>87</v>
      </c>
      <c r="C1189" s="13" t="n">
        <v>45288</v>
      </c>
      <c r="D1189" s="13" t="n">
        <v>45297</v>
      </c>
      <c r="E1189" s="13" t="n">
        <v>45296</v>
      </c>
      <c r="F1189" s="4" t="n">
        <v>902</v>
      </c>
      <c r="G1189" s="4" t="n">
        <v>850</v>
      </c>
      <c r="H1189" s="4" t="n">
        <v>161.95</v>
      </c>
      <c r="I1189" s="4" t="n">
        <v>183.02</v>
      </c>
      <c r="J1189" s="14" t="n">
        <f aca="false">E1189-D1189</f>
        <v>-1</v>
      </c>
      <c r="K1189" s="14" t="n">
        <f aca="false">IF(J1189&lt;=0,1,0)</f>
        <v>1</v>
      </c>
      <c r="L1189" s="15" t="n">
        <f aca="false">IFERROR(G1189/F1189,0)</f>
        <v>0.942350332594235</v>
      </c>
      <c r="M1189" s="15" t="n">
        <f aca="false">IFERROR((I1189-H1189)/H1189,0)</f>
        <v>0.130101883297314</v>
      </c>
      <c r="N1189" s="16" t="n">
        <f aca="false">G1189*I1189</f>
        <v>155567</v>
      </c>
    </row>
    <row r="1190" customFormat="false" ht="15" hidden="false" customHeight="true" outlineLevel="0" collapsed="false">
      <c r="A1190" s="4" t="s">
        <v>1366</v>
      </c>
      <c r="B1190" s="4" t="s">
        <v>93</v>
      </c>
      <c r="C1190" s="13" t="n">
        <v>45365</v>
      </c>
      <c r="D1190" s="13" t="n">
        <v>45374</v>
      </c>
      <c r="E1190" s="13" t="n">
        <v>45376</v>
      </c>
      <c r="F1190" s="4" t="n">
        <v>1295</v>
      </c>
      <c r="G1190" s="4" t="n">
        <v>1295</v>
      </c>
      <c r="H1190" s="4" t="n">
        <v>174.25</v>
      </c>
      <c r="I1190" s="4" t="n">
        <v>185.2</v>
      </c>
      <c r="J1190" s="14" t="n">
        <f aca="false">E1190-D1190</f>
        <v>2</v>
      </c>
      <c r="K1190" s="14" t="n">
        <f aca="false">IF(J1190&lt;=0,1,0)</f>
        <v>0</v>
      </c>
      <c r="L1190" s="15" t="n">
        <f aca="false">IFERROR(G1190/F1190,0)</f>
        <v>1</v>
      </c>
      <c r="M1190" s="15" t="n">
        <f aca="false">IFERROR((I1190-H1190)/H1190,0)</f>
        <v>0.0628407460545193</v>
      </c>
      <c r="N1190" s="16" t="n">
        <f aca="false">G1190*I1190</f>
        <v>239834</v>
      </c>
    </row>
    <row r="1191" customFormat="false" ht="15" hidden="false" customHeight="true" outlineLevel="0" collapsed="false">
      <c r="A1191" s="4" t="s">
        <v>1367</v>
      </c>
      <c r="B1191" s="4" t="s">
        <v>133</v>
      </c>
      <c r="C1191" s="13" t="n">
        <v>45137</v>
      </c>
      <c r="D1191" s="13" t="n">
        <v>45146</v>
      </c>
      <c r="E1191" s="13" t="n">
        <v>45152</v>
      </c>
      <c r="F1191" s="4" t="n">
        <v>1969</v>
      </c>
      <c r="G1191" s="4" t="n">
        <v>1873</v>
      </c>
      <c r="H1191" s="4" t="n">
        <v>138.21</v>
      </c>
      <c r="I1191" s="4" t="n">
        <v>137.1</v>
      </c>
      <c r="J1191" s="14" t="n">
        <f aca="false">E1191-D1191</f>
        <v>6</v>
      </c>
      <c r="K1191" s="14" t="n">
        <f aca="false">IF(J1191&lt;=0,1,0)</f>
        <v>0</v>
      </c>
      <c r="L1191" s="15" t="n">
        <f aca="false">IFERROR(G1191/F1191,0)</f>
        <v>0.951244286439817</v>
      </c>
      <c r="M1191" s="15" t="n">
        <f aca="false">IFERROR((I1191-H1191)/H1191,0)</f>
        <v>-0.00803125678315617</v>
      </c>
      <c r="N1191" s="16" t="n">
        <f aca="false">G1191*I1191</f>
        <v>256788.3</v>
      </c>
    </row>
    <row r="1192" customFormat="false" ht="15" hidden="false" customHeight="true" outlineLevel="0" collapsed="false">
      <c r="A1192" s="4" t="s">
        <v>1368</v>
      </c>
      <c r="B1192" s="4" t="s">
        <v>79</v>
      </c>
      <c r="C1192" s="13" t="n">
        <v>45072</v>
      </c>
      <c r="D1192" s="13" t="n">
        <v>45091</v>
      </c>
      <c r="E1192" s="13" t="n">
        <v>45092</v>
      </c>
      <c r="F1192" s="4" t="n">
        <v>476</v>
      </c>
      <c r="G1192" s="4" t="n">
        <v>443</v>
      </c>
      <c r="H1192" s="4" t="n">
        <v>821.48</v>
      </c>
      <c r="I1192" s="4" t="n">
        <v>841.16</v>
      </c>
      <c r="J1192" s="14" t="n">
        <f aca="false">E1192-D1192</f>
        <v>1</v>
      </c>
      <c r="K1192" s="14" t="n">
        <f aca="false">IF(J1192&lt;=0,1,0)</f>
        <v>0</v>
      </c>
      <c r="L1192" s="15" t="n">
        <f aca="false">IFERROR(G1192/F1192,0)</f>
        <v>0.930672268907563</v>
      </c>
      <c r="M1192" s="15" t="n">
        <f aca="false">IFERROR((I1192-H1192)/H1192,0)</f>
        <v>0.0239567609680089</v>
      </c>
      <c r="N1192" s="16" t="n">
        <f aca="false">G1192*I1192</f>
        <v>372633.88</v>
      </c>
    </row>
    <row r="1193" customFormat="false" ht="15" hidden="false" customHeight="true" outlineLevel="0" collapsed="false">
      <c r="A1193" s="4" t="s">
        <v>1369</v>
      </c>
      <c r="B1193" s="4" t="s">
        <v>63</v>
      </c>
      <c r="C1193" s="13" t="n">
        <v>45282</v>
      </c>
      <c r="D1193" s="13" t="n">
        <v>45292</v>
      </c>
      <c r="E1193" s="13" t="n">
        <v>45297</v>
      </c>
      <c r="F1193" s="4" t="n">
        <v>565</v>
      </c>
      <c r="G1193" s="4" t="n">
        <v>519</v>
      </c>
      <c r="H1193" s="4" t="n">
        <v>239.8</v>
      </c>
      <c r="I1193" s="4" t="n">
        <v>251.64</v>
      </c>
      <c r="J1193" s="14" t="n">
        <f aca="false">E1193-D1193</f>
        <v>5</v>
      </c>
      <c r="K1193" s="14" t="n">
        <f aca="false">IF(J1193&lt;=0,1,0)</f>
        <v>0</v>
      </c>
      <c r="L1193" s="15" t="n">
        <f aca="false">IFERROR(G1193/F1193,0)</f>
        <v>0.91858407079646</v>
      </c>
      <c r="M1193" s="15" t="n">
        <f aca="false">IFERROR((I1193-H1193)/H1193,0)</f>
        <v>0.0493744787322768</v>
      </c>
      <c r="N1193" s="16" t="n">
        <f aca="false">G1193*I1193</f>
        <v>130601.16</v>
      </c>
    </row>
    <row r="1194" customFormat="false" ht="15" hidden="false" customHeight="true" outlineLevel="0" collapsed="false">
      <c r="A1194" s="4" t="s">
        <v>1370</v>
      </c>
      <c r="B1194" s="4" t="s">
        <v>113</v>
      </c>
      <c r="C1194" s="13" t="n">
        <v>45395</v>
      </c>
      <c r="D1194" s="13" t="n">
        <v>45407</v>
      </c>
      <c r="E1194" s="13" t="n">
        <v>45410</v>
      </c>
      <c r="F1194" s="4" t="n">
        <v>1743</v>
      </c>
      <c r="G1194" s="4" t="n">
        <v>1724</v>
      </c>
      <c r="H1194" s="4" t="n">
        <v>170.42</v>
      </c>
      <c r="I1194" s="4" t="n">
        <v>173.63</v>
      </c>
      <c r="J1194" s="14" t="n">
        <f aca="false">E1194-D1194</f>
        <v>3</v>
      </c>
      <c r="K1194" s="14" t="n">
        <f aca="false">IF(J1194&lt;=0,1,0)</f>
        <v>0</v>
      </c>
      <c r="L1194" s="15" t="n">
        <f aca="false">IFERROR(G1194/F1194,0)</f>
        <v>0.989099254159495</v>
      </c>
      <c r="M1194" s="15" t="n">
        <f aca="false">IFERROR((I1194-H1194)/H1194,0)</f>
        <v>0.0188358173923249</v>
      </c>
      <c r="N1194" s="16" t="n">
        <f aca="false">G1194*I1194</f>
        <v>299338.12</v>
      </c>
    </row>
    <row r="1195" customFormat="false" ht="15" hidden="false" customHeight="true" outlineLevel="0" collapsed="false">
      <c r="A1195" s="4" t="s">
        <v>1371</v>
      </c>
      <c r="B1195" s="4" t="s">
        <v>41</v>
      </c>
      <c r="C1195" s="13" t="n">
        <v>45253</v>
      </c>
      <c r="D1195" s="13" t="n">
        <v>45262</v>
      </c>
      <c r="E1195" s="13" t="n">
        <v>45263</v>
      </c>
      <c r="F1195" s="4" t="n">
        <v>2512</v>
      </c>
      <c r="G1195" s="4" t="n">
        <v>2424</v>
      </c>
      <c r="H1195" s="4" t="n">
        <v>45.51</v>
      </c>
      <c r="I1195" s="4" t="n">
        <v>45.66</v>
      </c>
      <c r="J1195" s="14" t="n">
        <f aca="false">E1195-D1195</f>
        <v>1</v>
      </c>
      <c r="K1195" s="14" t="n">
        <f aca="false">IF(J1195&lt;=0,1,0)</f>
        <v>0</v>
      </c>
      <c r="L1195" s="15" t="n">
        <f aca="false">IFERROR(G1195/F1195,0)</f>
        <v>0.964968152866242</v>
      </c>
      <c r="M1195" s="15" t="n">
        <f aca="false">IFERROR((I1195-H1195)/H1195,0)</f>
        <v>0.00329597890573497</v>
      </c>
      <c r="N1195" s="16" t="n">
        <f aca="false">G1195*I1195</f>
        <v>110679.84</v>
      </c>
    </row>
    <row r="1196" customFormat="false" ht="15" hidden="false" customHeight="true" outlineLevel="0" collapsed="false">
      <c r="A1196" s="4" t="s">
        <v>1372</v>
      </c>
      <c r="B1196" s="4" t="s">
        <v>37</v>
      </c>
      <c r="C1196" s="13" t="n">
        <v>44943</v>
      </c>
      <c r="D1196" s="13" t="n">
        <v>44949</v>
      </c>
      <c r="E1196" s="13" t="n">
        <v>44949</v>
      </c>
      <c r="F1196" s="4" t="n">
        <v>3328</v>
      </c>
      <c r="G1196" s="4" t="n">
        <v>3328</v>
      </c>
      <c r="H1196" s="4" t="n">
        <v>22.26</v>
      </c>
      <c r="I1196" s="4" t="n">
        <v>22.49</v>
      </c>
      <c r="J1196" s="14" t="n">
        <f aca="false">E1196-D1196</f>
        <v>0</v>
      </c>
      <c r="K1196" s="14" t="n">
        <f aca="false">IF(J1196&lt;=0,1,0)</f>
        <v>1</v>
      </c>
      <c r="L1196" s="15" t="n">
        <f aca="false">IFERROR(G1196/F1196,0)</f>
        <v>1</v>
      </c>
      <c r="M1196" s="15" t="n">
        <f aca="false">IFERROR((I1196-H1196)/H1196,0)</f>
        <v>0.0103324348607366</v>
      </c>
      <c r="N1196" s="16" t="n">
        <f aca="false">G1196*I1196</f>
        <v>74846.72</v>
      </c>
    </row>
    <row r="1197" customFormat="false" ht="15" hidden="false" customHeight="true" outlineLevel="0" collapsed="false">
      <c r="A1197" s="4" t="s">
        <v>1373</v>
      </c>
      <c r="B1197" s="4" t="s">
        <v>83</v>
      </c>
      <c r="C1197" s="13" t="n">
        <v>45374</v>
      </c>
      <c r="D1197" s="13" t="n">
        <v>45383</v>
      </c>
      <c r="E1197" s="13" t="n">
        <v>45388</v>
      </c>
      <c r="F1197" s="4" t="n">
        <v>1133</v>
      </c>
      <c r="G1197" s="4" t="n">
        <v>1133</v>
      </c>
      <c r="H1197" s="4" t="n">
        <v>101.36</v>
      </c>
      <c r="I1197" s="4" t="n">
        <v>104.24</v>
      </c>
      <c r="J1197" s="14" t="n">
        <f aca="false">E1197-D1197</f>
        <v>5</v>
      </c>
      <c r="K1197" s="14" t="n">
        <f aca="false">IF(J1197&lt;=0,1,0)</f>
        <v>0</v>
      </c>
      <c r="L1197" s="15" t="n">
        <f aca="false">IFERROR(G1197/F1197,0)</f>
        <v>1</v>
      </c>
      <c r="M1197" s="15" t="n">
        <f aca="false">IFERROR((I1197-H1197)/H1197,0)</f>
        <v>0.0284135753749013</v>
      </c>
      <c r="N1197" s="16" t="n">
        <f aca="false">G1197*I1197</f>
        <v>118103.92</v>
      </c>
    </row>
    <row r="1198" customFormat="false" ht="15" hidden="false" customHeight="true" outlineLevel="0" collapsed="false">
      <c r="A1198" s="4" t="s">
        <v>1374</v>
      </c>
      <c r="B1198" s="4" t="s">
        <v>83</v>
      </c>
      <c r="C1198" s="13" t="n">
        <v>45326</v>
      </c>
      <c r="D1198" s="13" t="n">
        <v>45336</v>
      </c>
      <c r="E1198" s="13" t="n">
        <v>45339</v>
      </c>
      <c r="F1198" s="4" t="n">
        <v>392</v>
      </c>
      <c r="G1198" s="4" t="n">
        <v>381</v>
      </c>
      <c r="H1198" s="4" t="n">
        <v>101.36</v>
      </c>
      <c r="I1198" s="4" t="n">
        <v>104.46</v>
      </c>
      <c r="J1198" s="14" t="n">
        <f aca="false">E1198-D1198</f>
        <v>3</v>
      </c>
      <c r="K1198" s="14" t="n">
        <f aca="false">IF(J1198&lt;=0,1,0)</f>
        <v>0</v>
      </c>
      <c r="L1198" s="15" t="n">
        <f aca="false">IFERROR(G1198/F1198,0)</f>
        <v>0.971938775510204</v>
      </c>
      <c r="M1198" s="15" t="n">
        <f aca="false">IFERROR((I1198-H1198)/H1198,0)</f>
        <v>0.0305840568271507</v>
      </c>
      <c r="N1198" s="16" t="n">
        <f aca="false">G1198*I1198</f>
        <v>39799.26</v>
      </c>
    </row>
    <row r="1199" customFormat="false" ht="15" hidden="false" customHeight="true" outlineLevel="0" collapsed="false">
      <c r="A1199" s="4" t="s">
        <v>1375</v>
      </c>
      <c r="B1199" s="4" t="s">
        <v>58</v>
      </c>
      <c r="C1199" s="13" t="n">
        <v>45034</v>
      </c>
      <c r="D1199" s="13" t="n">
        <v>45046</v>
      </c>
      <c r="E1199" s="13" t="n">
        <v>45045</v>
      </c>
      <c r="F1199" s="4" t="n">
        <v>52</v>
      </c>
      <c r="G1199" s="4" t="n">
        <v>51</v>
      </c>
      <c r="H1199" s="4" t="n">
        <v>135.68</v>
      </c>
      <c r="I1199" s="4" t="n">
        <v>134.91</v>
      </c>
      <c r="J1199" s="14" t="n">
        <f aca="false">E1199-D1199</f>
        <v>-1</v>
      </c>
      <c r="K1199" s="14" t="n">
        <f aca="false">IF(J1199&lt;=0,1,0)</f>
        <v>1</v>
      </c>
      <c r="L1199" s="15" t="n">
        <f aca="false">IFERROR(G1199/F1199,0)</f>
        <v>0.980769230769231</v>
      </c>
      <c r="M1199" s="15" t="n">
        <f aca="false">IFERROR((I1199-H1199)/H1199,0)</f>
        <v>-0.00567511792452838</v>
      </c>
      <c r="N1199" s="16" t="n">
        <f aca="false">G1199*I1199</f>
        <v>6880.41</v>
      </c>
    </row>
    <row r="1200" customFormat="false" ht="15" hidden="false" customHeight="true" outlineLevel="0" collapsed="false">
      <c r="A1200" s="4" t="s">
        <v>1376</v>
      </c>
      <c r="B1200" s="4" t="s">
        <v>125</v>
      </c>
      <c r="C1200" s="13" t="n">
        <v>45114</v>
      </c>
      <c r="D1200" s="13" t="n">
        <v>45120</v>
      </c>
      <c r="E1200" s="13" t="n">
        <v>45126</v>
      </c>
      <c r="F1200" s="4" t="n">
        <v>11</v>
      </c>
      <c r="G1200" s="4" t="n">
        <v>10</v>
      </c>
      <c r="H1200" s="4" t="n">
        <v>729.32</v>
      </c>
      <c r="I1200" s="4" t="n">
        <v>732.33</v>
      </c>
      <c r="J1200" s="14" t="n">
        <f aca="false">E1200-D1200</f>
        <v>6</v>
      </c>
      <c r="K1200" s="14" t="n">
        <f aca="false">IF(J1200&lt;=0,1,0)</f>
        <v>0</v>
      </c>
      <c r="L1200" s="15" t="n">
        <f aca="false">IFERROR(G1200/F1200,0)</f>
        <v>0.909090909090909</v>
      </c>
      <c r="M1200" s="15" t="n">
        <f aca="false">IFERROR((I1200-H1200)/H1200,0)</f>
        <v>0.00412713212307354</v>
      </c>
      <c r="N1200" s="16" t="n">
        <f aca="false">G1200*I1200</f>
        <v>7323.3</v>
      </c>
    </row>
    <row r="1201" customFormat="false" ht="15" hidden="false" customHeight="true" outlineLevel="0" collapsed="false">
      <c r="A1201" s="4" t="s">
        <v>1377</v>
      </c>
      <c r="B1201" s="4" t="s">
        <v>93</v>
      </c>
      <c r="C1201" s="13" t="n">
        <v>44934</v>
      </c>
      <c r="D1201" s="13" t="n">
        <v>44944</v>
      </c>
      <c r="E1201" s="13" t="n">
        <v>44946</v>
      </c>
      <c r="F1201" s="4" t="n">
        <v>1486</v>
      </c>
      <c r="G1201" s="4" t="n">
        <v>1471</v>
      </c>
      <c r="H1201" s="4" t="n">
        <v>174.25</v>
      </c>
      <c r="I1201" s="4" t="n">
        <v>172.7</v>
      </c>
      <c r="J1201" s="14" t="n">
        <f aca="false">E1201-D1201</f>
        <v>2</v>
      </c>
      <c r="K1201" s="14" t="n">
        <f aca="false">IF(J1201&lt;=0,1,0)</f>
        <v>0</v>
      </c>
      <c r="L1201" s="15" t="n">
        <f aca="false">IFERROR(G1201/F1201,0)</f>
        <v>0.989905787348587</v>
      </c>
      <c r="M1201" s="15" t="n">
        <f aca="false">IFERROR((I1201-H1201)/H1201,0)</f>
        <v>-0.00889526542324253</v>
      </c>
      <c r="N1201" s="16" t="n">
        <f aca="false">G1201*I1201</f>
        <v>254041.7</v>
      </c>
    </row>
    <row r="1202" customFormat="false" ht="15" hidden="false" customHeight="true" outlineLevel="0" collapsed="false">
      <c r="A1202" s="4" t="s">
        <v>1378</v>
      </c>
      <c r="B1202" s="4" t="s">
        <v>103</v>
      </c>
      <c r="C1202" s="13" t="n">
        <v>45177</v>
      </c>
      <c r="D1202" s="13" t="n">
        <v>45195</v>
      </c>
      <c r="E1202" s="13" t="n">
        <v>45195</v>
      </c>
      <c r="F1202" s="4" t="n">
        <v>493</v>
      </c>
      <c r="G1202" s="4" t="n">
        <v>483</v>
      </c>
      <c r="H1202" s="4" t="n">
        <v>1400.22</v>
      </c>
      <c r="I1202" s="4" t="n">
        <v>1423.12</v>
      </c>
      <c r="J1202" s="14" t="n">
        <f aca="false">E1202-D1202</f>
        <v>0</v>
      </c>
      <c r="K1202" s="14" t="n">
        <f aca="false">IF(J1202&lt;=0,1,0)</f>
        <v>1</v>
      </c>
      <c r="L1202" s="15" t="n">
        <f aca="false">IFERROR(G1202/F1202,0)</f>
        <v>0.979716024340771</v>
      </c>
      <c r="M1202" s="15" t="n">
        <f aca="false">IFERROR((I1202-H1202)/H1202,0)</f>
        <v>0.0163545728528373</v>
      </c>
      <c r="N1202" s="16" t="n">
        <f aca="false">G1202*I1202</f>
        <v>687366.96</v>
      </c>
    </row>
    <row r="1203" customFormat="false" ht="15" hidden="false" customHeight="true" outlineLevel="0" collapsed="false">
      <c r="A1203" s="4" t="s">
        <v>1379</v>
      </c>
      <c r="B1203" s="4" t="s">
        <v>101</v>
      </c>
      <c r="C1203" s="13" t="n">
        <v>44936</v>
      </c>
      <c r="D1203" s="13" t="n">
        <v>44955</v>
      </c>
      <c r="E1203" s="13" t="n">
        <v>44957</v>
      </c>
      <c r="F1203" s="4" t="n">
        <v>279</v>
      </c>
      <c r="G1203" s="4" t="n">
        <v>259</v>
      </c>
      <c r="H1203" s="4" t="n">
        <v>442.74</v>
      </c>
      <c r="I1203" s="4" t="n">
        <v>442.83</v>
      </c>
      <c r="J1203" s="14" t="n">
        <f aca="false">E1203-D1203</f>
        <v>2</v>
      </c>
      <c r="K1203" s="14" t="n">
        <f aca="false">IF(J1203&lt;=0,1,0)</f>
        <v>0</v>
      </c>
      <c r="L1203" s="15" t="n">
        <f aca="false">IFERROR(G1203/F1203,0)</f>
        <v>0.92831541218638</v>
      </c>
      <c r="M1203" s="15" t="n">
        <f aca="false">IFERROR((I1203-H1203)/H1203,0)</f>
        <v>0.000203279577178423</v>
      </c>
      <c r="N1203" s="16" t="n">
        <f aca="false">G1203*I1203</f>
        <v>114692.97</v>
      </c>
    </row>
    <row r="1204" customFormat="false" ht="15" hidden="false" customHeight="true" outlineLevel="0" collapsed="false">
      <c r="A1204" s="4" t="s">
        <v>1380</v>
      </c>
      <c r="B1204" s="4" t="s">
        <v>153</v>
      </c>
      <c r="C1204" s="13" t="n">
        <v>45184</v>
      </c>
      <c r="D1204" s="13" t="n">
        <v>45203</v>
      </c>
      <c r="E1204" s="13" t="n">
        <v>45209</v>
      </c>
      <c r="F1204" s="4" t="n">
        <v>474</v>
      </c>
      <c r="G1204" s="4" t="n">
        <v>436</v>
      </c>
      <c r="H1204" s="4" t="n">
        <v>1492.04</v>
      </c>
      <c r="I1204" s="4" t="n">
        <v>1525.35</v>
      </c>
      <c r="J1204" s="14" t="n">
        <f aca="false">E1204-D1204</f>
        <v>6</v>
      </c>
      <c r="K1204" s="14" t="n">
        <f aca="false">IF(J1204&lt;=0,1,0)</f>
        <v>0</v>
      </c>
      <c r="L1204" s="15" t="n">
        <f aca="false">IFERROR(G1204/F1204,0)</f>
        <v>0.919831223628692</v>
      </c>
      <c r="M1204" s="15" t="n">
        <f aca="false">IFERROR((I1204-H1204)/H1204,0)</f>
        <v>0.0223251387362269</v>
      </c>
      <c r="N1204" s="16" t="n">
        <f aca="false">G1204*I1204</f>
        <v>665052.6</v>
      </c>
    </row>
    <row r="1205" customFormat="false" ht="15" hidden="false" customHeight="true" outlineLevel="0" collapsed="false">
      <c r="A1205" s="4" t="s">
        <v>1381</v>
      </c>
      <c r="B1205" s="4" t="s">
        <v>87</v>
      </c>
      <c r="C1205" s="13" t="n">
        <v>45336</v>
      </c>
      <c r="D1205" s="13" t="n">
        <v>45346</v>
      </c>
      <c r="E1205" s="13" t="n">
        <v>45343</v>
      </c>
      <c r="F1205" s="4" t="n">
        <v>1141</v>
      </c>
      <c r="G1205" s="4" t="n">
        <v>1045</v>
      </c>
      <c r="H1205" s="4" t="n">
        <v>161.95</v>
      </c>
      <c r="I1205" s="4" t="n">
        <v>183.89</v>
      </c>
      <c r="J1205" s="14" t="n">
        <f aca="false">E1205-D1205</f>
        <v>-3</v>
      </c>
      <c r="K1205" s="14" t="n">
        <f aca="false">IF(J1205&lt;=0,1,0)</f>
        <v>1</v>
      </c>
      <c r="L1205" s="15" t="n">
        <f aca="false">IFERROR(G1205/F1205,0)</f>
        <v>0.915863277826468</v>
      </c>
      <c r="M1205" s="15" t="n">
        <f aca="false">IFERROR((I1205-H1205)/H1205,0)</f>
        <v>0.135473911701142</v>
      </c>
      <c r="N1205" s="16" t="n">
        <f aca="false">G1205*I1205</f>
        <v>192165.05</v>
      </c>
    </row>
    <row r="1206" customFormat="false" ht="15" hidden="false" customHeight="true" outlineLevel="0" collapsed="false">
      <c r="A1206" s="4" t="s">
        <v>1382</v>
      </c>
      <c r="B1206" s="4" t="s">
        <v>70</v>
      </c>
      <c r="C1206" s="13" t="n">
        <v>44965</v>
      </c>
      <c r="D1206" s="13" t="n">
        <v>44972</v>
      </c>
      <c r="E1206" s="13" t="n">
        <v>44977</v>
      </c>
      <c r="F1206" s="4" t="n">
        <v>4570</v>
      </c>
      <c r="G1206" s="4" t="n">
        <v>4186</v>
      </c>
      <c r="H1206" s="4" t="n">
        <v>35.88</v>
      </c>
      <c r="I1206" s="4" t="n">
        <v>35.72</v>
      </c>
      <c r="J1206" s="14" t="n">
        <f aca="false">E1206-D1206</f>
        <v>5</v>
      </c>
      <c r="K1206" s="14" t="n">
        <f aca="false">IF(J1206&lt;=0,1,0)</f>
        <v>0</v>
      </c>
      <c r="L1206" s="15" t="n">
        <f aca="false">IFERROR(G1206/F1206,0)</f>
        <v>0.915973741794311</v>
      </c>
      <c r="M1206" s="15" t="n">
        <f aca="false">IFERROR((I1206-H1206)/H1206,0)</f>
        <v>-0.004459308807135</v>
      </c>
      <c r="N1206" s="16" t="n">
        <f aca="false">G1206*I1206</f>
        <v>149523.92</v>
      </c>
    </row>
    <row r="1207" customFormat="false" ht="15" hidden="false" customHeight="true" outlineLevel="0" collapsed="false">
      <c r="A1207" s="4" t="s">
        <v>1383</v>
      </c>
      <c r="B1207" s="4" t="s">
        <v>68</v>
      </c>
      <c r="C1207" s="13" t="n">
        <v>45209</v>
      </c>
      <c r="D1207" s="13" t="n">
        <v>45228</v>
      </c>
      <c r="E1207" s="13" t="n">
        <v>45226</v>
      </c>
      <c r="F1207" s="4" t="n">
        <v>132</v>
      </c>
      <c r="G1207" s="4" t="n">
        <v>121</v>
      </c>
      <c r="H1207" s="4" t="n">
        <v>1232.83</v>
      </c>
      <c r="I1207" s="4" t="n">
        <v>1230.47</v>
      </c>
      <c r="J1207" s="14" t="n">
        <f aca="false">E1207-D1207</f>
        <v>-2</v>
      </c>
      <c r="K1207" s="14" t="n">
        <f aca="false">IF(J1207&lt;=0,1,0)</f>
        <v>1</v>
      </c>
      <c r="L1207" s="15" t="n">
        <f aca="false">IFERROR(G1207/F1207,0)</f>
        <v>0.916666666666667</v>
      </c>
      <c r="M1207" s="15" t="n">
        <f aca="false">IFERROR((I1207-H1207)/H1207,0)</f>
        <v>-0.00191429475272333</v>
      </c>
      <c r="N1207" s="16" t="n">
        <f aca="false">G1207*I1207</f>
        <v>148886.87</v>
      </c>
    </row>
    <row r="1208" customFormat="false" ht="15" hidden="false" customHeight="true" outlineLevel="0" collapsed="false">
      <c r="A1208" s="4" t="s">
        <v>1384</v>
      </c>
      <c r="B1208" s="4" t="s">
        <v>77</v>
      </c>
      <c r="C1208" s="13" t="n">
        <v>45039</v>
      </c>
      <c r="D1208" s="13" t="n">
        <v>45045</v>
      </c>
      <c r="E1208" s="13" t="n">
        <v>45053</v>
      </c>
      <c r="F1208" s="4" t="n">
        <v>2286</v>
      </c>
      <c r="G1208" s="4" t="n">
        <v>2286</v>
      </c>
      <c r="H1208" s="4" t="n">
        <v>36.83</v>
      </c>
      <c r="I1208" s="4" t="n">
        <v>36.33</v>
      </c>
      <c r="J1208" s="14" t="n">
        <f aca="false">E1208-D1208</f>
        <v>8</v>
      </c>
      <c r="K1208" s="14" t="n">
        <f aca="false">IF(J1208&lt;=0,1,0)</f>
        <v>0</v>
      </c>
      <c r="L1208" s="15" t="n">
        <f aca="false">IFERROR(G1208/F1208,0)</f>
        <v>1</v>
      </c>
      <c r="M1208" s="15" t="n">
        <f aca="false">IFERROR((I1208-H1208)/H1208,0)</f>
        <v>-0.013575889220744</v>
      </c>
      <c r="N1208" s="16" t="n">
        <f aca="false">G1208*I1208</f>
        <v>83050.38</v>
      </c>
    </row>
    <row r="1209" customFormat="false" ht="15" hidden="false" customHeight="true" outlineLevel="0" collapsed="false">
      <c r="A1209" s="4" t="s">
        <v>1385</v>
      </c>
      <c r="B1209" s="4" t="s">
        <v>125</v>
      </c>
      <c r="C1209" s="13" t="n">
        <v>45625</v>
      </c>
      <c r="D1209" s="13" t="n">
        <v>45631</v>
      </c>
      <c r="E1209" s="13" t="n">
        <v>45635</v>
      </c>
      <c r="F1209" s="4" t="n">
        <v>6</v>
      </c>
      <c r="G1209" s="4" t="n">
        <v>5</v>
      </c>
      <c r="H1209" s="4" t="n">
        <v>729.32</v>
      </c>
      <c r="I1209" s="4" t="n">
        <v>729.98</v>
      </c>
      <c r="J1209" s="14" t="n">
        <f aca="false">E1209-D1209</f>
        <v>4</v>
      </c>
      <c r="K1209" s="14" t="n">
        <f aca="false">IF(J1209&lt;=0,1,0)</f>
        <v>0</v>
      </c>
      <c r="L1209" s="15" t="n">
        <f aca="false">IFERROR(G1209/F1209,0)</f>
        <v>0.833333333333333</v>
      </c>
      <c r="M1209" s="15" t="n">
        <f aca="false">IFERROR((I1209-H1209)/H1209,0)</f>
        <v>0.000904952558547645</v>
      </c>
      <c r="N1209" s="16" t="n">
        <f aca="false">G1209*I1209</f>
        <v>3649.9</v>
      </c>
    </row>
    <row r="1210" customFormat="false" ht="15" hidden="false" customHeight="true" outlineLevel="0" collapsed="false">
      <c r="A1210" s="4" t="s">
        <v>1386</v>
      </c>
      <c r="B1210" s="4" t="s">
        <v>50</v>
      </c>
      <c r="C1210" s="13" t="n">
        <v>45449</v>
      </c>
      <c r="D1210" s="13" t="n">
        <v>45468</v>
      </c>
      <c r="E1210" s="13" t="n">
        <v>45467</v>
      </c>
      <c r="F1210" s="4" t="n">
        <v>149</v>
      </c>
      <c r="G1210" s="4" t="n">
        <v>147</v>
      </c>
      <c r="H1210" s="4" t="n">
        <v>707.19</v>
      </c>
      <c r="I1210" s="4" t="n">
        <v>750.48</v>
      </c>
      <c r="J1210" s="14" t="n">
        <f aca="false">E1210-D1210</f>
        <v>-1</v>
      </c>
      <c r="K1210" s="14" t="n">
        <f aca="false">IF(J1210&lt;=0,1,0)</f>
        <v>1</v>
      </c>
      <c r="L1210" s="15" t="n">
        <f aca="false">IFERROR(G1210/F1210,0)</f>
        <v>0.986577181208054</v>
      </c>
      <c r="M1210" s="15" t="n">
        <f aca="false">IFERROR((I1210-H1210)/H1210,0)</f>
        <v>0.0612141008781232</v>
      </c>
      <c r="N1210" s="16" t="n">
        <f aca="false">G1210*I1210</f>
        <v>110320.56</v>
      </c>
    </row>
    <row r="1211" customFormat="false" ht="15" hidden="false" customHeight="true" outlineLevel="0" collapsed="false">
      <c r="A1211" s="4" t="s">
        <v>1387</v>
      </c>
      <c r="B1211" s="4" t="s">
        <v>109</v>
      </c>
      <c r="C1211" s="13" t="n">
        <v>45039</v>
      </c>
      <c r="D1211" s="13" t="n">
        <v>45058</v>
      </c>
      <c r="E1211" s="13" t="n">
        <v>45058</v>
      </c>
      <c r="F1211" s="4" t="n">
        <v>254</v>
      </c>
      <c r="G1211" s="4" t="n">
        <v>254</v>
      </c>
      <c r="H1211" s="4" t="n">
        <v>858.02</v>
      </c>
      <c r="I1211" s="4" t="n">
        <v>869.04</v>
      </c>
      <c r="J1211" s="14" t="n">
        <f aca="false">E1211-D1211</f>
        <v>0</v>
      </c>
      <c r="K1211" s="14" t="n">
        <f aca="false">IF(J1211&lt;=0,1,0)</f>
        <v>1</v>
      </c>
      <c r="L1211" s="15" t="n">
        <f aca="false">IFERROR(G1211/F1211,0)</f>
        <v>1</v>
      </c>
      <c r="M1211" s="15" t="n">
        <f aca="false">IFERROR((I1211-H1211)/H1211,0)</f>
        <v>0.0128435234609916</v>
      </c>
      <c r="N1211" s="16" t="n">
        <f aca="false">G1211*I1211</f>
        <v>220736.16</v>
      </c>
    </row>
    <row r="1212" customFormat="false" ht="15" hidden="false" customHeight="true" outlineLevel="0" collapsed="false">
      <c r="A1212" s="4" t="s">
        <v>1388</v>
      </c>
      <c r="B1212" s="4" t="s">
        <v>121</v>
      </c>
      <c r="C1212" s="13" t="n">
        <v>45183</v>
      </c>
      <c r="D1212" s="13" t="n">
        <v>45193</v>
      </c>
      <c r="E1212" s="13" t="n">
        <v>45203</v>
      </c>
      <c r="F1212" s="4" t="n">
        <v>1845</v>
      </c>
      <c r="G1212" s="4" t="n">
        <v>1732</v>
      </c>
      <c r="H1212" s="4" t="n">
        <v>206.07</v>
      </c>
      <c r="I1212" s="4" t="n">
        <v>214.81</v>
      </c>
      <c r="J1212" s="14" t="n">
        <f aca="false">E1212-D1212</f>
        <v>10</v>
      </c>
      <c r="K1212" s="14" t="n">
        <f aca="false">IF(J1212&lt;=0,1,0)</f>
        <v>0</v>
      </c>
      <c r="L1212" s="15" t="n">
        <f aca="false">IFERROR(G1212/F1212,0)</f>
        <v>0.938753387533875</v>
      </c>
      <c r="M1212" s="15" t="n">
        <f aca="false">IFERROR((I1212-H1212)/H1212,0)</f>
        <v>0.0424127723589072</v>
      </c>
      <c r="N1212" s="16" t="n">
        <f aca="false">G1212*I1212</f>
        <v>372050.92</v>
      </c>
    </row>
    <row r="1213" customFormat="false" ht="15" hidden="false" customHeight="true" outlineLevel="0" collapsed="false">
      <c r="A1213" s="4" t="s">
        <v>1389</v>
      </c>
      <c r="B1213" s="4" t="s">
        <v>147</v>
      </c>
      <c r="C1213" s="13" t="n">
        <v>45297</v>
      </c>
      <c r="D1213" s="13" t="n">
        <v>45309</v>
      </c>
      <c r="E1213" s="13" t="n">
        <v>45310</v>
      </c>
      <c r="F1213" s="4" t="n">
        <v>24</v>
      </c>
      <c r="G1213" s="4" t="n">
        <v>24</v>
      </c>
      <c r="H1213" s="4" t="n">
        <v>203.3</v>
      </c>
      <c r="I1213" s="4" t="n">
        <v>209.02</v>
      </c>
      <c r="J1213" s="14" t="n">
        <f aca="false">E1213-D1213</f>
        <v>1</v>
      </c>
      <c r="K1213" s="14" t="n">
        <f aca="false">IF(J1213&lt;=0,1,0)</f>
        <v>0</v>
      </c>
      <c r="L1213" s="15" t="n">
        <f aca="false">IFERROR(G1213/F1213,0)</f>
        <v>1</v>
      </c>
      <c r="M1213" s="15" t="n">
        <f aca="false">IFERROR((I1213-H1213)/H1213,0)</f>
        <v>0.0281357599606493</v>
      </c>
      <c r="N1213" s="16" t="n">
        <f aca="false">G1213*I1213</f>
        <v>5016.48</v>
      </c>
    </row>
    <row r="1214" customFormat="false" ht="15" hidden="false" customHeight="true" outlineLevel="0" collapsed="false">
      <c r="A1214" s="4" t="s">
        <v>1390</v>
      </c>
      <c r="B1214" s="4" t="s">
        <v>70</v>
      </c>
      <c r="C1214" s="13" t="n">
        <v>45465</v>
      </c>
      <c r="D1214" s="13" t="n">
        <v>45473</v>
      </c>
      <c r="E1214" s="13" t="n">
        <v>45475</v>
      </c>
      <c r="F1214" s="4" t="n">
        <v>1799</v>
      </c>
      <c r="G1214" s="4" t="n">
        <v>1632</v>
      </c>
      <c r="H1214" s="4" t="n">
        <v>35.88</v>
      </c>
      <c r="I1214" s="4" t="n">
        <v>38.17</v>
      </c>
      <c r="J1214" s="14" t="n">
        <f aca="false">E1214-D1214</f>
        <v>2</v>
      </c>
      <c r="K1214" s="14" t="n">
        <f aca="false">IF(J1214&lt;=0,1,0)</f>
        <v>0</v>
      </c>
      <c r="L1214" s="15" t="n">
        <f aca="false">IFERROR(G1214/F1214,0)</f>
        <v>0.907170650361312</v>
      </c>
      <c r="M1214" s="15" t="n">
        <f aca="false">IFERROR((I1214-H1214)/H1214,0)</f>
        <v>0.0638238573021182</v>
      </c>
      <c r="N1214" s="16" t="n">
        <f aca="false">G1214*I1214</f>
        <v>62293.44</v>
      </c>
    </row>
    <row r="1215" customFormat="false" ht="15" hidden="false" customHeight="true" outlineLevel="0" collapsed="false">
      <c r="A1215" s="4" t="s">
        <v>1391</v>
      </c>
      <c r="B1215" s="4" t="s">
        <v>129</v>
      </c>
      <c r="C1215" s="13" t="n">
        <v>45457</v>
      </c>
      <c r="D1215" s="13" t="n">
        <v>45474</v>
      </c>
      <c r="E1215" s="13" t="n">
        <v>45468</v>
      </c>
      <c r="F1215" s="4" t="n">
        <v>329</v>
      </c>
      <c r="G1215" s="4" t="n">
        <v>322</v>
      </c>
      <c r="H1215" s="4" t="n">
        <v>709.66</v>
      </c>
      <c r="I1215" s="4" t="n">
        <v>727.39</v>
      </c>
      <c r="J1215" s="14" t="n">
        <f aca="false">E1215-D1215</f>
        <v>-6</v>
      </c>
      <c r="K1215" s="14" t="n">
        <f aca="false">IF(J1215&lt;=0,1,0)</f>
        <v>1</v>
      </c>
      <c r="L1215" s="15" t="n">
        <f aca="false">IFERROR(G1215/F1215,0)</f>
        <v>0.978723404255319</v>
      </c>
      <c r="M1215" s="15" t="n">
        <f aca="false">IFERROR((I1215-H1215)/H1215,0)</f>
        <v>0.0249837950567878</v>
      </c>
      <c r="N1215" s="16" t="n">
        <f aca="false">G1215*I1215</f>
        <v>234219.58</v>
      </c>
    </row>
    <row r="1216" customFormat="false" ht="15" hidden="false" customHeight="true" outlineLevel="0" collapsed="false">
      <c r="A1216" s="4" t="s">
        <v>1392</v>
      </c>
      <c r="B1216" s="4" t="s">
        <v>163</v>
      </c>
      <c r="C1216" s="13" t="n">
        <v>45097</v>
      </c>
      <c r="D1216" s="13" t="n">
        <v>45116</v>
      </c>
      <c r="E1216" s="13" t="n">
        <v>45117</v>
      </c>
      <c r="F1216" s="4" t="n">
        <v>443</v>
      </c>
      <c r="G1216" s="4" t="n">
        <v>441</v>
      </c>
      <c r="H1216" s="4" t="n">
        <v>482.79</v>
      </c>
      <c r="I1216" s="4" t="n">
        <v>491.58</v>
      </c>
      <c r="J1216" s="14" t="n">
        <f aca="false">E1216-D1216</f>
        <v>1</v>
      </c>
      <c r="K1216" s="14" t="n">
        <f aca="false">IF(J1216&lt;=0,1,0)</f>
        <v>0</v>
      </c>
      <c r="L1216" s="15" t="n">
        <f aca="false">IFERROR(G1216/F1216,0)</f>
        <v>0.99548532731377</v>
      </c>
      <c r="M1216" s="15" t="n">
        <f aca="false">IFERROR((I1216-H1216)/H1216,0)</f>
        <v>0.018206673709066</v>
      </c>
      <c r="N1216" s="16" t="n">
        <f aca="false">G1216*I1216</f>
        <v>216786.78</v>
      </c>
    </row>
    <row r="1217" customFormat="false" ht="15" hidden="false" customHeight="true" outlineLevel="0" collapsed="false">
      <c r="A1217" s="4" t="s">
        <v>1393</v>
      </c>
      <c r="B1217" s="4" t="s">
        <v>155</v>
      </c>
      <c r="C1217" s="13" t="n">
        <v>45147</v>
      </c>
      <c r="D1217" s="13" t="n">
        <v>45156</v>
      </c>
      <c r="E1217" s="13" t="n">
        <v>45153</v>
      </c>
      <c r="F1217" s="4" t="n">
        <v>1882</v>
      </c>
      <c r="G1217" s="4" t="n">
        <v>1799</v>
      </c>
      <c r="H1217" s="4" t="n">
        <v>24.04</v>
      </c>
      <c r="I1217" s="4" t="n">
        <v>24.11</v>
      </c>
      <c r="J1217" s="14" t="n">
        <f aca="false">E1217-D1217</f>
        <v>-3</v>
      </c>
      <c r="K1217" s="14" t="n">
        <f aca="false">IF(J1217&lt;=0,1,0)</f>
        <v>1</v>
      </c>
      <c r="L1217" s="15" t="n">
        <f aca="false">IFERROR(G1217/F1217,0)</f>
        <v>0.955897980871413</v>
      </c>
      <c r="M1217" s="15" t="n">
        <f aca="false">IFERROR((I1217-H1217)/H1217,0)</f>
        <v>0.0029118136439268</v>
      </c>
      <c r="N1217" s="16" t="n">
        <f aca="false">G1217*I1217</f>
        <v>43373.89</v>
      </c>
    </row>
    <row r="1218" customFormat="false" ht="15" hidden="false" customHeight="true" outlineLevel="0" collapsed="false">
      <c r="A1218" s="4" t="s">
        <v>1394</v>
      </c>
      <c r="B1218" s="4" t="s">
        <v>68</v>
      </c>
      <c r="C1218" s="13" t="n">
        <v>45079</v>
      </c>
      <c r="D1218" s="13" t="n">
        <v>45098</v>
      </c>
      <c r="E1218" s="13" t="n">
        <v>45097</v>
      </c>
      <c r="F1218" s="4" t="n">
        <v>167</v>
      </c>
      <c r="G1218" s="4" t="n">
        <v>156</v>
      </c>
      <c r="H1218" s="4" t="n">
        <v>1232.83</v>
      </c>
      <c r="I1218" s="4" t="n">
        <v>1227.56</v>
      </c>
      <c r="J1218" s="14" t="n">
        <f aca="false">E1218-D1218</f>
        <v>-1</v>
      </c>
      <c r="K1218" s="14" t="n">
        <f aca="false">IF(J1218&lt;=0,1,0)</f>
        <v>1</v>
      </c>
      <c r="L1218" s="15" t="n">
        <f aca="false">IFERROR(G1218/F1218,0)</f>
        <v>0.934131736526946</v>
      </c>
      <c r="M1218" s="15" t="n">
        <f aca="false">IFERROR((I1218-H1218)/H1218,0)</f>
        <v>-0.00427471751985268</v>
      </c>
      <c r="N1218" s="16" t="n">
        <f aca="false">G1218*I1218</f>
        <v>191499.36</v>
      </c>
    </row>
    <row r="1219" customFormat="false" ht="15" hidden="false" customHeight="true" outlineLevel="0" collapsed="false">
      <c r="A1219" s="4" t="s">
        <v>1395</v>
      </c>
      <c r="B1219" s="4" t="s">
        <v>47</v>
      </c>
      <c r="C1219" s="13" t="n">
        <v>45331</v>
      </c>
      <c r="D1219" s="13" t="n">
        <v>45343</v>
      </c>
      <c r="E1219" s="13" t="n">
        <v>45341</v>
      </c>
      <c r="F1219" s="4" t="n">
        <v>1178</v>
      </c>
      <c r="G1219" s="4" t="n">
        <v>1175</v>
      </c>
      <c r="H1219" s="4" t="n">
        <v>228.68</v>
      </c>
      <c r="I1219" s="4" t="n">
        <v>228.72</v>
      </c>
      <c r="J1219" s="14" t="n">
        <f aca="false">E1219-D1219</f>
        <v>-2</v>
      </c>
      <c r="K1219" s="14" t="n">
        <f aca="false">IF(J1219&lt;=0,1,0)</f>
        <v>1</v>
      </c>
      <c r="L1219" s="15" t="n">
        <f aca="false">IFERROR(G1219/F1219,0)</f>
        <v>0.997453310696095</v>
      </c>
      <c r="M1219" s="15" t="n">
        <f aca="false">IFERROR((I1219-H1219)/H1219,0)</f>
        <v>0.000174916914465594</v>
      </c>
      <c r="N1219" s="16" t="n">
        <f aca="false">G1219*I1219</f>
        <v>268746</v>
      </c>
    </row>
    <row r="1220" customFormat="false" ht="15" hidden="false" customHeight="true" outlineLevel="0" collapsed="false">
      <c r="A1220" s="4" t="s">
        <v>1396</v>
      </c>
      <c r="B1220" s="4" t="s">
        <v>89</v>
      </c>
      <c r="C1220" s="13" t="n">
        <v>45194</v>
      </c>
      <c r="D1220" s="13" t="n">
        <v>45198</v>
      </c>
      <c r="E1220" s="13" t="n">
        <v>45199</v>
      </c>
      <c r="F1220" s="4" t="n">
        <v>14</v>
      </c>
      <c r="G1220" s="4" t="n">
        <v>13</v>
      </c>
      <c r="H1220" s="4" t="n">
        <v>1929.81</v>
      </c>
      <c r="I1220" s="4" t="n">
        <v>1898.66</v>
      </c>
      <c r="J1220" s="14" t="n">
        <f aca="false">E1220-D1220</f>
        <v>1</v>
      </c>
      <c r="K1220" s="14" t="n">
        <f aca="false">IF(J1220&lt;=0,1,0)</f>
        <v>0</v>
      </c>
      <c r="L1220" s="15" t="n">
        <f aca="false">IFERROR(G1220/F1220,0)</f>
        <v>0.928571428571429</v>
      </c>
      <c r="M1220" s="15" t="n">
        <f aca="false">IFERROR((I1220-H1220)/H1220,0)</f>
        <v>-0.0161414854312082</v>
      </c>
      <c r="N1220" s="16" t="n">
        <f aca="false">G1220*I1220</f>
        <v>24682.58</v>
      </c>
    </row>
    <row r="1221" customFormat="false" ht="15" hidden="false" customHeight="true" outlineLevel="0" collapsed="false">
      <c r="A1221" s="4" t="s">
        <v>1397</v>
      </c>
      <c r="B1221" s="4" t="s">
        <v>65</v>
      </c>
      <c r="C1221" s="13" t="n">
        <v>45201</v>
      </c>
      <c r="D1221" s="13" t="n">
        <v>45218</v>
      </c>
      <c r="E1221" s="13" t="n">
        <v>45222</v>
      </c>
      <c r="F1221" s="4" t="n">
        <v>150</v>
      </c>
      <c r="G1221" s="4" t="n">
        <v>146</v>
      </c>
      <c r="H1221" s="4" t="n">
        <v>1365.59</v>
      </c>
      <c r="I1221" s="4" t="n">
        <v>1350.7</v>
      </c>
      <c r="J1221" s="14" t="n">
        <f aca="false">E1221-D1221</f>
        <v>4</v>
      </c>
      <c r="K1221" s="14" t="n">
        <f aca="false">IF(J1221&lt;=0,1,0)</f>
        <v>0</v>
      </c>
      <c r="L1221" s="15" t="n">
        <f aca="false">IFERROR(G1221/F1221,0)</f>
        <v>0.973333333333333</v>
      </c>
      <c r="M1221" s="15" t="n">
        <f aca="false">IFERROR((I1221-H1221)/H1221,0)</f>
        <v>-0.0109037119486814</v>
      </c>
      <c r="N1221" s="16" t="n">
        <f aca="false">G1221*I1221</f>
        <v>197202.2</v>
      </c>
    </row>
    <row r="1222" customFormat="false" ht="15" hidden="false" customHeight="true" outlineLevel="0" collapsed="false">
      <c r="A1222" s="4" t="s">
        <v>1398</v>
      </c>
      <c r="B1222" s="4" t="s">
        <v>131</v>
      </c>
      <c r="C1222" s="13" t="n">
        <v>45320</v>
      </c>
      <c r="D1222" s="13" t="n">
        <v>45331</v>
      </c>
      <c r="E1222" s="13" t="n">
        <v>45331</v>
      </c>
      <c r="F1222" s="4" t="n">
        <v>1917</v>
      </c>
      <c r="G1222" s="4" t="n">
        <v>1856</v>
      </c>
      <c r="H1222" s="4" t="n">
        <v>88.52</v>
      </c>
      <c r="I1222" s="4" t="n">
        <v>89.8</v>
      </c>
      <c r="J1222" s="14" t="n">
        <f aca="false">E1222-D1222</f>
        <v>0</v>
      </c>
      <c r="K1222" s="14" t="n">
        <f aca="false">IF(J1222&lt;=0,1,0)</f>
        <v>1</v>
      </c>
      <c r="L1222" s="15" t="n">
        <f aca="false">IFERROR(G1222/F1222,0)</f>
        <v>0.968179447052686</v>
      </c>
      <c r="M1222" s="15" t="n">
        <f aca="false">IFERROR((I1222-H1222)/H1222,0)</f>
        <v>0.0144600090375057</v>
      </c>
      <c r="N1222" s="16" t="n">
        <f aca="false">G1222*I1222</f>
        <v>166668.8</v>
      </c>
    </row>
    <row r="1223" customFormat="false" ht="15" hidden="false" customHeight="true" outlineLevel="0" collapsed="false">
      <c r="A1223" s="4" t="s">
        <v>1399</v>
      </c>
      <c r="B1223" s="4" t="s">
        <v>119</v>
      </c>
      <c r="C1223" s="13" t="n">
        <v>45609</v>
      </c>
      <c r="D1223" s="13" t="n">
        <v>45618</v>
      </c>
      <c r="E1223" s="13" t="n">
        <v>45621</v>
      </c>
      <c r="F1223" s="4" t="n">
        <v>4461</v>
      </c>
      <c r="G1223" s="4" t="n">
        <v>4411</v>
      </c>
      <c r="H1223" s="4" t="n">
        <v>50.92</v>
      </c>
      <c r="I1223" s="4" t="n">
        <v>45.84</v>
      </c>
      <c r="J1223" s="14" t="n">
        <f aca="false">E1223-D1223</f>
        <v>3</v>
      </c>
      <c r="K1223" s="14" t="n">
        <f aca="false">IF(J1223&lt;=0,1,0)</f>
        <v>0</v>
      </c>
      <c r="L1223" s="15" t="n">
        <f aca="false">IFERROR(G1223/F1223,0)</f>
        <v>0.988791750728536</v>
      </c>
      <c r="M1223" s="15" t="n">
        <f aca="false">IFERROR((I1223-H1223)/H1223,0)</f>
        <v>-0.0997643362136685</v>
      </c>
      <c r="N1223" s="16" t="n">
        <f aca="false">G1223*I1223</f>
        <v>202200.24</v>
      </c>
    </row>
    <row r="1224" customFormat="false" ht="15" hidden="false" customHeight="true" outlineLevel="0" collapsed="false">
      <c r="A1224" s="4" t="s">
        <v>1400</v>
      </c>
      <c r="B1224" s="4" t="s">
        <v>161</v>
      </c>
      <c r="C1224" s="13" t="n">
        <v>45099</v>
      </c>
      <c r="D1224" s="13" t="n">
        <v>45111</v>
      </c>
      <c r="E1224" s="13" t="n">
        <v>45117</v>
      </c>
      <c r="F1224" s="4" t="n">
        <v>252</v>
      </c>
      <c r="G1224" s="4" t="n">
        <v>250</v>
      </c>
      <c r="H1224" s="4" t="n">
        <v>101.94</v>
      </c>
      <c r="I1224" s="4" t="n">
        <v>103.44</v>
      </c>
      <c r="J1224" s="14" t="n">
        <f aca="false">E1224-D1224</f>
        <v>6</v>
      </c>
      <c r="K1224" s="14" t="n">
        <f aca="false">IF(J1224&lt;=0,1,0)</f>
        <v>0</v>
      </c>
      <c r="L1224" s="15" t="n">
        <f aca="false">IFERROR(G1224/F1224,0)</f>
        <v>0.992063492063492</v>
      </c>
      <c r="M1224" s="15" t="n">
        <f aca="false">IFERROR((I1224-H1224)/H1224,0)</f>
        <v>0.0147145379635079</v>
      </c>
      <c r="N1224" s="16" t="n">
        <f aca="false">G1224*I1224</f>
        <v>25860</v>
      </c>
    </row>
    <row r="1225" customFormat="false" ht="15" hidden="false" customHeight="true" outlineLevel="0" collapsed="false">
      <c r="A1225" s="4" t="s">
        <v>1401</v>
      </c>
      <c r="B1225" s="4" t="s">
        <v>161</v>
      </c>
      <c r="C1225" s="13" t="n">
        <v>45635</v>
      </c>
      <c r="D1225" s="13" t="n">
        <v>45646</v>
      </c>
      <c r="E1225" s="13" t="n">
        <v>45648</v>
      </c>
      <c r="F1225" s="4" t="n">
        <v>1907</v>
      </c>
      <c r="G1225" s="4" t="n">
        <v>1880</v>
      </c>
      <c r="H1225" s="4" t="n">
        <v>101.94</v>
      </c>
      <c r="I1225" s="4" t="n">
        <v>116.38</v>
      </c>
      <c r="J1225" s="14" t="n">
        <f aca="false">E1225-D1225</f>
        <v>2</v>
      </c>
      <c r="K1225" s="14" t="n">
        <f aca="false">IF(J1225&lt;=0,1,0)</f>
        <v>0</v>
      </c>
      <c r="L1225" s="15" t="n">
        <f aca="false">IFERROR(G1225/F1225,0)</f>
        <v>0.985841636077609</v>
      </c>
      <c r="M1225" s="15" t="n">
        <f aca="false">IFERROR((I1225-H1225)/H1225,0)</f>
        <v>0.141651952128703</v>
      </c>
      <c r="N1225" s="16" t="n">
        <f aca="false">G1225*I1225</f>
        <v>218794.4</v>
      </c>
    </row>
    <row r="1226" customFormat="false" ht="15" hidden="false" customHeight="true" outlineLevel="0" collapsed="false">
      <c r="A1226" s="4" t="s">
        <v>1402</v>
      </c>
      <c r="B1226" s="4" t="s">
        <v>139</v>
      </c>
      <c r="C1226" s="13" t="n">
        <v>45091</v>
      </c>
      <c r="D1226" s="13" t="n">
        <v>45100</v>
      </c>
      <c r="E1226" s="13" t="n">
        <v>45102</v>
      </c>
      <c r="F1226" s="4" t="n">
        <v>1064</v>
      </c>
      <c r="G1226" s="4" t="n">
        <v>963</v>
      </c>
      <c r="H1226" s="4" t="n">
        <v>207.64</v>
      </c>
      <c r="I1226" s="4" t="n">
        <v>208.59</v>
      </c>
      <c r="J1226" s="14" t="n">
        <f aca="false">E1226-D1226</f>
        <v>2</v>
      </c>
      <c r="K1226" s="14" t="n">
        <f aca="false">IF(J1226&lt;=0,1,0)</f>
        <v>0</v>
      </c>
      <c r="L1226" s="15" t="n">
        <f aca="false">IFERROR(G1226/F1226,0)</f>
        <v>0.905075187969925</v>
      </c>
      <c r="M1226" s="15" t="n">
        <f aca="false">IFERROR((I1226-H1226)/H1226,0)</f>
        <v>0.00457522635330388</v>
      </c>
      <c r="N1226" s="16" t="n">
        <f aca="false">G1226*I1226</f>
        <v>200872.17</v>
      </c>
    </row>
    <row r="1227" customFormat="false" ht="15" hidden="false" customHeight="true" outlineLevel="0" collapsed="false">
      <c r="A1227" s="4" t="s">
        <v>1403</v>
      </c>
      <c r="B1227" s="4" t="s">
        <v>127</v>
      </c>
      <c r="C1227" s="13" t="n">
        <v>45232</v>
      </c>
      <c r="D1227" s="13" t="n">
        <v>45238</v>
      </c>
      <c r="E1227" s="13" t="n">
        <v>45239</v>
      </c>
      <c r="F1227" s="4" t="n">
        <v>18</v>
      </c>
      <c r="G1227" s="4" t="n">
        <v>18</v>
      </c>
      <c r="H1227" s="4" t="n">
        <v>1881</v>
      </c>
      <c r="I1227" s="4" t="n">
        <v>1806.8</v>
      </c>
      <c r="J1227" s="14" t="n">
        <f aca="false">E1227-D1227</f>
        <v>1</v>
      </c>
      <c r="K1227" s="14" t="n">
        <f aca="false">IF(J1227&lt;=0,1,0)</f>
        <v>0</v>
      </c>
      <c r="L1227" s="15" t="n">
        <f aca="false">IFERROR(G1227/F1227,0)</f>
        <v>1</v>
      </c>
      <c r="M1227" s="15" t="n">
        <f aca="false">IFERROR((I1227-H1227)/H1227,0)</f>
        <v>-0.0394471026049974</v>
      </c>
      <c r="N1227" s="16" t="n">
        <f aca="false">G1227*I1227</f>
        <v>32522.4</v>
      </c>
    </row>
    <row r="1228" customFormat="false" ht="15" hidden="false" customHeight="true" outlineLevel="0" collapsed="false">
      <c r="A1228" s="4" t="s">
        <v>1404</v>
      </c>
      <c r="B1228" s="4" t="s">
        <v>149</v>
      </c>
      <c r="C1228" s="13" t="n">
        <v>44984</v>
      </c>
      <c r="D1228" s="13" t="n">
        <v>44990</v>
      </c>
      <c r="E1228" s="13" t="n">
        <v>44991</v>
      </c>
      <c r="F1228" s="4" t="n">
        <v>17</v>
      </c>
      <c r="G1228" s="4" t="n">
        <v>17</v>
      </c>
      <c r="H1228" s="4" t="n">
        <v>1458.52</v>
      </c>
      <c r="I1228" s="4" t="n">
        <v>1443</v>
      </c>
      <c r="J1228" s="14" t="n">
        <f aca="false">E1228-D1228</f>
        <v>1</v>
      </c>
      <c r="K1228" s="14" t="n">
        <f aca="false">IF(J1228&lt;=0,1,0)</f>
        <v>0</v>
      </c>
      <c r="L1228" s="15" t="n">
        <f aca="false">IFERROR(G1228/F1228,0)</f>
        <v>1</v>
      </c>
      <c r="M1228" s="15" t="n">
        <f aca="false">IFERROR((I1228-H1228)/H1228,0)</f>
        <v>-0.0106409236760552</v>
      </c>
      <c r="N1228" s="16" t="n">
        <f aca="false">G1228*I1228</f>
        <v>24531</v>
      </c>
    </row>
    <row r="1229" customFormat="false" ht="15" hidden="false" customHeight="true" outlineLevel="0" collapsed="false">
      <c r="A1229" s="4" t="s">
        <v>1405</v>
      </c>
      <c r="B1229" s="4" t="s">
        <v>129</v>
      </c>
      <c r="C1229" s="13" t="n">
        <v>45084</v>
      </c>
      <c r="D1229" s="13" t="n">
        <v>45104</v>
      </c>
      <c r="E1229" s="13" t="n">
        <v>45111</v>
      </c>
      <c r="F1229" s="4" t="n">
        <v>64</v>
      </c>
      <c r="G1229" s="4" t="n">
        <v>62</v>
      </c>
      <c r="H1229" s="4" t="n">
        <v>709.66</v>
      </c>
      <c r="I1229" s="4" t="n">
        <v>715.06</v>
      </c>
      <c r="J1229" s="14" t="n">
        <f aca="false">E1229-D1229</f>
        <v>7</v>
      </c>
      <c r="K1229" s="14" t="n">
        <f aca="false">IF(J1229&lt;=0,1,0)</f>
        <v>0</v>
      </c>
      <c r="L1229" s="15" t="n">
        <f aca="false">IFERROR(G1229/F1229,0)</f>
        <v>0.96875</v>
      </c>
      <c r="M1229" s="15" t="n">
        <f aca="false">IFERROR((I1229-H1229)/H1229,0)</f>
        <v>0.00760927768227035</v>
      </c>
      <c r="N1229" s="16" t="n">
        <f aca="false">G1229*I1229</f>
        <v>44333.72</v>
      </c>
    </row>
    <row r="1230" customFormat="false" ht="15" hidden="false" customHeight="true" outlineLevel="0" collapsed="false">
      <c r="A1230" s="4" t="s">
        <v>1406</v>
      </c>
      <c r="B1230" s="4" t="s">
        <v>121</v>
      </c>
      <c r="C1230" s="13" t="n">
        <v>45527</v>
      </c>
      <c r="D1230" s="13" t="n">
        <v>45536</v>
      </c>
      <c r="E1230" s="13" t="n">
        <v>45541</v>
      </c>
      <c r="F1230" s="4" t="n">
        <v>1486</v>
      </c>
      <c r="G1230" s="4" t="n">
        <v>1366</v>
      </c>
      <c r="H1230" s="4" t="n">
        <v>206.07</v>
      </c>
      <c r="I1230" s="4" t="n">
        <v>230.48</v>
      </c>
      <c r="J1230" s="14" t="n">
        <f aca="false">E1230-D1230</f>
        <v>5</v>
      </c>
      <c r="K1230" s="14" t="n">
        <f aca="false">IF(J1230&lt;=0,1,0)</f>
        <v>0</v>
      </c>
      <c r="L1230" s="15" t="n">
        <f aca="false">IFERROR(G1230/F1230,0)</f>
        <v>0.919246298788695</v>
      </c>
      <c r="M1230" s="15" t="n">
        <f aca="false">IFERROR((I1230-H1230)/H1230,0)</f>
        <v>0.118454893968069</v>
      </c>
      <c r="N1230" s="16" t="n">
        <f aca="false">G1230*I1230</f>
        <v>314835.68</v>
      </c>
    </row>
    <row r="1231" customFormat="false" ht="15" hidden="false" customHeight="true" outlineLevel="0" collapsed="false">
      <c r="A1231" s="4" t="s">
        <v>1407</v>
      </c>
      <c r="B1231" s="4" t="s">
        <v>161</v>
      </c>
      <c r="C1231" s="13" t="n">
        <v>45114</v>
      </c>
      <c r="D1231" s="13" t="n">
        <v>45125</v>
      </c>
      <c r="E1231" s="13" t="n">
        <v>45126</v>
      </c>
      <c r="F1231" s="4" t="n">
        <v>1077</v>
      </c>
      <c r="G1231" s="4" t="n">
        <v>1071</v>
      </c>
      <c r="H1231" s="4" t="n">
        <v>101.94</v>
      </c>
      <c r="I1231" s="4" t="n">
        <v>107.24</v>
      </c>
      <c r="J1231" s="14" t="n">
        <f aca="false">E1231-D1231</f>
        <v>1</v>
      </c>
      <c r="K1231" s="14" t="n">
        <f aca="false">IF(J1231&lt;=0,1,0)</f>
        <v>0</v>
      </c>
      <c r="L1231" s="15" t="n">
        <f aca="false">IFERROR(G1231/F1231,0)</f>
        <v>0.994428969359331</v>
      </c>
      <c r="M1231" s="15" t="n">
        <f aca="false">IFERROR((I1231-H1231)/H1231,0)</f>
        <v>0.0519913674710614</v>
      </c>
      <c r="N1231" s="16" t="n">
        <f aca="false">G1231*I1231</f>
        <v>114854.04</v>
      </c>
    </row>
    <row r="1232" customFormat="false" ht="15" hidden="false" customHeight="true" outlineLevel="0" collapsed="false">
      <c r="A1232" s="4" t="s">
        <v>1408</v>
      </c>
      <c r="B1232" s="4" t="s">
        <v>153</v>
      </c>
      <c r="C1232" s="13" t="n">
        <v>45464</v>
      </c>
      <c r="D1232" s="13" t="n">
        <v>45482</v>
      </c>
      <c r="E1232" s="13" t="n">
        <v>45484</v>
      </c>
      <c r="F1232" s="4" t="n">
        <v>86</v>
      </c>
      <c r="G1232" s="4" t="n">
        <v>79</v>
      </c>
      <c r="H1232" s="4" t="n">
        <v>1492.04</v>
      </c>
      <c r="I1232" s="4" t="n">
        <v>1564.04</v>
      </c>
      <c r="J1232" s="14" t="n">
        <f aca="false">E1232-D1232</f>
        <v>2</v>
      </c>
      <c r="K1232" s="14" t="n">
        <f aca="false">IF(J1232&lt;=0,1,0)</f>
        <v>0</v>
      </c>
      <c r="L1232" s="15" t="n">
        <f aca="false">IFERROR(G1232/F1232,0)</f>
        <v>0.918604651162791</v>
      </c>
      <c r="M1232" s="15" t="n">
        <f aca="false">IFERROR((I1232-H1232)/H1232,0)</f>
        <v>0.048256078925498</v>
      </c>
      <c r="N1232" s="16" t="n">
        <f aca="false">G1232*I1232</f>
        <v>123559.16</v>
      </c>
    </row>
    <row r="1233" customFormat="false" ht="15" hidden="false" customHeight="true" outlineLevel="0" collapsed="false">
      <c r="A1233" s="4" t="s">
        <v>1409</v>
      </c>
      <c r="B1233" s="4" t="s">
        <v>125</v>
      </c>
      <c r="C1233" s="13" t="n">
        <v>45615</v>
      </c>
      <c r="D1233" s="13" t="n">
        <v>45619</v>
      </c>
      <c r="E1233" s="13" t="n">
        <v>45626</v>
      </c>
      <c r="F1233" s="4" t="n">
        <v>10</v>
      </c>
      <c r="G1233" s="4" t="n">
        <v>9</v>
      </c>
      <c r="H1233" s="4" t="n">
        <v>729.32</v>
      </c>
      <c r="I1233" s="4" t="n">
        <v>739.19</v>
      </c>
      <c r="J1233" s="14" t="n">
        <f aca="false">E1233-D1233</f>
        <v>7</v>
      </c>
      <c r="K1233" s="14" t="n">
        <f aca="false">IF(J1233&lt;=0,1,0)</f>
        <v>0</v>
      </c>
      <c r="L1233" s="15" t="n">
        <f aca="false">IFERROR(G1233/F1233,0)</f>
        <v>0.9</v>
      </c>
      <c r="M1233" s="15" t="n">
        <f aca="false">IFERROR((I1233-H1233)/H1233,0)</f>
        <v>0.0135331541710086</v>
      </c>
      <c r="N1233" s="16" t="n">
        <f aca="false">G1233*I1233</f>
        <v>6652.71</v>
      </c>
    </row>
    <row r="1234" customFormat="false" ht="15" hidden="false" customHeight="true" outlineLevel="0" collapsed="false">
      <c r="A1234" s="4" t="s">
        <v>1410</v>
      </c>
      <c r="B1234" s="4" t="s">
        <v>70</v>
      </c>
      <c r="C1234" s="13" t="n">
        <v>45074</v>
      </c>
      <c r="D1234" s="13" t="n">
        <v>45083</v>
      </c>
      <c r="E1234" s="13" t="n">
        <v>45088</v>
      </c>
      <c r="F1234" s="4" t="n">
        <v>2303</v>
      </c>
      <c r="G1234" s="4" t="n">
        <v>2062</v>
      </c>
      <c r="H1234" s="4" t="n">
        <v>35.88</v>
      </c>
      <c r="I1234" s="4" t="n">
        <v>36.07</v>
      </c>
      <c r="J1234" s="14" t="n">
        <f aca="false">E1234-D1234</f>
        <v>5</v>
      </c>
      <c r="K1234" s="14" t="n">
        <f aca="false">IF(J1234&lt;=0,1,0)</f>
        <v>0</v>
      </c>
      <c r="L1234" s="15" t="n">
        <f aca="false">IFERROR(G1234/F1234,0)</f>
        <v>0.895353886235345</v>
      </c>
      <c r="M1234" s="15" t="n">
        <f aca="false">IFERROR((I1234-H1234)/H1234,0)</f>
        <v>0.00529542920847262</v>
      </c>
      <c r="N1234" s="16" t="n">
        <f aca="false">G1234*I1234</f>
        <v>74376.34</v>
      </c>
    </row>
    <row r="1235" customFormat="false" ht="15" hidden="false" customHeight="true" outlineLevel="0" collapsed="false">
      <c r="A1235" s="4" t="s">
        <v>1411</v>
      </c>
      <c r="B1235" s="4" t="s">
        <v>123</v>
      </c>
      <c r="C1235" s="13" t="n">
        <v>45451</v>
      </c>
      <c r="D1235" s="13" t="n">
        <v>45462</v>
      </c>
      <c r="E1235" s="13" t="n">
        <v>45461</v>
      </c>
      <c r="F1235" s="4" t="n">
        <v>179</v>
      </c>
      <c r="G1235" s="4" t="n">
        <v>175</v>
      </c>
      <c r="H1235" s="4" t="n">
        <v>214.07</v>
      </c>
      <c r="I1235" s="4" t="n">
        <v>241.63</v>
      </c>
      <c r="J1235" s="14" t="n">
        <f aca="false">E1235-D1235</f>
        <v>-1</v>
      </c>
      <c r="K1235" s="14" t="n">
        <f aca="false">IF(J1235&lt;=0,1,0)</f>
        <v>1</v>
      </c>
      <c r="L1235" s="15" t="n">
        <f aca="false">IFERROR(G1235/F1235,0)</f>
        <v>0.977653631284916</v>
      </c>
      <c r="M1235" s="15" t="n">
        <f aca="false">IFERROR((I1235-H1235)/H1235,0)</f>
        <v>0.128742934554118</v>
      </c>
      <c r="N1235" s="16" t="n">
        <f aca="false">G1235*I1235</f>
        <v>42285.25</v>
      </c>
    </row>
    <row r="1236" customFormat="false" ht="15" hidden="false" customHeight="true" outlineLevel="0" collapsed="false">
      <c r="A1236" s="4" t="s">
        <v>1412</v>
      </c>
      <c r="B1236" s="4" t="s">
        <v>55</v>
      </c>
      <c r="C1236" s="13" t="n">
        <v>45322</v>
      </c>
      <c r="D1236" s="13" t="n">
        <v>45339</v>
      </c>
      <c r="E1236" s="13" t="n">
        <v>45336</v>
      </c>
      <c r="F1236" s="4" t="n">
        <v>434</v>
      </c>
      <c r="G1236" s="4" t="n">
        <v>407</v>
      </c>
      <c r="H1236" s="4" t="n">
        <v>598.09</v>
      </c>
      <c r="I1236" s="4" t="n">
        <v>571.53</v>
      </c>
      <c r="J1236" s="14" t="n">
        <f aca="false">E1236-D1236</f>
        <v>-3</v>
      </c>
      <c r="K1236" s="14" t="n">
        <f aca="false">IF(J1236&lt;=0,1,0)</f>
        <v>1</v>
      </c>
      <c r="L1236" s="15" t="n">
        <f aca="false">IFERROR(G1236/F1236,0)</f>
        <v>0.93778801843318</v>
      </c>
      <c r="M1236" s="15" t="n">
        <f aca="false">IFERROR((I1236-H1236)/H1236,0)</f>
        <v>-0.0444080322359512</v>
      </c>
      <c r="N1236" s="16" t="n">
        <f aca="false">G1236*I1236</f>
        <v>232612.71</v>
      </c>
    </row>
    <row r="1237" customFormat="false" ht="15" hidden="false" customHeight="true" outlineLevel="0" collapsed="false">
      <c r="A1237" s="4" t="s">
        <v>1413</v>
      </c>
      <c r="B1237" s="4" t="s">
        <v>135</v>
      </c>
      <c r="C1237" s="13" t="n">
        <v>45252</v>
      </c>
      <c r="D1237" s="13" t="n">
        <v>45266</v>
      </c>
      <c r="E1237" s="13" t="n">
        <v>45269</v>
      </c>
      <c r="F1237" s="4" t="n">
        <v>133</v>
      </c>
      <c r="G1237" s="4" t="n">
        <v>132</v>
      </c>
      <c r="H1237" s="4" t="n">
        <v>328.06</v>
      </c>
      <c r="I1237" s="4" t="n">
        <v>325.88</v>
      </c>
      <c r="J1237" s="14" t="n">
        <f aca="false">E1237-D1237</f>
        <v>3</v>
      </c>
      <c r="K1237" s="14" t="n">
        <f aca="false">IF(J1237&lt;=0,1,0)</f>
        <v>0</v>
      </c>
      <c r="L1237" s="15" t="n">
        <f aca="false">IFERROR(G1237/F1237,0)</f>
        <v>0.992481203007519</v>
      </c>
      <c r="M1237" s="15" t="n">
        <f aca="false">IFERROR((I1237-H1237)/H1237,0)</f>
        <v>-0.00664512589160522</v>
      </c>
      <c r="N1237" s="16" t="n">
        <f aca="false">G1237*I1237</f>
        <v>43016.16</v>
      </c>
    </row>
    <row r="1238" customFormat="false" ht="15" hidden="false" customHeight="true" outlineLevel="0" collapsed="false">
      <c r="A1238" s="4" t="s">
        <v>1414</v>
      </c>
      <c r="B1238" s="4" t="s">
        <v>155</v>
      </c>
      <c r="C1238" s="13" t="n">
        <v>45225</v>
      </c>
      <c r="D1238" s="13" t="n">
        <v>45234</v>
      </c>
      <c r="E1238" s="13" t="n">
        <v>45230</v>
      </c>
      <c r="F1238" s="4" t="n">
        <v>871</v>
      </c>
      <c r="G1238" s="4" t="n">
        <v>828</v>
      </c>
      <c r="H1238" s="4" t="n">
        <v>24.04</v>
      </c>
      <c r="I1238" s="4" t="n">
        <v>23.44</v>
      </c>
      <c r="J1238" s="14" t="n">
        <f aca="false">E1238-D1238</f>
        <v>-4</v>
      </c>
      <c r="K1238" s="14" t="n">
        <f aca="false">IF(J1238&lt;=0,1,0)</f>
        <v>1</v>
      </c>
      <c r="L1238" s="15" t="n">
        <f aca="false">IFERROR(G1238/F1238,0)</f>
        <v>0.950631458094145</v>
      </c>
      <c r="M1238" s="15" t="n">
        <f aca="false">IFERROR((I1238-H1238)/H1238,0)</f>
        <v>-0.0249584026622295</v>
      </c>
      <c r="N1238" s="16" t="n">
        <f aca="false">G1238*I1238</f>
        <v>19408.32</v>
      </c>
    </row>
    <row r="1239" customFormat="false" ht="15" hidden="false" customHeight="true" outlineLevel="0" collapsed="false">
      <c r="A1239" s="4" t="s">
        <v>1415</v>
      </c>
      <c r="B1239" s="4" t="s">
        <v>123</v>
      </c>
      <c r="C1239" s="13" t="n">
        <v>45182</v>
      </c>
      <c r="D1239" s="13" t="n">
        <v>45195</v>
      </c>
      <c r="E1239" s="13" t="n">
        <v>45194</v>
      </c>
      <c r="F1239" s="4" t="n">
        <v>74</v>
      </c>
      <c r="G1239" s="4" t="n">
        <v>74</v>
      </c>
      <c r="H1239" s="4" t="n">
        <v>214.07</v>
      </c>
      <c r="I1239" s="4" t="n">
        <v>231.5</v>
      </c>
      <c r="J1239" s="14" t="n">
        <f aca="false">E1239-D1239</f>
        <v>-1</v>
      </c>
      <c r="K1239" s="14" t="n">
        <f aca="false">IF(J1239&lt;=0,1,0)</f>
        <v>1</v>
      </c>
      <c r="L1239" s="15" t="n">
        <f aca="false">IFERROR(G1239/F1239,0)</f>
        <v>1</v>
      </c>
      <c r="M1239" s="15" t="n">
        <f aca="false">IFERROR((I1239-H1239)/H1239,0)</f>
        <v>0.0814219647778764</v>
      </c>
      <c r="N1239" s="16" t="n">
        <f aca="false">G1239*I1239</f>
        <v>17131</v>
      </c>
    </row>
    <row r="1240" customFormat="false" ht="15" hidden="false" customHeight="true" outlineLevel="0" collapsed="false">
      <c r="A1240" s="4" t="s">
        <v>1416</v>
      </c>
      <c r="B1240" s="4" t="s">
        <v>52</v>
      </c>
      <c r="C1240" s="13" t="n">
        <v>45109</v>
      </c>
      <c r="D1240" s="13" t="n">
        <v>45120</v>
      </c>
      <c r="E1240" s="13" t="n">
        <v>45129</v>
      </c>
      <c r="F1240" s="4" t="n">
        <v>1293</v>
      </c>
      <c r="G1240" s="4" t="n">
        <v>1121</v>
      </c>
      <c r="H1240" s="4" t="n">
        <v>170.24</v>
      </c>
      <c r="I1240" s="4" t="n">
        <v>168.49</v>
      </c>
      <c r="J1240" s="14" t="n">
        <f aca="false">E1240-D1240</f>
        <v>9</v>
      </c>
      <c r="K1240" s="14" t="n">
        <f aca="false">IF(J1240&lt;=0,1,0)</f>
        <v>0</v>
      </c>
      <c r="L1240" s="15" t="n">
        <f aca="false">IFERROR(G1240/F1240,0)</f>
        <v>0.866976024748647</v>
      </c>
      <c r="M1240" s="15" t="n">
        <f aca="false">IFERROR((I1240-H1240)/H1240,0)</f>
        <v>-0.0102796052631579</v>
      </c>
      <c r="N1240" s="16" t="n">
        <f aca="false">G1240*I1240</f>
        <v>188877.29</v>
      </c>
    </row>
    <row r="1241" customFormat="false" ht="15" hidden="false" customHeight="true" outlineLevel="0" collapsed="false">
      <c r="A1241" s="4" t="s">
        <v>1417</v>
      </c>
      <c r="B1241" s="4" t="s">
        <v>117</v>
      </c>
      <c r="C1241" s="13" t="n">
        <v>45144</v>
      </c>
      <c r="D1241" s="13" t="n">
        <v>45158</v>
      </c>
      <c r="E1241" s="13" t="n">
        <v>45163</v>
      </c>
      <c r="F1241" s="4" t="n">
        <v>45</v>
      </c>
      <c r="G1241" s="4" t="n">
        <v>43</v>
      </c>
      <c r="H1241" s="4" t="n">
        <v>396.01</v>
      </c>
      <c r="I1241" s="4" t="n">
        <v>396.94</v>
      </c>
      <c r="J1241" s="14" t="n">
        <f aca="false">E1241-D1241</f>
        <v>5</v>
      </c>
      <c r="K1241" s="14" t="n">
        <f aca="false">IF(J1241&lt;=0,1,0)</f>
        <v>0</v>
      </c>
      <c r="L1241" s="15" t="n">
        <f aca="false">IFERROR(G1241/F1241,0)</f>
        <v>0.955555555555556</v>
      </c>
      <c r="M1241" s="15" t="n">
        <f aca="false">IFERROR((I1241-H1241)/H1241,0)</f>
        <v>0.00234842554480949</v>
      </c>
      <c r="N1241" s="16" t="n">
        <f aca="false">G1241*I1241</f>
        <v>17068.42</v>
      </c>
    </row>
    <row r="1242" customFormat="false" ht="15" hidden="false" customHeight="true" outlineLevel="0" collapsed="false">
      <c r="A1242" s="4" t="s">
        <v>1418</v>
      </c>
      <c r="B1242" s="4" t="s">
        <v>83</v>
      </c>
      <c r="C1242" s="13" t="n">
        <v>45498</v>
      </c>
      <c r="D1242" s="13" t="n">
        <v>45510</v>
      </c>
      <c r="E1242" s="13" t="n">
        <v>45513</v>
      </c>
      <c r="F1242" s="4" t="n">
        <v>858</v>
      </c>
      <c r="G1242" s="4" t="n">
        <v>824</v>
      </c>
      <c r="H1242" s="4" t="n">
        <v>101.36</v>
      </c>
      <c r="I1242" s="4" t="n">
        <v>104.36</v>
      </c>
      <c r="J1242" s="14" t="n">
        <f aca="false">E1242-D1242</f>
        <v>3</v>
      </c>
      <c r="K1242" s="14" t="n">
        <f aca="false">IF(J1242&lt;=0,1,0)</f>
        <v>0</v>
      </c>
      <c r="L1242" s="15" t="n">
        <f aca="false">IFERROR(G1242/F1242,0)</f>
        <v>0.96037296037296</v>
      </c>
      <c r="M1242" s="15" t="n">
        <f aca="false">IFERROR((I1242-H1242)/H1242,0)</f>
        <v>0.0295974743488556</v>
      </c>
      <c r="N1242" s="16" t="n">
        <f aca="false">G1242*I1242</f>
        <v>85992.64</v>
      </c>
    </row>
    <row r="1243" customFormat="false" ht="15" hidden="false" customHeight="true" outlineLevel="0" collapsed="false">
      <c r="A1243" s="4" t="s">
        <v>1419</v>
      </c>
      <c r="B1243" s="4" t="s">
        <v>153</v>
      </c>
      <c r="C1243" s="13" t="n">
        <v>45035</v>
      </c>
      <c r="D1243" s="13" t="n">
        <v>45055</v>
      </c>
      <c r="E1243" s="13" t="n">
        <v>45057</v>
      </c>
      <c r="F1243" s="4" t="n">
        <v>52</v>
      </c>
      <c r="G1243" s="4" t="n">
        <v>48</v>
      </c>
      <c r="H1243" s="4" t="n">
        <v>1492.04</v>
      </c>
      <c r="I1243" s="4" t="n">
        <v>1508.44</v>
      </c>
      <c r="J1243" s="14" t="n">
        <f aca="false">E1243-D1243</f>
        <v>2</v>
      </c>
      <c r="K1243" s="14" t="n">
        <f aca="false">IF(J1243&lt;=0,1,0)</f>
        <v>0</v>
      </c>
      <c r="L1243" s="15" t="n">
        <f aca="false">IFERROR(G1243/F1243,0)</f>
        <v>0.923076923076923</v>
      </c>
      <c r="M1243" s="15" t="n">
        <f aca="false">IFERROR((I1243-H1243)/H1243,0)</f>
        <v>0.010991662421919</v>
      </c>
      <c r="N1243" s="16" t="n">
        <f aca="false">G1243*I1243</f>
        <v>72405.12</v>
      </c>
    </row>
    <row r="1244" customFormat="false" ht="15" hidden="false" customHeight="true" outlineLevel="0" collapsed="false">
      <c r="A1244" s="4" t="s">
        <v>1420</v>
      </c>
      <c r="B1244" s="4" t="s">
        <v>155</v>
      </c>
      <c r="C1244" s="13" t="n">
        <v>45069</v>
      </c>
      <c r="D1244" s="13" t="n">
        <v>45078</v>
      </c>
      <c r="E1244" s="13" t="n">
        <v>45077</v>
      </c>
      <c r="F1244" s="4" t="n">
        <v>1069</v>
      </c>
      <c r="G1244" s="4" t="n">
        <v>1027</v>
      </c>
      <c r="H1244" s="4" t="n">
        <v>24.04</v>
      </c>
      <c r="I1244" s="4" t="n">
        <v>23.55</v>
      </c>
      <c r="J1244" s="14" t="n">
        <f aca="false">E1244-D1244</f>
        <v>-1</v>
      </c>
      <c r="K1244" s="14" t="n">
        <f aca="false">IF(J1244&lt;=0,1,0)</f>
        <v>1</v>
      </c>
      <c r="L1244" s="15" t="n">
        <f aca="false">IFERROR(G1244/F1244,0)</f>
        <v>0.960710944808232</v>
      </c>
      <c r="M1244" s="15" t="n">
        <f aca="false">IFERROR((I1244-H1244)/H1244,0)</f>
        <v>-0.0203826955074875</v>
      </c>
      <c r="N1244" s="16" t="n">
        <f aca="false">G1244*I1244</f>
        <v>24185.85</v>
      </c>
    </row>
    <row r="1245" customFormat="false" ht="15" hidden="false" customHeight="true" outlineLevel="0" collapsed="false">
      <c r="A1245" s="4" t="s">
        <v>1421</v>
      </c>
      <c r="B1245" s="4" t="s">
        <v>117</v>
      </c>
      <c r="C1245" s="13" t="n">
        <v>45454</v>
      </c>
      <c r="D1245" s="13" t="n">
        <v>45468</v>
      </c>
      <c r="E1245" s="13" t="n">
        <v>45473</v>
      </c>
      <c r="F1245" s="4" t="n">
        <v>237</v>
      </c>
      <c r="G1245" s="4" t="n">
        <v>221</v>
      </c>
      <c r="H1245" s="4" t="n">
        <v>396.01</v>
      </c>
      <c r="I1245" s="4" t="n">
        <v>392.57</v>
      </c>
      <c r="J1245" s="14" t="n">
        <f aca="false">E1245-D1245</f>
        <v>5</v>
      </c>
      <c r="K1245" s="14" t="n">
        <f aca="false">IF(J1245&lt;=0,1,0)</f>
        <v>0</v>
      </c>
      <c r="L1245" s="15" t="n">
        <f aca="false">IFERROR(G1245/F1245,0)</f>
        <v>0.932489451476793</v>
      </c>
      <c r="M1245" s="15" t="n">
        <f aca="false">IFERROR((I1245-H1245)/H1245,0)</f>
        <v>-0.00868664932703719</v>
      </c>
      <c r="N1245" s="16" t="n">
        <f aca="false">G1245*I1245</f>
        <v>86757.97</v>
      </c>
    </row>
    <row r="1246" customFormat="false" ht="15" hidden="false" customHeight="true" outlineLevel="0" collapsed="false">
      <c r="A1246" s="4" t="s">
        <v>1422</v>
      </c>
      <c r="B1246" s="4" t="s">
        <v>133</v>
      </c>
      <c r="C1246" s="13" t="n">
        <v>45444</v>
      </c>
      <c r="D1246" s="13" t="n">
        <v>45454</v>
      </c>
      <c r="E1246" s="13" t="n">
        <v>45457</v>
      </c>
      <c r="F1246" s="4" t="n">
        <v>1618</v>
      </c>
      <c r="G1246" s="4" t="n">
        <v>1581</v>
      </c>
      <c r="H1246" s="4" t="n">
        <v>138.21</v>
      </c>
      <c r="I1246" s="4" t="n">
        <v>138.29</v>
      </c>
      <c r="J1246" s="14" t="n">
        <f aca="false">E1246-D1246</f>
        <v>3</v>
      </c>
      <c r="K1246" s="14" t="n">
        <f aca="false">IF(J1246&lt;=0,1,0)</f>
        <v>0</v>
      </c>
      <c r="L1246" s="15" t="n">
        <f aca="false">IFERROR(G1246/F1246,0)</f>
        <v>0.977132262051916</v>
      </c>
      <c r="M1246" s="15" t="n">
        <f aca="false">IFERROR((I1246-H1246)/H1246,0)</f>
        <v>0.000578829317704827</v>
      </c>
      <c r="N1246" s="16" t="n">
        <f aca="false">G1246*I1246</f>
        <v>218636.49</v>
      </c>
    </row>
    <row r="1247" customFormat="false" ht="15" hidden="false" customHeight="true" outlineLevel="0" collapsed="false">
      <c r="A1247" s="4" t="s">
        <v>1423</v>
      </c>
      <c r="B1247" s="4" t="s">
        <v>32</v>
      </c>
      <c r="C1247" s="13" t="n">
        <v>45284</v>
      </c>
      <c r="D1247" s="13" t="n">
        <v>45292</v>
      </c>
      <c r="E1247" s="13" t="n">
        <v>45291</v>
      </c>
      <c r="F1247" s="4" t="n">
        <v>3062</v>
      </c>
      <c r="G1247" s="4" t="n">
        <v>2844</v>
      </c>
      <c r="H1247" s="4" t="n">
        <v>32.49</v>
      </c>
      <c r="I1247" s="4" t="n">
        <v>32.82</v>
      </c>
      <c r="J1247" s="14" t="n">
        <f aca="false">E1247-D1247</f>
        <v>-1</v>
      </c>
      <c r="K1247" s="14" t="n">
        <f aca="false">IF(J1247&lt;=0,1,0)</f>
        <v>1</v>
      </c>
      <c r="L1247" s="15" t="n">
        <f aca="false">IFERROR(G1247/F1247,0)</f>
        <v>0.928804702808622</v>
      </c>
      <c r="M1247" s="15" t="n">
        <f aca="false">IFERROR((I1247-H1247)/H1247,0)</f>
        <v>0.0101569713758079</v>
      </c>
      <c r="N1247" s="16" t="n">
        <f aca="false">G1247*I1247</f>
        <v>93340.08</v>
      </c>
    </row>
    <row r="1248" customFormat="false" ht="15" hidden="false" customHeight="true" outlineLevel="0" collapsed="false">
      <c r="A1248" s="4" t="s">
        <v>1424</v>
      </c>
      <c r="B1248" s="4" t="s">
        <v>41</v>
      </c>
      <c r="C1248" s="13" t="n">
        <v>45067</v>
      </c>
      <c r="D1248" s="13" t="n">
        <v>45076</v>
      </c>
      <c r="E1248" s="13" t="n">
        <v>45076</v>
      </c>
      <c r="F1248" s="4" t="n">
        <v>2422</v>
      </c>
      <c r="G1248" s="4" t="n">
        <v>2405</v>
      </c>
      <c r="H1248" s="4" t="n">
        <v>45.51</v>
      </c>
      <c r="I1248" s="4" t="n">
        <v>44.09</v>
      </c>
      <c r="J1248" s="14" t="n">
        <f aca="false">E1248-D1248</f>
        <v>0</v>
      </c>
      <c r="K1248" s="14" t="n">
        <f aca="false">IF(J1248&lt;=0,1,0)</f>
        <v>1</v>
      </c>
      <c r="L1248" s="15" t="n">
        <f aca="false">IFERROR(G1248/F1248,0)</f>
        <v>0.992981007431875</v>
      </c>
      <c r="M1248" s="15" t="n">
        <f aca="false">IFERROR((I1248-H1248)/H1248,0)</f>
        <v>-0.0312019336409579</v>
      </c>
      <c r="N1248" s="16" t="n">
        <f aca="false">G1248*I1248</f>
        <v>106036.45</v>
      </c>
    </row>
    <row r="1249" customFormat="false" ht="15" hidden="false" customHeight="true" outlineLevel="0" collapsed="false">
      <c r="A1249" s="4" t="s">
        <v>1425</v>
      </c>
      <c r="B1249" s="4" t="s">
        <v>52</v>
      </c>
      <c r="C1249" s="13" t="n">
        <v>45460</v>
      </c>
      <c r="D1249" s="13" t="n">
        <v>45470</v>
      </c>
      <c r="E1249" s="13" t="n">
        <v>45480</v>
      </c>
      <c r="F1249" s="4" t="n">
        <v>1906</v>
      </c>
      <c r="G1249" s="4" t="n">
        <v>1678</v>
      </c>
      <c r="H1249" s="4" t="n">
        <v>170.24</v>
      </c>
      <c r="I1249" s="4" t="n">
        <v>175.37</v>
      </c>
      <c r="J1249" s="14" t="n">
        <f aca="false">E1249-D1249</f>
        <v>10</v>
      </c>
      <c r="K1249" s="14" t="n">
        <f aca="false">IF(J1249&lt;=0,1,0)</f>
        <v>0</v>
      </c>
      <c r="L1249" s="15" t="n">
        <f aca="false">IFERROR(G1249/F1249,0)</f>
        <v>0.880377754459601</v>
      </c>
      <c r="M1249" s="15" t="n">
        <f aca="false">IFERROR((I1249-H1249)/H1249,0)</f>
        <v>0.0301339285714285</v>
      </c>
      <c r="N1249" s="16" t="n">
        <f aca="false">G1249*I1249</f>
        <v>294270.86</v>
      </c>
    </row>
    <row r="1250" customFormat="false" ht="15" hidden="false" customHeight="true" outlineLevel="0" collapsed="false">
      <c r="A1250" s="4" t="s">
        <v>1426</v>
      </c>
      <c r="B1250" s="4" t="s">
        <v>47</v>
      </c>
      <c r="C1250" s="13" t="n">
        <v>45360</v>
      </c>
      <c r="D1250" s="13" t="n">
        <v>45371</v>
      </c>
      <c r="E1250" s="13" t="n">
        <v>45371</v>
      </c>
      <c r="F1250" s="4" t="n">
        <v>819</v>
      </c>
      <c r="G1250" s="4" t="n">
        <v>811</v>
      </c>
      <c r="H1250" s="4" t="n">
        <v>228.68</v>
      </c>
      <c r="I1250" s="4" t="n">
        <v>228.38</v>
      </c>
      <c r="J1250" s="14" t="n">
        <f aca="false">E1250-D1250</f>
        <v>0</v>
      </c>
      <c r="K1250" s="14" t="n">
        <f aca="false">IF(J1250&lt;=0,1,0)</f>
        <v>1</v>
      </c>
      <c r="L1250" s="15" t="n">
        <f aca="false">IFERROR(G1250/F1250,0)</f>
        <v>0.99023199023199</v>
      </c>
      <c r="M1250" s="15" t="n">
        <f aca="false">IFERROR((I1250-H1250)/H1250,0)</f>
        <v>-0.00131187685849227</v>
      </c>
      <c r="N1250" s="16" t="n">
        <f aca="false">G1250*I1250</f>
        <v>185216.18</v>
      </c>
    </row>
    <row r="1251" customFormat="false" ht="15" hidden="false" customHeight="true" outlineLevel="0" collapsed="false">
      <c r="A1251" s="4" t="s">
        <v>1427</v>
      </c>
      <c r="B1251" s="4" t="s">
        <v>63</v>
      </c>
      <c r="C1251" s="13" t="n">
        <v>45228</v>
      </c>
      <c r="D1251" s="13" t="n">
        <v>45237</v>
      </c>
      <c r="E1251" s="13" t="n">
        <v>45246</v>
      </c>
      <c r="F1251" s="4" t="n">
        <v>1683</v>
      </c>
      <c r="G1251" s="4" t="n">
        <v>1579</v>
      </c>
      <c r="H1251" s="4" t="n">
        <v>239.8</v>
      </c>
      <c r="I1251" s="4" t="n">
        <v>246.7</v>
      </c>
      <c r="J1251" s="14" t="n">
        <f aca="false">E1251-D1251</f>
        <v>9</v>
      </c>
      <c r="K1251" s="14" t="n">
        <f aca="false">IF(J1251&lt;=0,1,0)</f>
        <v>0</v>
      </c>
      <c r="L1251" s="15" t="n">
        <f aca="false">IFERROR(G1251/F1251,0)</f>
        <v>0.938205585264409</v>
      </c>
      <c r="M1251" s="15" t="n">
        <f aca="false">IFERROR((I1251-H1251)/H1251,0)</f>
        <v>0.0287739783152626</v>
      </c>
      <c r="N1251" s="16" t="n">
        <f aca="false">G1251*I1251</f>
        <v>389539.3</v>
      </c>
    </row>
    <row r="1252" customFormat="false" ht="15" hidden="false" customHeight="true" outlineLevel="0" collapsed="false">
      <c r="A1252" s="4" t="s">
        <v>1428</v>
      </c>
      <c r="B1252" s="4" t="s">
        <v>55</v>
      </c>
      <c r="C1252" s="13" t="n">
        <v>45265</v>
      </c>
      <c r="D1252" s="13" t="n">
        <v>45284</v>
      </c>
      <c r="E1252" s="13" t="n">
        <v>45282</v>
      </c>
      <c r="F1252" s="4" t="n">
        <v>385</v>
      </c>
      <c r="G1252" s="4" t="n">
        <v>370</v>
      </c>
      <c r="H1252" s="4" t="n">
        <v>598.09</v>
      </c>
      <c r="I1252" s="4" t="n">
        <v>580.2</v>
      </c>
      <c r="J1252" s="14" t="n">
        <f aca="false">E1252-D1252</f>
        <v>-2</v>
      </c>
      <c r="K1252" s="14" t="n">
        <f aca="false">IF(J1252&lt;=0,1,0)</f>
        <v>1</v>
      </c>
      <c r="L1252" s="15" t="n">
        <f aca="false">IFERROR(G1252/F1252,0)</f>
        <v>0.961038961038961</v>
      </c>
      <c r="M1252" s="15" t="n">
        <f aca="false">IFERROR((I1252-H1252)/H1252,0)</f>
        <v>-0.0299118861709776</v>
      </c>
      <c r="N1252" s="16" t="n">
        <f aca="false">G1252*I1252</f>
        <v>214674</v>
      </c>
    </row>
    <row r="1253" customFormat="false" ht="15" hidden="false" customHeight="true" outlineLevel="0" collapsed="false">
      <c r="A1253" s="4" t="s">
        <v>1429</v>
      </c>
      <c r="B1253" s="4" t="s">
        <v>79</v>
      </c>
      <c r="C1253" s="13" t="n">
        <v>45432</v>
      </c>
      <c r="D1253" s="13" t="n">
        <v>45451</v>
      </c>
      <c r="E1253" s="13" t="n">
        <v>45454</v>
      </c>
      <c r="F1253" s="4" t="n">
        <v>200</v>
      </c>
      <c r="G1253" s="4" t="n">
        <v>191</v>
      </c>
      <c r="H1253" s="4" t="n">
        <v>821.48</v>
      </c>
      <c r="I1253" s="4" t="n">
        <v>856.59</v>
      </c>
      <c r="J1253" s="14" t="n">
        <f aca="false">E1253-D1253</f>
        <v>3</v>
      </c>
      <c r="K1253" s="14" t="n">
        <f aca="false">IF(J1253&lt;=0,1,0)</f>
        <v>0</v>
      </c>
      <c r="L1253" s="15" t="n">
        <f aca="false">IFERROR(G1253/F1253,0)</f>
        <v>0.955</v>
      </c>
      <c r="M1253" s="15" t="n">
        <f aca="false">IFERROR((I1253-H1253)/H1253,0)</f>
        <v>0.0427399328042071</v>
      </c>
      <c r="N1253" s="16" t="n">
        <f aca="false">G1253*I1253</f>
        <v>163608.69</v>
      </c>
    </row>
    <row r="1254" customFormat="false" ht="15" hidden="false" customHeight="true" outlineLevel="0" collapsed="false">
      <c r="A1254" s="4" t="s">
        <v>1430</v>
      </c>
      <c r="B1254" s="4" t="s">
        <v>95</v>
      </c>
      <c r="C1254" s="13" t="n">
        <v>45205</v>
      </c>
      <c r="D1254" s="13" t="n">
        <v>45211</v>
      </c>
      <c r="E1254" s="13" t="n">
        <v>45206</v>
      </c>
      <c r="F1254" s="4" t="n">
        <v>4228</v>
      </c>
      <c r="G1254" s="4" t="n">
        <v>4228</v>
      </c>
      <c r="H1254" s="4" t="n">
        <v>20.39</v>
      </c>
      <c r="I1254" s="4" t="n">
        <v>21.11</v>
      </c>
      <c r="J1254" s="14" t="n">
        <f aca="false">E1254-D1254</f>
        <v>-5</v>
      </c>
      <c r="K1254" s="14" t="n">
        <f aca="false">IF(J1254&lt;=0,1,0)</f>
        <v>1</v>
      </c>
      <c r="L1254" s="15" t="n">
        <f aca="false">IFERROR(G1254/F1254,0)</f>
        <v>1</v>
      </c>
      <c r="M1254" s="15" t="n">
        <f aca="false">IFERROR((I1254-H1254)/H1254,0)</f>
        <v>0.0353114271701814</v>
      </c>
      <c r="N1254" s="16" t="n">
        <f aca="false">G1254*I1254</f>
        <v>89253.08</v>
      </c>
    </row>
    <row r="1255" customFormat="false" ht="15" hidden="false" customHeight="true" outlineLevel="0" collapsed="false">
      <c r="A1255" s="4" t="s">
        <v>1431</v>
      </c>
      <c r="B1255" s="4" t="s">
        <v>93</v>
      </c>
      <c r="C1255" s="13" t="n">
        <v>45301</v>
      </c>
      <c r="D1255" s="13" t="n">
        <v>45312</v>
      </c>
      <c r="E1255" s="13" t="n">
        <v>45314</v>
      </c>
      <c r="F1255" s="4" t="n">
        <v>474</v>
      </c>
      <c r="G1255" s="4" t="n">
        <v>464</v>
      </c>
      <c r="H1255" s="4" t="n">
        <v>174.25</v>
      </c>
      <c r="I1255" s="4" t="n">
        <v>179.72</v>
      </c>
      <c r="J1255" s="14" t="n">
        <f aca="false">E1255-D1255</f>
        <v>2</v>
      </c>
      <c r="K1255" s="14" t="n">
        <f aca="false">IF(J1255&lt;=0,1,0)</f>
        <v>0</v>
      </c>
      <c r="L1255" s="15" t="n">
        <f aca="false">IFERROR(G1255/F1255,0)</f>
        <v>0.978902953586498</v>
      </c>
      <c r="M1255" s="15" t="n">
        <f aca="false">IFERROR((I1255-H1255)/H1255,0)</f>
        <v>0.0313916786226686</v>
      </c>
      <c r="N1255" s="16" t="n">
        <f aca="false">G1255*I1255</f>
        <v>83390.08</v>
      </c>
    </row>
    <row r="1256" customFormat="false" ht="15" hidden="false" customHeight="true" outlineLevel="0" collapsed="false">
      <c r="A1256" s="4" t="s">
        <v>1432</v>
      </c>
      <c r="B1256" s="4" t="s">
        <v>37</v>
      </c>
      <c r="C1256" s="13" t="n">
        <v>45514</v>
      </c>
      <c r="D1256" s="13" t="n">
        <v>45523</v>
      </c>
      <c r="E1256" s="13" t="n">
        <v>45521</v>
      </c>
      <c r="F1256" s="4" t="n">
        <v>4705</v>
      </c>
      <c r="G1256" s="4" t="n">
        <v>4499</v>
      </c>
      <c r="H1256" s="4" t="n">
        <v>22.26</v>
      </c>
      <c r="I1256" s="4" t="n">
        <v>21.32</v>
      </c>
      <c r="J1256" s="14" t="n">
        <f aca="false">E1256-D1256</f>
        <v>-2</v>
      </c>
      <c r="K1256" s="14" t="n">
        <f aca="false">IF(J1256&lt;=0,1,0)</f>
        <v>1</v>
      </c>
      <c r="L1256" s="15" t="n">
        <f aca="false">IFERROR(G1256/F1256,0)</f>
        <v>0.956216790648247</v>
      </c>
      <c r="M1256" s="15" t="n">
        <f aca="false">IFERROR((I1256-H1256)/H1256,0)</f>
        <v>-0.0422282120395329</v>
      </c>
      <c r="N1256" s="16" t="n">
        <f aca="false">G1256*I1256</f>
        <v>95918.68</v>
      </c>
    </row>
    <row r="1257" customFormat="false" ht="15" hidden="false" customHeight="true" outlineLevel="0" collapsed="false">
      <c r="A1257" s="4" t="s">
        <v>1433</v>
      </c>
      <c r="B1257" s="4" t="s">
        <v>50</v>
      </c>
      <c r="C1257" s="13" t="n">
        <v>45213</v>
      </c>
      <c r="D1257" s="13" t="n">
        <v>45230</v>
      </c>
      <c r="E1257" s="13" t="n">
        <v>45226</v>
      </c>
      <c r="F1257" s="4" t="n">
        <v>67</v>
      </c>
      <c r="G1257" s="4" t="n">
        <v>64</v>
      </c>
      <c r="H1257" s="4" t="n">
        <v>707.19</v>
      </c>
      <c r="I1257" s="4" t="n">
        <v>736.8</v>
      </c>
      <c r="J1257" s="14" t="n">
        <f aca="false">E1257-D1257</f>
        <v>-4</v>
      </c>
      <c r="K1257" s="14" t="n">
        <f aca="false">IF(J1257&lt;=0,1,0)</f>
        <v>1</v>
      </c>
      <c r="L1257" s="15" t="n">
        <f aca="false">IFERROR(G1257/F1257,0)</f>
        <v>0.955223880597015</v>
      </c>
      <c r="M1257" s="15" t="n">
        <f aca="false">IFERROR((I1257-H1257)/H1257,0)</f>
        <v>0.0418699359436642</v>
      </c>
      <c r="N1257" s="16" t="n">
        <f aca="false">G1257*I1257</f>
        <v>47155.2</v>
      </c>
    </row>
    <row r="1258" customFormat="false" ht="15" hidden="false" customHeight="true" outlineLevel="0" collapsed="false">
      <c r="A1258" s="4" t="s">
        <v>1434</v>
      </c>
      <c r="B1258" s="4" t="s">
        <v>149</v>
      </c>
      <c r="C1258" s="13" t="n">
        <v>45567</v>
      </c>
      <c r="D1258" s="13" t="n">
        <v>45571</v>
      </c>
      <c r="E1258" s="13" t="n">
        <v>45570</v>
      </c>
      <c r="F1258" s="4" t="n">
        <v>12</v>
      </c>
      <c r="G1258" s="4" t="n">
        <v>12</v>
      </c>
      <c r="H1258" s="4" t="n">
        <v>1458.52</v>
      </c>
      <c r="I1258" s="4" t="n">
        <v>1481.11</v>
      </c>
      <c r="J1258" s="14" t="n">
        <f aca="false">E1258-D1258</f>
        <v>-1</v>
      </c>
      <c r="K1258" s="14" t="n">
        <f aca="false">IF(J1258&lt;=0,1,0)</f>
        <v>1</v>
      </c>
      <c r="L1258" s="15" t="n">
        <f aca="false">IFERROR(G1258/F1258,0)</f>
        <v>1</v>
      </c>
      <c r="M1258" s="15" t="n">
        <f aca="false">IFERROR((I1258-H1258)/H1258,0)</f>
        <v>0.0154883032114746</v>
      </c>
      <c r="N1258" s="16" t="n">
        <f aca="false">G1258*I1258</f>
        <v>17773.32</v>
      </c>
    </row>
    <row r="1259" customFormat="false" ht="15" hidden="false" customHeight="true" outlineLevel="0" collapsed="false">
      <c r="A1259" s="4" t="s">
        <v>1435</v>
      </c>
      <c r="B1259" s="4" t="s">
        <v>61</v>
      </c>
      <c r="C1259" s="13" t="n">
        <v>45175</v>
      </c>
      <c r="D1259" s="13" t="n">
        <v>45185</v>
      </c>
      <c r="E1259" s="13" t="n">
        <v>45193</v>
      </c>
      <c r="F1259" s="4" t="n">
        <v>1840</v>
      </c>
      <c r="G1259" s="4" t="n">
        <v>1840</v>
      </c>
      <c r="H1259" s="4" t="n">
        <v>107.41</v>
      </c>
      <c r="I1259" s="4" t="n">
        <v>107.21</v>
      </c>
      <c r="J1259" s="14" t="n">
        <f aca="false">E1259-D1259</f>
        <v>8</v>
      </c>
      <c r="K1259" s="14" t="n">
        <f aca="false">IF(J1259&lt;=0,1,0)</f>
        <v>0</v>
      </c>
      <c r="L1259" s="15" t="n">
        <f aca="false">IFERROR(G1259/F1259,0)</f>
        <v>1</v>
      </c>
      <c r="M1259" s="15" t="n">
        <f aca="false">IFERROR((I1259-H1259)/H1259,0)</f>
        <v>-0.00186202402010989</v>
      </c>
      <c r="N1259" s="16" t="n">
        <f aca="false">G1259*I1259</f>
        <v>197266.4</v>
      </c>
    </row>
    <row r="1260" customFormat="false" ht="15" hidden="false" customHeight="true" outlineLevel="0" collapsed="false">
      <c r="A1260" s="4" t="s">
        <v>1436</v>
      </c>
      <c r="B1260" s="4" t="s">
        <v>89</v>
      </c>
      <c r="C1260" s="13" t="n">
        <v>45375</v>
      </c>
      <c r="D1260" s="13" t="n">
        <v>45380</v>
      </c>
      <c r="E1260" s="13" t="n">
        <v>45377</v>
      </c>
      <c r="F1260" s="4" t="n">
        <v>11</v>
      </c>
      <c r="G1260" s="4" t="n">
        <v>10</v>
      </c>
      <c r="H1260" s="4" t="n">
        <v>1929.81</v>
      </c>
      <c r="I1260" s="4" t="n">
        <v>1910.92</v>
      </c>
      <c r="J1260" s="14" t="n">
        <f aca="false">E1260-D1260</f>
        <v>-3</v>
      </c>
      <c r="K1260" s="14" t="n">
        <f aca="false">IF(J1260&lt;=0,1,0)</f>
        <v>1</v>
      </c>
      <c r="L1260" s="15" t="n">
        <f aca="false">IFERROR(G1260/F1260,0)</f>
        <v>0.909090909090909</v>
      </c>
      <c r="M1260" s="15" t="n">
        <f aca="false">IFERROR((I1260-H1260)/H1260,0)</f>
        <v>-0.00978852840435062</v>
      </c>
      <c r="N1260" s="16" t="n">
        <f aca="false">G1260*I1260</f>
        <v>19109.2</v>
      </c>
    </row>
    <row r="1261" customFormat="false" ht="15" hidden="false" customHeight="true" outlineLevel="0" collapsed="false">
      <c r="A1261" s="4" t="s">
        <v>1437</v>
      </c>
      <c r="B1261" s="4" t="s">
        <v>83</v>
      </c>
      <c r="C1261" s="13" t="n">
        <v>45137</v>
      </c>
      <c r="D1261" s="13" t="n">
        <v>45148</v>
      </c>
      <c r="E1261" s="13" t="n">
        <v>45151</v>
      </c>
      <c r="F1261" s="4" t="n">
        <v>1203</v>
      </c>
      <c r="G1261" s="4" t="n">
        <v>1200</v>
      </c>
      <c r="H1261" s="4" t="n">
        <v>101.36</v>
      </c>
      <c r="I1261" s="4" t="n">
        <v>103.8</v>
      </c>
      <c r="J1261" s="14" t="n">
        <f aca="false">E1261-D1261</f>
        <v>3</v>
      </c>
      <c r="K1261" s="14" t="n">
        <f aca="false">IF(J1261&lt;=0,1,0)</f>
        <v>0</v>
      </c>
      <c r="L1261" s="15" t="n">
        <f aca="false">IFERROR(G1261/F1261,0)</f>
        <v>0.997506234413965</v>
      </c>
      <c r="M1261" s="15" t="n">
        <f aca="false">IFERROR((I1261-H1261)/H1261,0)</f>
        <v>0.0240726124704025</v>
      </c>
      <c r="N1261" s="16" t="n">
        <f aca="false">G1261*I1261</f>
        <v>124560</v>
      </c>
    </row>
    <row r="1262" customFormat="false" ht="15" hidden="false" customHeight="true" outlineLevel="0" collapsed="false">
      <c r="A1262" s="4" t="s">
        <v>1438</v>
      </c>
      <c r="B1262" s="4" t="s">
        <v>83</v>
      </c>
      <c r="C1262" s="13" t="n">
        <v>45177</v>
      </c>
      <c r="D1262" s="13" t="n">
        <v>45186</v>
      </c>
      <c r="E1262" s="13" t="n">
        <v>45187</v>
      </c>
      <c r="F1262" s="4" t="n">
        <v>1326</v>
      </c>
      <c r="G1262" s="4" t="n">
        <v>1294</v>
      </c>
      <c r="H1262" s="4" t="n">
        <v>101.36</v>
      </c>
      <c r="I1262" s="4" t="n">
        <v>101.94</v>
      </c>
      <c r="J1262" s="14" t="n">
        <f aca="false">E1262-D1262</f>
        <v>1</v>
      </c>
      <c r="K1262" s="14" t="n">
        <f aca="false">IF(J1262&lt;=0,1,0)</f>
        <v>0</v>
      </c>
      <c r="L1262" s="15" t="n">
        <f aca="false">IFERROR(G1262/F1262,0)</f>
        <v>0.975867269984917</v>
      </c>
      <c r="M1262" s="15" t="n">
        <f aca="false">IFERROR((I1262-H1262)/H1262,0)</f>
        <v>0.00572217837411206</v>
      </c>
      <c r="N1262" s="16" t="n">
        <f aca="false">G1262*I1262</f>
        <v>131910.36</v>
      </c>
    </row>
    <row r="1263" customFormat="false" ht="15" hidden="false" customHeight="true" outlineLevel="0" collapsed="false">
      <c r="A1263" s="4" t="s">
        <v>1439</v>
      </c>
      <c r="B1263" s="4" t="s">
        <v>103</v>
      </c>
      <c r="C1263" s="13" t="n">
        <v>45445</v>
      </c>
      <c r="D1263" s="13" t="n">
        <v>45465</v>
      </c>
      <c r="E1263" s="13" t="n">
        <v>45465</v>
      </c>
      <c r="F1263" s="4" t="n">
        <v>400</v>
      </c>
      <c r="G1263" s="4" t="n">
        <v>397</v>
      </c>
      <c r="H1263" s="4" t="n">
        <v>1400.22</v>
      </c>
      <c r="I1263" s="4" t="n">
        <v>1435.42</v>
      </c>
      <c r="J1263" s="14" t="n">
        <f aca="false">E1263-D1263</f>
        <v>0</v>
      </c>
      <c r="K1263" s="14" t="n">
        <f aca="false">IF(J1263&lt;=0,1,0)</f>
        <v>1</v>
      </c>
      <c r="L1263" s="15" t="n">
        <f aca="false">IFERROR(G1263/F1263,0)</f>
        <v>0.9925</v>
      </c>
      <c r="M1263" s="15" t="n">
        <f aca="false">IFERROR((I1263-H1263)/H1263,0)</f>
        <v>0.0251389067432261</v>
      </c>
      <c r="N1263" s="16" t="n">
        <f aca="false">G1263*I1263</f>
        <v>569861.74</v>
      </c>
    </row>
    <row r="1264" customFormat="false" ht="15" hidden="false" customHeight="true" outlineLevel="0" collapsed="false">
      <c r="A1264" s="4" t="s">
        <v>1440</v>
      </c>
      <c r="B1264" s="4" t="s">
        <v>77</v>
      </c>
      <c r="C1264" s="13" t="n">
        <v>45388</v>
      </c>
      <c r="D1264" s="13" t="n">
        <v>45396</v>
      </c>
      <c r="E1264" s="13" t="n">
        <v>45411</v>
      </c>
      <c r="F1264" s="4" t="n">
        <v>4434</v>
      </c>
      <c r="G1264" s="4" t="n">
        <v>4371</v>
      </c>
      <c r="H1264" s="4" t="n">
        <v>36.83</v>
      </c>
      <c r="I1264" s="4" t="n">
        <v>35.39</v>
      </c>
      <c r="J1264" s="14" t="n">
        <f aca="false">E1264-D1264</f>
        <v>15</v>
      </c>
      <c r="K1264" s="14" t="n">
        <f aca="false">IF(J1264&lt;=0,1,0)</f>
        <v>0</v>
      </c>
      <c r="L1264" s="15" t="n">
        <f aca="false">IFERROR(G1264/F1264,0)</f>
        <v>0.985791610284168</v>
      </c>
      <c r="M1264" s="15" t="n">
        <f aca="false">IFERROR((I1264-H1264)/H1264,0)</f>
        <v>-0.0390985609557425</v>
      </c>
      <c r="N1264" s="16" t="n">
        <f aca="false">G1264*I1264</f>
        <v>154689.69</v>
      </c>
    </row>
    <row r="1265" customFormat="false" ht="15" hidden="false" customHeight="true" outlineLevel="0" collapsed="false">
      <c r="A1265" s="4" t="s">
        <v>1441</v>
      </c>
      <c r="B1265" s="4" t="s">
        <v>121</v>
      </c>
      <c r="C1265" s="13" t="n">
        <v>44979</v>
      </c>
      <c r="D1265" s="13" t="n">
        <v>44988</v>
      </c>
      <c r="E1265" s="13" t="n">
        <v>44989</v>
      </c>
      <c r="F1265" s="4" t="n">
        <v>598</v>
      </c>
      <c r="G1265" s="4" t="n">
        <v>564</v>
      </c>
      <c r="H1265" s="4" t="n">
        <v>206.07</v>
      </c>
      <c r="I1265" s="4" t="n">
        <v>207.65</v>
      </c>
      <c r="J1265" s="14" t="n">
        <f aca="false">E1265-D1265</f>
        <v>1</v>
      </c>
      <c r="K1265" s="14" t="n">
        <f aca="false">IF(J1265&lt;=0,1,0)</f>
        <v>0</v>
      </c>
      <c r="L1265" s="15" t="n">
        <f aca="false">IFERROR(G1265/F1265,0)</f>
        <v>0.94314381270903</v>
      </c>
      <c r="M1265" s="15" t="n">
        <f aca="false">IFERROR((I1265-H1265)/H1265,0)</f>
        <v>0.00766729752026017</v>
      </c>
      <c r="N1265" s="16" t="n">
        <f aca="false">G1265*I1265</f>
        <v>117114.6</v>
      </c>
    </row>
    <row r="1266" customFormat="false" ht="15" hidden="false" customHeight="true" outlineLevel="0" collapsed="false">
      <c r="A1266" s="4" t="s">
        <v>1442</v>
      </c>
      <c r="B1266" s="4" t="s">
        <v>149</v>
      </c>
      <c r="C1266" s="13" t="n">
        <v>45077</v>
      </c>
      <c r="D1266" s="13" t="n">
        <v>45083</v>
      </c>
      <c r="E1266" s="13" t="n">
        <v>45089</v>
      </c>
      <c r="F1266" s="4" t="n">
        <v>8</v>
      </c>
      <c r="G1266" s="4" t="n">
        <v>8</v>
      </c>
      <c r="H1266" s="4" t="n">
        <v>1458.52</v>
      </c>
      <c r="I1266" s="4" t="n">
        <v>1476.07</v>
      </c>
      <c r="J1266" s="14" t="n">
        <f aca="false">E1266-D1266</f>
        <v>6</v>
      </c>
      <c r="K1266" s="14" t="n">
        <f aca="false">IF(J1266&lt;=0,1,0)</f>
        <v>0</v>
      </c>
      <c r="L1266" s="15" t="n">
        <f aca="false">IFERROR(G1266/F1266,0)</f>
        <v>1</v>
      </c>
      <c r="M1266" s="15" t="n">
        <f aca="false">IFERROR((I1266-H1266)/H1266,0)</f>
        <v>0.0120327455228588</v>
      </c>
      <c r="N1266" s="16" t="n">
        <f aca="false">G1266*I1266</f>
        <v>11808.56</v>
      </c>
    </row>
    <row r="1267" customFormat="false" ht="15" hidden="false" customHeight="true" outlineLevel="0" collapsed="false">
      <c r="A1267" s="4" t="s">
        <v>1443</v>
      </c>
      <c r="B1267" s="4" t="s">
        <v>121</v>
      </c>
      <c r="C1267" s="13" t="n">
        <v>45396</v>
      </c>
      <c r="D1267" s="13" t="n">
        <v>45407</v>
      </c>
      <c r="E1267" s="13" t="n">
        <v>45410</v>
      </c>
      <c r="F1267" s="4" t="n">
        <v>1382</v>
      </c>
      <c r="G1267" s="4" t="n">
        <v>1225</v>
      </c>
      <c r="H1267" s="4" t="n">
        <v>206.07</v>
      </c>
      <c r="I1267" s="4" t="n">
        <v>224.91</v>
      </c>
      <c r="J1267" s="14" t="n">
        <f aca="false">E1267-D1267</f>
        <v>3</v>
      </c>
      <c r="K1267" s="14" t="n">
        <f aca="false">IF(J1267&lt;=0,1,0)</f>
        <v>0</v>
      </c>
      <c r="L1267" s="15" t="n">
        <f aca="false">IFERROR(G1267/F1267,0)</f>
        <v>0.886396526772793</v>
      </c>
      <c r="M1267" s="15" t="n">
        <f aca="false">IFERROR((I1267-H1267)/H1267,0)</f>
        <v>0.0914252438491775</v>
      </c>
      <c r="N1267" s="16" t="n">
        <f aca="false">G1267*I1267</f>
        <v>275514.75</v>
      </c>
    </row>
    <row r="1268" customFormat="false" ht="15" hidden="false" customHeight="true" outlineLevel="0" collapsed="false">
      <c r="A1268" s="4" t="s">
        <v>1444</v>
      </c>
      <c r="B1268" s="4" t="s">
        <v>41</v>
      </c>
      <c r="C1268" s="13" t="n">
        <v>45136</v>
      </c>
      <c r="D1268" s="13" t="n">
        <v>45142</v>
      </c>
      <c r="E1268" s="13" t="n">
        <v>45143</v>
      </c>
      <c r="F1268" s="4" t="n">
        <v>3355</v>
      </c>
      <c r="G1268" s="4" t="n">
        <v>3320</v>
      </c>
      <c r="H1268" s="4" t="n">
        <v>45.51</v>
      </c>
      <c r="I1268" s="4" t="n">
        <v>45.42</v>
      </c>
      <c r="J1268" s="14" t="n">
        <f aca="false">E1268-D1268</f>
        <v>1</v>
      </c>
      <c r="K1268" s="14" t="n">
        <f aca="false">IF(J1268&lt;=0,1,0)</f>
        <v>0</v>
      </c>
      <c r="L1268" s="15" t="n">
        <f aca="false">IFERROR(G1268/F1268,0)</f>
        <v>0.98956780923994</v>
      </c>
      <c r="M1268" s="15" t="n">
        <f aca="false">IFERROR((I1268-H1268)/H1268,0)</f>
        <v>-0.00197758734344092</v>
      </c>
      <c r="N1268" s="16" t="n">
        <f aca="false">G1268*I1268</f>
        <v>150794.4</v>
      </c>
    </row>
    <row r="1269" customFormat="false" ht="15" hidden="false" customHeight="true" outlineLevel="0" collapsed="false">
      <c r="A1269" s="4" t="s">
        <v>1445</v>
      </c>
      <c r="B1269" s="4" t="s">
        <v>105</v>
      </c>
      <c r="C1269" s="13" t="n">
        <v>45605</v>
      </c>
      <c r="D1269" s="13" t="n">
        <v>45624</v>
      </c>
      <c r="E1269" s="13" t="n">
        <v>45625</v>
      </c>
      <c r="F1269" s="4" t="n">
        <v>150</v>
      </c>
      <c r="G1269" s="4" t="n">
        <v>146</v>
      </c>
      <c r="H1269" s="4" t="n">
        <v>685.84</v>
      </c>
      <c r="I1269" s="4" t="n">
        <v>716.28</v>
      </c>
      <c r="J1269" s="14" t="n">
        <f aca="false">E1269-D1269</f>
        <v>1</v>
      </c>
      <c r="K1269" s="14" t="n">
        <f aca="false">IF(J1269&lt;=0,1,0)</f>
        <v>0</v>
      </c>
      <c r="L1269" s="15" t="n">
        <f aca="false">IFERROR(G1269/F1269,0)</f>
        <v>0.973333333333333</v>
      </c>
      <c r="M1269" s="15" t="n">
        <f aca="false">IFERROR((I1269-H1269)/H1269,0)</f>
        <v>0.0443835296862241</v>
      </c>
      <c r="N1269" s="16" t="n">
        <f aca="false">G1269*I1269</f>
        <v>104576.88</v>
      </c>
    </row>
    <row r="1270" customFormat="false" ht="15" hidden="false" customHeight="true" outlineLevel="0" collapsed="false">
      <c r="A1270" s="4" t="s">
        <v>1446</v>
      </c>
      <c r="B1270" s="4" t="s">
        <v>161</v>
      </c>
      <c r="C1270" s="13" t="n">
        <v>45649</v>
      </c>
      <c r="D1270" s="13" t="n">
        <v>45658</v>
      </c>
      <c r="E1270" s="13" t="n">
        <v>45660</v>
      </c>
      <c r="F1270" s="4" t="n">
        <v>638</v>
      </c>
      <c r="G1270" s="4" t="n">
        <v>638</v>
      </c>
      <c r="H1270" s="4" t="n">
        <v>101.94</v>
      </c>
      <c r="I1270" s="4" t="n">
        <v>116.65</v>
      </c>
      <c r="J1270" s="14" t="n">
        <f aca="false">E1270-D1270</f>
        <v>2</v>
      </c>
      <c r="K1270" s="14" t="n">
        <f aca="false">IF(J1270&lt;=0,1,0)</f>
        <v>0</v>
      </c>
      <c r="L1270" s="15" t="n">
        <f aca="false">IFERROR(G1270/F1270,0)</f>
        <v>1</v>
      </c>
      <c r="M1270" s="15" t="n">
        <f aca="false">IFERROR((I1270-H1270)/H1270,0)</f>
        <v>0.144300568962135</v>
      </c>
      <c r="N1270" s="16" t="n">
        <f aca="false">G1270*I1270</f>
        <v>74422.7</v>
      </c>
    </row>
    <row r="1271" customFormat="false" ht="15" hidden="false" customHeight="true" outlineLevel="0" collapsed="false">
      <c r="A1271" s="4" t="s">
        <v>1447</v>
      </c>
      <c r="B1271" s="4" t="s">
        <v>65</v>
      </c>
      <c r="C1271" s="13" t="n">
        <v>45044</v>
      </c>
      <c r="D1271" s="13" t="n">
        <v>45061</v>
      </c>
      <c r="E1271" s="13" t="n">
        <v>45060</v>
      </c>
      <c r="F1271" s="4" t="n">
        <v>326</v>
      </c>
      <c r="G1271" s="4" t="n">
        <v>324</v>
      </c>
      <c r="H1271" s="4" t="n">
        <v>1365.59</v>
      </c>
      <c r="I1271" s="4" t="n">
        <v>1362.41</v>
      </c>
      <c r="J1271" s="14" t="n">
        <f aca="false">E1271-D1271</f>
        <v>-1</v>
      </c>
      <c r="K1271" s="14" t="n">
        <f aca="false">IF(J1271&lt;=0,1,0)</f>
        <v>1</v>
      </c>
      <c r="L1271" s="15" t="n">
        <f aca="false">IFERROR(G1271/F1271,0)</f>
        <v>0.993865030674847</v>
      </c>
      <c r="M1271" s="15" t="n">
        <f aca="false">IFERROR((I1271-H1271)/H1271,0)</f>
        <v>-0.00232866380099432</v>
      </c>
      <c r="N1271" s="16" t="n">
        <f aca="false">G1271*I1271</f>
        <v>441420.84</v>
      </c>
    </row>
    <row r="1272" customFormat="false" ht="15" hidden="false" customHeight="true" outlineLevel="0" collapsed="false">
      <c r="A1272" s="4" t="s">
        <v>1448</v>
      </c>
      <c r="B1272" s="4" t="s">
        <v>133</v>
      </c>
      <c r="C1272" s="13" t="n">
        <v>44944</v>
      </c>
      <c r="D1272" s="13" t="n">
        <v>44956</v>
      </c>
      <c r="E1272" s="13" t="n">
        <v>44963</v>
      </c>
      <c r="F1272" s="4" t="n">
        <v>1594</v>
      </c>
      <c r="G1272" s="4" t="n">
        <v>1521</v>
      </c>
      <c r="H1272" s="4" t="n">
        <v>138.21</v>
      </c>
      <c r="I1272" s="4" t="n">
        <v>139.06</v>
      </c>
      <c r="J1272" s="14" t="n">
        <f aca="false">E1272-D1272</f>
        <v>7</v>
      </c>
      <c r="K1272" s="14" t="n">
        <f aca="false">IF(J1272&lt;=0,1,0)</f>
        <v>0</v>
      </c>
      <c r="L1272" s="15" t="n">
        <f aca="false">IFERROR(G1272/F1272,0)</f>
        <v>0.954203262233375</v>
      </c>
      <c r="M1272" s="15" t="n">
        <f aca="false">IFERROR((I1272-H1272)/H1272,0)</f>
        <v>0.00615006150061496</v>
      </c>
      <c r="N1272" s="16" t="n">
        <f aca="false">G1272*I1272</f>
        <v>211510.26</v>
      </c>
    </row>
    <row r="1273" customFormat="false" ht="15" hidden="false" customHeight="true" outlineLevel="0" collapsed="false">
      <c r="A1273" s="4" t="s">
        <v>1449</v>
      </c>
      <c r="B1273" s="4" t="s">
        <v>127</v>
      </c>
      <c r="C1273" s="13" t="n">
        <v>45149</v>
      </c>
      <c r="D1273" s="13" t="n">
        <v>45154</v>
      </c>
      <c r="E1273" s="13" t="n">
        <v>45162</v>
      </c>
      <c r="F1273" s="4" t="n">
        <v>12</v>
      </c>
      <c r="G1273" s="4" t="n">
        <v>11</v>
      </c>
      <c r="H1273" s="4" t="n">
        <v>1881</v>
      </c>
      <c r="I1273" s="4" t="n">
        <v>1851.52</v>
      </c>
      <c r="J1273" s="14" t="n">
        <f aca="false">E1273-D1273</f>
        <v>8</v>
      </c>
      <c r="K1273" s="14" t="n">
        <f aca="false">IF(J1273&lt;=0,1,0)</f>
        <v>0</v>
      </c>
      <c r="L1273" s="15" t="n">
        <f aca="false">IFERROR(G1273/F1273,0)</f>
        <v>0.916666666666667</v>
      </c>
      <c r="M1273" s="15" t="n">
        <f aca="false">IFERROR((I1273-H1273)/H1273,0)</f>
        <v>-0.0156725146198831</v>
      </c>
      <c r="N1273" s="16" t="n">
        <f aca="false">G1273*I1273</f>
        <v>20366.72</v>
      </c>
    </row>
    <row r="1274" customFormat="false" ht="15" hidden="false" customHeight="true" outlineLevel="0" collapsed="false">
      <c r="A1274" s="4" t="s">
        <v>1450</v>
      </c>
      <c r="B1274" s="4" t="s">
        <v>101</v>
      </c>
      <c r="C1274" s="13" t="n">
        <v>45530</v>
      </c>
      <c r="D1274" s="13" t="n">
        <v>45547</v>
      </c>
      <c r="E1274" s="13" t="n">
        <v>45546</v>
      </c>
      <c r="F1274" s="4" t="n">
        <v>174</v>
      </c>
      <c r="G1274" s="4" t="n">
        <v>168</v>
      </c>
      <c r="H1274" s="4" t="n">
        <v>442.74</v>
      </c>
      <c r="I1274" s="4" t="n">
        <v>444.05</v>
      </c>
      <c r="J1274" s="14" t="n">
        <f aca="false">E1274-D1274</f>
        <v>-1</v>
      </c>
      <c r="K1274" s="14" t="n">
        <f aca="false">IF(J1274&lt;=0,1,0)</f>
        <v>1</v>
      </c>
      <c r="L1274" s="15" t="n">
        <f aca="false">IFERROR(G1274/F1274,0)</f>
        <v>0.96551724137931</v>
      </c>
      <c r="M1274" s="15" t="n">
        <f aca="false">IFERROR((I1274-H1274)/H1274,0)</f>
        <v>0.00295884717893121</v>
      </c>
      <c r="N1274" s="16" t="n">
        <f aca="false">G1274*I1274</f>
        <v>74600.4</v>
      </c>
    </row>
    <row r="1275" customFormat="false" ht="15" hidden="false" customHeight="true" outlineLevel="0" collapsed="false">
      <c r="A1275" s="4" t="s">
        <v>1451</v>
      </c>
      <c r="B1275" s="4" t="s">
        <v>103</v>
      </c>
      <c r="C1275" s="13" t="n">
        <v>45500</v>
      </c>
      <c r="D1275" s="13" t="n">
        <v>45519</v>
      </c>
      <c r="E1275" s="13" t="n">
        <v>45520</v>
      </c>
      <c r="F1275" s="4" t="n">
        <v>479</v>
      </c>
      <c r="G1275" s="4" t="n">
        <v>476</v>
      </c>
      <c r="H1275" s="4" t="n">
        <v>1400.22</v>
      </c>
      <c r="I1275" s="4" t="n">
        <v>1450.29</v>
      </c>
      <c r="J1275" s="14" t="n">
        <f aca="false">E1275-D1275</f>
        <v>1</v>
      </c>
      <c r="K1275" s="14" t="n">
        <f aca="false">IF(J1275&lt;=0,1,0)</f>
        <v>0</v>
      </c>
      <c r="L1275" s="15" t="n">
        <f aca="false">IFERROR(G1275/F1275,0)</f>
        <v>0.993736951983299</v>
      </c>
      <c r="M1275" s="15" t="n">
        <f aca="false">IFERROR((I1275-H1275)/H1275,0)</f>
        <v>0.035758666495265</v>
      </c>
      <c r="N1275" s="16" t="n">
        <f aca="false">G1275*I1275</f>
        <v>690338.04</v>
      </c>
    </row>
    <row r="1276" customFormat="false" ht="15" hidden="false" customHeight="true" outlineLevel="0" collapsed="false">
      <c r="A1276" s="4" t="s">
        <v>1452</v>
      </c>
      <c r="B1276" s="4" t="s">
        <v>79</v>
      </c>
      <c r="C1276" s="13" t="n">
        <v>45644</v>
      </c>
      <c r="D1276" s="13" t="n">
        <v>45662</v>
      </c>
      <c r="E1276" s="13" t="n">
        <v>45665</v>
      </c>
      <c r="F1276" s="4" t="n">
        <v>142</v>
      </c>
      <c r="G1276" s="4" t="n">
        <v>137</v>
      </c>
      <c r="H1276" s="4" t="n">
        <v>821.48</v>
      </c>
      <c r="I1276" s="4" t="n">
        <v>894.08</v>
      </c>
      <c r="J1276" s="14" t="n">
        <f aca="false">E1276-D1276</f>
        <v>3</v>
      </c>
      <c r="K1276" s="14" t="n">
        <f aca="false">IF(J1276&lt;=0,1,0)</f>
        <v>0</v>
      </c>
      <c r="L1276" s="15" t="n">
        <f aca="false">IFERROR(G1276/F1276,0)</f>
        <v>0.964788732394366</v>
      </c>
      <c r="M1276" s="15" t="n">
        <f aca="false">IFERROR((I1276-H1276)/H1276,0)</f>
        <v>0.0883770755222282</v>
      </c>
      <c r="N1276" s="16" t="n">
        <f aca="false">G1276*I1276</f>
        <v>122488.96</v>
      </c>
    </row>
    <row r="1277" customFormat="false" ht="15" hidden="false" customHeight="true" outlineLevel="0" collapsed="false">
      <c r="A1277" s="4" t="s">
        <v>1453</v>
      </c>
      <c r="B1277" s="4" t="s">
        <v>105</v>
      </c>
      <c r="C1277" s="13" t="n">
        <v>45057</v>
      </c>
      <c r="D1277" s="13" t="n">
        <v>45074</v>
      </c>
      <c r="E1277" s="13" t="n">
        <v>45073</v>
      </c>
      <c r="F1277" s="4" t="n">
        <v>142</v>
      </c>
      <c r="G1277" s="4" t="n">
        <v>132</v>
      </c>
      <c r="H1277" s="4" t="n">
        <v>685.84</v>
      </c>
      <c r="I1277" s="4" t="n">
        <v>693.32</v>
      </c>
      <c r="J1277" s="14" t="n">
        <f aca="false">E1277-D1277</f>
        <v>-1</v>
      </c>
      <c r="K1277" s="14" t="n">
        <f aca="false">IF(J1277&lt;=0,1,0)</f>
        <v>1</v>
      </c>
      <c r="L1277" s="15" t="n">
        <f aca="false">IFERROR(G1277/F1277,0)</f>
        <v>0.929577464788732</v>
      </c>
      <c r="M1277" s="15" t="n">
        <f aca="false">IFERROR((I1277-H1277)/H1277,0)</f>
        <v>0.0109063338387962</v>
      </c>
      <c r="N1277" s="16" t="n">
        <f aca="false">G1277*I1277</f>
        <v>91518.24</v>
      </c>
    </row>
    <row r="1278" customFormat="false" ht="15" hidden="false" customHeight="true" outlineLevel="0" collapsed="false">
      <c r="A1278" s="4" t="s">
        <v>1454</v>
      </c>
      <c r="B1278" s="4" t="s">
        <v>91</v>
      </c>
      <c r="C1278" s="13" t="n">
        <v>45345</v>
      </c>
      <c r="D1278" s="13" t="n">
        <v>45363</v>
      </c>
      <c r="E1278" s="13" t="n">
        <v>45361</v>
      </c>
      <c r="F1278" s="4" t="n">
        <v>263</v>
      </c>
      <c r="G1278" s="4" t="n">
        <v>246</v>
      </c>
      <c r="H1278" s="4" t="n">
        <v>496.29</v>
      </c>
      <c r="I1278" s="4" t="n">
        <v>487.66</v>
      </c>
      <c r="J1278" s="14" t="n">
        <f aca="false">E1278-D1278</f>
        <v>-2</v>
      </c>
      <c r="K1278" s="14" t="n">
        <f aca="false">IF(J1278&lt;=0,1,0)</f>
        <v>1</v>
      </c>
      <c r="L1278" s="15" t="n">
        <f aca="false">IFERROR(G1278/F1278,0)</f>
        <v>0.935361216730038</v>
      </c>
      <c r="M1278" s="15" t="n">
        <f aca="false">IFERROR((I1278-H1278)/H1278,0)</f>
        <v>-0.0173890265772028</v>
      </c>
      <c r="N1278" s="16" t="n">
        <f aca="false">G1278*I1278</f>
        <v>119964.36</v>
      </c>
    </row>
    <row r="1279" customFormat="false" ht="15" hidden="false" customHeight="true" outlineLevel="0" collapsed="false">
      <c r="A1279" s="4" t="s">
        <v>1455</v>
      </c>
      <c r="B1279" s="4" t="s">
        <v>74</v>
      </c>
      <c r="C1279" s="13" t="n">
        <v>45421</v>
      </c>
      <c r="D1279" s="13" t="n">
        <v>45425</v>
      </c>
      <c r="E1279" s="13" t="n">
        <v>45421</v>
      </c>
      <c r="F1279" s="4" t="n">
        <v>9</v>
      </c>
      <c r="G1279" s="4" t="n">
        <v>9</v>
      </c>
      <c r="H1279" s="4" t="n">
        <v>1294.62</v>
      </c>
      <c r="I1279" s="4" t="n">
        <v>1350.26</v>
      </c>
      <c r="J1279" s="14" t="n">
        <f aca="false">E1279-D1279</f>
        <v>-4</v>
      </c>
      <c r="K1279" s="14" t="n">
        <f aca="false">IF(J1279&lt;=0,1,0)</f>
        <v>1</v>
      </c>
      <c r="L1279" s="15" t="n">
        <f aca="false">IFERROR(G1279/F1279,0)</f>
        <v>1</v>
      </c>
      <c r="M1279" s="15" t="n">
        <f aca="false">IFERROR((I1279-H1279)/H1279,0)</f>
        <v>0.0429778622298436</v>
      </c>
      <c r="N1279" s="16" t="n">
        <f aca="false">G1279*I1279</f>
        <v>12152.34</v>
      </c>
    </row>
    <row r="1280" customFormat="false" ht="15" hidden="false" customHeight="true" outlineLevel="0" collapsed="false">
      <c r="A1280" s="4" t="s">
        <v>1456</v>
      </c>
      <c r="B1280" s="4" t="s">
        <v>74</v>
      </c>
      <c r="C1280" s="13" t="n">
        <v>45247</v>
      </c>
      <c r="D1280" s="13" t="n">
        <v>45254</v>
      </c>
      <c r="E1280" s="13" t="n">
        <v>45254</v>
      </c>
      <c r="F1280" s="4" t="n">
        <v>8</v>
      </c>
      <c r="G1280" s="4" t="n">
        <v>8</v>
      </c>
      <c r="H1280" s="4" t="n">
        <v>1294.62</v>
      </c>
      <c r="I1280" s="4" t="n">
        <v>1328.73</v>
      </c>
      <c r="J1280" s="14" t="n">
        <f aca="false">E1280-D1280</f>
        <v>0</v>
      </c>
      <c r="K1280" s="14" t="n">
        <f aca="false">IF(J1280&lt;=0,1,0)</f>
        <v>1</v>
      </c>
      <c r="L1280" s="15" t="n">
        <f aca="false">IFERROR(G1280/F1280,0)</f>
        <v>1</v>
      </c>
      <c r="M1280" s="15" t="n">
        <f aca="false">IFERROR((I1280-H1280)/H1280,0)</f>
        <v>0.0263474996524078</v>
      </c>
      <c r="N1280" s="16" t="n">
        <f aca="false">G1280*I1280</f>
        <v>10629.84</v>
      </c>
    </row>
    <row r="1281" customFormat="false" ht="15" hidden="false" customHeight="true" outlineLevel="0" collapsed="false">
      <c r="A1281" s="4" t="s">
        <v>1457</v>
      </c>
      <c r="B1281" s="4" t="s">
        <v>89</v>
      </c>
      <c r="C1281" s="13" t="n">
        <v>45223</v>
      </c>
      <c r="D1281" s="13" t="n">
        <v>45230</v>
      </c>
      <c r="E1281" s="13" t="n">
        <v>45228</v>
      </c>
      <c r="F1281" s="4" t="n">
        <v>19</v>
      </c>
      <c r="G1281" s="4" t="n">
        <v>18</v>
      </c>
      <c r="H1281" s="4" t="n">
        <v>1929.81</v>
      </c>
      <c r="I1281" s="4" t="n">
        <v>1952.04</v>
      </c>
      <c r="J1281" s="14" t="n">
        <f aca="false">E1281-D1281</f>
        <v>-2</v>
      </c>
      <c r="K1281" s="14" t="n">
        <f aca="false">IF(J1281&lt;=0,1,0)</f>
        <v>1</v>
      </c>
      <c r="L1281" s="15" t="n">
        <f aca="false">IFERROR(G1281/F1281,0)</f>
        <v>0.947368421052632</v>
      </c>
      <c r="M1281" s="15" t="n">
        <f aca="false">IFERROR((I1281-H1281)/H1281,0)</f>
        <v>0.0115192687363005</v>
      </c>
      <c r="N1281" s="16" t="n">
        <f aca="false">G1281*I1281</f>
        <v>35136.72</v>
      </c>
    </row>
    <row r="1282" customFormat="false" ht="15" hidden="false" customHeight="true" outlineLevel="0" collapsed="false">
      <c r="A1282" s="4" t="s">
        <v>1458</v>
      </c>
      <c r="B1282" s="4" t="s">
        <v>149</v>
      </c>
      <c r="C1282" s="13" t="n">
        <v>45353</v>
      </c>
      <c r="D1282" s="13" t="n">
        <v>45358</v>
      </c>
      <c r="E1282" s="13" t="n">
        <v>45358</v>
      </c>
      <c r="F1282" s="4" t="n">
        <v>4</v>
      </c>
      <c r="G1282" s="4" t="n">
        <v>4</v>
      </c>
      <c r="H1282" s="4" t="n">
        <v>1458.52</v>
      </c>
      <c r="I1282" s="4" t="n">
        <v>1472.88</v>
      </c>
      <c r="J1282" s="14" t="n">
        <f aca="false">E1282-D1282</f>
        <v>0</v>
      </c>
      <c r="K1282" s="14" t="n">
        <f aca="false">IF(J1282&lt;=0,1,0)</f>
        <v>1</v>
      </c>
      <c r="L1282" s="15" t="n">
        <f aca="false">IFERROR(G1282/F1282,0)</f>
        <v>1</v>
      </c>
      <c r="M1282" s="15" t="n">
        <f aca="false">IFERROR((I1282-H1282)/H1282,0)</f>
        <v>0.0098455969064532</v>
      </c>
      <c r="N1282" s="16" t="n">
        <f aca="false">G1282*I1282</f>
        <v>5891.52</v>
      </c>
    </row>
    <row r="1283" customFormat="false" ht="15" hidden="false" customHeight="true" outlineLevel="0" collapsed="false">
      <c r="A1283" s="4" t="s">
        <v>1459</v>
      </c>
      <c r="B1283" s="4" t="s">
        <v>41</v>
      </c>
      <c r="C1283" s="13" t="n">
        <v>45558</v>
      </c>
      <c r="D1283" s="13" t="n">
        <v>45564</v>
      </c>
      <c r="E1283" s="13" t="n">
        <v>45563</v>
      </c>
      <c r="F1283" s="4" t="n">
        <v>4187</v>
      </c>
      <c r="G1283" s="4" t="n">
        <v>4187</v>
      </c>
      <c r="H1283" s="4" t="n">
        <v>45.51</v>
      </c>
      <c r="I1283" s="4" t="n">
        <v>43.81</v>
      </c>
      <c r="J1283" s="14" t="n">
        <f aca="false">E1283-D1283</f>
        <v>-1</v>
      </c>
      <c r="K1283" s="14" t="n">
        <f aca="false">IF(J1283&lt;=0,1,0)</f>
        <v>1</v>
      </c>
      <c r="L1283" s="15" t="n">
        <f aca="false">IFERROR(G1283/F1283,0)</f>
        <v>1</v>
      </c>
      <c r="M1283" s="15" t="n">
        <f aca="false">IFERROR((I1283-H1283)/H1283,0)</f>
        <v>-0.0373544275983299</v>
      </c>
      <c r="N1283" s="16" t="n">
        <f aca="false">G1283*I1283</f>
        <v>183432.47</v>
      </c>
    </row>
    <row r="1284" customFormat="false" ht="15" hidden="false" customHeight="true" outlineLevel="0" collapsed="false">
      <c r="A1284" s="4" t="s">
        <v>1460</v>
      </c>
      <c r="B1284" s="4" t="s">
        <v>91</v>
      </c>
      <c r="C1284" s="13" t="n">
        <v>45169</v>
      </c>
      <c r="D1284" s="13" t="n">
        <v>45188</v>
      </c>
      <c r="E1284" s="13" t="n">
        <v>45188</v>
      </c>
      <c r="F1284" s="4" t="n">
        <v>401</v>
      </c>
      <c r="G1284" s="4" t="n">
        <v>391</v>
      </c>
      <c r="H1284" s="4" t="n">
        <v>496.29</v>
      </c>
      <c r="I1284" s="4" t="n">
        <v>496.56</v>
      </c>
      <c r="J1284" s="14" t="n">
        <f aca="false">E1284-D1284</f>
        <v>0</v>
      </c>
      <c r="K1284" s="14" t="n">
        <f aca="false">IF(J1284&lt;=0,1,0)</f>
        <v>1</v>
      </c>
      <c r="L1284" s="15" t="n">
        <f aca="false">IFERROR(G1284/F1284,0)</f>
        <v>0.975062344139651</v>
      </c>
      <c r="M1284" s="15" t="n">
        <f aca="false">IFERROR((I1284-H1284)/H1284,0)</f>
        <v>0.000544036752705035</v>
      </c>
      <c r="N1284" s="16" t="n">
        <f aca="false">G1284*I1284</f>
        <v>194154.96</v>
      </c>
    </row>
    <row r="1285" customFormat="false" ht="15" hidden="false" customHeight="true" outlineLevel="0" collapsed="false">
      <c r="A1285" s="4" t="s">
        <v>1461</v>
      </c>
      <c r="B1285" s="4" t="s">
        <v>65</v>
      </c>
      <c r="C1285" s="13" t="n">
        <v>45049</v>
      </c>
      <c r="D1285" s="13" t="n">
        <v>45069</v>
      </c>
      <c r="E1285" s="13" t="n">
        <v>45068</v>
      </c>
      <c r="F1285" s="4" t="n">
        <v>435</v>
      </c>
      <c r="G1285" s="4" t="n">
        <v>435</v>
      </c>
      <c r="H1285" s="4" t="n">
        <v>1365.59</v>
      </c>
      <c r="I1285" s="4" t="n">
        <v>1348.63</v>
      </c>
      <c r="J1285" s="14" t="n">
        <f aca="false">E1285-D1285</f>
        <v>-1</v>
      </c>
      <c r="K1285" s="14" t="n">
        <f aca="false">IF(J1285&lt;=0,1,0)</f>
        <v>1</v>
      </c>
      <c r="L1285" s="15" t="n">
        <f aca="false">IFERROR(G1285/F1285,0)</f>
        <v>1</v>
      </c>
      <c r="M1285" s="15" t="n">
        <f aca="false">IFERROR((I1285-H1285)/H1285,0)</f>
        <v>-0.0124195402719702</v>
      </c>
      <c r="N1285" s="16" t="n">
        <f aca="false">G1285*I1285</f>
        <v>586654.05</v>
      </c>
    </row>
    <row r="1286" customFormat="false" ht="15" hidden="false" customHeight="true" outlineLevel="0" collapsed="false">
      <c r="A1286" s="4" t="s">
        <v>1462</v>
      </c>
      <c r="B1286" s="4" t="s">
        <v>139</v>
      </c>
      <c r="C1286" s="13" t="n">
        <v>45152</v>
      </c>
      <c r="D1286" s="13" t="n">
        <v>45162</v>
      </c>
      <c r="E1286" s="13" t="n">
        <v>45164</v>
      </c>
      <c r="F1286" s="4" t="n">
        <v>1710</v>
      </c>
      <c r="G1286" s="4" t="n">
        <v>1499</v>
      </c>
      <c r="H1286" s="4" t="n">
        <v>207.64</v>
      </c>
      <c r="I1286" s="4" t="n">
        <v>212.03</v>
      </c>
      <c r="J1286" s="14" t="n">
        <f aca="false">E1286-D1286</f>
        <v>2</v>
      </c>
      <c r="K1286" s="14" t="n">
        <f aca="false">IF(J1286&lt;=0,1,0)</f>
        <v>0</v>
      </c>
      <c r="L1286" s="15" t="n">
        <f aca="false">IFERROR(G1286/F1286,0)</f>
        <v>0.876608187134503</v>
      </c>
      <c r="M1286" s="15" t="n">
        <f aca="false">IFERROR((I1286-H1286)/H1286,0)</f>
        <v>0.0211423617800039</v>
      </c>
      <c r="N1286" s="16" t="n">
        <f aca="false">G1286*I1286</f>
        <v>317832.97</v>
      </c>
    </row>
    <row r="1287" customFormat="false" ht="15" hidden="false" customHeight="true" outlineLevel="0" collapsed="false">
      <c r="A1287" s="4" t="s">
        <v>1463</v>
      </c>
      <c r="B1287" s="4" t="s">
        <v>83</v>
      </c>
      <c r="C1287" s="13" t="n">
        <v>45117</v>
      </c>
      <c r="D1287" s="13" t="n">
        <v>45129</v>
      </c>
      <c r="E1287" s="13" t="n">
        <v>45131</v>
      </c>
      <c r="F1287" s="4" t="n">
        <v>617</v>
      </c>
      <c r="G1287" s="4" t="n">
        <v>617</v>
      </c>
      <c r="H1287" s="4" t="n">
        <v>101.36</v>
      </c>
      <c r="I1287" s="4" t="n">
        <v>102.06</v>
      </c>
      <c r="J1287" s="14" t="n">
        <f aca="false">E1287-D1287</f>
        <v>2</v>
      </c>
      <c r="K1287" s="14" t="n">
        <f aca="false">IF(J1287&lt;=0,1,0)</f>
        <v>0</v>
      </c>
      <c r="L1287" s="15" t="n">
        <f aca="false">IFERROR(G1287/F1287,0)</f>
        <v>1</v>
      </c>
      <c r="M1287" s="15" t="n">
        <f aca="false">IFERROR((I1287-H1287)/H1287,0)</f>
        <v>0.00690607734806633</v>
      </c>
      <c r="N1287" s="16" t="n">
        <f aca="false">G1287*I1287</f>
        <v>62971.02</v>
      </c>
    </row>
    <row r="1288" customFormat="false" ht="15" hidden="false" customHeight="true" outlineLevel="0" collapsed="false">
      <c r="A1288" s="4" t="s">
        <v>1464</v>
      </c>
      <c r="B1288" s="4" t="s">
        <v>143</v>
      </c>
      <c r="C1288" s="13" t="n">
        <v>45370</v>
      </c>
      <c r="D1288" s="13" t="n">
        <v>45378</v>
      </c>
      <c r="E1288" s="13" t="n">
        <v>45393</v>
      </c>
      <c r="F1288" s="4" t="n">
        <v>1006</v>
      </c>
      <c r="G1288" s="4" t="n">
        <v>955</v>
      </c>
      <c r="H1288" s="4" t="n">
        <v>20.6</v>
      </c>
      <c r="I1288" s="4" t="n">
        <v>21.22</v>
      </c>
      <c r="J1288" s="14" t="n">
        <f aca="false">E1288-D1288</f>
        <v>15</v>
      </c>
      <c r="K1288" s="14" t="n">
        <f aca="false">IF(J1288&lt;=0,1,0)</f>
        <v>0</v>
      </c>
      <c r="L1288" s="15" t="n">
        <f aca="false">IFERROR(G1288/F1288,0)</f>
        <v>0.949304174950298</v>
      </c>
      <c r="M1288" s="15" t="n">
        <f aca="false">IFERROR((I1288-H1288)/H1288,0)</f>
        <v>0.0300970873786407</v>
      </c>
      <c r="N1288" s="16" t="n">
        <f aca="false">G1288*I1288</f>
        <v>20265.1</v>
      </c>
    </row>
    <row r="1289" customFormat="false" ht="15" hidden="false" customHeight="true" outlineLevel="0" collapsed="false">
      <c r="A1289" s="4" t="s">
        <v>1465</v>
      </c>
      <c r="B1289" s="4" t="s">
        <v>87</v>
      </c>
      <c r="C1289" s="13" t="n">
        <v>45451</v>
      </c>
      <c r="D1289" s="13" t="n">
        <v>45460</v>
      </c>
      <c r="E1289" s="13" t="n">
        <v>45461</v>
      </c>
      <c r="F1289" s="4" t="n">
        <v>1375</v>
      </c>
      <c r="G1289" s="4" t="n">
        <v>1285</v>
      </c>
      <c r="H1289" s="4" t="n">
        <v>161.95</v>
      </c>
      <c r="I1289" s="4" t="n">
        <v>188</v>
      </c>
      <c r="J1289" s="14" t="n">
        <f aca="false">E1289-D1289</f>
        <v>1</v>
      </c>
      <c r="K1289" s="14" t="n">
        <f aca="false">IF(J1289&lt;=0,1,0)</f>
        <v>0</v>
      </c>
      <c r="L1289" s="15" t="n">
        <f aca="false">IFERROR(G1289/F1289,0)</f>
        <v>0.934545454545455</v>
      </c>
      <c r="M1289" s="15" t="n">
        <f aca="false">IFERROR((I1289-H1289)/H1289,0)</f>
        <v>0.160852114850263</v>
      </c>
      <c r="N1289" s="16" t="n">
        <f aca="false">G1289*I1289</f>
        <v>241580</v>
      </c>
    </row>
    <row r="1290" customFormat="false" ht="15" hidden="false" customHeight="true" outlineLevel="0" collapsed="false">
      <c r="A1290" s="4" t="s">
        <v>1466</v>
      </c>
      <c r="B1290" s="4" t="s">
        <v>161</v>
      </c>
      <c r="C1290" s="13" t="n">
        <v>45296</v>
      </c>
      <c r="D1290" s="13" t="n">
        <v>45306</v>
      </c>
      <c r="E1290" s="13" t="n">
        <v>45312</v>
      </c>
      <c r="F1290" s="4" t="n">
        <v>1777</v>
      </c>
      <c r="G1290" s="4" t="n">
        <v>1696</v>
      </c>
      <c r="H1290" s="4" t="n">
        <v>101.94</v>
      </c>
      <c r="I1290" s="4" t="n">
        <v>109.31</v>
      </c>
      <c r="J1290" s="14" t="n">
        <f aca="false">E1290-D1290</f>
        <v>6</v>
      </c>
      <c r="K1290" s="14" t="n">
        <f aca="false">IF(J1290&lt;=0,1,0)</f>
        <v>0</v>
      </c>
      <c r="L1290" s="15" t="n">
        <f aca="false">IFERROR(G1290/F1290,0)</f>
        <v>0.954417557681486</v>
      </c>
      <c r="M1290" s="15" t="n">
        <f aca="false">IFERROR((I1290-H1290)/H1290,0)</f>
        <v>0.0722974298607024</v>
      </c>
      <c r="N1290" s="16" t="n">
        <f aca="false">G1290*I1290</f>
        <v>185389.76</v>
      </c>
    </row>
    <row r="1291" customFormat="false" ht="15" hidden="false" customHeight="true" outlineLevel="0" collapsed="false">
      <c r="A1291" s="4" t="s">
        <v>1467</v>
      </c>
      <c r="B1291" s="4" t="s">
        <v>43</v>
      </c>
      <c r="C1291" s="13" t="n">
        <v>45036</v>
      </c>
      <c r="D1291" s="13" t="n">
        <v>45054</v>
      </c>
      <c r="E1291" s="13" t="n">
        <v>45055</v>
      </c>
      <c r="F1291" s="4" t="n">
        <v>423</v>
      </c>
      <c r="G1291" s="4" t="n">
        <v>407</v>
      </c>
      <c r="H1291" s="4" t="n">
        <v>1321.6</v>
      </c>
      <c r="I1291" s="4" t="n">
        <v>1319.82</v>
      </c>
      <c r="J1291" s="14" t="n">
        <f aca="false">E1291-D1291</f>
        <v>1</v>
      </c>
      <c r="K1291" s="14" t="n">
        <f aca="false">IF(J1291&lt;=0,1,0)</f>
        <v>0</v>
      </c>
      <c r="L1291" s="15" t="n">
        <f aca="false">IFERROR(G1291/F1291,0)</f>
        <v>0.962174940898345</v>
      </c>
      <c r="M1291" s="15" t="n">
        <f aca="false">IFERROR((I1291-H1291)/H1291,0)</f>
        <v>-0.00134685230024211</v>
      </c>
      <c r="N1291" s="16" t="n">
        <f aca="false">G1291*I1291</f>
        <v>537166.74</v>
      </c>
    </row>
    <row r="1292" customFormat="false" ht="15" hidden="false" customHeight="true" outlineLevel="0" collapsed="false">
      <c r="A1292" s="4" t="s">
        <v>1468</v>
      </c>
      <c r="B1292" s="4" t="s">
        <v>111</v>
      </c>
      <c r="C1292" s="13" t="n">
        <v>45124</v>
      </c>
      <c r="D1292" s="13" t="n">
        <v>45134</v>
      </c>
      <c r="E1292" s="13" t="n">
        <v>45137</v>
      </c>
      <c r="F1292" s="4" t="n">
        <v>665</v>
      </c>
      <c r="G1292" s="4" t="n">
        <v>661</v>
      </c>
      <c r="H1292" s="4" t="n">
        <v>148.08</v>
      </c>
      <c r="I1292" s="4" t="n">
        <v>149.47</v>
      </c>
      <c r="J1292" s="14" t="n">
        <f aca="false">E1292-D1292</f>
        <v>3</v>
      </c>
      <c r="K1292" s="14" t="n">
        <f aca="false">IF(J1292&lt;=0,1,0)</f>
        <v>0</v>
      </c>
      <c r="L1292" s="15" t="n">
        <f aca="false">IFERROR(G1292/F1292,0)</f>
        <v>0.993984962406015</v>
      </c>
      <c r="M1292" s="15" t="n">
        <f aca="false">IFERROR((I1292-H1292)/H1292,0)</f>
        <v>0.00938681793625058</v>
      </c>
      <c r="N1292" s="16" t="n">
        <f aca="false">G1292*I1292</f>
        <v>98799.67</v>
      </c>
    </row>
    <row r="1293" customFormat="false" ht="15" hidden="false" customHeight="true" outlineLevel="0" collapsed="false">
      <c r="A1293" s="4" t="s">
        <v>1469</v>
      </c>
      <c r="B1293" s="4" t="s">
        <v>63</v>
      </c>
      <c r="C1293" s="13" t="n">
        <v>45383</v>
      </c>
      <c r="D1293" s="13" t="n">
        <v>45392</v>
      </c>
      <c r="E1293" s="13" t="n">
        <v>45401</v>
      </c>
      <c r="F1293" s="4" t="n">
        <v>1389</v>
      </c>
      <c r="G1293" s="4" t="n">
        <v>1271</v>
      </c>
      <c r="H1293" s="4" t="n">
        <v>239.8</v>
      </c>
      <c r="I1293" s="4" t="n">
        <v>262.84</v>
      </c>
      <c r="J1293" s="14" t="n">
        <f aca="false">E1293-D1293</f>
        <v>9</v>
      </c>
      <c r="K1293" s="14" t="n">
        <f aca="false">IF(J1293&lt;=0,1,0)</f>
        <v>0</v>
      </c>
      <c r="L1293" s="15" t="n">
        <f aca="false">IFERROR(G1293/F1293,0)</f>
        <v>0.9150467962563</v>
      </c>
      <c r="M1293" s="15" t="n">
        <f aca="false">IFERROR((I1293-H1293)/H1293,0)</f>
        <v>0.0960800667222684</v>
      </c>
      <c r="N1293" s="16" t="n">
        <f aca="false">G1293*I1293</f>
        <v>334069.64</v>
      </c>
    </row>
    <row r="1294" customFormat="false" ht="15" hidden="false" customHeight="true" outlineLevel="0" collapsed="false">
      <c r="A1294" s="4" t="s">
        <v>1470</v>
      </c>
      <c r="B1294" s="4" t="s">
        <v>131</v>
      </c>
      <c r="C1294" s="13" t="n">
        <v>45598</v>
      </c>
      <c r="D1294" s="13" t="n">
        <v>45610</v>
      </c>
      <c r="E1294" s="13" t="n">
        <v>45607</v>
      </c>
      <c r="F1294" s="4" t="n">
        <v>932</v>
      </c>
      <c r="G1294" s="4" t="n">
        <v>921</v>
      </c>
      <c r="H1294" s="4" t="n">
        <v>88.52</v>
      </c>
      <c r="I1294" s="4" t="n">
        <v>90.38</v>
      </c>
      <c r="J1294" s="14" t="n">
        <f aca="false">E1294-D1294</f>
        <v>-3</v>
      </c>
      <c r="K1294" s="14" t="n">
        <f aca="false">IF(J1294&lt;=0,1,0)</f>
        <v>1</v>
      </c>
      <c r="L1294" s="15" t="n">
        <f aca="false">IFERROR(G1294/F1294,0)</f>
        <v>0.988197424892704</v>
      </c>
      <c r="M1294" s="15" t="n">
        <f aca="false">IFERROR((I1294-H1294)/H1294,0)</f>
        <v>0.0210122006326254</v>
      </c>
      <c r="N1294" s="16" t="n">
        <f aca="false">G1294*I1294</f>
        <v>83239.98</v>
      </c>
    </row>
    <row r="1295" customFormat="false" ht="15" hidden="false" customHeight="true" outlineLevel="0" collapsed="false">
      <c r="A1295" s="4" t="s">
        <v>1471</v>
      </c>
      <c r="B1295" s="4" t="s">
        <v>55</v>
      </c>
      <c r="C1295" s="13" t="n">
        <v>45484</v>
      </c>
      <c r="D1295" s="13" t="n">
        <v>45504</v>
      </c>
      <c r="E1295" s="13" t="n">
        <v>45502</v>
      </c>
      <c r="F1295" s="4" t="n">
        <v>298</v>
      </c>
      <c r="G1295" s="4" t="n">
        <v>292</v>
      </c>
      <c r="H1295" s="4" t="n">
        <v>598.09</v>
      </c>
      <c r="I1295" s="4" t="n">
        <v>576.11</v>
      </c>
      <c r="J1295" s="14" t="n">
        <f aca="false">E1295-D1295</f>
        <v>-2</v>
      </c>
      <c r="K1295" s="14" t="n">
        <f aca="false">IF(J1295&lt;=0,1,0)</f>
        <v>1</v>
      </c>
      <c r="L1295" s="15" t="n">
        <f aca="false">IFERROR(G1295/F1295,0)</f>
        <v>0.979865771812081</v>
      </c>
      <c r="M1295" s="15" t="n">
        <f aca="false">IFERROR((I1295-H1295)/H1295,0)</f>
        <v>-0.0367503218579144</v>
      </c>
      <c r="N1295" s="16" t="n">
        <f aca="false">G1295*I1295</f>
        <v>168224.12</v>
      </c>
    </row>
    <row r="1296" customFormat="false" ht="15" hidden="false" customHeight="true" outlineLevel="0" collapsed="false">
      <c r="A1296" s="4" t="s">
        <v>1472</v>
      </c>
      <c r="B1296" s="4" t="s">
        <v>58</v>
      </c>
      <c r="C1296" s="13" t="n">
        <v>44969</v>
      </c>
      <c r="D1296" s="13" t="n">
        <v>44982</v>
      </c>
      <c r="E1296" s="13" t="n">
        <v>44982</v>
      </c>
      <c r="F1296" s="4" t="n">
        <v>68</v>
      </c>
      <c r="G1296" s="4" t="n">
        <v>67</v>
      </c>
      <c r="H1296" s="4" t="n">
        <v>135.68</v>
      </c>
      <c r="I1296" s="4" t="n">
        <v>136.83</v>
      </c>
      <c r="J1296" s="14" t="n">
        <f aca="false">E1296-D1296</f>
        <v>0</v>
      </c>
      <c r="K1296" s="14" t="n">
        <f aca="false">IF(J1296&lt;=0,1,0)</f>
        <v>1</v>
      </c>
      <c r="L1296" s="15" t="n">
        <f aca="false">IFERROR(G1296/F1296,0)</f>
        <v>0.985294117647059</v>
      </c>
      <c r="M1296" s="15" t="n">
        <f aca="false">IFERROR((I1296-H1296)/H1296,0)</f>
        <v>0.00847582547169815</v>
      </c>
      <c r="N1296" s="16" t="n">
        <f aca="false">G1296*I1296</f>
        <v>9167.61</v>
      </c>
    </row>
    <row r="1297" customFormat="false" ht="15" hidden="false" customHeight="true" outlineLevel="0" collapsed="false">
      <c r="A1297" s="4" t="s">
        <v>1473</v>
      </c>
      <c r="B1297" s="4" t="s">
        <v>105</v>
      </c>
      <c r="C1297" s="13" t="n">
        <v>45470</v>
      </c>
      <c r="D1297" s="13" t="n">
        <v>45488</v>
      </c>
      <c r="E1297" s="13" t="n">
        <v>45491</v>
      </c>
      <c r="F1297" s="4" t="n">
        <v>436</v>
      </c>
      <c r="G1297" s="4" t="n">
        <v>426</v>
      </c>
      <c r="H1297" s="4" t="n">
        <v>685.84</v>
      </c>
      <c r="I1297" s="4" t="n">
        <v>714.55</v>
      </c>
      <c r="J1297" s="14" t="n">
        <f aca="false">E1297-D1297</f>
        <v>3</v>
      </c>
      <c r="K1297" s="14" t="n">
        <f aca="false">IF(J1297&lt;=0,1,0)</f>
        <v>0</v>
      </c>
      <c r="L1297" s="15" t="n">
        <f aca="false">IFERROR(G1297/F1297,0)</f>
        <v>0.977064220183486</v>
      </c>
      <c r="M1297" s="15" t="n">
        <f aca="false">IFERROR((I1297-H1297)/H1297,0)</f>
        <v>0.0418610754694972</v>
      </c>
      <c r="N1297" s="16" t="n">
        <f aca="false">G1297*I1297</f>
        <v>304398.3</v>
      </c>
    </row>
    <row r="1298" customFormat="false" ht="15" hidden="false" customHeight="true" outlineLevel="0" collapsed="false">
      <c r="A1298" s="4" t="s">
        <v>1474</v>
      </c>
      <c r="B1298" s="4" t="s">
        <v>52</v>
      </c>
      <c r="C1298" s="13" t="n">
        <v>45286</v>
      </c>
      <c r="D1298" s="13" t="n">
        <v>45298</v>
      </c>
      <c r="E1298" s="13" t="n">
        <v>45303</v>
      </c>
      <c r="F1298" s="4" t="n">
        <v>414</v>
      </c>
      <c r="G1298" s="4" t="n">
        <v>358</v>
      </c>
      <c r="H1298" s="4" t="n">
        <v>170.24</v>
      </c>
      <c r="I1298" s="4" t="n">
        <v>174.94</v>
      </c>
      <c r="J1298" s="14" t="n">
        <f aca="false">E1298-D1298</f>
        <v>5</v>
      </c>
      <c r="K1298" s="14" t="n">
        <f aca="false">IF(J1298&lt;=0,1,0)</f>
        <v>0</v>
      </c>
      <c r="L1298" s="15" t="n">
        <f aca="false">IFERROR(G1298/F1298,0)</f>
        <v>0.864734299516908</v>
      </c>
      <c r="M1298" s="15" t="n">
        <f aca="false">IFERROR((I1298-H1298)/H1298,0)</f>
        <v>0.0276080827067669</v>
      </c>
      <c r="N1298" s="16" t="n">
        <f aca="false">G1298*I1298</f>
        <v>62628.52</v>
      </c>
    </row>
    <row r="1299" customFormat="false" ht="15" hidden="false" customHeight="true" outlineLevel="0" collapsed="false">
      <c r="A1299" s="4" t="s">
        <v>1475</v>
      </c>
      <c r="B1299" s="4" t="s">
        <v>143</v>
      </c>
      <c r="C1299" s="13" t="n">
        <v>45608</v>
      </c>
      <c r="D1299" s="13" t="n">
        <v>45617</v>
      </c>
      <c r="E1299" s="13" t="n">
        <v>45623</v>
      </c>
      <c r="F1299" s="4" t="n">
        <v>1393</v>
      </c>
      <c r="G1299" s="4" t="n">
        <v>1312</v>
      </c>
      <c r="H1299" s="4" t="n">
        <v>20.6</v>
      </c>
      <c r="I1299" s="4" t="n">
        <v>22.36</v>
      </c>
      <c r="J1299" s="14" t="n">
        <f aca="false">E1299-D1299</f>
        <v>6</v>
      </c>
      <c r="K1299" s="14" t="n">
        <f aca="false">IF(J1299&lt;=0,1,0)</f>
        <v>0</v>
      </c>
      <c r="L1299" s="15" t="n">
        <f aca="false">IFERROR(G1299/F1299,0)</f>
        <v>0.941852117731515</v>
      </c>
      <c r="M1299" s="15" t="n">
        <f aca="false">IFERROR((I1299-H1299)/H1299,0)</f>
        <v>0.0854368932038834</v>
      </c>
      <c r="N1299" s="16" t="n">
        <f aca="false">G1299*I1299</f>
        <v>29336.32</v>
      </c>
    </row>
    <row r="1300" customFormat="false" ht="15" hidden="false" customHeight="true" outlineLevel="0" collapsed="false">
      <c r="A1300" s="4" t="s">
        <v>1476</v>
      </c>
      <c r="B1300" s="4" t="s">
        <v>105</v>
      </c>
      <c r="C1300" s="13" t="n">
        <v>45059</v>
      </c>
      <c r="D1300" s="13" t="n">
        <v>45076</v>
      </c>
      <c r="E1300" s="13" t="n">
        <v>45078</v>
      </c>
      <c r="F1300" s="4" t="n">
        <v>72</v>
      </c>
      <c r="G1300" s="4" t="n">
        <v>68</v>
      </c>
      <c r="H1300" s="4" t="n">
        <v>685.84</v>
      </c>
      <c r="I1300" s="4" t="n">
        <v>687.62</v>
      </c>
      <c r="J1300" s="14" t="n">
        <f aca="false">E1300-D1300</f>
        <v>2</v>
      </c>
      <c r="K1300" s="14" t="n">
        <f aca="false">IF(J1300&lt;=0,1,0)</f>
        <v>0</v>
      </c>
      <c r="L1300" s="15" t="n">
        <f aca="false">IFERROR(G1300/F1300,0)</f>
        <v>0.944444444444444</v>
      </c>
      <c r="M1300" s="15" t="n">
        <f aca="false">IFERROR((I1300-H1300)/H1300,0)</f>
        <v>0.00259535751778837</v>
      </c>
      <c r="N1300" s="16" t="n">
        <f aca="false">G1300*I1300</f>
        <v>46758.16</v>
      </c>
    </row>
    <row r="1301" customFormat="false" ht="15" hidden="false" customHeight="true" outlineLevel="0" collapsed="false">
      <c r="A1301" s="4" t="s">
        <v>1477</v>
      </c>
      <c r="B1301" s="4" t="s">
        <v>127</v>
      </c>
      <c r="C1301" s="13" t="n">
        <v>45474</v>
      </c>
      <c r="D1301" s="13" t="n">
        <v>45481</v>
      </c>
      <c r="E1301" s="13" t="n">
        <v>45485</v>
      </c>
      <c r="F1301" s="4" t="n">
        <v>8</v>
      </c>
      <c r="G1301" s="4" t="n">
        <v>8</v>
      </c>
      <c r="H1301" s="4" t="n">
        <v>1881</v>
      </c>
      <c r="I1301" s="4" t="n">
        <v>1782.29</v>
      </c>
      <c r="J1301" s="14" t="n">
        <f aca="false">E1301-D1301</f>
        <v>4</v>
      </c>
      <c r="K1301" s="14" t="n">
        <f aca="false">IF(J1301&lt;=0,1,0)</f>
        <v>0</v>
      </c>
      <c r="L1301" s="15" t="n">
        <f aca="false">IFERROR(G1301/F1301,0)</f>
        <v>1</v>
      </c>
      <c r="M1301" s="15" t="n">
        <f aca="false">IFERROR((I1301-H1301)/H1301,0)</f>
        <v>-0.0524774056353004</v>
      </c>
      <c r="N1301" s="16" t="n">
        <f aca="false">G1301*I1301</f>
        <v>14258.32</v>
      </c>
    </row>
    <row r="1302" customFormat="false" ht="15" hidden="false" customHeight="true" outlineLevel="0" collapsed="false">
      <c r="A1302" s="4" t="s">
        <v>1478</v>
      </c>
      <c r="B1302" s="4" t="s">
        <v>91</v>
      </c>
      <c r="C1302" s="13" t="n">
        <v>45094</v>
      </c>
      <c r="D1302" s="13" t="n">
        <v>45113</v>
      </c>
      <c r="E1302" s="13" t="n">
        <v>45115</v>
      </c>
      <c r="F1302" s="4" t="n">
        <v>233</v>
      </c>
      <c r="G1302" s="4" t="n">
        <v>229</v>
      </c>
      <c r="H1302" s="4" t="n">
        <v>496.29</v>
      </c>
      <c r="I1302" s="4" t="n">
        <v>497.18</v>
      </c>
      <c r="J1302" s="14" t="n">
        <f aca="false">E1302-D1302</f>
        <v>2</v>
      </c>
      <c r="K1302" s="14" t="n">
        <f aca="false">IF(J1302&lt;=0,1,0)</f>
        <v>0</v>
      </c>
      <c r="L1302" s="15" t="n">
        <f aca="false">IFERROR(G1302/F1302,0)</f>
        <v>0.982832618025751</v>
      </c>
      <c r="M1302" s="15" t="n">
        <f aca="false">IFERROR((I1302-H1302)/H1302,0)</f>
        <v>0.00179330633299076</v>
      </c>
      <c r="N1302" s="16" t="n">
        <f aca="false">G1302*I1302</f>
        <v>113854.22</v>
      </c>
    </row>
    <row r="1303" customFormat="false" ht="15" hidden="false" customHeight="true" outlineLevel="0" collapsed="false">
      <c r="A1303" s="4" t="s">
        <v>1479</v>
      </c>
      <c r="B1303" s="4" t="s">
        <v>91</v>
      </c>
      <c r="C1303" s="13" t="n">
        <v>45531</v>
      </c>
      <c r="D1303" s="13" t="n">
        <v>45548</v>
      </c>
      <c r="E1303" s="13" t="n">
        <v>45547</v>
      </c>
      <c r="F1303" s="4" t="n">
        <v>118</v>
      </c>
      <c r="G1303" s="4" t="n">
        <v>115</v>
      </c>
      <c r="H1303" s="4" t="n">
        <v>496.29</v>
      </c>
      <c r="I1303" s="4" t="n">
        <v>477.46</v>
      </c>
      <c r="J1303" s="14" t="n">
        <f aca="false">E1303-D1303</f>
        <v>-1</v>
      </c>
      <c r="K1303" s="14" t="n">
        <f aca="false">IF(J1303&lt;=0,1,0)</f>
        <v>1</v>
      </c>
      <c r="L1303" s="15" t="n">
        <f aca="false">IFERROR(G1303/F1303,0)</f>
        <v>0.974576271186441</v>
      </c>
      <c r="M1303" s="15" t="n">
        <f aca="false">IFERROR((I1303-H1303)/H1303,0)</f>
        <v>-0.037941526123839</v>
      </c>
      <c r="N1303" s="16" t="n">
        <f aca="false">G1303*I1303</f>
        <v>54907.9</v>
      </c>
    </row>
    <row r="1304" customFormat="false" ht="15" hidden="false" customHeight="true" outlineLevel="0" collapsed="false">
      <c r="A1304" s="4" t="s">
        <v>1480</v>
      </c>
      <c r="B1304" s="4" t="s">
        <v>163</v>
      </c>
      <c r="C1304" s="13" t="n">
        <v>44968</v>
      </c>
      <c r="D1304" s="13" t="n">
        <v>44985</v>
      </c>
      <c r="E1304" s="13" t="n">
        <v>44993</v>
      </c>
      <c r="F1304" s="4" t="n">
        <v>113</v>
      </c>
      <c r="G1304" s="4" t="n">
        <v>111</v>
      </c>
      <c r="H1304" s="4" t="n">
        <v>482.79</v>
      </c>
      <c r="I1304" s="4" t="n">
        <v>476.33</v>
      </c>
      <c r="J1304" s="14" t="n">
        <f aca="false">E1304-D1304</f>
        <v>8</v>
      </c>
      <c r="K1304" s="14" t="n">
        <f aca="false">IF(J1304&lt;=0,1,0)</f>
        <v>0</v>
      </c>
      <c r="L1304" s="15" t="n">
        <f aca="false">IFERROR(G1304/F1304,0)</f>
        <v>0.982300884955752</v>
      </c>
      <c r="M1304" s="15" t="n">
        <f aca="false">IFERROR((I1304-H1304)/H1304,0)</f>
        <v>-0.0133805588351044</v>
      </c>
      <c r="N1304" s="16" t="n">
        <f aca="false">G1304*I1304</f>
        <v>52872.63</v>
      </c>
    </row>
    <row r="1305" customFormat="false" ht="15" hidden="false" customHeight="true" outlineLevel="0" collapsed="false">
      <c r="A1305" s="4" t="s">
        <v>1481</v>
      </c>
      <c r="B1305" s="4" t="s">
        <v>121</v>
      </c>
      <c r="C1305" s="13" t="n">
        <v>45265</v>
      </c>
      <c r="D1305" s="13" t="n">
        <v>45274</v>
      </c>
      <c r="E1305" s="13" t="n">
        <v>45272</v>
      </c>
      <c r="F1305" s="4" t="n">
        <v>1871</v>
      </c>
      <c r="G1305" s="4" t="n">
        <v>1663</v>
      </c>
      <c r="H1305" s="4" t="n">
        <v>206.07</v>
      </c>
      <c r="I1305" s="4" t="n">
        <v>222.68</v>
      </c>
      <c r="J1305" s="14" t="n">
        <f aca="false">E1305-D1305</f>
        <v>-2</v>
      </c>
      <c r="K1305" s="14" t="n">
        <f aca="false">IF(J1305&lt;=0,1,0)</f>
        <v>1</v>
      </c>
      <c r="L1305" s="15" t="n">
        <f aca="false">IFERROR(G1305/F1305,0)</f>
        <v>0.888829502939605</v>
      </c>
      <c r="M1305" s="15" t="n">
        <f aca="false">IFERROR((I1305-H1305)/H1305,0)</f>
        <v>0.0806036783617218</v>
      </c>
      <c r="N1305" s="16" t="n">
        <f aca="false">G1305*I1305</f>
        <v>370316.84</v>
      </c>
    </row>
    <row r="1306" customFormat="false" ht="15" hidden="false" customHeight="true" outlineLevel="0" collapsed="false">
      <c r="A1306" s="4" t="s">
        <v>1482</v>
      </c>
      <c r="B1306" s="4" t="s">
        <v>131</v>
      </c>
      <c r="C1306" s="13" t="n">
        <v>45476</v>
      </c>
      <c r="D1306" s="13" t="n">
        <v>45488</v>
      </c>
      <c r="E1306" s="13" t="n">
        <v>45486</v>
      </c>
      <c r="F1306" s="4" t="n">
        <v>707</v>
      </c>
      <c r="G1306" s="4" t="n">
        <v>699</v>
      </c>
      <c r="H1306" s="4" t="n">
        <v>88.52</v>
      </c>
      <c r="I1306" s="4" t="n">
        <v>89.4</v>
      </c>
      <c r="J1306" s="14" t="n">
        <f aca="false">E1306-D1306</f>
        <v>-2</v>
      </c>
      <c r="K1306" s="14" t="n">
        <f aca="false">IF(J1306&lt;=0,1,0)</f>
        <v>1</v>
      </c>
      <c r="L1306" s="15" t="n">
        <f aca="false">IFERROR(G1306/F1306,0)</f>
        <v>0.988684582743989</v>
      </c>
      <c r="M1306" s="15" t="n">
        <f aca="false">IFERROR((I1306-H1306)/H1306,0)</f>
        <v>0.00994125621328524</v>
      </c>
      <c r="N1306" s="16" t="n">
        <f aca="false">G1306*I1306</f>
        <v>62490.6</v>
      </c>
    </row>
    <row r="1307" customFormat="false" ht="15" hidden="false" customHeight="true" outlineLevel="0" collapsed="false">
      <c r="A1307" s="4" t="s">
        <v>1483</v>
      </c>
      <c r="B1307" s="4" t="s">
        <v>97</v>
      </c>
      <c r="C1307" s="13" t="n">
        <v>44934</v>
      </c>
      <c r="D1307" s="13" t="n">
        <v>44944</v>
      </c>
      <c r="E1307" s="13" t="n">
        <v>44946</v>
      </c>
      <c r="F1307" s="4" t="n">
        <v>936</v>
      </c>
      <c r="G1307" s="4" t="n">
        <v>929</v>
      </c>
      <c r="H1307" s="4" t="n">
        <v>123.04</v>
      </c>
      <c r="I1307" s="4" t="n">
        <v>122.37</v>
      </c>
      <c r="J1307" s="14" t="n">
        <f aca="false">E1307-D1307</f>
        <v>2</v>
      </c>
      <c r="K1307" s="14" t="n">
        <f aca="false">IF(J1307&lt;=0,1,0)</f>
        <v>0</v>
      </c>
      <c r="L1307" s="15" t="n">
        <f aca="false">IFERROR(G1307/F1307,0)</f>
        <v>0.992521367521368</v>
      </c>
      <c r="M1307" s="15" t="n">
        <f aca="false">IFERROR((I1307-H1307)/H1307,0)</f>
        <v>-0.00544538361508454</v>
      </c>
      <c r="N1307" s="16" t="n">
        <f aca="false">G1307*I1307</f>
        <v>113681.73</v>
      </c>
    </row>
    <row r="1308" customFormat="false" ht="15" hidden="false" customHeight="true" outlineLevel="0" collapsed="false">
      <c r="A1308" s="4" t="s">
        <v>1484</v>
      </c>
      <c r="B1308" s="4" t="s">
        <v>151</v>
      </c>
      <c r="C1308" s="13" t="n">
        <v>44940</v>
      </c>
      <c r="D1308" s="13" t="n">
        <v>44946</v>
      </c>
      <c r="E1308" s="13" t="n">
        <v>44947</v>
      </c>
      <c r="F1308" s="4" t="n">
        <v>2</v>
      </c>
      <c r="G1308" s="4" t="n">
        <v>2</v>
      </c>
      <c r="H1308" s="4" t="n">
        <v>503.46</v>
      </c>
      <c r="I1308" s="4" t="n">
        <v>511.67</v>
      </c>
      <c r="J1308" s="14" t="n">
        <f aca="false">E1308-D1308</f>
        <v>1</v>
      </c>
      <c r="K1308" s="14" t="n">
        <f aca="false">IF(J1308&lt;=0,1,0)</f>
        <v>0</v>
      </c>
      <c r="L1308" s="15" t="n">
        <f aca="false">IFERROR(G1308/F1308,0)</f>
        <v>1</v>
      </c>
      <c r="M1308" s="15" t="n">
        <f aca="false">IFERROR((I1308-H1308)/H1308,0)</f>
        <v>0.0163071544909229</v>
      </c>
      <c r="N1308" s="16" t="n">
        <f aca="false">G1308*I1308</f>
        <v>1023.34</v>
      </c>
    </row>
    <row r="1309" customFormat="false" ht="15" hidden="false" customHeight="true" outlineLevel="0" collapsed="false">
      <c r="A1309" s="4" t="s">
        <v>1485</v>
      </c>
      <c r="B1309" s="4" t="s">
        <v>157</v>
      </c>
      <c r="C1309" s="13" t="n">
        <v>45371</v>
      </c>
      <c r="D1309" s="13" t="n">
        <v>45379</v>
      </c>
      <c r="E1309" s="13" t="n">
        <v>45377</v>
      </c>
      <c r="F1309" s="4" t="n">
        <v>3241</v>
      </c>
      <c r="G1309" s="4" t="n">
        <v>3054</v>
      </c>
      <c r="H1309" s="4" t="n">
        <v>13.1</v>
      </c>
      <c r="I1309" s="4" t="n">
        <v>13.42</v>
      </c>
      <c r="J1309" s="14" t="n">
        <f aca="false">E1309-D1309</f>
        <v>-2</v>
      </c>
      <c r="K1309" s="14" t="n">
        <f aca="false">IF(J1309&lt;=0,1,0)</f>
        <v>1</v>
      </c>
      <c r="L1309" s="15" t="n">
        <f aca="false">IFERROR(G1309/F1309,0)</f>
        <v>0.942301758716446</v>
      </c>
      <c r="M1309" s="15" t="n">
        <f aca="false">IFERROR((I1309-H1309)/H1309,0)</f>
        <v>0.0244274809160306</v>
      </c>
      <c r="N1309" s="16" t="n">
        <f aca="false">G1309*I1309</f>
        <v>40984.68</v>
      </c>
    </row>
    <row r="1310" customFormat="false" ht="15" hidden="false" customHeight="true" outlineLevel="0" collapsed="false">
      <c r="A1310" s="4" t="s">
        <v>1486</v>
      </c>
      <c r="B1310" s="4" t="s">
        <v>87</v>
      </c>
      <c r="C1310" s="13" t="n">
        <v>45645</v>
      </c>
      <c r="D1310" s="13" t="n">
        <v>45656</v>
      </c>
      <c r="E1310" s="13" t="n">
        <v>45653</v>
      </c>
      <c r="F1310" s="4" t="n">
        <v>276</v>
      </c>
      <c r="G1310" s="4" t="n">
        <v>271</v>
      </c>
      <c r="H1310" s="4" t="n">
        <v>161.95</v>
      </c>
      <c r="I1310" s="4" t="n">
        <v>196.37</v>
      </c>
      <c r="J1310" s="14" t="n">
        <f aca="false">E1310-D1310</f>
        <v>-3</v>
      </c>
      <c r="K1310" s="14" t="n">
        <f aca="false">IF(J1310&lt;=0,1,0)</f>
        <v>1</v>
      </c>
      <c r="L1310" s="15" t="n">
        <f aca="false">IFERROR(G1310/F1310,0)</f>
        <v>0.981884057971015</v>
      </c>
      <c r="M1310" s="15" t="n">
        <f aca="false">IFERROR((I1310-H1310)/H1310,0)</f>
        <v>0.212534732942266</v>
      </c>
      <c r="N1310" s="16" t="n">
        <f aca="false">G1310*I1310</f>
        <v>53216.27</v>
      </c>
    </row>
    <row r="1311" customFormat="false" ht="15" hidden="false" customHeight="true" outlineLevel="0" collapsed="false">
      <c r="A1311" s="4" t="s">
        <v>1487</v>
      </c>
      <c r="B1311" s="4" t="s">
        <v>133</v>
      </c>
      <c r="C1311" s="13" t="n">
        <v>45593</v>
      </c>
      <c r="D1311" s="13" t="n">
        <v>45602</v>
      </c>
      <c r="E1311" s="13" t="n">
        <v>45608</v>
      </c>
      <c r="F1311" s="4" t="n">
        <v>879</v>
      </c>
      <c r="G1311" s="4" t="n">
        <v>857</v>
      </c>
      <c r="H1311" s="4" t="n">
        <v>138.21</v>
      </c>
      <c r="I1311" s="4" t="n">
        <v>140.92</v>
      </c>
      <c r="J1311" s="14" t="n">
        <f aca="false">E1311-D1311</f>
        <v>6</v>
      </c>
      <c r="K1311" s="14" t="n">
        <f aca="false">IF(J1311&lt;=0,1,0)</f>
        <v>0</v>
      </c>
      <c r="L1311" s="15" t="n">
        <f aca="false">IFERROR(G1311/F1311,0)</f>
        <v>0.974971558589306</v>
      </c>
      <c r="M1311" s="15" t="n">
        <f aca="false">IFERROR((I1311-H1311)/H1311,0)</f>
        <v>0.0196078431372548</v>
      </c>
      <c r="N1311" s="16" t="n">
        <f aca="false">G1311*I1311</f>
        <v>120768.44</v>
      </c>
    </row>
    <row r="1312" customFormat="false" ht="15" hidden="false" customHeight="true" outlineLevel="0" collapsed="false">
      <c r="A1312" s="4" t="s">
        <v>1488</v>
      </c>
      <c r="B1312" s="4" t="s">
        <v>61</v>
      </c>
      <c r="C1312" s="13" t="n">
        <v>45461</v>
      </c>
      <c r="D1312" s="13" t="n">
        <v>45471</v>
      </c>
      <c r="E1312" s="13" t="n">
        <v>45481</v>
      </c>
      <c r="F1312" s="4" t="n">
        <v>493</v>
      </c>
      <c r="G1312" s="4" t="n">
        <v>493</v>
      </c>
      <c r="H1312" s="4" t="n">
        <v>107.41</v>
      </c>
      <c r="I1312" s="4" t="n">
        <v>107.89</v>
      </c>
      <c r="J1312" s="14" t="n">
        <f aca="false">E1312-D1312</f>
        <v>10</v>
      </c>
      <c r="K1312" s="14" t="n">
        <f aca="false">IF(J1312&lt;=0,1,0)</f>
        <v>0</v>
      </c>
      <c r="L1312" s="15" t="n">
        <f aca="false">IFERROR(G1312/F1312,0)</f>
        <v>1</v>
      </c>
      <c r="M1312" s="15" t="n">
        <f aca="false">IFERROR((I1312-H1312)/H1312,0)</f>
        <v>0.0044688576482637</v>
      </c>
      <c r="N1312" s="16" t="n">
        <f aca="false">G1312*I1312</f>
        <v>53189.77</v>
      </c>
    </row>
    <row r="1313" customFormat="false" ht="15" hidden="false" customHeight="true" outlineLevel="0" collapsed="false">
      <c r="A1313" s="4" t="s">
        <v>1489</v>
      </c>
      <c r="B1313" s="4" t="s">
        <v>32</v>
      </c>
      <c r="C1313" s="13" t="n">
        <v>45107</v>
      </c>
      <c r="D1313" s="13" t="n">
        <v>45116</v>
      </c>
      <c r="E1313" s="13" t="n">
        <v>45116</v>
      </c>
      <c r="F1313" s="4" t="n">
        <v>3668</v>
      </c>
      <c r="G1313" s="4" t="n">
        <v>3422</v>
      </c>
      <c r="H1313" s="4" t="n">
        <v>32.49</v>
      </c>
      <c r="I1313" s="4" t="n">
        <v>32.76</v>
      </c>
      <c r="J1313" s="14" t="n">
        <f aca="false">E1313-D1313</f>
        <v>0</v>
      </c>
      <c r="K1313" s="14" t="n">
        <f aca="false">IF(J1313&lt;=0,1,0)</f>
        <v>1</v>
      </c>
      <c r="L1313" s="15" t="n">
        <f aca="false">IFERROR(G1313/F1313,0)</f>
        <v>0.932933478735005</v>
      </c>
      <c r="M1313" s="15" t="n">
        <f aca="false">IFERROR((I1313-H1313)/H1313,0)</f>
        <v>0.0083102493074791</v>
      </c>
      <c r="N1313" s="16" t="n">
        <f aca="false">G1313*I1313</f>
        <v>112104.72</v>
      </c>
    </row>
    <row r="1314" customFormat="false" ht="15" hidden="false" customHeight="true" outlineLevel="0" collapsed="false">
      <c r="A1314" s="4" t="s">
        <v>1490</v>
      </c>
      <c r="B1314" s="4" t="s">
        <v>147</v>
      </c>
      <c r="C1314" s="13" t="n">
        <v>45091</v>
      </c>
      <c r="D1314" s="13" t="n">
        <v>45104</v>
      </c>
      <c r="E1314" s="13" t="n">
        <v>45107</v>
      </c>
      <c r="F1314" s="4" t="n">
        <v>114</v>
      </c>
      <c r="G1314" s="4" t="n">
        <v>113</v>
      </c>
      <c r="H1314" s="4" t="n">
        <v>203.3</v>
      </c>
      <c r="I1314" s="4" t="n">
        <v>205.29</v>
      </c>
      <c r="J1314" s="14" t="n">
        <f aca="false">E1314-D1314</f>
        <v>3</v>
      </c>
      <c r="K1314" s="14" t="n">
        <f aca="false">IF(J1314&lt;=0,1,0)</f>
        <v>0</v>
      </c>
      <c r="L1314" s="15" t="n">
        <f aca="false">IFERROR(G1314/F1314,0)</f>
        <v>0.991228070175439</v>
      </c>
      <c r="M1314" s="15" t="n">
        <f aca="false">IFERROR((I1314-H1314)/H1314,0)</f>
        <v>0.00978848991637964</v>
      </c>
      <c r="N1314" s="16" t="n">
        <f aca="false">G1314*I1314</f>
        <v>23197.77</v>
      </c>
    </row>
    <row r="1315" customFormat="false" ht="15" hidden="false" customHeight="true" outlineLevel="0" collapsed="false">
      <c r="A1315" s="4" t="s">
        <v>1491</v>
      </c>
      <c r="B1315" s="4" t="s">
        <v>119</v>
      </c>
      <c r="C1315" s="13" t="n">
        <v>45404</v>
      </c>
      <c r="D1315" s="13" t="n">
        <v>45413</v>
      </c>
      <c r="E1315" s="13" t="n">
        <v>45414</v>
      </c>
      <c r="F1315" s="4" t="n">
        <v>1497</v>
      </c>
      <c r="G1315" s="4" t="n">
        <v>1467</v>
      </c>
      <c r="H1315" s="4" t="n">
        <v>50.92</v>
      </c>
      <c r="I1315" s="4" t="n">
        <v>47.63</v>
      </c>
      <c r="J1315" s="14" t="n">
        <f aca="false">E1315-D1315</f>
        <v>1</v>
      </c>
      <c r="K1315" s="14" t="n">
        <f aca="false">IF(J1315&lt;=0,1,0)</f>
        <v>0</v>
      </c>
      <c r="L1315" s="15" t="n">
        <f aca="false">IFERROR(G1315/F1315,0)</f>
        <v>0.979959919839679</v>
      </c>
      <c r="M1315" s="15" t="n">
        <f aca="false">IFERROR((I1315-H1315)/H1315,0)</f>
        <v>-0.064611154752553</v>
      </c>
      <c r="N1315" s="16" t="n">
        <f aca="false">G1315*I1315</f>
        <v>69873.21</v>
      </c>
    </row>
    <row r="1316" customFormat="false" ht="15" hidden="false" customHeight="true" outlineLevel="0" collapsed="false">
      <c r="A1316" s="4" t="s">
        <v>1492</v>
      </c>
      <c r="B1316" s="4" t="s">
        <v>37</v>
      </c>
      <c r="C1316" s="13" t="n">
        <v>44929</v>
      </c>
      <c r="D1316" s="13" t="n">
        <v>44936</v>
      </c>
      <c r="E1316" s="13" t="n">
        <v>44933</v>
      </c>
      <c r="F1316" s="4" t="n">
        <v>4987</v>
      </c>
      <c r="G1316" s="4" t="n">
        <v>4830</v>
      </c>
      <c r="H1316" s="4" t="n">
        <v>22.26</v>
      </c>
      <c r="I1316" s="4" t="n">
        <v>22.34</v>
      </c>
      <c r="J1316" s="14" t="n">
        <f aca="false">E1316-D1316</f>
        <v>-3</v>
      </c>
      <c r="K1316" s="14" t="n">
        <f aca="false">IF(J1316&lt;=0,1,0)</f>
        <v>1</v>
      </c>
      <c r="L1316" s="15" t="n">
        <f aca="false">IFERROR(G1316/F1316,0)</f>
        <v>0.968518147182675</v>
      </c>
      <c r="M1316" s="15" t="n">
        <f aca="false">IFERROR((I1316-H1316)/H1316,0)</f>
        <v>0.00359389038634314</v>
      </c>
      <c r="N1316" s="16" t="n">
        <f aca="false">G1316*I1316</f>
        <v>107902.2</v>
      </c>
    </row>
    <row r="1317" customFormat="false" ht="15" hidden="false" customHeight="true" outlineLevel="0" collapsed="false">
      <c r="A1317" s="4" t="s">
        <v>1493</v>
      </c>
      <c r="B1317" s="4" t="s">
        <v>113</v>
      </c>
      <c r="C1317" s="13" t="n">
        <v>45487</v>
      </c>
      <c r="D1317" s="13" t="n">
        <v>45498</v>
      </c>
      <c r="E1317" s="13" t="n">
        <v>45501</v>
      </c>
      <c r="F1317" s="4" t="n">
        <v>1142</v>
      </c>
      <c r="G1317" s="4" t="n">
        <v>1098</v>
      </c>
      <c r="H1317" s="4" t="n">
        <v>170.42</v>
      </c>
      <c r="I1317" s="4" t="n">
        <v>172.1</v>
      </c>
      <c r="J1317" s="14" t="n">
        <f aca="false">E1317-D1317</f>
        <v>3</v>
      </c>
      <c r="K1317" s="14" t="n">
        <f aca="false">IF(J1317&lt;=0,1,0)</f>
        <v>0</v>
      </c>
      <c r="L1317" s="15" t="n">
        <f aca="false">IFERROR(G1317/F1317,0)</f>
        <v>0.961471103327496</v>
      </c>
      <c r="M1317" s="15" t="n">
        <f aca="false">IFERROR((I1317-H1317)/H1317,0)</f>
        <v>0.00985799788757192</v>
      </c>
      <c r="N1317" s="16" t="n">
        <f aca="false">G1317*I1317</f>
        <v>188965.8</v>
      </c>
    </row>
    <row r="1318" customFormat="false" ht="15" hidden="false" customHeight="true" outlineLevel="0" collapsed="false">
      <c r="A1318" s="4" t="s">
        <v>1494</v>
      </c>
      <c r="B1318" s="4" t="s">
        <v>123</v>
      </c>
      <c r="C1318" s="13" t="n">
        <v>45512</v>
      </c>
      <c r="D1318" s="13" t="n">
        <v>45525</v>
      </c>
      <c r="E1318" s="13" t="n">
        <v>45525</v>
      </c>
      <c r="F1318" s="4" t="n">
        <v>270</v>
      </c>
      <c r="G1318" s="4" t="n">
        <v>264</v>
      </c>
      <c r="H1318" s="4" t="n">
        <v>214.07</v>
      </c>
      <c r="I1318" s="4" t="n">
        <v>250</v>
      </c>
      <c r="J1318" s="14" t="n">
        <f aca="false">E1318-D1318</f>
        <v>0</v>
      </c>
      <c r="K1318" s="14" t="n">
        <f aca="false">IF(J1318&lt;=0,1,0)</f>
        <v>1</v>
      </c>
      <c r="L1318" s="15" t="n">
        <f aca="false">IFERROR(G1318/F1318,0)</f>
        <v>0.977777777777778</v>
      </c>
      <c r="M1318" s="15" t="n">
        <f aca="false">IFERROR((I1318-H1318)/H1318,0)</f>
        <v>0.16784229457654</v>
      </c>
      <c r="N1318" s="16" t="n">
        <f aca="false">G1318*I1318</f>
        <v>66000</v>
      </c>
    </row>
    <row r="1319" customFormat="false" ht="15" hidden="false" customHeight="true" outlineLevel="0" collapsed="false">
      <c r="A1319" s="4" t="s">
        <v>1495</v>
      </c>
      <c r="B1319" s="4" t="s">
        <v>117</v>
      </c>
      <c r="C1319" s="13" t="n">
        <v>45037</v>
      </c>
      <c r="D1319" s="13" t="n">
        <v>45050</v>
      </c>
      <c r="E1319" s="13" t="n">
        <v>45057</v>
      </c>
      <c r="F1319" s="4" t="n">
        <v>108</v>
      </c>
      <c r="G1319" s="4" t="n">
        <v>100</v>
      </c>
      <c r="H1319" s="4" t="n">
        <v>396.01</v>
      </c>
      <c r="I1319" s="4" t="n">
        <v>395.16</v>
      </c>
      <c r="J1319" s="14" t="n">
        <f aca="false">E1319-D1319</f>
        <v>7</v>
      </c>
      <c r="K1319" s="14" t="n">
        <f aca="false">IF(J1319&lt;=0,1,0)</f>
        <v>0</v>
      </c>
      <c r="L1319" s="15" t="n">
        <f aca="false">IFERROR(G1319/F1319,0)</f>
        <v>0.925925925925926</v>
      </c>
      <c r="M1319" s="15" t="n">
        <f aca="false">IFERROR((I1319-H1319)/H1319,0)</f>
        <v>-0.00214641044418062</v>
      </c>
      <c r="N1319" s="16" t="n">
        <f aca="false">G1319*I1319</f>
        <v>39516</v>
      </c>
    </row>
    <row r="1320" customFormat="false" ht="15" hidden="false" customHeight="true" outlineLevel="0" collapsed="false">
      <c r="A1320" s="4" t="s">
        <v>1496</v>
      </c>
      <c r="B1320" s="4" t="s">
        <v>83</v>
      </c>
      <c r="C1320" s="13" t="n">
        <v>45239</v>
      </c>
      <c r="D1320" s="13" t="n">
        <v>45251</v>
      </c>
      <c r="E1320" s="13" t="n">
        <v>45253</v>
      </c>
      <c r="F1320" s="4" t="n">
        <v>337</v>
      </c>
      <c r="G1320" s="4" t="n">
        <v>334</v>
      </c>
      <c r="H1320" s="4" t="n">
        <v>101.36</v>
      </c>
      <c r="I1320" s="4" t="n">
        <v>104.02</v>
      </c>
      <c r="J1320" s="14" t="n">
        <f aca="false">E1320-D1320</f>
        <v>2</v>
      </c>
      <c r="K1320" s="14" t="n">
        <f aca="false">IF(J1320&lt;=0,1,0)</f>
        <v>0</v>
      </c>
      <c r="L1320" s="15" t="n">
        <f aca="false">IFERROR(G1320/F1320,0)</f>
        <v>0.991097922848665</v>
      </c>
      <c r="M1320" s="15" t="n">
        <f aca="false">IFERROR((I1320-H1320)/H1320,0)</f>
        <v>0.0262430939226519</v>
      </c>
      <c r="N1320" s="16" t="n">
        <f aca="false">G1320*I1320</f>
        <v>34742.68</v>
      </c>
    </row>
    <row r="1321" customFormat="false" ht="15" hidden="false" customHeight="true" outlineLevel="0" collapsed="false">
      <c r="A1321" s="4" t="s">
        <v>1497</v>
      </c>
      <c r="B1321" s="4" t="s">
        <v>153</v>
      </c>
      <c r="C1321" s="13" t="n">
        <v>45230</v>
      </c>
      <c r="D1321" s="13" t="n">
        <v>45248</v>
      </c>
      <c r="E1321" s="13" t="n">
        <v>45250</v>
      </c>
      <c r="F1321" s="4" t="n">
        <v>409</v>
      </c>
      <c r="G1321" s="4" t="n">
        <v>377</v>
      </c>
      <c r="H1321" s="4" t="n">
        <v>1492.04</v>
      </c>
      <c r="I1321" s="4" t="n">
        <v>1527.05</v>
      </c>
      <c r="J1321" s="14" t="n">
        <f aca="false">E1321-D1321</f>
        <v>2</v>
      </c>
      <c r="K1321" s="14" t="n">
        <f aca="false">IF(J1321&lt;=0,1,0)</f>
        <v>0</v>
      </c>
      <c r="L1321" s="15" t="n">
        <f aca="false">IFERROR(G1321/F1321,0)</f>
        <v>0.921760391198044</v>
      </c>
      <c r="M1321" s="15" t="n">
        <f aca="false">IFERROR((I1321-H1321)/H1321,0)</f>
        <v>0.0234645183775234</v>
      </c>
      <c r="N1321" s="16" t="n">
        <f aca="false">G1321*I1321</f>
        <v>575697.85</v>
      </c>
    </row>
    <row r="1322" customFormat="false" ht="15" hidden="false" customHeight="true" outlineLevel="0" collapsed="false">
      <c r="A1322" s="4" t="s">
        <v>1498</v>
      </c>
      <c r="B1322" s="4" t="s">
        <v>163</v>
      </c>
      <c r="C1322" s="13" t="n">
        <v>45009</v>
      </c>
      <c r="D1322" s="13" t="n">
        <v>45029</v>
      </c>
      <c r="E1322" s="13" t="n">
        <v>45025</v>
      </c>
      <c r="F1322" s="4" t="n">
        <v>440</v>
      </c>
      <c r="G1322" s="4" t="n">
        <v>439</v>
      </c>
      <c r="H1322" s="4" t="n">
        <v>482.79</v>
      </c>
      <c r="I1322" s="4" t="n">
        <v>489.95</v>
      </c>
      <c r="J1322" s="14" t="n">
        <f aca="false">E1322-D1322</f>
        <v>-4</v>
      </c>
      <c r="K1322" s="14" t="n">
        <f aca="false">IF(J1322&lt;=0,1,0)</f>
        <v>1</v>
      </c>
      <c r="L1322" s="15" t="n">
        <f aca="false">IFERROR(G1322/F1322,0)</f>
        <v>0.997727272727273</v>
      </c>
      <c r="M1322" s="15" t="n">
        <f aca="false">IFERROR((I1322-H1322)/H1322,0)</f>
        <v>0.0148304645912301</v>
      </c>
      <c r="N1322" s="16" t="n">
        <f aca="false">G1322*I1322</f>
        <v>215088.05</v>
      </c>
    </row>
    <row r="1323" customFormat="false" ht="15" hidden="false" customHeight="true" outlineLevel="0" collapsed="false">
      <c r="A1323" s="4" t="s">
        <v>1499</v>
      </c>
      <c r="B1323" s="4" t="s">
        <v>153</v>
      </c>
      <c r="C1323" s="13" t="n">
        <v>45545</v>
      </c>
      <c r="D1323" s="13" t="n">
        <v>45564</v>
      </c>
      <c r="E1323" s="13" t="n">
        <v>45569</v>
      </c>
      <c r="F1323" s="4" t="n">
        <v>422</v>
      </c>
      <c r="G1323" s="4" t="n">
        <v>369</v>
      </c>
      <c r="H1323" s="4" t="n">
        <v>1492.04</v>
      </c>
      <c r="I1323" s="4" t="n">
        <v>1561.78</v>
      </c>
      <c r="J1323" s="14" t="n">
        <f aca="false">E1323-D1323</f>
        <v>5</v>
      </c>
      <c r="K1323" s="14" t="n">
        <f aca="false">IF(J1323&lt;=0,1,0)</f>
        <v>0</v>
      </c>
      <c r="L1323" s="15" t="n">
        <f aca="false">IFERROR(G1323/F1323,0)</f>
        <v>0.874407582938389</v>
      </c>
      <c r="M1323" s="15" t="n">
        <f aca="false">IFERROR((I1323-H1323)/H1323,0)</f>
        <v>0.0467413742258921</v>
      </c>
      <c r="N1323" s="16" t="n">
        <f aca="false">G1323*I1323</f>
        <v>576296.82</v>
      </c>
    </row>
    <row r="1324" customFormat="false" ht="15" hidden="false" customHeight="true" outlineLevel="0" collapsed="false">
      <c r="A1324" s="4" t="s">
        <v>1500</v>
      </c>
      <c r="B1324" s="4" t="s">
        <v>141</v>
      </c>
      <c r="C1324" s="13" t="n">
        <v>45058</v>
      </c>
      <c r="D1324" s="13" t="n">
        <v>45077</v>
      </c>
      <c r="E1324" s="13" t="n">
        <v>45077</v>
      </c>
      <c r="F1324" s="4" t="n">
        <v>176</v>
      </c>
      <c r="G1324" s="4" t="n">
        <v>176</v>
      </c>
      <c r="H1324" s="4" t="n">
        <v>1252.36</v>
      </c>
      <c r="I1324" s="4" t="n">
        <v>1259.73</v>
      </c>
      <c r="J1324" s="14" t="n">
        <f aca="false">E1324-D1324</f>
        <v>0</v>
      </c>
      <c r="K1324" s="14" t="n">
        <f aca="false">IF(J1324&lt;=0,1,0)</f>
        <v>1</v>
      </c>
      <c r="L1324" s="15" t="n">
        <f aca="false">IFERROR(G1324/F1324,0)</f>
        <v>1</v>
      </c>
      <c r="M1324" s="15" t="n">
        <f aca="false">IFERROR((I1324-H1324)/H1324,0)</f>
        <v>0.00588488932894704</v>
      </c>
      <c r="N1324" s="16" t="n">
        <f aca="false">G1324*I1324</f>
        <v>221712.48</v>
      </c>
    </row>
    <row r="1325" customFormat="false" ht="15" hidden="false" customHeight="true" outlineLevel="0" collapsed="false">
      <c r="A1325" s="4" t="s">
        <v>1501</v>
      </c>
      <c r="B1325" s="4" t="s">
        <v>161</v>
      </c>
      <c r="C1325" s="13" t="n">
        <v>45310</v>
      </c>
      <c r="D1325" s="13" t="n">
        <v>45320</v>
      </c>
      <c r="E1325" s="13" t="n">
        <v>45320</v>
      </c>
      <c r="F1325" s="4" t="n">
        <v>1814</v>
      </c>
      <c r="G1325" s="4" t="n">
        <v>1814</v>
      </c>
      <c r="H1325" s="4" t="n">
        <v>101.94</v>
      </c>
      <c r="I1325" s="4" t="n">
        <v>109.31</v>
      </c>
      <c r="J1325" s="14" t="n">
        <f aca="false">E1325-D1325</f>
        <v>0</v>
      </c>
      <c r="K1325" s="14" t="n">
        <f aca="false">IF(J1325&lt;=0,1,0)</f>
        <v>1</v>
      </c>
      <c r="L1325" s="15" t="n">
        <f aca="false">IFERROR(G1325/F1325,0)</f>
        <v>1</v>
      </c>
      <c r="M1325" s="15" t="n">
        <f aca="false">IFERROR((I1325-H1325)/H1325,0)</f>
        <v>0.0722974298607024</v>
      </c>
      <c r="N1325" s="16" t="n">
        <f aca="false">G1325*I1325</f>
        <v>198288.34</v>
      </c>
    </row>
    <row r="1326" customFormat="false" ht="15" hidden="false" customHeight="true" outlineLevel="0" collapsed="false">
      <c r="A1326" s="4" t="s">
        <v>1502</v>
      </c>
      <c r="B1326" s="4" t="s">
        <v>41</v>
      </c>
      <c r="C1326" s="13" t="n">
        <v>45482</v>
      </c>
      <c r="D1326" s="13" t="n">
        <v>45490</v>
      </c>
      <c r="E1326" s="13" t="n">
        <v>45491</v>
      </c>
      <c r="F1326" s="4" t="n">
        <v>3428</v>
      </c>
      <c r="G1326" s="4" t="n">
        <v>3428</v>
      </c>
      <c r="H1326" s="4" t="n">
        <v>45.51</v>
      </c>
      <c r="I1326" s="4" t="n">
        <v>43.88</v>
      </c>
      <c r="J1326" s="14" t="n">
        <f aca="false">E1326-D1326</f>
        <v>1</v>
      </c>
      <c r="K1326" s="14" t="n">
        <f aca="false">IF(J1326&lt;=0,1,0)</f>
        <v>0</v>
      </c>
      <c r="L1326" s="15" t="n">
        <f aca="false">IFERROR(G1326/F1326,0)</f>
        <v>1</v>
      </c>
      <c r="M1326" s="15" t="n">
        <f aca="false">IFERROR((I1326-H1326)/H1326,0)</f>
        <v>-0.0358163041089869</v>
      </c>
      <c r="N1326" s="16" t="n">
        <f aca="false">G1326*I1326</f>
        <v>150420.64</v>
      </c>
    </row>
    <row r="1327" customFormat="false" ht="15" hidden="false" customHeight="true" outlineLevel="0" collapsed="false">
      <c r="A1327" s="4" t="s">
        <v>1503</v>
      </c>
      <c r="B1327" s="4" t="s">
        <v>119</v>
      </c>
      <c r="C1327" s="13" t="n">
        <v>45088</v>
      </c>
      <c r="D1327" s="13" t="n">
        <v>45096</v>
      </c>
      <c r="E1327" s="13" t="n">
        <v>45099</v>
      </c>
      <c r="F1327" s="4" t="n">
        <v>609</v>
      </c>
      <c r="G1327" s="4" t="n">
        <v>609</v>
      </c>
      <c r="H1327" s="4" t="n">
        <v>50.92</v>
      </c>
      <c r="I1327" s="4" t="n">
        <v>50.38</v>
      </c>
      <c r="J1327" s="14" t="n">
        <f aca="false">E1327-D1327</f>
        <v>3</v>
      </c>
      <c r="K1327" s="14" t="n">
        <f aca="false">IF(J1327&lt;=0,1,0)</f>
        <v>0</v>
      </c>
      <c r="L1327" s="15" t="n">
        <f aca="false">IFERROR(G1327/F1327,0)</f>
        <v>1</v>
      </c>
      <c r="M1327" s="15" t="n">
        <f aca="false">IFERROR((I1327-H1327)/H1327,0)</f>
        <v>-0.0106048703849175</v>
      </c>
      <c r="N1327" s="16" t="n">
        <f aca="false">G1327*I1327</f>
        <v>30681.42</v>
      </c>
    </row>
    <row r="1328" customFormat="false" ht="15" hidden="false" customHeight="true" outlineLevel="0" collapsed="false">
      <c r="A1328" s="4" t="s">
        <v>1504</v>
      </c>
      <c r="B1328" s="4" t="s">
        <v>149</v>
      </c>
      <c r="C1328" s="13" t="n">
        <v>45312</v>
      </c>
      <c r="D1328" s="13" t="n">
        <v>45319</v>
      </c>
      <c r="E1328" s="13" t="n">
        <v>45323</v>
      </c>
      <c r="F1328" s="4" t="n">
        <v>2</v>
      </c>
      <c r="G1328" s="4" t="n">
        <v>2</v>
      </c>
      <c r="H1328" s="4" t="n">
        <v>1458.52</v>
      </c>
      <c r="I1328" s="4" t="n">
        <v>1469.75</v>
      </c>
      <c r="J1328" s="14" t="n">
        <f aca="false">E1328-D1328</f>
        <v>4</v>
      </c>
      <c r="K1328" s="14" t="n">
        <f aca="false">IF(J1328&lt;=0,1,0)</f>
        <v>0</v>
      </c>
      <c r="L1328" s="15" t="n">
        <f aca="false">IFERROR(G1328/F1328,0)</f>
        <v>1</v>
      </c>
      <c r="M1328" s="15" t="n">
        <f aca="false">IFERROR((I1328-H1328)/H1328,0)</f>
        <v>0.0076995858815786</v>
      </c>
      <c r="N1328" s="16" t="n">
        <f aca="false">G1328*I1328</f>
        <v>2939.5</v>
      </c>
    </row>
    <row r="1329" customFormat="false" ht="15" hidden="false" customHeight="true" outlineLevel="0" collapsed="false">
      <c r="A1329" s="4" t="s">
        <v>1505</v>
      </c>
      <c r="B1329" s="4" t="s">
        <v>70</v>
      </c>
      <c r="C1329" s="13" t="n">
        <v>45061</v>
      </c>
      <c r="D1329" s="13" t="n">
        <v>45068</v>
      </c>
      <c r="E1329" s="13" t="n">
        <v>45066</v>
      </c>
      <c r="F1329" s="4" t="n">
        <v>1037</v>
      </c>
      <c r="G1329" s="4" t="n">
        <v>934</v>
      </c>
      <c r="H1329" s="4" t="n">
        <v>35.88</v>
      </c>
      <c r="I1329" s="4" t="n">
        <v>35.77</v>
      </c>
      <c r="J1329" s="14" t="n">
        <f aca="false">E1329-D1329</f>
        <v>-2</v>
      </c>
      <c r="K1329" s="14" t="n">
        <f aca="false">IF(J1329&lt;=0,1,0)</f>
        <v>1</v>
      </c>
      <c r="L1329" s="15" t="n">
        <f aca="false">IFERROR(G1329/F1329,0)</f>
        <v>0.900675024108004</v>
      </c>
      <c r="M1329" s="15" t="n">
        <f aca="false">IFERROR((I1329-H1329)/H1329,0)</f>
        <v>-0.00306577480490522</v>
      </c>
      <c r="N1329" s="16" t="n">
        <f aca="false">G1329*I1329</f>
        <v>33409.18</v>
      </c>
    </row>
    <row r="1330" customFormat="false" ht="15" hidden="false" customHeight="true" outlineLevel="0" collapsed="false">
      <c r="A1330" s="4" t="s">
        <v>1506</v>
      </c>
      <c r="B1330" s="4" t="s">
        <v>65</v>
      </c>
      <c r="C1330" s="13" t="n">
        <v>45603</v>
      </c>
      <c r="D1330" s="13" t="n">
        <v>45623</v>
      </c>
      <c r="E1330" s="13" t="n">
        <v>45625</v>
      </c>
      <c r="F1330" s="4" t="n">
        <v>110</v>
      </c>
      <c r="G1330" s="4" t="n">
        <v>110</v>
      </c>
      <c r="H1330" s="4" t="n">
        <v>1365.59</v>
      </c>
      <c r="I1330" s="4" t="n">
        <v>1352.89</v>
      </c>
      <c r="J1330" s="14" t="n">
        <f aca="false">E1330-D1330</f>
        <v>2</v>
      </c>
      <c r="K1330" s="14" t="n">
        <f aca="false">IF(J1330&lt;=0,1,0)</f>
        <v>0</v>
      </c>
      <c r="L1330" s="15" t="n">
        <f aca="false">IFERROR(G1330/F1330,0)</f>
        <v>1</v>
      </c>
      <c r="M1330" s="15" t="n">
        <f aca="false">IFERROR((I1330-H1330)/H1330,0)</f>
        <v>-0.00930000951969465</v>
      </c>
      <c r="N1330" s="16" t="n">
        <f aca="false">G1330*I1330</f>
        <v>148817.9</v>
      </c>
    </row>
    <row r="1331" customFormat="false" ht="15" hidden="false" customHeight="true" outlineLevel="0" collapsed="false">
      <c r="A1331" s="4" t="s">
        <v>1507</v>
      </c>
      <c r="B1331" s="4" t="s">
        <v>77</v>
      </c>
      <c r="C1331" s="13" t="n">
        <v>45318</v>
      </c>
      <c r="D1331" s="13" t="n">
        <v>45326</v>
      </c>
      <c r="E1331" s="13" t="n">
        <v>45339</v>
      </c>
      <c r="F1331" s="4" t="n">
        <v>2235</v>
      </c>
      <c r="G1331" s="4" t="n">
        <v>2156</v>
      </c>
      <c r="H1331" s="4" t="n">
        <v>36.83</v>
      </c>
      <c r="I1331" s="4" t="n">
        <v>35.69</v>
      </c>
      <c r="J1331" s="14" t="n">
        <f aca="false">E1331-D1331</f>
        <v>13</v>
      </c>
      <c r="K1331" s="14" t="n">
        <f aca="false">IF(J1331&lt;=0,1,0)</f>
        <v>0</v>
      </c>
      <c r="L1331" s="15" t="n">
        <f aca="false">IFERROR(G1331/F1331,0)</f>
        <v>0.964653243847875</v>
      </c>
      <c r="M1331" s="15" t="n">
        <f aca="false">IFERROR((I1331-H1331)/H1331,0)</f>
        <v>-0.0309530274232962</v>
      </c>
      <c r="N1331" s="16" t="n">
        <f aca="false">G1331*I1331</f>
        <v>76947.64</v>
      </c>
    </row>
    <row r="1332" customFormat="false" ht="15" hidden="false" customHeight="true" outlineLevel="0" collapsed="false">
      <c r="A1332" s="4" t="s">
        <v>1508</v>
      </c>
      <c r="B1332" s="4" t="s">
        <v>63</v>
      </c>
      <c r="C1332" s="13" t="n">
        <v>45211</v>
      </c>
      <c r="D1332" s="13" t="n">
        <v>45223</v>
      </c>
      <c r="E1332" s="13" t="n">
        <v>45225</v>
      </c>
      <c r="F1332" s="4" t="n">
        <v>1688</v>
      </c>
      <c r="G1332" s="4" t="n">
        <v>1516</v>
      </c>
      <c r="H1332" s="4" t="n">
        <v>239.8</v>
      </c>
      <c r="I1332" s="4" t="n">
        <v>253.22</v>
      </c>
      <c r="J1332" s="14" t="n">
        <f aca="false">E1332-D1332</f>
        <v>2</v>
      </c>
      <c r="K1332" s="14" t="n">
        <f aca="false">IF(J1332&lt;=0,1,0)</f>
        <v>0</v>
      </c>
      <c r="L1332" s="15" t="n">
        <f aca="false">IFERROR(G1332/F1332,0)</f>
        <v>0.898104265402844</v>
      </c>
      <c r="M1332" s="15" t="n">
        <f aca="false">IFERROR((I1332-H1332)/H1332,0)</f>
        <v>0.0559633027522935</v>
      </c>
      <c r="N1332" s="16" t="n">
        <f aca="false">G1332*I1332</f>
        <v>383881.52</v>
      </c>
    </row>
    <row r="1333" customFormat="false" ht="15" hidden="false" customHeight="true" outlineLevel="0" collapsed="false">
      <c r="A1333" s="4" t="s">
        <v>1509</v>
      </c>
      <c r="B1333" s="4" t="s">
        <v>81</v>
      </c>
      <c r="C1333" s="13" t="n">
        <v>45146</v>
      </c>
      <c r="D1333" s="13" t="n">
        <v>45151</v>
      </c>
      <c r="E1333" s="13" t="n">
        <v>45148</v>
      </c>
      <c r="F1333" s="4" t="n">
        <v>3</v>
      </c>
      <c r="G1333" s="4" t="n">
        <v>3</v>
      </c>
      <c r="H1333" s="4" t="n">
        <v>697.63</v>
      </c>
      <c r="I1333" s="4" t="n">
        <v>694.04</v>
      </c>
      <c r="J1333" s="14" t="n">
        <f aca="false">E1333-D1333</f>
        <v>-3</v>
      </c>
      <c r="K1333" s="14" t="n">
        <f aca="false">IF(J1333&lt;=0,1,0)</f>
        <v>1</v>
      </c>
      <c r="L1333" s="15" t="n">
        <f aca="false">IFERROR(G1333/F1333,0)</f>
        <v>1</v>
      </c>
      <c r="M1333" s="15" t="n">
        <f aca="false">IFERROR((I1333-H1333)/H1333,0)</f>
        <v>-0.00514599429497016</v>
      </c>
      <c r="N1333" s="16" t="n">
        <f aca="false">G1333*I1333</f>
        <v>2082.12</v>
      </c>
    </row>
    <row r="1334" customFormat="false" ht="15" hidden="false" customHeight="true" outlineLevel="0" collapsed="false">
      <c r="A1334" s="4" t="s">
        <v>1510</v>
      </c>
      <c r="B1334" s="4" t="s">
        <v>41</v>
      </c>
      <c r="C1334" s="13" t="n">
        <v>45619</v>
      </c>
      <c r="D1334" s="13" t="n">
        <v>45628</v>
      </c>
      <c r="E1334" s="13" t="n">
        <v>45628</v>
      </c>
      <c r="F1334" s="4" t="n">
        <v>1069</v>
      </c>
      <c r="G1334" s="4" t="n">
        <v>1054</v>
      </c>
      <c r="H1334" s="4" t="n">
        <v>45.51</v>
      </c>
      <c r="I1334" s="4" t="n">
        <v>44.23</v>
      </c>
      <c r="J1334" s="14" t="n">
        <f aca="false">E1334-D1334</f>
        <v>0</v>
      </c>
      <c r="K1334" s="14" t="n">
        <f aca="false">IF(J1334&lt;=0,1,0)</f>
        <v>1</v>
      </c>
      <c r="L1334" s="15" t="n">
        <f aca="false">IFERROR(G1334/F1334,0)</f>
        <v>0.985968194574369</v>
      </c>
      <c r="M1334" s="15" t="n">
        <f aca="false">IFERROR((I1334-H1334)/H1334,0)</f>
        <v>-0.0281256866622721</v>
      </c>
      <c r="N1334" s="16" t="n">
        <f aca="false">G1334*I1334</f>
        <v>46618.42</v>
      </c>
    </row>
    <row r="1335" customFormat="false" ht="15" hidden="false" customHeight="true" outlineLevel="0" collapsed="false">
      <c r="A1335" s="4" t="s">
        <v>1511</v>
      </c>
      <c r="B1335" s="4" t="s">
        <v>141</v>
      </c>
      <c r="C1335" s="13" t="n">
        <v>45342</v>
      </c>
      <c r="D1335" s="13" t="n">
        <v>45360</v>
      </c>
      <c r="E1335" s="13" t="n">
        <v>45363</v>
      </c>
      <c r="F1335" s="4" t="n">
        <v>110</v>
      </c>
      <c r="G1335" s="4" t="n">
        <v>110</v>
      </c>
      <c r="H1335" s="4" t="n">
        <v>1252.36</v>
      </c>
      <c r="I1335" s="4" t="n">
        <v>1238.8</v>
      </c>
      <c r="J1335" s="14" t="n">
        <f aca="false">E1335-D1335</f>
        <v>3</v>
      </c>
      <c r="K1335" s="14" t="n">
        <f aca="false">IF(J1335&lt;=0,1,0)</f>
        <v>0</v>
      </c>
      <c r="L1335" s="15" t="n">
        <f aca="false">IFERROR(G1335/F1335,0)</f>
        <v>1</v>
      </c>
      <c r="M1335" s="15" t="n">
        <f aca="false">IFERROR((I1335-H1335)/H1335,0)</f>
        <v>-0.0108275575713053</v>
      </c>
      <c r="N1335" s="16" t="n">
        <f aca="false">G1335*I1335</f>
        <v>136268</v>
      </c>
    </row>
    <row r="1336" customFormat="false" ht="15" hidden="false" customHeight="true" outlineLevel="0" collapsed="false">
      <c r="A1336" s="4" t="s">
        <v>1512</v>
      </c>
      <c r="B1336" s="4" t="s">
        <v>125</v>
      </c>
      <c r="C1336" s="13" t="n">
        <v>45070</v>
      </c>
      <c r="D1336" s="13" t="n">
        <v>45074</v>
      </c>
      <c r="E1336" s="13" t="n">
        <v>45075</v>
      </c>
      <c r="F1336" s="4" t="n">
        <v>3</v>
      </c>
      <c r="G1336" s="4" t="n">
        <v>3</v>
      </c>
      <c r="H1336" s="4" t="n">
        <v>729.32</v>
      </c>
      <c r="I1336" s="4" t="n">
        <v>744.15</v>
      </c>
      <c r="J1336" s="14" t="n">
        <f aca="false">E1336-D1336</f>
        <v>1</v>
      </c>
      <c r="K1336" s="14" t="n">
        <f aca="false">IF(J1336&lt;=0,1,0)</f>
        <v>0</v>
      </c>
      <c r="L1336" s="15" t="n">
        <f aca="false">IFERROR(G1336/F1336,0)</f>
        <v>1</v>
      </c>
      <c r="M1336" s="15" t="n">
        <f aca="false">IFERROR((I1336-H1336)/H1336,0)</f>
        <v>0.0203340097625184</v>
      </c>
      <c r="N1336" s="16" t="n">
        <f aca="false">G1336*I1336</f>
        <v>2232.45</v>
      </c>
    </row>
    <row r="1337" customFormat="false" ht="15" hidden="false" customHeight="true" outlineLevel="0" collapsed="false">
      <c r="A1337" s="4" t="s">
        <v>1513</v>
      </c>
      <c r="B1337" s="4" t="s">
        <v>55</v>
      </c>
      <c r="C1337" s="13" t="n">
        <v>45112</v>
      </c>
      <c r="D1337" s="13" t="n">
        <v>45130</v>
      </c>
      <c r="E1337" s="13" t="n">
        <v>45131</v>
      </c>
      <c r="F1337" s="4" t="n">
        <v>73</v>
      </c>
      <c r="G1337" s="4" t="n">
        <v>70</v>
      </c>
      <c r="H1337" s="4" t="n">
        <v>598.09</v>
      </c>
      <c r="I1337" s="4" t="n">
        <v>588.51</v>
      </c>
      <c r="J1337" s="14" t="n">
        <f aca="false">E1337-D1337</f>
        <v>1</v>
      </c>
      <c r="K1337" s="14" t="n">
        <f aca="false">IF(J1337&lt;=0,1,0)</f>
        <v>0</v>
      </c>
      <c r="L1337" s="15" t="n">
        <f aca="false">IFERROR(G1337/F1337,0)</f>
        <v>0.958904109589041</v>
      </c>
      <c r="M1337" s="15" t="n">
        <f aca="false">IFERROR((I1337-H1337)/H1337,0)</f>
        <v>-0.0160176562055879</v>
      </c>
      <c r="N1337" s="16" t="n">
        <f aca="false">G1337*I1337</f>
        <v>41195.7</v>
      </c>
    </row>
    <row r="1338" customFormat="false" ht="15" hidden="false" customHeight="true" outlineLevel="0" collapsed="false">
      <c r="A1338" s="4" t="s">
        <v>1514</v>
      </c>
      <c r="B1338" s="4" t="s">
        <v>155</v>
      </c>
      <c r="C1338" s="13" t="n">
        <v>45035</v>
      </c>
      <c r="D1338" s="13" t="n">
        <v>45044</v>
      </c>
      <c r="E1338" s="13" t="n">
        <v>45040</v>
      </c>
      <c r="F1338" s="4" t="n">
        <v>2274</v>
      </c>
      <c r="G1338" s="4" t="n">
        <v>2221</v>
      </c>
      <c r="H1338" s="4" t="n">
        <v>24.04</v>
      </c>
      <c r="I1338" s="4" t="n">
        <v>23.85</v>
      </c>
      <c r="J1338" s="14" t="n">
        <f aca="false">E1338-D1338</f>
        <v>-4</v>
      </c>
      <c r="K1338" s="14" t="n">
        <f aca="false">IF(J1338&lt;=0,1,0)</f>
        <v>1</v>
      </c>
      <c r="L1338" s="15" t="n">
        <f aca="false">IFERROR(G1338/F1338,0)</f>
        <v>0.976693051890941</v>
      </c>
      <c r="M1338" s="15" t="n">
        <f aca="false">IFERROR((I1338-H1338)/H1338,0)</f>
        <v>-0.00790349417637262</v>
      </c>
      <c r="N1338" s="16" t="n">
        <f aca="false">G1338*I1338</f>
        <v>52970.85</v>
      </c>
    </row>
    <row r="1339" customFormat="false" ht="15" hidden="false" customHeight="true" outlineLevel="0" collapsed="false">
      <c r="A1339" s="4" t="s">
        <v>1515</v>
      </c>
      <c r="B1339" s="4" t="s">
        <v>107</v>
      </c>
      <c r="C1339" s="13" t="n">
        <v>45528</v>
      </c>
      <c r="D1339" s="13" t="n">
        <v>45537</v>
      </c>
      <c r="E1339" s="13" t="n">
        <v>45546</v>
      </c>
      <c r="F1339" s="4" t="n">
        <v>2306</v>
      </c>
      <c r="G1339" s="4" t="n">
        <v>2306</v>
      </c>
      <c r="H1339" s="4" t="n">
        <v>40.41</v>
      </c>
      <c r="I1339" s="4" t="n">
        <v>40.55</v>
      </c>
      <c r="J1339" s="14" t="n">
        <f aca="false">E1339-D1339</f>
        <v>9</v>
      </c>
      <c r="K1339" s="14" t="n">
        <f aca="false">IF(J1339&lt;=0,1,0)</f>
        <v>0</v>
      </c>
      <c r="L1339" s="15" t="n">
        <f aca="false">IFERROR(G1339/F1339,0)</f>
        <v>1</v>
      </c>
      <c r="M1339" s="15" t="n">
        <f aca="false">IFERROR((I1339-H1339)/H1339,0)</f>
        <v>0.0034644889878743</v>
      </c>
      <c r="N1339" s="16" t="n">
        <f aca="false">G1339*I1339</f>
        <v>93508.3</v>
      </c>
    </row>
    <row r="1340" customFormat="false" ht="15" hidden="false" customHeight="true" outlineLevel="0" collapsed="false">
      <c r="A1340" s="4" t="s">
        <v>1516</v>
      </c>
      <c r="B1340" s="4" t="s">
        <v>81</v>
      </c>
      <c r="C1340" s="13" t="n">
        <v>45404</v>
      </c>
      <c r="D1340" s="13" t="n">
        <v>45410</v>
      </c>
      <c r="E1340" s="13" t="n">
        <v>45416</v>
      </c>
      <c r="F1340" s="4" t="n">
        <v>1</v>
      </c>
      <c r="G1340" s="4" t="n">
        <v>1</v>
      </c>
      <c r="H1340" s="4" t="n">
        <v>697.63</v>
      </c>
      <c r="I1340" s="4" t="n">
        <v>688.31</v>
      </c>
      <c r="J1340" s="14" t="n">
        <f aca="false">E1340-D1340</f>
        <v>6</v>
      </c>
      <c r="K1340" s="14" t="n">
        <f aca="false">IF(J1340&lt;=0,1,0)</f>
        <v>0</v>
      </c>
      <c r="L1340" s="15" t="n">
        <f aca="false">IFERROR(G1340/F1340,0)</f>
        <v>1</v>
      </c>
      <c r="M1340" s="15" t="n">
        <f aca="false">IFERROR((I1340-H1340)/H1340,0)</f>
        <v>-0.0133595172225966</v>
      </c>
      <c r="N1340" s="16" t="n">
        <f aca="false">G1340*I1340</f>
        <v>688.31</v>
      </c>
    </row>
    <row r="1341" customFormat="false" ht="15" hidden="false" customHeight="true" outlineLevel="0" collapsed="false">
      <c r="A1341" s="4" t="s">
        <v>1517</v>
      </c>
      <c r="B1341" s="4" t="s">
        <v>89</v>
      </c>
      <c r="C1341" s="13" t="n">
        <v>45491</v>
      </c>
      <c r="D1341" s="13" t="n">
        <v>45496</v>
      </c>
      <c r="E1341" s="13" t="n">
        <v>45499</v>
      </c>
      <c r="F1341" s="4" t="n">
        <v>7</v>
      </c>
      <c r="G1341" s="4" t="n">
        <v>7</v>
      </c>
      <c r="H1341" s="4" t="n">
        <v>1929.81</v>
      </c>
      <c r="I1341" s="4" t="n">
        <v>1893.75</v>
      </c>
      <c r="J1341" s="14" t="n">
        <f aca="false">E1341-D1341</f>
        <v>3</v>
      </c>
      <c r="K1341" s="14" t="n">
        <f aca="false">IF(J1341&lt;=0,1,0)</f>
        <v>0</v>
      </c>
      <c r="L1341" s="15" t="n">
        <f aca="false">IFERROR(G1341/F1341,0)</f>
        <v>1</v>
      </c>
      <c r="M1341" s="15" t="n">
        <f aca="false">IFERROR((I1341-H1341)/H1341,0)</f>
        <v>-0.01868577735632</v>
      </c>
      <c r="N1341" s="16" t="n">
        <f aca="false">G1341*I1341</f>
        <v>13256.25</v>
      </c>
    </row>
    <row r="1342" customFormat="false" ht="15" hidden="false" customHeight="true" outlineLevel="0" collapsed="false">
      <c r="A1342" s="4" t="s">
        <v>1518</v>
      </c>
      <c r="B1342" s="4" t="s">
        <v>113</v>
      </c>
      <c r="C1342" s="13" t="n">
        <v>45349</v>
      </c>
      <c r="D1342" s="13" t="n">
        <v>45360</v>
      </c>
      <c r="E1342" s="13" t="n">
        <v>45358</v>
      </c>
      <c r="F1342" s="4" t="n">
        <v>243</v>
      </c>
      <c r="G1342" s="4" t="n">
        <v>243</v>
      </c>
      <c r="H1342" s="4" t="n">
        <v>170.42</v>
      </c>
      <c r="I1342" s="4" t="n">
        <v>171.71</v>
      </c>
      <c r="J1342" s="14" t="n">
        <f aca="false">E1342-D1342</f>
        <v>-2</v>
      </c>
      <c r="K1342" s="14" t="n">
        <f aca="false">IF(J1342&lt;=0,1,0)</f>
        <v>1</v>
      </c>
      <c r="L1342" s="15" t="n">
        <f aca="false">IFERROR(G1342/F1342,0)</f>
        <v>1</v>
      </c>
      <c r="M1342" s="15" t="n">
        <f aca="false">IFERROR((I1342-H1342)/H1342,0)</f>
        <v>0.00756953409224282</v>
      </c>
      <c r="N1342" s="16" t="n">
        <f aca="false">G1342*I1342</f>
        <v>41725.53</v>
      </c>
    </row>
    <row r="1343" customFormat="false" ht="15" hidden="false" customHeight="true" outlineLevel="0" collapsed="false">
      <c r="A1343" s="4" t="s">
        <v>1519</v>
      </c>
      <c r="B1343" s="4" t="s">
        <v>117</v>
      </c>
      <c r="C1343" s="13" t="n">
        <v>45556</v>
      </c>
      <c r="D1343" s="13" t="n">
        <v>45569</v>
      </c>
      <c r="E1343" s="13" t="n">
        <v>45576</v>
      </c>
      <c r="F1343" s="4" t="n">
        <v>148</v>
      </c>
      <c r="G1343" s="4" t="n">
        <v>137</v>
      </c>
      <c r="H1343" s="4" t="n">
        <v>396.01</v>
      </c>
      <c r="I1343" s="4" t="n">
        <v>389.16</v>
      </c>
      <c r="J1343" s="14" t="n">
        <f aca="false">E1343-D1343</f>
        <v>7</v>
      </c>
      <c r="K1343" s="14" t="n">
        <f aca="false">IF(J1343&lt;=0,1,0)</f>
        <v>0</v>
      </c>
      <c r="L1343" s="15" t="n">
        <f aca="false">IFERROR(G1343/F1343,0)</f>
        <v>0.925675675675676</v>
      </c>
      <c r="M1343" s="15" t="n">
        <f aca="false">IFERROR((I1343-H1343)/H1343,0)</f>
        <v>-0.0172975429913385</v>
      </c>
      <c r="N1343" s="16" t="n">
        <f aca="false">G1343*I1343</f>
        <v>53314.92</v>
      </c>
    </row>
    <row r="1344" customFormat="false" ht="15" hidden="false" customHeight="true" outlineLevel="0" collapsed="false">
      <c r="A1344" s="4" t="s">
        <v>1520</v>
      </c>
      <c r="B1344" s="4" t="s">
        <v>70</v>
      </c>
      <c r="C1344" s="13" t="n">
        <v>45118</v>
      </c>
      <c r="D1344" s="13" t="n">
        <v>45127</v>
      </c>
      <c r="E1344" s="13" t="n">
        <v>45125</v>
      </c>
      <c r="F1344" s="4" t="n">
        <v>4556</v>
      </c>
      <c r="G1344" s="4" t="n">
        <v>4044</v>
      </c>
      <c r="H1344" s="4" t="n">
        <v>35.88</v>
      </c>
      <c r="I1344" s="4" t="n">
        <v>36.83</v>
      </c>
      <c r="J1344" s="14" t="n">
        <f aca="false">E1344-D1344</f>
        <v>-2</v>
      </c>
      <c r="K1344" s="14" t="n">
        <f aca="false">IF(J1344&lt;=0,1,0)</f>
        <v>1</v>
      </c>
      <c r="L1344" s="15" t="n">
        <f aca="false">IFERROR(G1344/F1344,0)</f>
        <v>0.887620719929763</v>
      </c>
      <c r="M1344" s="15" t="n">
        <f aca="false">IFERROR((I1344-H1344)/H1344,0)</f>
        <v>0.0264771460423633</v>
      </c>
      <c r="N1344" s="16" t="n">
        <f aca="false">G1344*I1344</f>
        <v>148940.52</v>
      </c>
    </row>
    <row r="1345" customFormat="false" ht="15" hidden="false" customHeight="true" outlineLevel="0" collapsed="false">
      <c r="A1345" s="4" t="s">
        <v>1521</v>
      </c>
      <c r="B1345" s="4" t="s">
        <v>163</v>
      </c>
      <c r="C1345" s="13" t="n">
        <v>45143</v>
      </c>
      <c r="D1345" s="13" t="n">
        <v>45160</v>
      </c>
      <c r="E1345" s="13" t="n">
        <v>45160</v>
      </c>
      <c r="F1345" s="4" t="n">
        <v>196</v>
      </c>
      <c r="G1345" s="4" t="n">
        <v>191</v>
      </c>
      <c r="H1345" s="4" t="n">
        <v>482.79</v>
      </c>
      <c r="I1345" s="4" t="n">
        <v>488.89</v>
      </c>
      <c r="J1345" s="14" t="n">
        <f aca="false">E1345-D1345</f>
        <v>0</v>
      </c>
      <c r="K1345" s="14" t="n">
        <f aca="false">IF(J1345&lt;=0,1,0)</f>
        <v>1</v>
      </c>
      <c r="L1345" s="15" t="n">
        <f aca="false">IFERROR(G1345/F1345,0)</f>
        <v>0.974489795918367</v>
      </c>
      <c r="M1345" s="15" t="n">
        <f aca="false">IFERROR((I1345-H1345)/H1345,0)</f>
        <v>0.0126348930176681</v>
      </c>
      <c r="N1345" s="16" t="n">
        <f aca="false">G1345*I1345</f>
        <v>93377.99</v>
      </c>
    </row>
    <row r="1346" customFormat="false" ht="15" hidden="false" customHeight="true" outlineLevel="0" collapsed="false">
      <c r="A1346" s="4" t="s">
        <v>1522</v>
      </c>
      <c r="B1346" s="4" t="s">
        <v>93</v>
      </c>
      <c r="C1346" s="13" t="n">
        <v>45313</v>
      </c>
      <c r="D1346" s="13" t="n">
        <v>45322</v>
      </c>
      <c r="E1346" s="13" t="n">
        <v>45326</v>
      </c>
      <c r="F1346" s="4" t="n">
        <v>1987</v>
      </c>
      <c r="G1346" s="4" t="n">
        <v>1987</v>
      </c>
      <c r="H1346" s="4" t="n">
        <v>174.25</v>
      </c>
      <c r="I1346" s="4" t="n">
        <v>181.25</v>
      </c>
      <c r="J1346" s="14" t="n">
        <f aca="false">E1346-D1346</f>
        <v>4</v>
      </c>
      <c r="K1346" s="14" t="n">
        <f aca="false">IF(J1346&lt;=0,1,0)</f>
        <v>0</v>
      </c>
      <c r="L1346" s="15" t="n">
        <f aca="false">IFERROR(G1346/F1346,0)</f>
        <v>1</v>
      </c>
      <c r="M1346" s="15" t="n">
        <f aca="false">IFERROR((I1346-H1346)/H1346,0)</f>
        <v>0.0401721664275466</v>
      </c>
      <c r="N1346" s="16" t="n">
        <f aca="false">G1346*I1346</f>
        <v>360143.75</v>
      </c>
    </row>
    <row r="1347" customFormat="false" ht="15" hidden="false" customHeight="true" outlineLevel="0" collapsed="false">
      <c r="A1347" s="4" t="s">
        <v>1523</v>
      </c>
      <c r="B1347" s="4" t="s">
        <v>133</v>
      </c>
      <c r="C1347" s="13" t="n">
        <v>45189</v>
      </c>
      <c r="D1347" s="13" t="n">
        <v>45199</v>
      </c>
      <c r="E1347" s="13" t="n">
        <v>45204</v>
      </c>
      <c r="F1347" s="4" t="n">
        <v>682</v>
      </c>
      <c r="G1347" s="4" t="n">
        <v>630</v>
      </c>
      <c r="H1347" s="4" t="n">
        <v>138.21</v>
      </c>
      <c r="I1347" s="4" t="n">
        <v>140.9</v>
      </c>
      <c r="J1347" s="14" t="n">
        <f aca="false">E1347-D1347</f>
        <v>5</v>
      </c>
      <c r="K1347" s="14" t="n">
        <f aca="false">IF(J1347&lt;=0,1,0)</f>
        <v>0</v>
      </c>
      <c r="L1347" s="15" t="n">
        <f aca="false">IFERROR(G1347/F1347,0)</f>
        <v>0.92375366568915</v>
      </c>
      <c r="M1347" s="15" t="n">
        <f aca="false">IFERROR((I1347-H1347)/H1347,0)</f>
        <v>0.0194631358078287</v>
      </c>
      <c r="N1347" s="16" t="n">
        <f aca="false">G1347*I1347</f>
        <v>88767</v>
      </c>
    </row>
    <row r="1348" customFormat="false" ht="15" hidden="false" customHeight="true" outlineLevel="0" collapsed="false">
      <c r="A1348" s="4" t="s">
        <v>1524</v>
      </c>
      <c r="B1348" s="4" t="s">
        <v>149</v>
      </c>
      <c r="C1348" s="13" t="n">
        <v>45532</v>
      </c>
      <c r="D1348" s="13" t="n">
        <v>45539</v>
      </c>
      <c r="E1348" s="13" t="n">
        <v>45541</v>
      </c>
      <c r="F1348" s="4" t="n">
        <v>8</v>
      </c>
      <c r="G1348" s="4" t="n">
        <v>8</v>
      </c>
      <c r="H1348" s="4" t="n">
        <v>1458.52</v>
      </c>
      <c r="I1348" s="4" t="n">
        <v>1490.25</v>
      </c>
      <c r="J1348" s="14" t="n">
        <f aca="false">E1348-D1348</f>
        <v>2</v>
      </c>
      <c r="K1348" s="14" t="n">
        <f aca="false">IF(J1348&lt;=0,1,0)</f>
        <v>0</v>
      </c>
      <c r="L1348" s="15" t="n">
        <f aca="false">IFERROR(G1348/F1348,0)</f>
        <v>1</v>
      </c>
      <c r="M1348" s="15" t="n">
        <f aca="false">IFERROR((I1348-H1348)/H1348,0)</f>
        <v>0.0217549296547185</v>
      </c>
      <c r="N1348" s="16" t="n">
        <f aca="false">G1348*I1348</f>
        <v>11922</v>
      </c>
    </row>
    <row r="1349" customFormat="false" ht="15" hidden="false" customHeight="true" outlineLevel="0" collapsed="false">
      <c r="A1349" s="4" t="s">
        <v>1525</v>
      </c>
      <c r="B1349" s="4" t="s">
        <v>129</v>
      </c>
      <c r="C1349" s="13" t="n">
        <v>45308</v>
      </c>
      <c r="D1349" s="13" t="n">
        <v>45328</v>
      </c>
      <c r="E1349" s="13" t="n">
        <v>45327</v>
      </c>
      <c r="F1349" s="4" t="n">
        <v>484</v>
      </c>
      <c r="G1349" s="4" t="n">
        <v>469</v>
      </c>
      <c r="H1349" s="4" t="n">
        <v>709.66</v>
      </c>
      <c r="I1349" s="4" t="n">
        <v>719.63</v>
      </c>
      <c r="J1349" s="14" t="n">
        <f aca="false">E1349-D1349</f>
        <v>-1</v>
      </c>
      <c r="K1349" s="14" t="n">
        <f aca="false">IF(J1349&lt;=0,1,0)</f>
        <v>1</v>
      </c>
      <c r="L1349" s="15" t="n">
        <f aca="false">IFERROR(G1349/F1349,0)</f>
        <v>0.96900826446281</v>
      </c>
      <c r="M1349" s="15" t="n">
        <f aca="false">IFERROR((I1349-H1349)/H1349,0)</f>
        <v>0.0140489812022659</v>
      </c>
      <c r="N1349" s="16" t="n">
        <f aca="false">G1349*I1349</f>
        <v>337506.47</v>
      </c>
    </row>
    <row r="1350" customFormat="false" ht="15" hidden="false" customHeight="true" outlineLevel="0" collapsed="false">
      <c r="A1350" s="4" t="s">
        <v>1526</v>
      </c>
      <c r="B1350" s="4" t="s">
        <v>151</v>
      </c>
      <c r="C1350" s="13" t="n">
        <v>45018</v>
      </c>
      <c r="D1350" s="13" t="n">
        <v>45024</v>
      </c>
      <c r="E1350" s="13" t="n">
        <v>45029</v>
      </c>
      <c r="F1350" s="4" t="n">
        <v>16</v>
      </c>
      <c r="G1350" s="4" t="n">
        <v>15</v>
      </c>
      <c r="H1350" s="4" t="n">
        <v>503.46</v>
      </c>
      <c r="I1350" s="4" t="n">
        <v>503.98</v>
      </c>
      <c r="J1350" s="14" t="n">
        <f aca="false">E1350-D1350</f>
        <v>5</v>
      </c>
      <c r="K1350" s="14" t="n">
        <f aca="false">IF(J1350&lt;=0,1,0)</f>
        <v>0</v>
      </c>
      <c r="L1350" s="15" t="n">
        <f aca="false">IFERROR(G1350/F1350,0)</f>
        <v>0.9375</v>
      </c>
      <c r="M1350" s="15" t="n">
        <f aca="false">IFERROR((I1350-H1350)/H1350,0)</f>
        <v>0.00103285265959568</v>
      </c>
      <c r="N1350" s="16" t="n">
        <f aca="false">G1350*I1350</f>
        <v>7559.7</v>
      </c>
    </row>
    <row r="1351" customFormat="false" ht="15" hidden="false" customHeight="true" outlineLevel="0" collapsed="false">
      <c r="A1351" s="4" t="s">
        <v>1527</v>
      </c>
      <c r="B1351" s="4" t="s">
        <v>95</v>
      </c>
      <c r="C1351" s="13" t="n">
        <v>45074</v>
      </c>
      <c r="D1351" s="13" t="n">
        <v>45080</v>
      </c>
      <c r="E1351" s="13" t="n">
        <v>45077</v>
      </c>
      <c r="F1351" s="4" t="n">
        <v>4011</v>
      </c>
      <c r="G1351" s="4" t="n">
        <v>3996</v>
      </c>
      <c r="H1351" s="4" t="n">
        <v>20.39</v>
      </c>
      <c r="I1351" s="4" t="n">
        <v>20.76</v>
      </c>
      <c r="J1351" s="14" t="n">
        <f aca="false">E1351-D1351</f>
        <v>-3</v>
      </c>
      <c r="K1351" s="14" t="n">
        <f aca="false">IF(J1351&lt;=0,1,0)</f>
        <v>1</v>
      </c>
      <c r="L1351" s="15" t="n">
        <f aca="false">IFERROR(G1351/F1351,0)</f>
        <v>0.996260284218399</v>
      </c>
      <c r="M1351" s="15" t="n">
        <f aca="false">IFERROR((I1351-H1351)/H1351,0)</f>
        <v>0.0181461500735655</v>
      </c>
      <c r="N1351" s="16" t="n">
        <f aca="false">G1351*I1351</f>
        <v>82956.96</v>
      </c>
    </row>
    <row r="1352" customFormat="false" ht="15" hidden="false" customHeight="true" outlineLevel="0" collapsed="false">
      <c r="A1352" s="4" t="s">
        <v>1528</v>
      </c>
      <c r="B1352" s="4" t="s">
        <v>103</v>
      </c>
      <c r="C1352" s="13" t="n">
        <v>45099</v>
      </c>
      <c r="D1352" s="13" t="n">
        <v>45118</v>
      </c>
      <c r="E1352" s="13" t="n">
        <v>45116</v>
      </c>
      <c r="F1352" s="4" t="n">
        <v>491</v>
      </c>
      <c r="G1352" s="4" t="n">
        <v>489</v>
      </c>
      <c r="H1352" s="4" t="n">
        <v>1400.22</v>
      </c>
      <c r="I1352" s="4" t="n">
        <v>1429.32</v>
      </c>
      <c r="J1352" s="14" t="n">
        <f aca="false">E1352-D1352</f>
        <v>-2</v>
      </c>
      <c r="K1352" s="14" t="n">
        <f aca="false">IF(J1352&lt;=0,1,0)</f>
        <v>1</v>
      </c>
      <c r="L1352" s="15" t="n">
        <f aca="false">IFERROR(G1352/F1352,0)</f>
        <v>0.995926680244399</v>
      </c>
      <c r="M1352" s="15" t="n">
        <f aca="false">IFERROR((I1352-H1352)/H1352,0)</f>
        <v>0.0207824484723828</v>
      </c>
      <c r="N1352" s="16" t="n">
        <f aca="false">G1352*I1352</f>
        <v>698937.48</v>
      </c>
    </row>
    <row r="1353" customFormat="false" ht="15" hidden="false" customHeight="true" outlineLevel="0" collapsed="false">
      <c r="A1353" s="4" t="s">
        <v>1529</v>
      </c>
      <c r="B1353" s="4" t="s">
        <v>117</v>
      </c>
      <c r="C1353" s="13" t="n">
        <v>45373</v>
      </c>
      <c r="D1353" s="13" t="n">
        <v>45386</v>
      </c>
      <c r="E1353" s="13" t="n">
        <v>45389</v>
      </c>
      <c r="F1353" s="4" t="n">
        <v>92</v>
      </c>
      <c r="G1353" s="4" t="n">
        <v>88</v>
      </c>
      <c r="H1353" s="4" t="n">
        <v>396.01</v>
      </c>
      <c r="I1353" s="4" t="n">
        <v>398.8</v>
      </c>
      <c r="J1353" s="14" t="n">
        <f aca="false">E1353-D1353</f>
        <v>3</v>
      </c>
      <c r="K1353" s="14" t="n">
        <f aca="false">IF(J1353&lt;=0,1,0)</f>
        <v>0</v>
      </c>
      <c r="L1353" s="15" t="n">
        <f aca="false">IFERROR(G1353/F1353,0)</f>
        <v>0.956521739130435</v>
      </c>
      <c r="M1353" s="15" t="n">
        <f aca="false">IFERROR((I1353-H1353)/H1353,0)</f>
        <v>0.00704527663442848</v>
      </c>
      <c r="N1353" s="16" t="n">
        <f aca="false">G1353*I1353</f>
        <v>35094.4</v>
      </c>
    </row>
    <row r="1354" customFormat="false" ht="15" hidden="false" customHeight="true" outlineLevel="0" collapsed="false">
      <c r="A1354" s="4" t="s">
        <v>1530</v>
      </c>
      <c r="B1354" s="4" t="s">
        <v>161</v>
      </c>
      <c r="C1354" s="13" t="n">
        <v>45047</v>
      </c>
      <c r="D1354" s="13" t="n">
        <v>45057</v>
      </c>
      <c r="E1354" s="13" t="n">
        <v>45061</v>
      </c>
      <c r="F1354" s="4" t="n">
        <v>1737</v>
      </c>
      <c r="G1354" s="4" t="n">
        <v>1698</v>
      </c>
      <c r="H1354" s="4" t="n">
        <v>101.94</v>
      </c>
      <c r="I1354" s="4" t="n">
        <v>104.45</v>
      </c>
      <c r="J1354" s="14" t="n">
        <f aca="false">E1354-D1354</f>
        <v>4</v>
      </c>
      <c r="K1354" s="14" t="n">
        <f aca="false">IF(J1354&lt;=0,1,0)</f>
        <v>0</v>
      </c>
      <c r="L1354" s="15" t="n">
        <f aca="false">IFERROR(G1354/F1354,0)</f>
        <v>0.977547495682211</v>
      </c>
      <c r="M1354" s="15" t="n">
        <f aca="false">IFERROR((I1354-H1354)/H1354,0)</f>
        <v>0.0246223268589367</v>
      </c>
      <c r="N1354" s="16" t="n">
        <f aca="false">G1354*I1354</f>
        <v>177356.1</v>
      </c>
    </row>
    <row r="1355" customFormat="false" ht="15" hidden="false" customHeight="true" outlineLevel="0" collapsed="false">
      <c r="A1355" s="4" t="s">
        <v>1531</v>
      </c>
      <c r="B1355" s="4" t="s">
        <v>105</v>
      </c>
      <c r="C1355" s="13" t="n">
        <v>45030</v>
      </c>
      <c r="D1355" s="13" t="n">
        <v>45047</v>
      </c>
      <c r="E1355" s="13" t="n">
        <v>45047</v>
      </c>
      <c r="F1355" s="4" t="n">
        <v>108</v>
      </c>
      <c r="G1355" s="4" t="n">
        <v>105</v>
      </c>
      <c r="H1355" s="4" t="n">
        <v>685.84</v>
      </c>
      <c r="I1355" s="4" t="n">
        <v>689.12</v>
      </c>
      <c r="J1355" s="14" t="n">
        <f aca="false">E1355-D1355</f>
        <v>0</v>
      </c>
      <c r="K1355" s="14" t="n">
        <f aca="false">IF(J1355&lt;=0,1,0)</f>
        <v>1</v>
      </c>
      <c r="L1355" s="15" t="n">
        <f aca="false">IFERROR(G1355/F1355,0)</f>
        <v>0.972222222222222</v>
      </c>
      <c r="M1355" s="15" t="n">
        <f aca="false">IFERROR((I1355-H1355)/H1355,0)</f>
        <v>0.00478245654963253</v>
      </c>
      <c r="N1355" s="16" t="n">
        <f aca="false">G1355*I1355</f>
        <v>72357.6</v>
      </c>
    </row>
    <row r="1356" customFormat="false" ht="15" hidden="false" customHeight="true" outlineLevel="0" collapsed="false">
      <c r="A1356" s="4" t="s">
        <v>1532</v>
      </c>
      <c r="B1356" s="4" t="s">
        <v>149</v>
      </c>
      <c r="C1356" s="13" t="n">
        <v>44998</v>
      </c>
      <c r="D1356" s="13" t="n">
        <v>45005</v>
      </c>
      <c r="E1356" s="13" t="n">
        <v>45005</v>
      </c>
      <c r="F1356" s="4" t="n">
        <v>9</v>
      </c>
      <c r="G1356" s="4" t="n">
        <v>9</v>
      </c>
      <c r="H1356" s="4" t="n">
        <v>1458.52</v>
      </c>
      <c r="I1356" s="4" t="n">
        <v>1445.94</v>
      </c>
      <c r="J1356" s="14" t="n">
        <f aca="false">E1356-D1356</f>
        <v>0</v>
      </c>
      <c r="K1356" s="14" t="n">
        <f aca="false">IF(J1356&lt;=0,1,0)</f>
        <v>1</v>
      </c>
      <c r="L1356" s="15" t="n">
        <f aca="false">IFERROR(G1356/F1356,0)</f>
        <v>1</v>
      </c>
      <c r="M1356" s="15" t="n">
        <f aca="false">IFERROR((I1356-H1356)/H1356,0)</f>
        <v>-0.00862518169102921</v>
      </c>
      <c r="N1356" s="16" t="n">
        <f aca="false">G1356*I1356</f>
        <v>13013.46</v>
      </c>
    </row>
    <row r="1357" customFormat="false" ht="15" hidden="false" customHeight="true" outlineLevel="0" collapsed="false">
      <c r="A1357" s="4" t="s">
        <v>1533</v>
      </c>
      <c r="B1357" s="4" t="s">
        <v>81</v>
      </c>
      <c r="C1357" s="13" t="n">
        <v>45279</v>
      </c>
      <c r="D1357" s="13" t="n">
        <v>45286</v>
      </c>
      <c r="E1357" s="13" t="n">
        <v>45285</v>
      </c>
      <c r="F1357" s="4" t="n">
        <v>12</v>
      </c>
      <c r="G1357" s="4" t="n">
        <v>12</v>
      </c>
      <c r="H1357" s="4" t="n">
        <v>697.63</v>
      </c>
      <c r="I1357" s="4" t="n">
        <v>694.57</v>
      </c>
      <c r="J1357" s="14" t="n">
        <f aca="false">E1357-D1357</f>
        <v>-1</v>
      </c>
      <c r="K1357" s="14" t="n">
        <f aca="false">IF(J1357&lt;=0,1,0)</f>
        <v>1</v>
      </c>
      <c r="L1357" s="15" t="n">
        <f aca="false">IFERROR(G1357/F1357,0)</f>
        <v>1</v>
      </c>
      <c r="M1357" s="15" t="n">
        <f aca="false">IFERROR((I1357-H1357)/H1357,0)</f>
        <v>-0.00438627925977946</v>
      </c>
      <c r="N1357" s="16" t="n">
        <f aca="false">G1357*I1357</f>
        <v>8334.84</v>
      </c>
    </row>
    <row r="1358" customFormat="false" ht="15" hidden="false" customHeight="true" outlineLevel="0" collapsed="false">
      <c r="A1358" s="4" t="s">
        <v>1534</v>
      </c>
      <c r="B1358" s="4" t="s">
        <v>81</v>
      </c>
      <c r="C1358" s="13" t="n">
        <v>45483</v>
      </c>
      <c r="D1358" s="13" t="n">
        <v>45489</v>
      </c>
      <c r="E1358" s="13" t="n">
        <v>45490</v>
      </c>
      <c r="F1358" s="4" t="n">
        <v>8</v>
      </c>
      <c r="G1358" s="4" t="n">
        <v>8</v>
      </c>
      <c r="H1358" s="4" t="n">
        <v>697.63</v>
      </c>
      <c r="I1358" s="4" t="n">
        <v>685.74</v>
      </c>
      <c r="J1358" s="14" t="n">
        <f aca="false">E1358-D1358</f>
        <v>1</v>
      </c>
      <c r="K1358" s="14" t="n">
        <f aca="false">IF(J1358&lt;=0,1,0)</f>
        <v>0</v>
      </c>
      <c r="L1358" s="15" t="n">
        <f aca="false">IFERROR(G1358/F1358,0)</f>
        <v>1</v>
      </c>
      <c r="M1358" s="15" t="n">
        <f aca="false">IFERROR((I1358-H1358)/H1358,0)</f>
        <v>-0.0170434184309734</v>
      </c>
      <c r="N1358" s="16" t="n">
        <f aca="false">G1358*I1358</f>
        <v>5485.92</v>
      </c>
    </row>
    <row r="1359" customFormat="false" ht="15" hidden="false" customHeight="true" outlineLevel="0" collapsed="false">
      <c r="A1359" s="4" t="s">
        <v>1535</v>
      </c>
      <c r="B1359" s="4" t="s">
        <v>111</v>
      </c>
      <c r="C1359" s="13" t="n">
        <v>45560</v>
      </c>
      <c r="D1359" s="13" t="n">
        <v>45572</v>
      </c>
      <c r="E1359" s="13" t="n">
        <v>45569</v>
      </c>
      <c r="F1359" s="4" t="n">
        <v>1303</v>
      </c>
      <c r="G1359" s="4" t="n">
        <v>1291</v>
      </c>
      <c r="H1359" s="4" t="n">
        <v>148.08</v>
      </c>
      <c r="I1359" s="4" t="n">
        <v>148.75</v>
      </c>
      <c r="J1359" s="14" t="n">
        <f aca="false">E1359-D1359</f>
        <v>-3</v>
      </c>
      <c r="K1359" s="14" t="n">
        <f aca="false">IF(J1359&lt;=0,1,0)</f>
        <v>1</v>
      </c>
      <c r="L1359" s="15" t="n">
        <f aca="false">IFERROR(G1359/F1359,0)</f>
        <v>0.990790483499616</v>
      </c>
      <c r="M1359" s="15" t="n">
        <f aca="false">IFERROR((I1359-H1359)/H1359,0)</f>
        <v>0.00452458130740132</v>
      </c>
      <c r="N1359" s="16" t="n">
        <f aca="false">G1359*I1359</f>
        <v>192036.25</v>
      </c>
    </row>
    <row r="1360" customFormat="false" ht="15" hidden="false" customHeight="true" outlineLevel="0" collapsed="false">
      <c r="A1360" s="4" t="s">
        <v>1536</v>
      </c>
      <c r="B1360" s="4" t="s">
        <v>131</v>
      </c>
      <c r="C1360" s="13" t="n">
        <v>45041</v>
      </c>
      <c r="D1360" s="13" t="n">
        <v>45051</v>
      </c>
      <c r="E1360" s="13" t="n">
        <v>45049</v>
      </c>
      <c r="F1360" s="4" t="n">
        <v>1977</v>
      </c>
      <c r="G1360" s="4" t="n">
        <v>1971</v>
      </c>
      <c r="H1360" s="4" t="n">
        <v>88.52</v>
      </c>
      <c r="I1360" s="4" t="n">
        <v>88.92</v>
      </c>
      <c r="J1360" s="14" t="n">
        <f aca="false">E1360-D1360</f>
        <v>-2</v>
      </c>
      <c r="K1360" s="14" t="n">
        <f aca="false">IF(J1360&lt;=0,1,0)</f>
        <v>1</v>
      </c>
      <c r="L1360" s="15" t="n">
        <f aca="false">IFERROR(G1360/F1360,0)</f>
        <v>0.996965098634294</v>
      </c>
      <c r="M1360" s="15" t="n">
        <f aca="false">IFERROR((I1360-H1360)/H1360,0)</f>
        <v>0.00451875282422058</v>
      </c>
      <c r="N1360" s="16" t="n">
        <f aca="false">G1360*I1360</f>
        <v>175261.32</v>
      </c>
    </row>
    <row r="1361" customFormat="false" ht="15" hidden="false" customHeight="true" outlineLevel="0" collapsed="false">
      <c r="A1361" s="4" t="s">
        <v>1537</v>
      </c>
      <c r="B1361" s="4" t="s">
        <v>52</v>
      </c>
      <c r="C1361" s="13" t="n">
        <v>45330</v>
      </c>
      <c r="D1361" s="13" t="n">
        <v>45339</v>
      </c>
      <c r="E1361" s="13" t="n">
        <v>45348</v>
      </c>
      <c r="F1361" s="4" t="n">
        <v>435</v>
      </c>
      <c r="G1361" s="4" t="n">
        <v>366</v>
      </c>
      <c r="H1361" s="4" t="n">
        <v>170.24</v>
      </c>
      <c r="I1361" s="4" t="n">
        <v>177.52</v>
      </c>
      <c r="J1361" s="14" t="n">
        <f aca="false">E1361-D1361</f>
        <v>9</v>
      </c>
      <c r="K1361" s="14" t="n">
        <f aca="false">IF(J1361&lt;=0,1,0)</f>
        <v>0</v>
      </c>
      <c r="L1361" s="15" t="n">
        <f aca="false">IFERROR(G1361/F1361,0)</f>
        <v>0.841379310344828</v>
      </c>
      <c r="M1361" s="15" t="n">
        <f aca="false">IFERROR((I1361-H1361)/H1361,0)</f>
        <v>0.0427631578947368</v>
      </c>
      <c r="N1361" s="16" t="n">
        <f aca="false">G1361*I1361</f>
        <v>64972.32</v>
      </c>
    </row>
    <row r="1362" customFormat="false" ht="15" hidden="false" customHeight="true" outlineLevel="0" collapsed="false">
      <c r="A1362" s="4" t="s">
        <v>1538</v>
      </c>
      <c r="B1362" s="4" t="s">
        <v>113</v>
      </c>
      <c r="C1362" s="13" t="n">
        <v>44996</v>
      </c>
      <c r="D1362" s="13" t="n">
        <v>45007</v>
      </c>
      <c r="E1362" s="13" t="n">
        <v>45001</v>
      </c>
      <c r="F1362" s="4" t="n">
        <v>1138</v>
      </c>
      <c r="G1362" s="4" t="n">
        <v>1121</v>
      </c>
      <c r="H1362" s="4" t="n">
        <v>170.42</v>
      </c>
      <c r="I1362" s="4" t="n">
        <v>169.44</v>
      </c>
      <c r="J1362" s="14" t="n">
        <f aca="false">E1362-D1362</f>
        <v>-6</v>
      </c>
      <c r="K1362" s="14" t="n">
        <f aca="false">IF(J1362&lt;=0,1,0)</f>
        <v>1</v>
      </c>
      <c r="L1362" s="15" t="n">
        <f aca="false">IFERROR(G1362/F1362,0)</f>
        <v>0.98506151142355</v>
      </c>
      <c r="M1362" s="15" t="n">
        <f aca="false">IFERROR((I1362-H1362)/H1362,0)</f>
        <v>-0.0057504987677502</v>
      </c>
      <c r="N1362" s="16" t="n">
        <f aca="false">G1362*I1362</f>
        <v>189942.24</v>
      </c>
    </row>
    <row r="1363" customFormat="false" ht="15" hidden="false" customHeight="true" outlineLevel="0" collapsed="false">
      <c r="A1363" s="4" t="s">
        <v>1539</v>
      </c>
      <c r="B1363" s="4" t="s">
        <v>145</v>
      </c>
      <c r="C1363" s="13" t="n">
        <v>45365</v>
      </c>
      <c r="D1363" s="13" t="n">
        <v>45375</v>
      </c>
      <c r="E1363" s="13" t="n">
        <v>45375</v>
      </c>
      <c r="F1363" s="4" t="n">
        <v>1963</v>
      </c>
      <c r="G1363" s="4" t="n">
        <v>1832</v>
      </c>
      <c r="H1363" s="4" t="n">
        <v>237.04</v>
      </c>
      <c r="I1363" s="4" t="n">
        <v>259.3</v>
      </c>
      <c r="J1363" s="14" t="n">
        <f aca="false">E1363-D1363</f>
        <v>0</v>
      </c>
      <c r="K1363" s="14" t="n">
        <f aca="false">IF(J1363&lt;=0,1,0)</f>
        <v>1</v>
      </c>
      <c r="L1363" s="15" t="n">
        <f aca="false">IFERROR(G1363/F1363,0)</f>
        <v>0.933265410086602</v>
      </c>
      <c r="M1363" s="15" t="n">
        <f aca="false">IFERROR((I1363-H1363)/H1363,0)</f>
        <v>0.0939082011474857</v>
      </c>
      <c r="N1363" s="16" t="n">
        <f aca="false">G1363*I1363</f>
        <v>475037.6</v>
      </c>
    </row>
    <row r="1364" customFormat="false" ht="15" hidden="false" customHeight="true" outlineLevel="0" collapsed="false">
      <c r="A1364" s="4" t="s">
        <v>1540</v>
      </c>
      <c r="B1364" s="4" t="s">
        <v>121</v>
      </c>
      <c r="C1364" s="13" t="n">
        <v>45310</v>
      </c>
      <c r="D1364" s="13" t="n">
        <v>45319</v>
      </c>
      <c r="E1364" s="13" t="n">
        <v>45316</v>
      </c>
      <c r="F1364" s="4" t="n">
        <v>627</v>
      </c>
      <c r="G1364" s="4" t="n">
        <v>596</v>
      </c>
      <c r="H1364" s="4" t="n">
        <v>206.07</v>
      </c>
      <c r="I1364" s="4" t="n">
        <v>217.2</v>
      </c>
      <c r="J1364" s="14" t="n">
        <f aca="false">E1364-D1364</f>
        <v>-3</v>
      </c>
      <c r="K1364" s="14" t="n">
        <f aca="false">IF(J1364&lt;=0,1,0)</f>
        <v>1</v>
      </c>
      <c r="L1364" s="15" t="n">
        <f aca="false">IFERROR(G1364/F1364,0)</f>
        <v>0.950558213716109</v>
      </c>
      <c r="M1364" s="15" t="n">
        <f aca="false">IFERROR((I1364-H1364)/H1364,0)</f>
        <v>0.0540107730382879</v>
      </c>
      <c r="N1364" s="16" t="n">
        <f aca="false">G1364*I1364</f>
        <v>129451.2</v>
      </c>
    </row>
    <row r="1365" customFormat="false" ht="15" hidden="false" customHeight="true" outlineLevel="0" collapsed="false">
      <c r="A1365" s="4" t="s">
        <v>1541</v>
      </c>
      <c r="B1365" s="4" t="s">
        <v>81</v>
      </c>
      <c r="C1365" s="13" t="n">
        <v>45234</v>
      </c>
      <c r="D1365" s="13" t="n">
        <v>45239</v>
      </c>
      <c r="E1365" s="13" t="n">
        <v>45241</v>
      </c>
      <c r="F1365" s="4" t="n">
        <v>9</v>
      </c>
      <c r="G1365" s="4" t="n">
        <v>9</v>
      </c>
      <c r="H1365" s="4" t="n">
        <v>697.63</v>
      </c>
      <c r="I1365" s="4" t="n">
        <v>697.83</v>
      </c>
      <c r="J1365" s="14" t="n">
        <f aca="false">E1365-D1365</f>
        <v>2</v>
      </c>
      <c r="K1365" s="14" t="n">
        <f aca="false">IF(J1365&lt;=0,1,0)</f>
        <v>0</v>
      </c>
      <c r="L1365" s="15" t="n">
        <f aca="false">IFERROR(G1365/F1365,0)</f>
        <v>1</v>
      </c>
      <c r="M1365" s="15" t="n">
        <f aca="false">IFERROR((I1365-H1365)/H1365,0)</f>
        <v>0.000286684918939904</v>
      </c>
      <c r="N1365" s="16" t="n">
        <f aca="false">G1365*I1365</f>
        <v>6280.47</v>
      </c>
    </row>
    <row r="1366" customFormat="false" ht="15" hidden="false" customHeight="true" outlineLevel="0" collapsed="false">
      <c r="A1366" s="4" t="s">
        <v>1542</v>
      </c>
      <c r="B1366" s="4" t="s">
        <v>163</v>
      </c>
      <c r="C1366" s="13" t="n">
        <v>45323</v>
      </c>
      <c r="D1366" s="13" t="n">
        <v>45342</v>
      </c>
      <c r="E1366" s="13" t="n">
        <v>45343</v>
      </c>
      <c r="F1366" s="4" t="n">
        <v>319</v>
      </c>
      <c r="G1366" s="4" t="n">
        <v>296</v>
      </c>
      <c r="H1366" s="4" t="n">
        <v>482.79</v>
      </c>
      <c r="I1366" s="4" t="n">
        <v>488.13</v>
      </c>
      <c r="J1366" s="14" t="n">
        <f aca="false">E1366-D1366</f>
        <v>1</v>
      </c>
      <c r="K1366" s="14" t="n">
        <f aca="false">IF(J1366&lt;=0,1,0)</f>
        <v>0</v>
      </c>
      <c r="L1366" s="15" t="n">
        <f aca="false">IFERROR(G1366/F1366,0)</f>
        <v>0.927899686520376</v>
      </c>
      <c r="M1366" s="15" t="n">
        <f aca="false">IFERROR((I1366-H1366)/H1366,0)</f>
        <v>0.0110607096253029</v>
      </c>
      <c r="N1366" s="16" t="n">
        <f aca="false">G1366*I1366</f>
        <v>144486.48</v>
      </c>
    </row>
    <row r="1367" customFormat="false" ht="15" hidden="false" customHeight="true" outlineLevel="0" collapsed="false">
      <c r="A1367" s="4" t="s">
        <v>1543</v>
      </c>
      <c r="B1367" s="4" t="s">
        <v>113</v>
      </c>
      <c r="C1367" s="13" t="n">
        <v>45575</v>
      </c>
      <c r="D1367" s="13" t="n">
        <v>45586</v>
      </c>
      <c r="E1367" s="13" t="n">
        <v>45586</v>
      </c>
      <c r="F1367" s="4" t="n">
        <v>1198</v>
      </c>
      <c r="G1367" s="4" t="n">
        <v>1148</v>
      </c>
      <c r="H1367" s="4" t="n">
        <v>170.42</v>
      </c>
      <c r="I1367" s="4" t="n">
        <v>173.83</v>
      </c>
      <c r="J1367" s="14" t="n">
        <f aca="false">E1367-D1367</f>
        <v>0</v>
      </c>
      <c r="K1367" s="14" t="n">
        <f aca="false">IF(J1367&lt;=0,1,0)</f>
        <v>1</v>
      </c>
      <c r="L1367" s="15" t="n">
        <f aca="false">IFERROR(G1367/F1367,0)</f>
        <v>0.958263772954925</v>
      </c>
      <c r="M1367" s="15" t="n">
        <f aca="false">IFERROR((I1367-H1367)/H1367,0)</f>
        <v>0.0200093885694169</v>
      </c>
      <c r="N1367" s="16" t="n">
        <f aca="false">G1367*I1367</f>
        <v>199556.84</v>
      </c>
    </row>
    <row r="1368" customFormat="false" ht="15" hidden="false" customHeight="true" outlineLevel="0" collapsed="false">
      <c r="A1368" s="4" t="s">
        <v>1544</v>
      </c>
      <c r="B1368" s="4" t="s">
        <v>65</v>
      </c>
      <c r="C1368" s="13" t="n">
        <v>44966</v>
      </c>
      <c r="D1368" s="13" t="n">
        <v>44984</v>
      </c>
      <c r="E1368" s="13" t="n">
        <v>44979</v>
      </c>
      <c r="F1368" s="4" t="n">
        <v>145</v>
      </c>
      <c r="G1368" s="4" t="n">
        <v>144</v>
      </c>
      <c r="H1368" s="4" t="n">
        <v>1365.59</v>
      </c>
      <c r="I1368" s="4" t="n">
        <v>1370.73</v>
      </c>
      <c r="J1368" s="14" t="n">
        <f aca="false">E1368-D1368</f>
        <v>-5</v>
      </c>
      <c r="K1368" s="14" t="n">
        <f aca="false">IF(J1368&lt;=0,1,0)</f>
        <v>1</v>
      </c>
      <c r="L1368" s="15" t="n">
        <f aca="false">IFERROR(G1368/F1368,0)</f>
        <v>0.993103448275862</v>
      </c>
      <c r="M1368" s="15" t="n">
        <f aca="false">IFERROR((I1368-H1368)/H1368,0)</f>
        <v>0.00376394086072694</v>
      </c>
      <c r="N1368" s="16" t="n">
        <f aca="false">G1368*I1368</f>
        <v>197385.12</v>
      </c>
    </row>
    <row r="1369" customFormat="false" ht="15" hidden="false" customHeight="true" outlineLevel="0" collapsed="false">
      <c r="A1369" s="4" t="s">
        <v>1545</v>
      </c>
      <c r="B1369" s="4" t="s">
        <v>89</v>
      </c>
      <c r="C1369" s="13" t="n">
        <v>45563</v>
      </c>
      <c r="D1369" s="13" t="n">
        <v>45568</v>
      </c>
      <c r="E1369" s="13" t="n">
        <v>45576</v>
      </c>
      <c r="F1369" s="4" t="n">
        <v>18</v>
      </c>
      <c r="G1369" s="4" t="n">
        <v>16</v>
      </c>
      <c r="H1369" s="4" t="n">
        <v>1929.81</v>
      </c>
      <c r="I1369" s="4" t="n">
        <v>1923.98</v>
      </c>
      <c r="J1369" s="14" t="n">
        <f aca="false">E1369-D1369</f>
        <v>8</v>
      </c>
      <c r="K1369" s="14" t="n">
        <f aca="false">IF(J1369&lt;=0,1,0)</f>
        <v>0</v>
      </c>
      <c r="L1369" s="15" t="n">
        <f aca="false">IFERROR(G1369/F1369,0)</f>
        <v>0.888888888888889</v>
      </c>
      <c r="M1369" s="15" t="n">
        <f aca="false">IFERROR((I1369-H1369)/H1369,0)</f>
        <v>-0.00302102279499014</v>
      </c>
      <c r="N1369" s="16" t="n">
        <f aca="false">G1369*I1369</f>
        <v>30783.68</v>
      </c>
    </row>
    <row r="1370" customFormat="false" ht="15" hidden="false" customHeight="true" outlineLevel="0" collapsed="false">
      <c r="A1370" s="4" t="s">
        <v>1546</v>
      </c>
      <c r="B1370" s="4" t="s">
        <v>113</v>
      </c>
      <c r="C1370" s="13" t="n">
        <v>45542</v>
      </c>
      <c r="D1370" s="13" t="n">
        <v>45552</v>
      </c>
      <c r="E1370" s="13" t="n">
        <v>45551</v>
      </c>
      <c r="F1370" s="4" t="n">
        <v>489</v>
      </c>
      <c r="G1370" s="4" t="n">
        <v>487</v>
      </c>
      <c r="H1370" s="4" t="n">
        <v>170.42</v>
      </c>
      <c r="I1370" s="4" t="n">
        <v>171.67</v>
      </c>
      <c r="J1370" s="14" t="n">
        <f aca="false">E1370-D1370</f>
        <v>-1</v>
      </c>
      <c r="K1370" s="14" t="n">
        <f aca="false">IF(J1370&lt;=0,1,0)</f>
        <v>1</v>
      </c>
      <c r="L1370" s="15" t="n">
        <f aca="false">IFERROR(G1370/F1370,0)</f>
        <v>0.995910020449898</v>
      </c>
      <c r="M1370" s="15" t="n">
        <f aca="false">IFERROR((I1370-H1370)/H1370,0)</f>
        <v>0.00733481985682432</v>
      </c>
      <c r="N1370" s="16" t="n">
        <f aca="false">G1370*I1370</f>
        <v>83603.29</v>
      </c>
    </row>
    <row r="1371" customFormat="false" ht="15" hidden="false" customHeight="true" outlineLevel="0" collapsed="false">
      <c r="A1371" s="4" t="s">
        <v>1547</v>
      </c>
      <c r="B1371" s="4" t="s">
        <v>129</v>
      </c>
      <c r="C1371" s="13" t="n">
        <v>45483</v>
      </c>
      <c r="D1371" s="13" t="n">
        <v>45502</v>
      </c>
      <c r="E1371" s="13" t="n">
        <v>45509</v>
      </c>
      <c r="F1371" s="4" t="n">
        <v>162</v>
      </c>
      <c r="G1371" s="4" t="n">
        <v>159</v>
      </c>
      <c r="H1371" s="4" t="n">
        <v>709.66</v>
      </c>
      <c r="I1371" s="4" t="n">
        <v>726.29</v>
      </c>
      <c r="J1371" s="14" t="n">
        <f aca="false">E1371-D1371</f>
        <v>7</v>
      </c>
      <c r="K1371" s="14" t="n">
        <f aca="false">IF(J1371&lt;=0,1,0)</f>
        <v>0</v>
      </c>
      <c r="L1371" s="15" t="n">
        <f aca="false">IFERROR(G1371/F1371,0)</f>
        <v>0.981481481481482</v>
      </c>
      <c r="M1371" s="15" t="n">
        <f aca="false">IFERROR((I1371-H1371)/H1371,0)</f>
        <v>0.0234337570103993</v>
      </c>
      <c r="N1371" s="16" t="n">
        <f aca="false">G1371*I1371</f>
        <v>115480.11</v>
      </c>
    </row>
    <row r="1372" customFormat="false" ht="15" hidden="false" customHeight="true" outlineLevel="0" collapsed="false">
      <c r="A1372" s="4" t="s">
        <v>1548</v>
      </c>
      <c r="B1372" s="4" t="s">
        <v>115</v>
      </c>
      <c r="C1372" s="13" t="n">
        <v>45391</v>
      </c>
      <c r="D1372" s="13" t="n">
        <v>45403</v>
      </c>
      <c r="E1372" s="13" t="n">
        <v>45408</v>
      </c>
      <c r="F1372" s="4" t="n">
        <v>33</v>
      </c>
      <c r="G1372" s="4" t="n">
        <v>31</v>
      </c>
      <c r="H1372" s="4" t="n">
        <v>115.53</v>
      </c>
      <c r="I1372" s="4" t="n">
        <v>126.06</v>
      </c>
      <c r="J1372" s="14" t="n">
        <f aca="false">E1372-D1372</f>
        <v>5</v>
      </c>
      <c r="K1372" s="14" t="n">
        <f aca="false">IF(J1372&lt;=0,1,0)</f>
        <v>0</v>
      </c>
      <c r="L1372" s="15" t="n">
        <f aca="false">IFERROR(G1372/F1372,0)</f>
        <v>0.939393939393939</v>
      </c>
      <c r="M1372" s="15" t="n">
        <f aca="false">IFERROR((I1372-H1372)/H1372,0)</f>
        <v>0.0911451571020514</v>
      </c>
      <c r="N1372" s="16" t="n">
        <f aca="false">G1372*I1372</f>
        <v>3907.86</v>
      </c>
    </row>
    <row r="1373" customFormat="false" ht="15" hidden="false" customHeight="true" outlineLevel="0" collapsed="false">
      <c r="A1373" s="4" t="s">
        <v>1549</v>
      </c>
      <c r="B1373" s="4" t="s">
        <v>115</v>
      </c>
      <c r="C1373" s="13" t="n">
        <v>45222</v>
      </c>
      <c r="D1373" s="13" t="n">
        <v>45233</v>
      </c>
      <c r="E1373" s="13" t="n">
        <v>45241</v>
      </c>
      <c r="F1373" s="4" t="n">
        <v>149</v>
      </c>
      <c r="G1373" s="4" t="n">
        <v>143</v>
      </c>
      <c r="H1373" s="4" t="n">
        <v>115.53</v>
      </c>
      <c r="I1373" s="4" t="n">
        <v>122.78</v>
      </c>
      <c r="J1373" s="14" t="n">
        <f aca="false">E1373-D1373</f>
        <v>8</v>
      </c>
      <c r="K1373" s="14" t="n">
        <f aca="false">IF(J1373&lt;=0,1,0)</f>
        <v>0</v>
      </c>
      <c r="L1373" s="15" t="n">
        <f aca="false">IFERROR(G1373/F1373,0)</f>
        <v>0.959731543624161</v>
      </c>
      <c r="M1373" s="15" t="n">
        <f aca="false">IFERROR((I1373-H1373)/H1373,0)</f>
        <v>0.0627542629620012</v>
      </c>
      <c r="N1373" s="16" t="n">
        <f aca="false">G1373*I1373</f>
        <v>17557.54</v>
      </c>
    </row>
    <row r="1374" customFormat="false" ht="15" hidden="false" customHeight="true" outlineLevel="0" collapsed="false">
      <c r="A1374" s="4" t="s">
        <v>1550</v>
      </c>
      <c r="B1374" s="4" t="s">
        <v>139</v>
      </c>
      <c r="C1374" s="13" t="n">
        <v>45303</v>
      </c>
      <c r="D1374" s="13" t="n">
        <v>45315</v>
      </c>
      <c r="E1374" s="13" t="n">
        <v>45315</v>
      </c>
      <c r="F1374" s="4" t="n">
        <v>1940</v>
      </c>
      <c r="G1374" s="4" t="n">
        <v>1706</v>
      </c>
      <c r="H1374" s="4" t="n">
        <v>207.64</v>
      </c>
      <c r="I1374" s="4" t="n">
        <v>215.69</v>
      </c>
      <c r="J1374" s="14" t="n">
        <f aca="false">E1374-D1374</f>
        <v>0</v>
      </c>
      <c r="K1374" s="14" t="n">
        <f aca="false">IF(J1374&lt;=0,1,0)</f>
        <v>1</v>
      </c>
      <c r="L1374" s="15" t="n">
        <f aca="false">IFERROR(G1374/F1374,0)</f>
        <v>0.879381443298969</v>
      </c>
      <c r="M1374" s="15" t="n">
        <f aca="false">IFERROR((I1374-H1374)/H1374,0)</f>
        <v>0.0387690233095743</v>
      </c>
      <c r="N1374" s="16" t="n">
        <f aca="false">G1374*I1374</f>
        <v>367967.14</v>
      </c>
    </row>
    <row r="1375" customFormat="false" ht="15" hidden="false" customHeight="true" outlineLevel="0" collapsed="false">
      <c r="A1375" s="4" t="s">
        <v>1551</v>
      </c>
      <c r="B1375" s="4" t="s">
        <v>41</v>
      </c>
      <c r="C1375" s="13" t="n">
        <v>45544</v>
      </c>
      <c r="D1375" s="13" t="n">
        <v>45550</v>
      </c>
      <c r="E1375" s="13" t="n">
        <v>45549</v>
      </c>
      <c r="F1375" s="4" t="n">
        <v>928</v>
      </c>
      <c r="G1375" s="4" t="n">
        <v>907</v>
      </c>
      <c r="H1375" s="4" t="n">
        <v>45.51</v>
      </c>
      <c r="I1375" s="4" t="n">
        <v>44.18</v>
      </c>
      <c r="J1375" s="14" t="n">
        <f aca="false">E1375-D1375</f>
        <v>-1</v>
      </c>
      <c r="K1375" s="14" t="n">
        <f aca="false">IF(J1375&lt;=0,1,0)</f>
        <v>1</v>
      </c>
      <c r="L1375" s="15" t="n">
        <f aca="false">IFERROR(G1375/F1375,0)</f>
        <v>0.977370689655172</v>
      </c>
      <c r="M1375" s="15" t="n">
        <f aca="false">IFERROR((I1375-H1375)/H1375,0)</f>
        <v>-0.029224346297517</v>
      </c>
      <c r="N1375" s="16" t="n">
        <f aca="false">G1375*I1375</f>
        <v>40071.26</v>
      </c>
    </row>
    <row r="1376" customFormat="false" ht="15" hidden="false" customHeight="true" outlineLevel="0" collapsed="false">
      <c r="A1376" s="4" t="s">
        <v>1552</v>
      </c>
      <c r="B1376" s="4" t="s">
        <v>163</v>
      </c>
      <c r="C1376" s="13" t="n">
        <v>45238</v>
      </c>
      <c r="D1376" s="13" t="n">
        <v>45258</v>
      </c>
      <c r="E1376" s="13" t="n">
        <v>45261</v>
      </c>
      <c r="F1376" s="4" t="n">
        <v>428</v>
      </c>
      <c r="G1376" s="4" t="n">
        <v>423</v>
      </c>
      <c r="H1376" s="4" t="n">
        <v>482.79</v>
      </c>
      <c r="I1376" s="4" t="n">
        <v>486.57</v>
      </c>
      <c r="J1376" s="14" t="n">
        <f aca="false">E1376-D1376</f>
        <v>3</v>
      </c>
      <c r="K1376" s="14" t="n">
        <f aca="false">IF(J1376&lt;=0,1,0)</f>
        <v>0</v>
      </c>
      <c r="L1376" s="15" t="n">
        <f aca="false">IFERROR(G1376/F1376,0)</f>
        <v>0.988317757009346</v>
      </c>
      <c r="M1376" s="15" t="n">
        <f aca="false">IFERROR((I1376-H1376)/H1376,0)</f>
        <v>0.00782949108307954</v>
      </c>
      <c r="N1376" s="16" t="n">
        <f aca="false">G1376*I1376</f>
        <v>205819.11</v>
      </c>
    </row>
    <row r="1377" customFormat="false" ht="15" hidden="false" customHeight="true" outlineLevel="0" collapsed="false">
      <c r="A1377" s="4" t="s">
        <v>1553</v>
      </c>
      <c r="B1377" s="4" t="s">
        <v>153</v>
      </c>
      <c r="C1377" s="13" t="n">
        <v>45363</v>
      </c>
      <c r="D1377" s="13" t="n">
        <v>45380</v>
      </c>
      <c r="E1377" s="13" t="n">
        <v>45378</v>
      </c>
      <c r="F1377" s="4" t="n">
        <v>374</v>
      </c>
      <c r="G1377" s="4" t="n">
        <v>339</v>
      </c>
      <c r="H1377" s="4" t="n">
        <v>1492.04</v>
      </c>
      <c r="I1377" s="4" t="n">
        <v>1584.9</v>
      </c>
      <c r="J1377" s="14" t="n">
        <f aca="false">E1377-D1377</f>
        <v>-2</v>
      </c>
      <c r="K1377" s="14" t="n">
        <f aca="false">IF(J1377&lt;=0,1,0)</f>
        <v>1</v>
      </c>
      <c r="L1377" s="15" t="n">
        <f aca="false">IFERROR(G1377/F1377,0)</f>
        <v>0.906417112299465</v>
      </c>
      <c r="M1377" s="15" t="n">
        <f aca="false">IFERROR((I1377-H1377)/H1377,0)</f>
        <v>0.0622369373475243</v>
      </c>
      <c r="N1377" s="16" t="n">
        <f aca="false">G1377*I1377</f>
        <v>537281.1</v>
      </c>
    </row>
    <row r="1378" customFormat="false" ht="15" hidden="false" customHeight="true" outlineLevel="0" collapsed="false">
      <c r="A1378" s="4" t="s">
        <v>1554</v>
      </c>
      <c r="B1378" s="4" t="s">
        <v>143</v>
      </c>
      <c r="C1378" s="13" t="n">
        <v>45286</v>
      </c>
      <c r="D1378" s="13" t="n">
        <v>45294</v>
      </c>
      <c r="E1378" s="13" t="n">
        <v>45305</v>
      </c>
      <c r="F1378" s="4" t="n">
        <v>2692</v>
      </c>
      <c r="G1378" s="4" t="n">
        <v>2437</v>
      </c>
      <c r="H1378" s="4" t="n">
        <v>20.6</v>
      </c>
      <c r="I1378" s="4" t="n">
        <v>21.54</v>
      </c>
      <c r="J1378" s="14" t="n">
        <f aca="false">E1378-D1378</f>
        <v>11</v>
      </c>
      <c r="K1378" s="14" t="n">
        <f aca="false">IF(J1378&lt;=0,1,0)</f>
        <v>0</v>
      </c>
      <c r="L1378" s="15" t="n">
        <f aca="false">IFERROR(G1378/F1378,0)</f>
        <v>0.905274888558692</v>
      </c>
      <c r="M1378" s="15" t="n">
        <f aca="false">IFERROR((I1378-H1378)/H1378,0)</f>
        <v>0.0456310679611649</v>
      </c>
      <c r="N1378" s="16" t="n">
        <f aca="false">G1378*I1378</f>
        <v>52492.98</v>
      </c>
    </row>
    <row r="1379" customFormat="false" ht="15" hidden="false" customHeight="true" outlineLevel="0" collapsed="false">
      <c r="A1379" s="4" t="s">
        <v>1555</v>
      </c>
      <c r="B1379" s="4" t="s">
        <v>147</v>
      </c>
      <c r="C1379" s="13" t="n">
        <v>45001</v>
      </c>
      <c r="D1379" s="13" t="n">
        <v>45013</v>
      </c>
      <c r="E1379" s="13" t="n">
        <v>45016</v>
      </c>
      <c r="F1379" s="4" t="n">
        <v>60</v>
      </c>
      <c r="G1379" s="4" t="n">
        <v>60</v>
      </c>
      <c r="H1379" s="4" t="n">
        <v>203.3</v>
      </c>
      <c r="I1379" s="4" t="n">
        <v>203.47</v>
      </c>
      <c r="J1379" s="14" t="n">
        <f aca="false">E1379-D1379</f>
        <v>3</v>
      </c>
      <c r="K1379" s="14" t="n">
        <f aca="false">IF(J1379&lt;=0,1,0)</f>
        <v>0</v>
      </c>
      <c r="L1379" s="15" t="n">
        <f aca="false">IFERROR(G1379/F1379,0)</f>
        <v>1</v>
      </c>
      <c r="M1379" s="15" t="n">
        <f aca="false">IFERROR((I1379-H1379)/H1379,0)</f>
        <v>0.000836202656173082</v>
      </c>
      <c r="N1379" s="16" t="n">
        <f aca="false">G1379*I1379</f>
        <v>12208.2</v>
      </c>
    </row>
    <row r="1380" customFormat="false" ht="15" hidden="false" customHeight="true" outlineLevel="0" collapsed="false">
      <c r="A1380" s="4" t="s">
        <v>1556</v>
      </c>
      <c r="B1380" s="4" t="s">
        <v>143</v>
      </c>
      <c r="C1380" s="13" t="n">
        <v>45591</v>
      </c>
      <c r="D1380" s="13" t="n">
        <v>45597</v>
      </c>
      <c r="E1380" s="13" t="n">
        <v>45611</v>
      </c>
      <c r="F1380" s="4" t="n">
        <v>2114</v>
      </c>
      <c r="G1380" s="4" t="n">
        <v>1973</v>
      </c>
      <c r="H1380" s="4" t="n">
        <v>20.6</v>
      </c>
      <c r="I1380" s="4" t="n">
        <v>22.12</v>
      </c>
      <c r="J1380" s="14" t="n">
        <f aca="false">E1380-D1380</f>
        <v>14</v>
      </c>
      <c r="K1380" s="14" t="n">
        <f aca="false">IF(J1380&lt;=0,1,0)</f>
        <v>0</v>
      </c>
      <c r="L1380" s="15" t="n">
        <f aca="false">IFERROR(G1380/F1380,0)</f>
        <v>0.933301797540208</v>
      </c>
      <c r="M1380" s="15" t="n">
        <f aca="false">IFERROR((I1380-H1380)/H1380,0)</f>
        <v>0.0737864077669903</v>
      </c>
      <c r="N1380" s="16" t="n">
        <f aca="false">G1380*I1380</f>
        <v>43642.76</v>
      </c>
    </row>
    <row r="1381" customFormat="false" ht="15" hidden="false" customHeight="true" outlineLevel="0" collapsed="false">
      <c r="A1381" s="4" t="s">
        <v>1557</v>
      </c>
      <c r="B1381" s="4" t="s">
        <v>137</v>
      </c>
      <c r="C1381" s="13" t="n">
        <v>44992</v>
      </c>
      <c r="D1381" s="13" t="n">
        <v>45010</v>
      </c>
      <c r="E1381" s="13" t="n">
        <v>45012</v>
      </c>
      <c r="F1381" s="4" t="n">
        <v>429</v>
      </c>
      <c r="G1381" s="4" t="n">
        <v>374</v>
      </c>
      <c r="H1381" s="4" t="n">
        <v>1047.25</v>
      </c>
      <c r="I1381" s="4" t="n">
        <v>1049.66</v>
      </c>
      <c r="J1381" s="14" t="n">
        <f aca="false">E1381-D1381</f>
        <v>2</v>
      </c>
      <c r="K1381" s="14" t="n">
        <f aca="false">IF(J1381&lt;=0,1,0)</f>
        <v>0</v>
      </c>
      <c r="L1381" s="15" t="n">
        <f aca="false">IFERROR(G1381/F1381,0)</f>
        <v>0.871794871794872</v>
      </c>
      <c r="M1381" s="15" t="n">
        <f aca="false">IFERROR((I1381-H1381)/H1381,0)</f>
        <v>0.0023012652184293</v>
      </c>
      <c r="N1381" s="16" t="n">
        <f aca="false">G1381*I1381</f>
        <v>392572.84</v>
      </c>
    </row>
    <row r="1382" customFormat="false" ht="15" hidden="false" customHeight="true" outlineLevel="0" collapsed="false">
      <c r="A1382" s="4" t="s">
        <v>1558</v>
      </c>
      <c r="B1382" s="4" t="s">
        <v>151</v>
      </c>
      <c r="C1382" s="13" t="n">
        <v>45181</v>
      </c>
      <c r="D1382" s="13" t="n">
        <v>45187</v>
      </c>
      <c r="E1382" s="13" t="n">
        <v>45192</v>
      </c>
      <c r="F1382" s="4" t="n">
        <v>11</v>
      </c>
      <c r="G1382" s="4" t="n">
        <v>11</v>
      </c>
      <c r="H1382" s="4" t="n">
        <v>503.46</v>
      </c>
      <c r="I1382" s="4" t="n">
        <v>508.35</v>
      </c>
      <c r="J1382" s="14" t="n">
        <f aca="false">E1382-D1382</f>
        <v>5</v>
      </c>
      <c r="K1382" s="14" t="n">
        <f aca="false">IF(J1382&lt;=0,1,0)</f>
        <v>0</v>
      </c>
      <c r="L1382" s="15" t="n">
        <f aca="false">IFERROR(G1382/F1382,0)</f>
        <v>1</v>
      </c>
      <c r="M1382" s="15" t="n">
        <f aca="false">IFERROR((I1382-H1382)/H1382,0)</f>
        <v>0.00971278751042793</v>
      </c>
      <c r="N1382" s="16" t="n">
        <f aca="false">G1382*I1382</f>
        <v>5591.85</v>
      </c>
    </row>
    <row r="1383" customFormat="false" ht="15" hidden="false" customHeight="true" outlineLevel="0" collapsed="false">
      <c r="A1383" s="4" t="s">
        <v>1559</v>
      </c>
      <c r="B1383" s="4" t="s">
        <v>101</v>
      </c>
      <c r="C1383" s="13" t="n">
        <v>45178</v>
      </c>
      <c r="D1383" s="13" t="n">
        <v>45198</v>
      </c>
      <c r="E1383" s="13" t="n">
        <v>45199</v>
      </c>
      <c r="F1383" s="4" t="n">
        <v>225</v>
      </c>
      <c r="G1383" s="4" t="n">
        <v>225</v>
      </c>
      <c r="H1383" s="4" t="n">
        <v>442.74</v>
      </c>
      <c r="I1383" s="4" t="n">
        <v>438.43</v>
      </c>
      <c r="J1383" s="14" t="n">
        <f aca="false">E1383-D1383</f>
        <v>1</v>
      </c>
      <c r="K1383" s="14" t="n">
        <f aca="false">IF(J1383&lt;=0,1,0)</f>
        <v>0</v>
      </c>
      <c r="L1383" s="15" t="n">
        <f aca="false">IFERROR(G1383/F1383,0)</f>
        <v>1</v>
      </c>
      <c r="M1383" s="15" t="n">
        <f aca="false">IFERROR((I1383-H1383)/H1383,0)</f>
        <v>-0.00973483308488052</v>
      </c>
      <c r="N1383" s="16" t="n">
        <f aca="false">G1383*I1383</f>
        <v>98646.75</v>
      </c>
    </row>
    <row r="1384" customFormat="false" ht="15" hidden="false" customHeight="true" outlineLevel="0" collapsed="false">
      <c r="A1384" s="4" t="s">
        <v>1560</v>
      </c>
      <c r="B1384" s="4" t="s">
        <v>93</v>
      </c>
      <c r="C1384" s="13" t="n">
        <v>45321</v>
      </c>
      <c r="D1384" s="13" t="n">
        <v>45331</v>
      </c>
      <c r="E1384" s="13" t="n">
        <v>45334</v>
      </c>
      <c r="F1384" s="4" t="n">
        <v>1567</v>
      </c>
      <c r="G1384" s="4" t="n">
        <v>1567</v>
      </c>
      <c r="H1384" s="4" t="n">
        <v>174.25</v>
      </c>
      <c r="I1384" s="4" t="n">
        <v>182.48</v>
      </c>
      <c r="J1384" s="14" t="n">
        <f aca="false">E1384-D1384</f>
        <v>3</v>
      </c>
      <c r="K1384" s="14" t="n">
        <f aca="false">IF(J1384&lt;=0,1,0)</f>
        <v>0</v>
      </c>
      <c r="L1384" s="15" t="n">
        <f aca="false">IFERROR(G1384/F1384,0)</f>
        <v>1</v>
      </c>
      <c r="M1384" s="15" t="n">
        <f aca="false">IFERROR((I1384-H1384)/H1384,0)</f>
        <v>0.0472309899569583</v>
      </c>
      <c r="N1384" s="16" t="n">
        <f aca="false">G1384*I1384</f>
        <v>285946.16</v>
      </c>
    </row>
    <row r="1385" customFormat="false" ht="15" hidden="false" customHeight="true" outlineLevel="0" collapsed="false">
      <c r="A1385" s="4" t="s">
        <v>1561</v>
      </c>
      <c r="B1385" s="4" t="s">
        <v>109</v>
      </c>
      <c r="C1385" s="13" t="n">
        <v>45168</v>
      </c>
      <c r="D1385" s="13" t="n">
        <v>45185</v>
      </c>
      <c r="E1385" s="13" t="n">
        <v>45185</v>
      </c>
      <c r="F1385" s="4" t="n">
        <v>478</v>
      </c>
      <c r="G1385" s="4" t="n">
        <v>468</v>
      </c>
      <c r="H1385" s="4" t="n">
        <v>858.02</v>
      </c>
      <c r="I1385" s="4" t="n">
        <v>870.47</v>
      </c>
      <c r="J1385" s="14" t="n">
        <f aca="false">E1385-D1385</f>
        <v>0</v>
      </c>
      <c r="K1385" s="14" t="n">
        <f aca="false">IF(J1385&lt;=0,1,0)</f>
        <v>1</v>
      </c>
      <c r="L1385" s="15" t="n">
        <f aca="false">IFERROR(G1385/F1385,0)</f>
        <v>0.97907949790795</v>
      </c>
      <c r="M1385" s="15" t="n">
        <f aca="false">IFERROR((I1385-H1385)/H1385,0)</f>
        <v>0.014510151278525</v>
      </c>
      <c r="N1385" s="16" t="n">
        <f aca="false">G1385*I1385</f>
        <v>407379.96</v>
      </c>
    </row>
    <row r="1386" customFormat="false" ht="15" hidden="false" customHeight="true" outlineLevel="0" collapsed="false">
      <c r="A1386" s="4" t="s">
        <v>1562</v>
      </c>
      <c r="B1386" s="4" t="s">
        <v>109</v>
      </c>
      <c r="C1386" s="13" t="n">
        <v>45163</v>
      </c>
      <c r="D1386" s="13" t="n">
        <v>45180</v>
      </c>
      <c r="E1386" s="13" t="n">
        <v>45186</v>
      </c>
      <c r="F1386" s="4" t="n">
        <v>367</v>
      </c>
      <c r="G1386" s="4" t="n">
        <v>365</v>
      </c>
      <c r="H1386" s="4" t="n">
        <v>858.02</v>
      </c>
      <c r="I1386" s="4" t="n">
        <v>886.61</v>
      </c>
      <c r="J1386" s="14" t="n">
        <f aca="false">E1386-D1386</f>
        <v>6</v>
      </c>
      <c r="K1386" s="14" t="n">
        <f aca="false">IF(J1386&lt;=0,1,0)</f>
        <v>0</v>
      </c>
      <c r="L1386" s="15" t="n">
        <f aca="false">IFERROR(G1386/F1386,0)</f>
        <v>0.994550408719346</v>
      </c>
      <c r="M1386" s="15" t="n">
        <f aca="false">IFERROR((I1386-H1386)/H1386,0)</f>
        <v>0.0333209016106851</v>
      </c>
      <c r="N1386" s="16" t="n">
        <f aca="false">G1386*I1386</f>
        <v>323612.65</v>
      </c>
    </row>
    <row r="1387" customFormat="false" ht="15" hidden="false" customHeight="true" outlineLevel="0" collapsed="false">
      <c r="A1387" s="4" t="s">
        <v>1563</v>
      </c>
      <c r="B1387" s="4" t="s">
        <v>147</v>
      </c>
      <c r="C1387" s="13" t="n">
        <v>45283</v>
      </c>
      <c r="D1387" s="13" t="n">
        <v>45295</v>
      </c>
      <c r="E1387" s="13" t="n">
        <v>45298</v>
      </c>
      <c r="F1387" s="4" t="n">
        <v>275</v>
      </c>
      <c r="G1387" s="4" t="n">
        <v>273</v>
      </c>
      <c r="H1387" s="4" t="n">
        <v>203.3</v>
      </c>
      <c r="I1387" s="4" t="n">
        <v>203.17</v>
      </c>
      <c r="J1387" s="14" t="n">
        <f aca="false">E1387-D1387</f>
        <v>3</v>
      </c>
      <c r="K1387" s="14" t="n">
        <f aca="false">IF(J1387&lt;=0,1,0)</f>
        <v>0</v>
      </c>
      <c r="L1387" s="15" t="n">
        <f aca="false">IFERROR(G1387/F1387,0)</f>
        <v>0.992727272727273</v>
      </c>
      <c r="M1387" s="15" t="n">
        <f aca="false">IFERROR((I1387-H1387)/H1387,0)</f>
        <v>-0.000639449090014874</v>
      </c>
      <c r="N1387" s="16" t="n">
        <f aca="false">G1387*I1387</f>
        <v>55465.41</v>
      </c>
    </row>
    <row r="1388" customFormat="false" ht="15" hidden="false" customHeight="true" outlineLevel="0" collapsed="false">
      <c r="A1388" s="4" t="s">
        <v>1564</v>
      </c>
      <c r="B1388" s="4" t="s">
        <v>139</v>
      </c>
      <c r="C1388" s="13" t="n">
        <v>45503</v>
      </c>
      <c r="D1388" s="13" t="n">
        <v>45515</v>
      </c>
      <c r="E1388" s="13" t="n">
        <v>45516</v>
      </c>
      <c r="F1388" s="4" t="n">
        <v>1790</v>
      </c>
      <c r="G1388" s="4" t="n">
        <v>1551</v>
      </c>
      <c r="H1388" s="4" t="n">
        <v>207.64</v>
      </c>
      <c r="I1388" s="4" t="n">
        <v>218.02</v>
      </c>
      <c r="J1388" s="14" t="n">
        <f aca="false">E1388-D1388</f>
        <v>1</v>
      </c>
      <c r="K1388" s="14" t="n">
        <f aca="false">IF(J1388&lt;=0,1,0)</f>
        <v>0</v>
      </c>
      <c r="L1388" s="15" t="n">
        <f aca="false">IFERROR(G1388/F1388,0)</f>
        <v>0.866480446927374</v>
      </c>
      <c r="M1388" s="15" t="n">
        <f aca="false">IFERROR((I1388-H1388)/H1388,0)</f>
        <v>0.0499903679445195</v>
      </c>
      <c r="N1388" s="16" t="n">
        <f aca="false">G1388*I1388</f>
        <v>338149.02</v>
      </c>
    </row>
    <row r="1389" customFormat="false" ht="15" hidden="false" customHeight="true" outlineLevel="0" collapsed="false">
      <c r="A1389" s="4" t="s">
        <v>1565</v>
      </c>
      <c r="B1389" s="4" t="s">
        <v>87</v>
      </c>
      <c r="C1389" s="13" t="n">
        <v>45386</v>
      </c>
      <c r="D1389" s="13" t="n">
        <v>45398</v>
      </c>
      <c r="E1389" s="13" t="n">
        <v>45396</v>
      </c>
      <c r="F1389" s="4" t="n">
        <v>609</v>
      </c>
      <c r="G1389" s="4" t="n">
        <v>562</v>
      </c>
      <c r="H1389" s="4" t="n">
        <v>161.95</v>
      </c>
      <c r="I1389" s="4" t="n">
        <v>185.77</v>
      </c>
      <c r="J1389" s="14" t="n">
        <f aca="false">E1389-D1389</f>
        <v>-2</v>
      </c>
      <c r="K1389" s="14" t="n">
        <f aca="false">IF(J1389&lt;=0,1,0)</f>
        <v>1</v>
      </c>
      <c r="L1389" s="15" t="n">
        <f aca="false">IFERROR(G1389/F1389,0)</f>
        <v>0.922824302134647</v>
      </c>
      <c r="M1389" s="15" t="n">
        <f aca="false">IFERROR((I1389-H1389)/H1389,0)</f>
        <v>0.147082432849645</v>
      </c>
      <c r="N1389" s="16" t="n">
        <f aca="false">G1389*I1389</f>
        <v>104402.74</v>
      </c>
    </row>
    <row r="1390" customFormat="false" ht="15" hidden="false" customHeight="true" outlineLevel="0" collapsed="false">
      <c r="A1390" s="4" t="s">
        <v>1566</v>
      </c>
      <c r="B1390" s="4" t="s">
        <v>117</v>
      </c>
      <c r="C1390" s="13" t="n">
        <v>45540</v>
      </c>
      <c r="D1390" s="13" t="n">
        <v>45553</v>
      </c>
      <c r="E1390" s="13" t="n">
        <v>45560</v>
      </c>
      <c r="F1390" s="4" t="n">
        <v>288</v>
      </c>
      <c r="G1390" s="4" t="n">
        <v>265</v>
      </c>
      <c r="H1390" s="4" t="n">
        <v>396.01</v>
      </c>
      <c r="I1390" s="4" t="n">
        <v>384.5</v>
      </c>
      <c r="J1390" s="14" t="n">
        <f aca="false">E1390-D1390</f>
        <v>7</v>
      </c>
      <c r="K1390" s="14" t="n">
        <f aca="false">IF(J1390&lt;=0,1,0)</f>
        <v>0</v>
      </c>
      <c r="L1390" s="15" t="n">
        <f aca="false">IFERROR(G1390/F1390,0)</f>
        <v>0.920138888888889</v>
      </c>
      <c r="M1390" s="15" t="n">
        <f aca="false">IFERROR((I1390-H1390)/H1390,0)</f>
        <v>-0.0290649226029646</v>
      </c>
      <c r="N1390" s="16" t="n">
        <f aca="false">G1390*I1390</f>
        <v>101892.5</v>
      </c>
    </row>
    <row r="1391" customFormat="false" ht="15" hidden="false" customHeight="true" outlineLevel="0" collapsed="false">
      <c r="A1391" s="4" t="s">
        <v>1567</v>
      </c>
      <c r="B1391" s="4" t="s">
        <v>95</v>
      </c>
      <c r="C1391" s="13" t="n">
        <v>45573</v>
      </c>
      <c r="D1391" s="13" t="n">
        <v>45579</v>
      </c>
      <c r="E1391" s="13" t="n">
        <v>45577</v>
      </c>
      <c r="F1391" s="4" t="n">
        <v>1212</v>
      </c>
      <c r="G1391" s="4" t="n">
        <v>1178</v>
      </c>
      <c r="H1391" s="4" t="n">
        <v>20.39</v>
      </c>
      <c r="I1391" s="4" t="n">
        <v>21.05</v>
      </c>
      <c r="J1391" s="14" t="n">
        <f aca="false">E1391-D1391</f>
        <v>-2</v>
      </c>
      <c r="K1391" s="14" t="n">
        <f aca="false">IF(J1391&lt;=0,1,0)</f>
        <v>1</v>
      </c>
      <c r="L1391" s="15" t="n">
        <f aca="false">IFERROR(G1391/F1391,0)</f>
        <v>0.971947194719472</v>
      </c>
      <c r="M1391" s="15" t="n">
        <f aca="false">IFERROR((I1391-H1391)/H1391,0)</f>
        <v>0.032368808239333</v>
      </c>
      <c r="N1391" s="16" t="n">
        <f aca="false">G1391*I1391</f>
        <v>24796.9</v>
      </c>
    </row>
    <row r="1392" customFormat="false" ht="15" hidden="false" customHeight="true" outlineLevel="0" collapsed="false">
      <c r="A1392" s="4" t="s">
        <v>1568</v>
      </c>
      <c r="B1392" s="4" t="s">
        <v>141</v>
      </c>
      <c r="C1392" s="13" t="n">
        <v>45155</v>
      </c>
      <c r="D1392" s="13" t="n">
        <v>45174</v>
      </c>
      <c r="E1392" s="13" t="n">
        <v>45174</v>
      </c>
      <c r="F1392" s="4" t="n">
        <v>398</v>
      </c>
      <c r="G1392" s="4" t="n">
        <v>398</v>
      </c>
      <c r="H1392" s="4" t="n">
        <v>1252.36</v>
      </c>
      <c r="I1392" s="4" t="n">
        <v>1209.88</v>
      </c>
      <c r="J1392" s="14" t="n">
        <f aca="false">E1392-D1392</f>
        <v>0</v>
      </c>
      <c r="K1392" s="14" t="n">
        <f aca="false">IF(J1392&lt;=0,1,0)</f>
        <v>1</v>
      </c>
      <c r="L1392" s="15" t="n">
        <f aca="false">IFERROR(G1392/F1392,0)</f>
        <v>1</v>
      </c>
      <c r="M1392" s="15" t="n">
        <f aca="false">IFERROR((I1392-H1392)/H1392,0)</f>
        <v>-0.0339199591171866</v>
      </c>
      <c r="N1392" s="16" t="n">
        <f aca="false">G1392*I1392</f>
        <v>481532.24</v>
      </c>
    </row>
    <row r="1393" customFormat="false" ht="15" hidden="false" customHeight="true" outlineLevel="0" collapsed="false">
      <c r="A1393" s="4" t="s">
        <v>1569</v>
      </c>
      <c r="B1393" s="4" t="s">
        <v>32</v>
      </c>
      <c r="C1393" s="13" t="n">
        <v>44943</v>
      </c>
      <c r="D1393" s="13" t="n">
        <v>44951</v>
      </c>
      <c r="E1393" s="13" t="n">
        <v>44955</v>
      </c>
      <c r="F1393" s="4" t="n">
        <v>4999</v>
      </c>
      <c r="G1393" s="4" t="n">
        <v>4414</v>
      </c>
      <c r="H1393" s="4" t="n">
        <v>32.49</v>
      </c>
      <c r="I1393" s="4" t="n">
        <v>32.63</v>
      </c>
      <c r="J1393" s="14" t="n">
        <f aca="false">E1393-D1393</f>
        <v>4</v>
      </c>
      <c r="K1393" s="14" t="n">
        <f aca="false">IF(J1393&lt;=0,1,0)</f>
        <v>0</v>
      </c>
      <c r="L1393" s="15" t="n">
        <f aca="false">IFERROR(G1393/F1393,0)</f>
        <v>0.882976595319064</v>
      </c>
      <c r="M1393" s="15" t="n">
        <f aca="false">IFERROR((I1393-H1393)/H1393,0)</f>
        <v>0.00430901815943369</v>
      </c>
      <c r="N1393" s="16" t="n">
        <f aca="false">G1393*I1393</f>
        <v>144028.82</v>
      </c>
    </row>
    <row r="1394" customFormat="false" ht="15" hidden="false" customHeight="true" outlineLevel="0" collapsed="false">
      <c r="A1394" s="4" t="s">
        <v>1570</v>
      </c>
      <c r="B1394" s="4" t="s">
        <v>159</v>
      </c>
      <c r="C1394" s="13" t="n">
        <v>45446</v>
      </c>
      <c r="D1394" s="13" t="n">
        <v>45453</v>
      </c>
      <c r="E1394" s="13" t="n">
        <v>45452</v>
      </c>
      <c r="F1394" s="4" t="n">
        <v>3547</v>
      </c>
      <c r="G1394" s="4" t="n">
        <v>3506</v>
      </c>
      <c r="H1394" s="4" t="n">
        <v>32.91</v>
      </c>
      <c r="I1394" s="4" t="n">
        <v>34.01</v>
      </c>
      <c r="J1394" s="14" t="n">
        <f aca="false">E1394-D1394</f>
        <v>-1</v>
      </c>
      <c r="K1394" s="14" t="n">
        <f aca="false">IF(J1394&lt;=0,1,0)</f>
        <v>1</v>
      </c>
      <c r="L1394" s="15" t="n">
        <f aca="false">IFERROR(G1394/F1394,0)</f>
        <v>0.988440936002256</v>
      </c>
      <c r="M1394" s="15" t="n">
        <f aca="false">IFERROR((I1394-H1394)/H1394,0)</f>
        <v>0.0334244910361593</v>
      </c>
      <c r="N1394" s="16" t="n">
        <f aca="false">G1394*I1394</f>
        <v>119239.06</v>
      </c>
    </row>
    <row r="1395" customFormat="false" ht="15" hidden="false" customHeight="true" outlineLevel="0" collapsed="false">
      <c r="A1395" s="4" t="s">
        <v>1571</v>
      </c>
      <c r="B1395" s="4" t="s">
        <v>63</v>
      </c>
      <c r="C1395" s="13" t="n">
        <v>45579</v>
      </c>
      <c r="D1395" s="13" t="n">
        <v>45589</v>
      </c>
      <c r="E1395" s="13" t="n">
        <v>45599</v>
      </c>
      <c r="F1395" s="4" t="n">
        <v>1006</v>
      </c>
      <c r="G1395" s="4" t="n">
        <v>964</v>
      </c>
      <c r="H1395" s="4" t="n">
        <v>239.8</v>
      </c>
      <c r="I1395" s="4" t="n">
        <v>265.96</v>
      </c>
      <c r="J1395" s="14" t="n">
        <f aca="false">E1395-D1395</f>
        <v>10</v>
      </c>
      <c r="K1395" s="14" t="n">
        <f aca="false">IF(J1395&lt;=0,1,0)</f>
        <v>0</v>
      </c>
      <c r="L1395" s="15" t="n">
        <f aca="false">IFERROR(G1395/F1395,0)</f>
        <v>0.958250497017893</v>
      </c>
      <c r="M1395" s="15" t="n">
        <f aca="false">IFERROR((I1395-H1395)/H1395,0)</f>
        <v>0.109090909090909</v>
      </c>
      <c r="N1395" s="16" t="n">
        <f aca="false">G1395*I1395</f>
        <v>256385.44</v>
      </c>
    </row>
    <row r="1396" customFormat="false" ht="15" hidden="false" customHeight="true" outlineLevel="0" collapsed="false">
      <c r="A1396" s="4" t="s">
        <v>1572</v>
      </c>
      <c r="B1396" s="4" t="s">
        <v>143</v>
      </c>
      <c r="C1396" s="13" t="n">
        <v>45487</v>
      </c>
      <c r="D1396" s="13" t="n">
        <v>45495</v>
      </c>
      <c r="E1396" s="13" t="n">
        <v>45506</v>
      </c>
      <c r="F1396" s="4" t="n">
        <v>1986</v>
      </c>
      <c r="G1396" s="4" t="n">
        <v>1932</v>
      </c>
      <c r="H1396" s="4" t="n">
        <v>20.6</v>
      </c>
      <c r="I1396" s="4" t="n">
        <v>21.87</v>
      </c>
      <c r="J1396" s="14" t="n">
        <f aca="false">E1396-D1396</f>
        <v>11</v>
      </c>
      <c r="K1396" s="14" t="n">
        <f aca="false">IF(J1396&lt;=0,1,0)</f>
        <v>0</v>
      </c>
      <c r="L1396" s="15" t="n">
        <f aca="false">IFERROR(G1396/F1396,0)</f>
        <v>0.972809667673716</v>
      </c>
      <c r="M1396" s="15" t="n">
        <f aca="false">IFERROR((I1396-H1396)/H1396,0)</f>
        <v>0.0616504854368932</v>
      </c>
      <c r="N1396" s="16" t="n">
        <f aca="false">G1396*I1396</f>
        <v>42252.84</v>
      </c>
    </row>
    <row r="1397" customFormat="false" ht="15" hidden="false" customHeight="true" outlineLevel="0" collapsed="false">
      <c r="A1397" s="4" t="s">
        <v>1573</v>
      </c>
      <c r="B1397" s="4" t="s">
        <v>85</v>
      </c>
      <c r="C1397" s="13" t="n">
        <v>45431</v>
      </c>
      <c r="D1397" s="13" t="n">
        <v>45440</v>
      </c>
      <c r="E1397" s="13" t="n">
        <v>45437</v>
      </c>
      <c r="F1397" s="4" t="n">
        <v>629</v>
      </c>
      <c r="G1397" s="4" t="n">
        <v>618</v>
      </c>
      <c r="H1397" s="4" t="n">
        <v>241.88</v>
      </c>
      <c r="I1397" s="4" t="n">
        <v>237.41</v>
      </c>
      <c r="J1397" s="14" t="n">
        <f aca="false">E1397-D1397</f>
        <v>-3</v>
      </c>
      <c r="K1397" s="14" t="n">
        <f aca="false">IF(J1397&lt;=0,1,0)</f>
        <v>1</v>
      </c>
      <c r="L1397" s="15" t="n">
        <f aca="false">IFERROR(G1397/F1397,0)</f>
        <v>0.982511923688394</v>
      </c>
      <c r="M1397" s="15" t="n">
        <f aca="false">IFERROR((I1397-H1397)/H1397,0)</f>
        <v>-0.0184802381346122</v>
      </c>
      <c r="N1397" s="16" t="n">
        <f aca="false">G1397*I1397</f>
        <v>146719.38</v>
      </c>
    </row>
    <row r="1398" customFormat="false" ht="15" hidden="false" customHeight="true" outlineLevel="0" collapsed="false">
      <c r="A1398" s="4" t="s">
        <v>1574</v>
      </c>
      <c r="B1398" s="4" t="s">
        <v>52</v>
      </c>
      <c r="C1398" s="13" t="n">
        <v>45329</v>
      </c>
      <c r="D1398" s="13" t="n">
        <v>45340</v>
      </c>
      <c r="E1398" s="13" t="n">
        <v>45348</v>
      </c>
      <c r="F1398" s="4" t="n">
        <v>1690</v>
      </c>
      <c r="G1398" s="4" t="n">
        <v>1485</v>
      </c>
      <c r="H1398" s="4" t="n">
        <v>170.24</v>
      </c>
      <c r="I1398" s="4" t="n">
        <v>174.1</v>
      </c>
      <c r="J1398" s="14" t="n">
        <f aca="false">E1398-D1398</f>
        <v>8</v>
      </c>
      <c r="K1398" s="14" t="n">
        <f aca="false">IF(J1398&lt;=0,1,0)</f>
        <v>0</v>
      </c>
      <c r="L1398" s="15" t="n">
        <f aca="false">IFERROR(G1398/F1398,0)</f>
        <v>0.878698224852071</v>
      </c>
      <c r="M1398" s="15" t="n">
        <f aca="false">IFERROR((I1398-H1398)/H1398,0)</f>
        <v>0.022673872180451</v>
      </c>
      <c r="N1398" s="16" t="n">
        <f aca="false">G1398*I1398</f>
        <v>258538.5</v>
      </c>
    </row>
    <row r="1399" customFormat="false" ht="15" hidden="false" customHeight="true" outlineLevel="0" collapsed="false">
      <c r="A1399" s="4" t="s">
        <v>1575</v>
      </c>
      <c r="B1399" s="4" t="s">
        <v>41</v>
      </c>
      <c r="C1399" s="13" t="n">
        <v>45505</v>
      </c>
      <c r="D1399" s="13" t="n">
        <v>45512</v>
      </c>
      <c r="E1399" s="13" t="n">
        <v>45513</v>
      </c>
      <c r="F1399" s="4" t="n">
        <v>2665</v>
      </c>
      <c r="G1399" s="4" t="n">
        <v>2665</v>
      </c>
      <c r="H1399" s="4" t="n">
        <v>45.51</v>
      </c>
      <c r="I1399" s="4" t="n">
        <v>44.28</v>
      </c>
      <c r="J1399" s="14" t="n">
        <f aca="false">E1399-D1399</f>
        <v>1</v>
      </c>
      <c r="K1399" s="14" t="n">
        <f aca="false">IF(J1399&lt;=0,1,0)</f>
        <v>0</v>
      </c>
      <c r="L1399" s="15" t="n">
        <f aca="false">IFERROR(G1399/F1399,0)</f>
        <v>1</v>
      </c>
      <c r="M1399" s="15" t="n">
        <f aca="false">IFERROR((I1399-H1399)/H1399,0)</f>
        <v>-0.027027027027027</v>
      </c>
      <c r="N1399" s="16" t="n">
        <f aca="false">G1399*I1399</f>
        <v>118006.2</v>
      </c>
    </row>
    <row r="1400" customFormat="false" ht="15" hidden="false" customHeight="true" outlineLevel="0" collapsed="false">
      <c r="A1400" s="4" t="s">
        <v>1576</v>
      </c>
      <c r="B1400" s="4" t="s">
        <v>153</v>
      </c>
      <c r="C1400" s="13" t="n">
        <v>45004</v>
      </c>
      <c r="D1400" s="13" t="n">
        <v>45022</v>
      </c>
      <c r="E1400" s="13" t="n">
        <v>45030</v>
      </c>
      <c r="F1400" s="4" t="n">
        <v>118</v>
      </c>
      <c r="G1400" s="4" t="n">
        <v>109</v>
      </c>
      <c r="H1400" s="4" t="n">
        <v>1492.04</v>
      </c>
      <c r="I1400" s="4" t="n">
        <v>1505.43</v>
      </c>
      <c r="J1400" s="14" t="n">
        <f aca="false">E1400-D1400</f>
        <v>8</v>
      </c>
      <c r="K1400" s="14" t="n">
        <f aca="false">IF(J1400&lt;=0,1,0)</f>
        <v>0</v>
      </c>
      <c r="L1400" s="15" t="n">
        <f aca="false">IFERROR(G1400/F1400,0)</f>
        <v>0.923728813559322</v>
      </c>
      <c r="M1400" s="15" t="n">
        <f aca="false">IFERROR((I1400-H1400)/H1400,0)</f>
        <v>0.00897429023350587</v>
      </c>
      <c r="N1400" s="16" t="n">
        <f aca="false">G1400*I1400</f>
        <v>164091.87</v>
      </c>
    </row>
    <row r="1401" customFormat="false" ht="15" hidden="false" customHeight="true" outlineLevel="0" collapsed="false">
      <c r="A1401" s="4" t="s">
        <v>1577</v>
      </c>
      <c r="B1401" s="4" t="s">
        <v>121</v>
      </c>
      <c r="C1401" s="13" t="n">
        <v>45335</v>
      </c>
      <c r="D1401" s="13" t="n">
        <v>45346</v>
      </c>
      <c r="E1401" s="13" t="n">
        <v>45343</v>
      </c>
      <c r="F1401" s="4" t="n">
        <v>305</v>
      </c>
      <c r="G1401" s="4" t="n">
        <v>268</v>
      </c>
      <c r="H1401" s="4" t="n">
        <v>206.07</v>
      </c>
      <c r="I1401" s="4" t="n">
        <v>220.43</v>
      </c>
      <c r="J1401" s="14" t="n">
        <f aca="false">E1401-D1401</f>
        <v>-3</v>
      </c>
      <c r="K1401" s="14" t="n">
        <f aca="false">IF(J1401&lt;=0,1,0)</f>
        <v>1</v>
      </c>
      <c r="L1401" s="15" t="n">
        <f aca="false">IFERROR(G1401/F1401,0)</f>
        <v>0.878688524590164</v>
      </c>
      <c r="M1401" s="15" t="n">
        <f aca="false">IFERROR((I1401-H1401)/H1401,0)</f>
        <v>0.0696850584752755</v>
      </c>
      <c r="N1401" s="16" t="n">
        <f aca="false">G1401*I1401</f>
        <v>59075.24</v>
      </c>
    </row>
    <row r="1402" customFormat="false" ht="15" hidden="false" customHeight="true" outlineLevel="0" collapsed="false">
      <c r="A1402" s="4" t="s">
        <v>1578</v>
      </c>
      <c r="B1402" s="4" t="s">
        <v>87</v>
      </c>
      <c r="C1402" s="13" t="n">
        <v>45447</v>
      </c>
      <c r="D1402" s="13" t="n">
        <v>45457</v>
      </c>
      <c r="E1402" s="13" t="n">
        <v>45460</v>
      </c>
      <c r="F1402" s="4" t="n">
        <v>1229</v>
      </c>
      <c r="G1402" s="4" t="n">
        <v>1157</v>
      </c>
      <c r="H1402" s="4" t="n">
        <v>161.95</v>
      </c>
      <c r="I1402" s="4" t="n">
        <v>189.05</v>
      </c>
      <c r="J1402" s="14" t="n">
        <f aca="false">E1402-D1402</f>
        <v>3</v>
      </c>
      <c r="K1402" s="14" t="n">
        <f aca="false">IF(J1402&lt;=0,1,0)</f>
        <v>0</v>
      </c>
      <c r="L1402" s="15" t="n">
        <f aca="false">IFERROR(G1402/F1402,0)</f>
        <v>0.941415785191212</v>
      </c>
      <c r="M1402" s="15" t="n">
        <f aca="false">IFERROR((I1402-H1402)/H1402,0)</f>
        <v>0.167335597406607</v>
      </c>
      <c r="N1402" s="16" t="n">
        <f aca="false">G1402*I1402</f>
        <v>218730.85</v>
      </c>
    </row>
    <row r="1403" customFormat="false" ht="15" hidden="false" customHeight="true" outlineLevel="0" collapsed="false">
      <c r="A1403" s="4" t="s">
        <v>1579</v>
      </c>
      <c r="B1403" s="4" t="s">
        <v>43</v>
      </c>
      <c r="C1403" s="13" t="n">
        <v>44988</v>
      </c>
      <c r="D1403" s="13" t="n">
        <v>45006</v>
      </c>
      <c r="E1403" s="13" t="n">
        <v>45010</v>
      </c>
      <c r="F1403" s="4" t="n">
        <v>273</v>
      </c>
      <c r="G1403" s="4" t="n">
        <v>273</v>
      </c>
      <c r="H1403" s="4" t="n">
        <v>1321.6</v>
      </c>
      <c r="I1403" s="4" t="n">
        <v>1329.04</v>
      </c>
      <c r="J1403" s="14" t="n">
        <f aca="false">E1403-D1403</f>
        <v>4</v>
      </c>
      <c r="K1403" s="14" t="n">
        <f aca="false">IF(J1403&lt;=0,1,0)</f>
        <v>0</v>
      </c>
      <c r="L1403" s="15" t="n">
        <f aca="false">IFERROR(G1403/F1403,0)</f>
        <v>1</v>
      </c>
      <c r="M1403" s="15" t="n">
        <f aca="false">IFERROR((I1403-H1403)/H1403,0)</f>
        <v>0.00562953995157389</v>
      </c>
      <c r="N1403" s="16" t="n">
        <f aca="false">G1403*I1403</f>
        <v>362827.92</v>
      </c>
    </row>
    <row r="1404" customFormat="false" ht="15" hidden="false" customHeight="true" outlineLevel="0" collapsed="false">
      <c r="A1404" s="4" t="s">
        <v>1580</v>
      </c>
      <c r="B1404" s="4" t="s">
        <v>155</v>
      </c>
      <c r="C1404" s="13" t="n">
        <v>45302</v>
      </c>
      <c r="D1404" s="13" t="n">
        <v>45310</v>
      </c>
      <c r="E1404" s="13" t="n">
        <v>45311</v>
      </c>
      <c r="F1404" s="4" t="n">
        <v>2664</v>
      </c>
      <c r="G1404" s="4" t="n">
        <v>2559</v>
      </c>
      <c r="H1404" s="4" t="n">
        <v>24.04</v>
      </c>
      <c r="I1404" s="4" t="n">
        <v>23.37</v>
      </c>
      <c r="J1404" s="14" t="n">
        <f aca="false">E1404-D1404</f>
        <v>1</v>
      </c>
      <c r="K1404" s="14" t="n">
        <f aca="false">IF(J1404&lt;=0,1,0)</f>
        <v>0</v>
      </c>
      <c r="L1404" s="15" t="n">
        <f aca="false">IFERROR(G1404/F1404,0)</f>
        <v>0.960585585585586</v>
      </c>
      <c r="M1404" s="15" t="n">
        <f aca="false">IFERROR((I1404-H1404)/H1404,0)</f>
        <v>-0.0278702163061563</v>
      </c>
      <c r="N1404" s="16" t="n">
        <f aca="false">G1404*I1404</f>
        <v>59803.83</v>
      </c>
    </row>
    <row r="1405" customFormat="false" ht="15" hidden="false" customHeight="true" outlineLevel="0" collapsed="false">
      <c r="A1405" s="4" t="s">
        <v>1581</v>
      </c>
      <c r="B1405" s="4" t="s">
        <v>63</v>
      </c>
      <c r="C1405" s="13" t="n">
        <v>45207</v>
      </c>
      <c r="D1405" s="13" t="n">
        <v>45216</v>
      </c>
      <c r="E1405" s="13" t="n">
        <v>45227</v>
      </c>
      <c r="F1405" s="4" t="n">
        <v>1454</v>
      </c>
      <c r="G1405" s="4" t="n">
        <v>1362</v>
      </c>
      <c r="H1405" s="4" t="n">
        <v>239.8</v>
      </c>
      <c r="I1405" s="4" t="n">
        <v>256.35</v>
      </c>
      <c r="J1405" s="14" t="n">
        <f aca="false">E1405-D1405</f>
        <v>11</v>
      </c>
      <c r="K1405" s="14" t="n">
        <f aca="false">IF(J1405&lt;=0,1,0)</f>
        <v>0</v>
      </c>
      <c r="L1405" s="15" t="n">
        <f aca="false">IFERROR(G1405/F1405,0)</f>
        <v>0.936726272352132</v>
      </c>
      <c r="M1405" s="15" t="n">
        <f aca="false">IFERROR((I1405-H1405)/H1405,0)</f>
        <v>0.0690158465387824</v>
      </c>
      <c r="N1405" s="16" t="n">
        <f aca="false">G1405*I1405</f>
        <v>349148.7</v>
      </c>
    </row>
    <row r="1406" customFormat="false" ht="15" hidden="false" customHeight="true" outlineLevel="0" collapsed="false">
      <c r="A1406" s="4" t="s">
        <v>1582</v>
      </c>
      <c r="B1406" s="4" t="s">
        <v>37</v>
      </c>
      <c r="C1406" s="13" t="n">
        <v>45540</v>
      </c>
      <c r="D1406" s="13" t="n">
        <v>45548</v>
      </c>
      <c r="E1406" s="13" t="n">
        <v>45548</v>
      </c>
      <c r="F1406" s="4" t="n">
        <v>4548</v>
      </c>
      <c r="G1406" s="4" t="n">
        <v>4541</v>
      </c>
      <c r="H1406" s="4" t="n">
        <v>22.26</v>
      </c>
      <c r="I1406" s="4" t="n">
        <v>21.09</v>
      </c>
      <c r="J1406" s="14" t="n">
        <f aca="false">E1406-D1406</f>
        <v>0</v>
      </c>
      <c r="K1406" s="14" t="n">
        <f aca="false">IF(J1406&lt;=0,1,0)</f>
        <v>1</v>
      </c>
      <c r="L1406" s="15" t="n">
        <f aca="false">IFERROR(G1406/F1406,0)</f>
        <v>0.998460861917326</v>
      </c>
      <c r="M1406" s="15" t="n">
        <f aca="false">IFERROR((I1406-H1406)/H1406,0)</f>
        <v>-0.0525606469002696</v>
      </c>
      <c r="N1406" s="16" t="n">
        <f aca="false">G1406*I1406</f>
        <v>95769.69</v>
      </c>
    </row>
    <row r="1407" customFormat="false" ht="15" hidden="false" customHeight="true" outlineLevel="0" collapsed="false">
      <c r="A1407" s="4" t="s">
        <v>1583</v>
      </c>
      <c r="B1407" s="4" t="s">
        <v>83</v>
      </c>
      <c r="C1407" s="13" t="n">
        <v>44957</v>
      </c>
      <c r="D1407" s="13" t="n">
        <v>44968</v>
      </c>
      <c r="E1407" s="13" t="n">
        <v>44969</v>
      </c>
      <c r="F1407" s="4" t="n">
        <v>930</v>
      </c>
      <c r="G1407" s="4" t="n">
        <v>911</v>
      </c>
      <c r="H1407" s="4" t="n">
        <v>101.36</v>
      </c>
      <c r="I1407" s="4" t="n">
        <v>102.15</v>
      </c>
      <c r="J1407" s="14" t="n">
        <f aca="false">E1407-D1407</f>
        <v>1</v>
      </c>
      <c r="K1407" s="14" t="n">
        <f aca="false">IF(J1407&lt;=0,1,0)</f>
        <v>0</v>
      </c>
      <c r="L1407" s="15" t="n">
        <f aca="false">IFERROR(G1407/F1407,0)</f>
        <v>0.979569892473118</v>
      </c>
      <c r="M1407" s="15" t="n">
        <f aca="false">IFERROR((I1407-H1407)/H1407,0)</f>
        <v>0.00779400157853203</v>
      </c>
      <c r="N1407" s="16" t="n">
        <f aca="false">G1407*I1407</f>
        <v>93058.65</v>
      </c>
    </row>
    <row r="1408" customFormat="false" ht="15" hidden="false" customHeight="true" outlineLevel="0" collapsed="false">
      <c r="A1408" s="4" t="s">
        <v>1584</v>
      </c>
      <c r="B1408" s="4" t="s">
        <v>99</v>
      </c>
      <c r="C1408" s="13" t="n">
        <v>45362</v>
      </c>
      <c r="D1408" s="13" t="n">
        <v>45369</v>
      </c>
      <c r="E1408" s="13" t="n">
        <v>45373</v>
      </c>
      <c r="F1408" s="4" t="n">
        <v>4885</v>
      </c>
      <c r="G1408" s="4" t="n">
        <v>4484</v>
      </c>
      <c r="H1408" s="4" t="n">
        <v>11.5</v>
      </c>
      <c r="I1408" s="4" t="n">
        <v>12.36</v>
      </c>
      <c r="J1408" s="14" t="n">
        <f aca="false">E1408-D1408</f>
        <v>4</v>
      </c>
      <c r="K1408" s="14" t="n">
        <f aca="false">IF(J1408&lt;=0,1,0)</f>
        <v>0</v>
      </c>
      <c r="L1408" s="15" t="n">
        <f aca="false">IFERROR(G1408/F1408,0)</f>
        <v>0.917911975435005</v>
      </c>
      <c r="M1408" s="15" t="n">
        <f aca="false">IFERROR((I1408-H1408)/H1408,0)</f>
        <v>0.0747826086956521</v>
      </c>
      <c r="N1408" s="16" t="n">
        <f aca="false">G1408*I1408</f>
        <v>55422.24</v>
      </c>
    </row>
    <row r="1409" customFormat="false" ht="15" hidden="false" customHeight="true" outlineLevel="0" collapsed="false">
      <c r="A1409" s="4" t="s">
        <v>1585</v>
      </c>
      <c r="B1409" s="4" t="s">
        <v>145</v>
      </c>
      <c r="C1409" s="13" t="n">
        <v>45026</v>
      </c>
      <c r="D1409" s="13" t="n">
        <v>45036</v>
      </c>
      <c r="E1409" s="13" t="n">
        <v>45035</v>
      </c>
      <c r="F1409" s="4" t="n">
        <v>1605</v>
      </c>
      <c r="G1409" s="4" t="n">
        <v>1496</v>
      </c>
      <c r="H1409" s="4" t="n">
        <v>237.04</v>
      </c>
      <c r="I1409" s="4" t="n">
        <v>241.8</v>
      </c>
      <c r="J1409" s="14" t="n">
        <f aca="false">E1409-D1409</f>
        <v>-1</v>
      </c>
      <c r="K1409" s="14" t="n">
        <f aca="false">IF(J1409&lt;=0,1,0)</f>
        <v>1</v>
      </c>
      <c r="L1409" s="15" t="n">
        <f aca="false">IFERROR(G1409/F1409,0)</f>
        <v>0.93208722741433</v>
      </c>
      <c r="M1409" s="15" t="n">
        <f aca="false">IFERROR((I1409-H1409)/H1409,0)</f>
        <v>0.0200809989875127</v>
      </c>
      <c r="N1409" s="16" t="n">
        <f aca="false">G1409*I1409</f>
        <v>361732.8</v>
      </c>
    </row>
    <row r="1410" customFormat="false" ht="15" hidden="false" customHeight="true" outlineLevel="0" collapsed="false">
      <c r="A1410" s="4" t="s">
        <v>1586</v>
      </c>
      <c r="B1410" s="4" t="s">
        <v>93</v>
      </c>
      <c r="C1410" s="13" t="n">
        <v>45510</v>
      </c>
      <c r="D1410" s="13" t="n">
        <v>45522</v>
      </c>
      <c r="E1410" s="13" t="n">
        <v>45525</v>
      </c>
      <c r="F1410" s="4" t="n">
        <v>1426</v>
      </c>
      <c r="G1410" s="4" t="n">
        <v>1345</v>
      </c>
      <c r="H1410" s="4" t="n">
        <v>174.25</v>
      </c>
      <c r="I1410" s="4" t="n">
        <v>184.61</v>
      </c>
      <c r="J1410" s="14" t="n">
        <f aca="false">E1410-D1410</f>
        <v>3</v>
      </c>
      <c r="K1410" s="14" t="n">
        <f aca="false">IF(J1410&lt;=0,1,0)</f>
        <v>0</v>
      </c>
      <c r="L1410" s="15" t="n">
        <f aca="false">IFERROR(G1410/F1410,0)</f>
        <v>0.943197755960729</v>
      </c>
      <c r="M1410" s="15" t="n">
        <f aca="false">IFERROR((I1410-H1410)/H1410,0)</f>
        <v>0.0594548063127691</v>
      </c>
      <c r="N1410" s="16" t="n">
        <f aca="false">G1410*I1410</f>
        <v>248300.45</v>
      </c>
    </row>
    <row r="1411" customFormat="false" ht="15" hidden="false" customHeight="true" outlineLevel="0" collapsed="false">
      <c r="A1411" s="4" t="s">
        <v>1587</v>
      </c>
      <c r="B1411" s="4" t="s">
        <v>151</v>
      </c>
      <c r="C1411" s="13" t="n">
        <v>45001</v>
      </c>
      <c r="D1411" s="13" t="n">
        <v>45007</v>
      </c>
      <c r="E1411" s="13" t="n">
        <v>45008</v>
      </c>
      <c r="F1411" s="4" t="n">
        <v>7</v>
      </c>
      <c r="G1411" s="4" t="n">
        <v>7</v>
      </c>
      <c r="H1411" s="4" t="n">
        <v>503.46</v>
      </c>
      <c r="I1411" s="4" t="n">
        <v>500.97</v>
      </c>
      <c r="J1411" s="14" t="n">
        <f aca="false">E1411-D1411</f>
        <v>1</v>
      </c>
      <c r="K1411" s="14" t="n">
        <f aca="false">IF(J1411&lt;=0,1,0)</f>
        <v>0</v>
      </c>
      <c r="L1411" s="15" t="n">
        <f aca="false">IFERROR(G1411/F1411,0)</f>
        <v>1</v>
      </c>
      <c r="M1411" s="15" t="n">
        <f aca="false">IFERROR((I1411-H1411)/H1411,0)</f>
        <v>-0.00494577523537114</v>
      </c>
      <c r="N1411" s="16" t="n">
        <f aca="false">G1411*I1411</f>
        <v>3506.79</v>
      </c>
    </row>
    <row r="1412" customFormat="false" ht="15" hidden="false" customHeight="true" outlineLevel="0" collapsed="false">
      <c r="A1412" s="4" t="s">
        <v>1588</v>
      </c>
      <c r="B1412" s="4" t="s">
        <v>111</v>
      </c>
      <c r="C1412" s="13" t="n">
        <v>45634</v>
      </c>
      <c r="D1412" s="13" t="n">
        <v>45643</v>
      </c>
      <c r="E1412" s="13" t="n">
        <v>45641</v>
      </c>
      <c r="F1412" s="4" t="n">
        <v>1721</v>
      </c>
      <c r="G1412" s="4" t="n">
        <v>1690</v>
      </c>
      <c r="H1412" s="4" t="n">
        <v>148.08</v>
      </c>
      <c r="I1412" s="4" t="n">
        <v>151.52</v>
      </c>
      <c r="J1412" s="14" t="n">
        <f aca="false">E1412-D1412</f>
        <v>-2</v>
      </c>
      <c r="K1412" s="14" t="n">
        <f aca="false">IF(J1412&lt;=0,1,0)</f>
        <v>1</v>
      </c>
      <c r="L1412" s="15" t="n">
        <f aca="false">IFERROR(G1412/F1412,0)</f>
        <v>0.981987216734457</v>
      </c>
      <c r="M1412" s="15" t="n">
        <f aca="false">IFERROR((I1412-H1412)/H1412,0)</f>
        <v>0.0232306861156132</v>
      </c>
      <c r="N1412" s="16" t="n">
        <f aca="false">G1412*I1412</f>
        <v>256068.8</v>
      </c>
    </row>
    <row r="1413" customFormat="false" ht="15" hidden="false" customHeight="true" outlineLevel="0" collapsed="false">
      <c r="A1413" s="4" t="s">
        <v>1589</v>
      </c>
      <c r="B1413" s="4" t="s">
        <v>113</v>
      </c>
      <c r="C1413" s="13" t="n">
        <v>45520</v>
      </c>
      <c r="D1413" s="13" t="n">
        <v>45530</v>
      </c>
      <c r="E1413" s="13" t="n">
        <v>45537</v>
      </c>
      <c r="F1413" s="4" t="n">
        <v>1182</v>
      </c>
      <c r="G1413" s="4" t="n">
        <v>1182</v>
      </c>
      <c r="H1413" s="4" t="n">
        <v>170.42</v>
      </c>
      <c r="I1413" s="4" t="n">
        <v>173.77</v>
      </c>
      <c r="J1413" s="14" t="n">
        <f aca="false">E1413-D1413</f>
        <v>7</v>
      </c>
      <c r="K1413" s="14" t="n">
        <f aca="false">IF(J1413&lt;=0,1,0)</f>
        <v>0</v>
      </c>
      <c r="L1413" s="15" t="n">
        <f aca="false">IFERROR(G1413/F1413,0)</f>
        <v>1</v>
      </c>
      <c r="M1413" s="15" t="n">
        <f aca="false">IFERROR((I1413-H1413)/H1413,0)</f>
        <v>0.0196573172162893</v>
      </c>
      <c r="N1413" s="16" t="n">
        <f aca="false">G1413*I1413</f>
        <v>205396.14</v>
      </c>
    </row>
    <row r="1414" customFormat="false" ht="15" hidden="false" customHeight="true" outlineLevel="0" collapsed="false">
      <c r="A1414" s="4" t="s">
        <v>1590</v>
      </c>
      <c r="B1414" s="4" t="s">
        <v>139</v>
      </c>
      <c r="C1414" s="13" t="n">
        <v>45175</v>
      </c>
      <c r="D1414" s="13" t="n">
        <v>45186</v>
      </c>
      <c r="E1414" s="13" t="n">
        <v>45188</v>
      </c>
      <c r="F1414" s="4" t="n">
        <v>1114</v>
      </c>
      <c r="G1414" s="4" t="n">
        <v>990</v>
      </c>
      <c r="H1414" s="4" t="n">
        <v>207.64</v>
      </c>
      <c r="I1414" s="4" t="n">
        <v>213.74</v>
      </c>
      <c r="J1414" s="14" t="n">
        <f aca="false">E1414-D1414</f>
        <v>2</v>
      </c>
      <c r="K1414" s="14" t="n">
        <f aca="false">IF(J1414&lt;=0,1,0)</f>
        <v>0</v>
      </c>
      <c r="L1414" s="15" t="n">
        <f aca="false">IFERROR(G1414/F1414,0)</f>
        <v>0.888689407540395</v>
      </c>
      <c r="M1414" s="15" t="n">
        <f aca="false">IFERROR((I1414-H1414)/H1414,0)</f>
        <v>0.0293777692159508</v>
      </c>
      <c r="N1414" s="16" t="n">
        <f aca="false">G1414*I1414</f>
        <v>211602.6</v>
      </c>
    </row>
    <row r="1415" customFormat="false" ht="15" hidden="false" customHeight="true" outlineLevel="0" collapsed="false">
      <c r="A1415" s="4" t="s">
        <v>1591</v>
      </c>
      <c r="B1415" s="4" t="s">
        <v>119</v>
      </c>
      <c r="C1415" s="13" t="n">
        <v>45595</v>
      </c>
      <c r="D1415" s="13" t="n">
        <v>45604</v>
      </c>
      <c r="E1415" s="13" t="n">
        <v>45604</v>
      </c>
      <c r="F1415" s="4" t="n">
        <v>4433</v>
      </c>
      <c r="G1415" s="4" t="n">
        <v>4402</v>
      </c>
      <c r="H1415" s="4" t="n">
        <v>50.92</v>
      </c>
      <c r="I1415" s="4" t="n">
        <v>46.45</v>
      </c>
      <c r="J1415" s="14" t="n">
        <f aca="false">E1415-D1415</f>
        <v>0</v>
      </c>
      <c r="K1415" s="14" t="n">
        <f aca="false">IF(J1415&lt;=0,1,0)</f>
        <v>1</v>
      </c>
      <c r="L1415" s="15" t="n">
        <f aca="false">IFERROR(G1415/F1415,0)</f>
        <v>0.993006993006993</v>
      </c>
      <c r="M1415" s="15" t="n">
        <f aca="false">IFERROR((I1415-H1415)/H1415,0)</f>
        <v>-0.0877847604084839</v>
      </c>
      <c r="N1415" s="16" t="n">
        <f aca="false">G1415*I1415</f>
        <v>204472.9</v>
      </c>
    </row>
    <row r="1416" customFormat="false" ht="15" hidden="false" customHeight="true" outlineLevel="0" collapsed="false">
      <c r="A1416" s="4" t="s">
        <v>1592</v>
      </c>
      <c r="B1416" s="4" t="s">
        <v>72</v>
      </c>
      <c r="C1416" s="13" t="n">
        <v>45506</v>
      </c>
      <c r="D1416" s="13" t="n">
        <v>45514</v>
      </c>
      <c r="E1416" s="13" t="n">
        <v>45517</v>
      </c>
      <c r="F1416" s="4" t="n">
        <v>2840</v>
      </c>
      <c r="G1416" s="4" t="n">
        <v>2767</v>
      </c>
      <c r="H1416" s="4" t="n">
        <v>34.53</v>
      </c>
      <c r="I1416" s="4" t="n">
        <v>36.62</v>
      </c>
      <c r="J1416" s="14" t="n">
        <f aca="false">E1416-D1416</f>
        <v>3</v>
      </c>
      <c r="K1416" s="14" t="n">
        <f aca="false">IF(J1416&lt;=0,1,0)</f>
        <v>0</v>
      </c>
      <c r="L1416" s="15" t="n">
        <f aca="false">IFERROR(G1416/F1416,0)</f>
        <v>0.974295774647887</v>
      </c>
      <c r="M1416" s="15" t="n">
        <f aca="false">IFERROR((I1416-H1416)/H1416,0)</f>
        <v>0.0605270779032724</v>
      </c>
      <c r="N1416" s="16" t="n">
        <f aca="false">G1416*I1416</f>
        <v>101327.54</v>
      </c>
    </row>
    <row r="1417" customFormat="false" ht="15" hidden="false" customHeight="true" outlineLevel="0" collapsed="false">
      <c r="A1417" s="4" t="s">
        <v>1593</v>
      </c>
      <c r="B1417" s="4" t="s">
        <v>32</v>
      </c>
      <c r="C1417" s="13" t="n">
        <v>45191</v>
      </c>
      <c r="D1417" s="13" t="n">
        <v>45198</v>
      </c>
      <c r="E1417" s="13" t="n">
        <v>45201</v>
      </c>
      <c r="F1417" s="4" t="n">
        <v>1639</v>
      </c>
      <c r="G1417" s="4" t="n">
        <v>1461</v>
      </c>
      <c r="H1417" s="4" t="n">
        <v>32.49</v>
      </c>
      <c r="I1417" s="4" t="n">
        <v>32.56</v>
      </c>
      <c r="J1417" s="14" t="n">
        <f aca="false">E1417-D1417</f>
        <v>3</v>
      </c>
      <c r="K1417" s="14" t="n">
        <f aca="false">IF(J1417&lt;=0,1,0)</f>
        <v>0</v>
      </c>
      <c r="L1417" s="15" t="n">
        <f aca="false">IFERROR(G1417/F1417,0)</f>
        <v>0.891397193410616</v>
      </c>
      <c r="M1417" s="15" t="n">
        <f aca="false">IFERROR((I1417-H1417)/H1417,0)</f>
        <v>0.00215450907971684</v>
      </c>
      <c r="N1417" s="16" t="n">
        <f aca="false">G1417*I1417</f>
        <v>47570.16</v>
      </c>
    </row>
    <row r="1418" customFormat="false" ht="15" hidden="false" customHeight="true" outlineLevel="0" collapsed="false">
      <c r="A1418" s="4" t="s">
        <v>1594</v>
      </c>
      <c r="B1418" s="4" t="s">
        <v>65</v>
      </c>
      <c r="C1418" s="13" t="n">
        <v>45189</v>
      </c>
      <c r="D1418" s="13" t="n">
        <v>45209</v>
      </c>
      <c r="E1418" s="13" t="n">
        <v>45210</v>
      </c>
      <c r="F1418" s="4" t="n">
        <v>464</v>
      </c>
      <c r="G1418" s="4" t="n">
        <v>464</v>
      </c>
      <c r="H1418" s="4" t="n">
        <v>1365.59</v>
      </c>
      <c r="I1418" s="4" t="n">
        <v>1380.25</v>
      </c>
      <c r="J1418" s="14" t="n">
        <f aca="false">E1418-D1418</f>
        <v>1</v>
      </c>
      <c r="K1418" s="14" t="n">
        <f aca="false">IF(J1418&lt;=0,1,0)</f>
        <v>0</v>
      </c>
      <c r="L1418" s="15" t="n">
        <f aca="false">IFERROR(G1418/F1418,0)</f>
        <v>1</v>
      </c>
      <c r="M1418" s="15" t="n">
        <f aca="false">IFERROR((I1418-H1418)/H1418,0)</f>
        <v>0.0107352865794273</v>
      </c>
      <c r="N1418" s="16" t="n">
        <f aca="false">G1418*I1418</f>
        <v>640436</v>
      </c>
    </row>
    <row r="1419" customFormat="false" ht="15" hidden="false" customHeight="true" outlineLevel="0" collapsed="false">
      <c r="A1419" s="4" t="s">
        <v>1595</v>
      </c>
      <c r="B1419" s="4" t="s">
        <v>121</v>
      </c>
      <c r="C1419" s="13" t="n">
        <v>45624</v>
      </c>
      <c r="D1419" s="13" t="n">
        <v>45633</v>
      </c>
      <c r="E1419" s="13" t="n">
        <v>45631</v>
      </c>
      <c r="F1419" s="4" t="n">
        <v>566</v>
      </c>
      <c r="G1419" s="4" t="n">
        <v>503</v>
      </c>
      <c r="H1419" s="4" t="n">
        <v>206.07</v>
      </c>
      <c r="I1419" s="4" t="n">
        <v>235.86</v>
      </c>
      <c r="J1419" s="14" t="n">
        <f aca="false">E1419-D1419</f>
        <v>-2</v>
      </c>
      <c r="K1419" s="14" t="n">
        <f aca="false">IF(J1419&lt;=0,1,0)</f>
        <v>1</v>
      </c>
      <c r="L1419" s="15" t="n">
        <f aca="false">IFERROR(G1419/F1419,0)</f>
        <v>0.8886925795053</v>
      </c>
      <c r="M1419" s="15" t="n">
        <f aca="false">IFERROR((I1419-H1419)/H1419,0)</f>
        <v>0.14456252729655</v>
      </c>
      <c r="N1419" s="16" t="n">
        <f aca="false">G1419*I1419</f>
        <v>118637.58</v>
      </c>
    </row>
    <row r="1420" customFormat="false" ht="15" hidden="false" customHeight="true" outlineLevel="0" collapsed="false">
      <c r="A1420" s="4" t="s">
        <v>1596</v>
      </c>
      <c r="B1420" s="4" t="s">
        <v>93</v>
      </c>
      <c r="C1420" s="13" t="n">
        <v>45135</v>
      </c>
      <c r="D1420" s="13" t="n">
        <v>45144</v>
      </c>
      <c r="E1420" s="13" t="n">
        <v>45148</v>
      </c>
      <c r="F1420" s="4" t="n">
        <v>380</v>
      </c>
      <c r="G1420" s="4" t="n">
        <v>362</v>
      </c>
      <c r="H1420" s="4" t="n">
        <v>174.25</v>
      </c>
      <c r="I1420" s="4" t="n">
        <v>181.76</v>
      </c>
      <c r="J1420" s="14" t="n">
        <f aca="false">E1420-D1420</f>
        <v>4</v>
      </c>
      <c r="K1420" s="14" t="n">
        <f aca="false">IF(J1420&lt;=0,1,0)</f>
        <v>0</v>
      </c>
      <c r="L1420" s="15" t="n">
        <f aca="false">IFERROR(G1420/F1420,0)</f>
        <v>0.952631578947368</v>
      </c>
      <c r="M1420" s="15" t="n">
        <f aca="false">IFERROR((I1420-H1420)/H1420,0)</f>
        <v>0.0430989956958393</v>
      </c>
      <c r="N1420" s="16" t="n">
        <f aca="false">G1420*I1420</f>
        <v>65797.12</v>
      </c>
    </row>
    <row r="1421" customFormat="false" ht="15" hidden="false" customHeight="true" outlineLevel="0" collapsed="false">
      <c r="A1421" s="4" t="s">
        <v>1597</v>
      </c>
      <c r="B1421" s="4" t="s">
        <v>141</v>
      </c>
      <c r="C1421" s="13" t="n">
        <v>45261</v>
      </c>
      <c r="D1421" s="13" t="n">
        <v>45280</v>
      </c>
      <c r="E1421" s="13" t="n">
        <v>45281</v>
      </c>
      <c r="F1421" s="4" t="n">
        <v>236</v>
      </c>
      <c r="G1421" s="4" t="n">
        <v>236</v>
      </c>
      <c r="H1421" s="4" t="n">
        <v>1252.36</v>
      </c>
      <c r="I1421" s="4" t="n">
        <v>1243.03</v>
      </c>
      <c r="J1421" s="14" t="n">
        <f aca="false">E1421-D1421</f>
        <v>1</v>
      </c>
      <c r="K1421" s="14" t="n">
        <f aca="false">IF(J1421&lt;=0,1,0)</f>
        <v>0</v>
      </c>
      <c r="L1421" s="15" t="n">
        <f aca="false">IFERROR(G1421/F1421,0)</f>
        <v>1</v>
      </c>
      <c r="M1421" s="15" t="n">
        <f aca="false">IFERROR((I1421-H1421)/H1421,0)</f>
        <v>-0.00744993452361935</v>
      </c>
      <c r="N1421" s="16" t="n">
        <f aca="false">G1421*I1421</f>
        <v>293355.08</v>
      </c>
    </row>
    <row r="1422" customFormat="false" ht="15" hidden="false" customHeight="true" outlineLevel="0" collapsed="false">
      <c r="A1422" s="4" t="s">
        <v>1598</v>
      </c>
      <c r="B1422" s="4" t="s">
        <v>143</v>
      </c>
      <c r="C1422" s="13" t="n">
        <v>45099</v>
      </c>
      <c r="D1422" s="13" t="n">
        <v>45108</v>
      </c>
      <c r="E1422" s="13" t="n">
        <v>45119</v>
      </c>
      <c r="F1422" s="4" t="n">
        <v>1403</v>
      </c>
      <c r="G1422" s="4" t="n">
        <v>1309</v>
      </c>
      <c r="H1422" s="4" t="n">
        <v>20.6</v>
      </c>
      <c r="I1422" s="4" t="n">
        <v>20.87</v>
      </c>
      <c r="J1422" s="14" t="n">
        <f aca="false">E1422-D1422</f>
        <v>11</v>
      </c>
      <c r="K1422" s="14" t="n">
        <f aca="false">IF(J1422&lt;=0,1,0)</f>
        <v>0</v>
      </c>
      <c r="L1422" s="15" t="n">
        <f aca="false">IFERROR(G1422/F1422,0)</f>
        <v>0.933000712758375</v>
      </c>
      <c r="M1422" s="15" t="n">
        <f aca="false">IFERROR((I1422-H1422)/H1422,0)</f>
        <v>0.0131067961165048</v>
      </c>
      <c r="N1422" s="16" t="n">
        <f aca="false">G1422*I1422</f>
        <v>27318.83</v>
      </c>
    </row>
    <row r="1423" customFormat="false" ht="15" hidden="false" customHeight="true" outlineLevel="0" collapsed="false">
      <c r="A1423" s="4" t="s">
        <v>1599</v>
      </c>
      <c r="B1423" s="4" t="s">
        <v>145</v>
      </c>
      <c r="C1423" s="13" t="n">
        <v>45429</v>
      </c>
      <c r="D1423" s="13" t="n">
        <v>45440</v>
      </c>
      <c r="E1423" s="13" t="n">
        <v>45440</v>
      </c>
      <c r="F1423" s="4" t="n">
        <v>513</v>
      </c>
      <c r="G1423" s="4" t="n">
        <v>468</v>
      </c>
      <c r="H1423" s="4" t="n">
        <v>237.04</v>
      </c>
      <c r="I1423" s="4" t="n">
        <v>265.99</v>
      </c>
      <c r="J1423" s="14" t="n">
        <f aca="false">E1423-D1423</f>
        <v>0</v>
      </c>
      <c r="K1423" s="14" t="n">
        <f aca="false">IF(J1423&lt;=0,1,0)</f>
        <v>1</v>
      </c>
      <c r="L1423" s="15" t="n">
        <f aca="false">IFERROR(G1423/F1423,0)</f>
        <v>0.912280701754386</v>
      </c>
      <c r="M1423" s="15" t="n">
        <f aca="false">IFERROR((I1423-H1423)/H1423,0)</f>
        <v>0.122131285858927</v>
      </c>
      <c r="N1423" s="16" t="n">
        <f aca="false">G1423*I1423</f>
        <v>124483.32</v>
      </c>
    </row>
    <row r="1424" customFormat="false" ht="15" hidden="false" customHeight="true" outlineLevel="0" collapsed="false">
      <c r="A1424" s="4" t="s">
        <v>1600</v>
      </c>
      <c r="B1424" s="4" t="s">
        <v>93</v>
      </c>
      <c r="C1424" s="13" t="n">
        <v>45333</v>
      </c>
      <c r="D1424" s="13" t="n">
        <v>45343</v>
      </c>
      <c r="E1424" s="13" t="n">
        <v>45343</v>
      </c>
      <c r="F1424" s="4" t="n">
        <v>380</v>
      </c>
      <c r="G1424" s="4" t="n">
        <v>380</v>
      </c>
      <c r="H1424" s="4" t="n">
        <v>174.25</v>
      </c>
      <c r="I1424" s="4" t="n">
        <v>182.08</v>
      </c>
      <c r="J1424" s="14" t="n">
        <f aca="false">E1424-D1424</f>
        <v>0</v>
      </c>
      <c r="K1424" s="14" t="n">
        <f aca="false">IF(J1424&lt;=0,1,0)</f>
        <v>1</v>
      </c>
      <c r="L1424" s="15" t="n">
        <f aca="false">IFERROR(G1424/F1424,0)</f>
        <v>1</v>
      </c>
      <c r="M1424" s="15" t="n">
        <f aca="false">IFERROR((I1424-H1424)/H1424,0)</f>
        <v>0.0449354375896701</v>
      </c>
      <c r="N1424" s="16" t="n">
        <f aca="false">G1424*I1424</f>
        <v>69190.4</v>
      </c>
    </row>
    <row r="1425" customFormat="false" ht="15" hidden="false" customHeight="true" outlineLevel="0" collapsed="false">
      <c r="A1425" s="4" t="s">
        <v>1601</v>
      </c>
      <c r="B1425" s="4" t="s">
        <v>63</v>
      </c>
      <c r="C1425" s="13" t="n">
        <v>45193</v>
      </c>
      <c r="D1425" s="13" t="n">
        <v>45205</v>
      </c>
      <c r="E1425" s="13" t="n">
        <v>45214</v>
      </c>
      <c r="F1425" s="4" t="n">
        <v>370</v>
      </c>
      <c r="G1425" s="4" t="n">
        <v>347</v>
      </c>
      <c r="H1425" s="4" t="n">
        <v>239.8</v>
      </c>
      <c r="I1425" s="4" t="n">
        <v>251.59</v>
      </c>
      <c r="J1425" s="14" t="n">
        <f aca="false">E1425-D1425</f>
        <v>9</v>
      </c>
      <c r="K1425" s="14" t="n">
        <f aca="false">IF(J1425&lt;=0,1,0)</f>
        <v>0</v>
      </c>
      <c r="L1425" s="15" t="n">
        <f aca="false">IFERROR(G1425/F1425,0)</f>
        <v>0.937837837837838</v>
      </c>
      <c r="M1425" s="15" t="n">
        <f aca="false">IFERROR((I1425-H1425)/H1425,0)</f>
        <v>0.0491659716430358</v>
      </c>
      <c r="N1425" s="16" t="n">
        <f aca="false">G1425*I1425</f>
        <v>87301.73</v>
      </c>
    </row>
    <row r="1426" customFormat="false" ht="15" hidden="false" customHeight="true" outlineLevel="0" collapsed="false">
      <c r="A1426" s="4" t="s">
        <v>1602</v>
      </c>
      <c r="B1426" s="4" t="s">
        <v>77</v>
      </c>
      <c r="C1426" s="13" t="n">
        <v>45087</v>
      </c>
      <c r="D1426" s="13" t="n">
        <v>45096</v>
      </c>
      <c r="E1426" s="13" t="n">
        <v>45109</v>
      </c>
      <c r="F1426" s="4" t="n">
        <v>4758</v>
      </c>
      <c r="G1426" s="4" t="n">
        <v>4681</v>
      </c>
      <c r="H1426" s="4" t="n">
        <v>36.83</v>
      </c>
      <c r="I1426" s="4" t="n">
        <v>36.49</v>
      </c>
      <c r="J1426" s="14" t="n">
        <f aca="false">E1426-D1426</f>
        <v>13</v>
      </c>
      <c r="K1426" s="14" t="n">
        <f aca="false">IF(J1426&lt;=0,1,0)</f>
        <v>0</v>
      </c>
      <c r="L1426" s="15" t="n">
        <f aca="false">IFERROR(G1426/F1426,0)</f>
        <v>0.983816729718369</v>
      </c>
      <c r="M1426" s="15" t="n">
        <f aca="false">IFERROR((I1426-H1426)/H1426,0)</f>
        <v>-0.00923160467010579</v>
      </c>
      <c r="N1426" s="16" t="n">
        <f aca="false">G1426*I1426</f>
        <v>170809.69</v>
      </c>
    </row>
    <row r="1427" customFormat="false" ht="15" hidden="false" customHeight="true" outlineLevel="0" collapsed="false">
      <c r="A1427" s="4" t="s">
        <v>1603</v>
      </c>
      <c r="B1427" s="4" t="s">
        <v>79</v>
      </c>
      <c r="C1427" s="13" t="n">
        <v>45376</v>
      </c>
      <c r="D1427" s="13" t="n">
        <v>45394</v>
      </c>
      <c r="E1427" s="13" t="n">
        <v>45401</v>
      </c>
      <c r="F1427" s="4" t="n">
        <v>373</v>
      </c>
      <c r="G1427" s="4" t="n">
        <v>355</v>
      </c>
      <c r="H1427" s="4" t="n">
        <v>821.48</v>
      </c>
      <c r="I1427" s="4" t="n">
        <v>854.77</v>
      </c>
      <c r="J1427" s="14" t="n">
        <f aca="false">E1427-D1427</f>
        <v>7</v>
      </c>
      <c r="K1427" s="14" t="n">
        <f aca="false">IF(J1427&lt;=0,1,0)</f>
        <v>0</v>
      </c>
      <c r="L1427" s="15" t="n">
        <f aca="false">IFERROR(G1427/F1427,0)</f>
        <v>0.951742627345845</v>
      </c>
      <c r="M1427" s="15" t="n">
        <f aca="false">IFERROR((I1427-H1427)/H1427,0)</f>
        <v>0.0405244193407021</v>
      </c>
      <c r="N1427" s="16" t="n">
        <f aca="false">G1427*I1427</f>
        <v>303443.35</v>
      </c>
    </row>
    <row r="1428" customFormat="false" ht="15" hidden="false" customHeight="true" outlineLevel="0" collapsed="false">
      <c r="A1428" s="4" t="s">
        <v>1604</v>
      </c>
      <c r="B1428" s="4" t="s">
        <v>121</v>
      </c>
      <c r="C1428" s="13" t="n">
        <v>45017</v>
      </c>
      <c r="D1428" s="13" t="n">
        <v>45027</v>
      </c>
      <c r="E1428" s="13" t="n">
        <v>45026</v>
      </c>
      <c r="F1428" s="4" t="n">
        <v>1602</v>
      </c>
      <c r="G1428" s="4" t="n">
        <v>1457</v>
      </c>
      <c r="H1428" s="4" t="n">
        <v>206.07</v>
      </c>
      <c r="I1428" s="4" t="n">
        <v>206.57</v>
      </c>
      <c r="J1428" s="14" t="n">
        <f aca="false">E1428-D1428</f>
        <v>-1</v>
      </c>
      <c r="K1428" s="14" t="n">
        <f aca="false">IF(J1428&lt;=0,1,0)</f>
        <v>1</v>
      </c>
      <c r="L1428" s="15" t="n">
        <f aca="false">IFERROR(G1428/F1428,0)</f>
        <v>0.909488139825219</v>
      </c>
      <c r="M1428" s="15" t="n">
        <f aca="false">IFERROR((I1428-H1428)/H1428,0)</f>
        <v>0.00242635997476586</v>
      </c>
      <c r="N1428" s="16" t="n">
        <f aca="false">G1428*I1428</f>
        <v>300972.49</v>
      </c>
    </row>
    <row r="1429" customFormat="false" ht="15" hidden="false" customHeight="true" outlineLevel="0" collapsed="false">
      <c r="A1429" s="4" t="s">
        <v>1605</v>
      </c>
      <c r="B1429" s="4" t="s">
        <v>43</v>
      </c>
      <c r="C1429" s="13" t="n">
        <v>45244</v>
      </c>
      <c r="D1429" s="13" t="n">
        <v>45261</v>
      </c>
      <c r="E1429" s="13" t="n">
        <v>45261</v>
      </c>
      <c r="F1429" s="4" t="n">
        <v>292</v>
      </c>
      <c r="G1429" s="4" t="n">
        <v>274</v>
      </c>
      <c r="H1429" s="4" t="n">
        <v>1321.6</v>
      </c>
      <c r="I1429" s="4" t="n">
        <v>1324.83</v>
      </c>
      <c r="J1429" s="14" t="n">
        <f aca="false">E1429-D1429</f>
        <v>0</v>
      </c>
      <c r="K1429" s="14" t="n">
        <f aca="false">IF(J1429&lt;=0,1,0)</f>
        <v>1</v>
      </c>
      <c r="L1429" s="15" t="n">
        <f aca="false">IFERROR(G1429/F1429,0)</f>
        <v>0.938356164383562</v>
      </c>
      <c r="M1429" s="15" t="n">
        <f aca="false">IFERROR((I1429-H1429)/H1429,0)</f>
        <v>0.00244400726392253</v>
      </c>
      <c r="N1429" s="16" t="n">
        <f aca="false">G1429*I1429</f>
        <v>363003.42</v>
      </c>
    </row>
    <row r="1430" customFormat="false" ht="15" hidden="false" customHeight="true" outlineLevel="0" collapsed="false">
      <c r="A1430" s="4" t="s">
        <v>1606</v>
      </c>
      <c r="B1430" s="4" t="s">
        <v>91</v>
      </c>
      <c r="C1430" s="13" t="n">
        <v>45239</v>
      </c>
      <c r="D1430" s="13" t="n">
        <v>45257</v>
      </c>
      <c r="E1430" s="13" t="n">
        <v>45258</v>
      </c>
      <c r="F1430" s="4" t="n">
        <v>331</v>
      </c>
      <c r="G1430" s="4" t="n">
        <v>325</v>
      </c>
      <c r="H1430" s="4" t="n">
        <v>496.29</v>
      </c>
      <c r="I1430" s="4" t="n">
        <v>493.68</v>
      </c>
      <c r="J1430" s="14" t="n">
        <f aca="false">E1430-D1430</f>
        <v>1</v>
      </c>
      <c r="K1430" s="14" t="n">
        <f aca="false">IF(J1430&lt;=0,1,0)</f>
        <v>0</v>
      </c>
      <c r="L1430" s="15" t="n">
        <f aca="false">IFERROR(G1430/F1430,0)</f>
        <v>0.981873111782477</v>
      </c>
      <c r="M1430" s="15" t="n">
        <f aca="false">IFERROR((I1430-H1430)/H1430,0)</f>
        <v>-0.00525902194281572</v>
      </c>
      <c r="N1430" s="16" t="n">
        <f aca="false">G1430*I1430</f>
        <v>160446</v>
      </c>
    </row>
    <row r="1431" customFormat="false" ht="15" hidden="false" customHeight="true" outlineLevel="0" collapsed="false">
      <c r="A1431" s="4" t="s">
        <v>1607</v>
      </c>
      <c r="B1431" s="4" t="s">
        <v>149</v>
      </c>
      <c r="C1431" s="13" t="n">
        <v>44995</v>
      </c>
      <c r="D1431" s="13" t="n">
        <v>44999</v>
      </c>
      <c r="E1431" s="13" t="n">
        <v>45001</v>
      </c>
      <c r="F1431" s="4" t="n">
        <v>18</v>
      </c>
      <c r="G1431" s="4" t="n">
        <v>18</v>
      </c>
      <c r="H1431" s="4" t="n">
        <v>1458.52</v>
      </c>
      <c r="I1431" s="4" t="n">
        <v>1474.39</v>
      </c>
      <c r="J1431" s="14" t="n">
        <f aca="false">E1431-D1431</f>
        <v>2</v>
      </c>
      <c r="K1431" s="14" t="n">
        <f aca="false">IF(J1431&lt;=0,1,0)</f>
        <v>0</v>
      </c>
      <c r="L1431" s="15" t="n">
        <f aca="false">IFERROR(G1431/F1431,0)</f>
        <v>1</v>
      </c>
      <c r="M1431" s="15" t="n">
        <f aca="false">IFERROR((I1431-H1431)/H1431,0)</f>
        <v>0.0108808929599869</v>
      </c>
      <c r="N1431" s="16" t="n">
        <f aca="false">G1431*I1431</f>
        <v>26539.02</v>
      </c>
    </row>
    <row r="1432" customFormat="false" ht="15" hidden="false" customHeight="true" outlineLevel="0" collapsed="false">
      <c r="A1432" s="4" t="s">
        <v>1608</v>
      </c>
      <c r="B1432" s="4" t="s">
        <v>161</v>
      </c>
      <c r="C1432" s="13" t="n">
        <v>45201</v>
      </c>
      <c r="D1432" s="13" t="n">
        <v>45212</v>
      </c>
      <c r="E1432" s="13" t="n">
        <v>45214</v>
      </c>
      <c r="F1432" s="4" t="n">
        <v>1112</v>
      </c>
      <c r="G1432" s="4" t="n">
        <v>1100</v>
      </c>
      <c r="H1432" s="4" t="n">
        <v>101.94</v>
      </c>
      <c r="I1432" s="4" t="n">
        <v>108.1</v>
      </c>
      <c r="J1432" s="14" t="n">
        <f aca="false">E1432-D1432</f>
        <v>2</v>
      </c>
      <c r="K1432" s="14" t="n">
        <f aca="false">IF(J1432&lt;=0,1,0)</f>
        <v>0</v>
      </c>
      <c r="L1432" s="15" t="n">
        <f aca="false">IFERROR(G1432/F1432,0)</f>
        <v>0.989208633093525</v>
      </c>
      <c r="M1432" s="15" t="n">
        <f aca="false">IFERROR((I1432-H1432)/H1432,0)</f>
        <v>0.0604277025701393</v>
      </c>
      <c r="N1432" s="16" t="n">
        <f aca="false">G1432*I1432</f>
        <v>118910</v>
      </c>
    </row>
    <row r="1433" customFormat="false" ht="15" hidden="false" customHeight="true" outlineLevel="0" collapsed="false">
      <c r="A1433" s="4" t="s">
        <v>1609</v>
      </c>
      <c r="B1433" s="4" t="s">
        <v>145</v>
      </c>
      <c r="C1433" s="13" t="n">
        <v>45602</v>
      </c>
      <c r="D1433" s="13" t="n">
        <v>45613</v>
      </c>
      <c r="E1433" s="13" t="n">
        <v>45617</v>
      </c>
      <c r="F1433" s="4" t="n">
        <v>420</v>
      </c>
      <c r="G1433" s="4" t="n">
        <v>406</v>
      </c>
      <c r="H1433" s="4" t="n">
        <v>237.04</v>
      </c>
      <c r="I1433" s="4" t="n">
        <v>273.31</v>
      </c>
      <c r="J1433" s="14" t="n">
        <f aca="false">E1433-D1433</f>
        <v>4</v>
      </c>
      <c r="K1433" s="14" t="n">
        <f aca="false">IF(J1433&lt;=0,1,0)</f>
        <v>0</v>
      </c>
      <c r="L1433" s="15" t="n">
        <f aca="false">IFERROR(G1433/F1433,0)</f>
        <v>0.966666666666667</v>
      </c>
      <c r="M1433" s="15" t="n">
        <f aca="false">IFERROR((I1433-H1433)/H1433,0)</f>
        <v>0.153012149848127</v>
      </c>
      <c r="N1433" s="16" t="n">
        <f aca="false">G1433*I1433</f>
        <v>110963.86</v>
      </c>
    </row>
    <row r="1434" customFormat="false" ht="15" hidden="false" customHeight="true" outlineLevel="0" collapsed="false">
      <c r="A1434" s="4" t="s">
        <v>1610</v>
      </c>
      <c r="B1434" s="4" t="s">
        <v>95</v>
      </c>
      <c r="C1434" s="13" t="n">
        <v>45478</v>
      </c>
      <c r="D1434" s="13" t="n">
        <v>45486</v>
      </c>
      <c r="E1434" s="13" t="n">
        <v>45482</v>
      </c>
      <c r="F1434" s="4" t="n">
        <v>4869</v>
      </c>
      <c r="G1434" s="4" t="n">
        <v>4864</v>
      </c>
      <c r="H1434" s="4" t="n">
        <v>20.39</v>
      </c>
      <c r="I1434" s="4" t="n">
        <v>21.08</v>
      </c>
      <c r="J1434" s="14" t="n">
        <f aca="false">E1434-D1434</f>
        <v>-4</v>
      </c>
      <c r="K1434" s="14" t="n">
        <f aca="false">IF(J1434&lt;=0,1,0)</f>
        <v>1</v>
      </c>
      <c r="L1434" s="15" t="n">
        <f aca="false">IFERROR(G1434/F1434,0)</f>
        <v>0.998973095091395</v>
      </c>
      <c r="M1434" s="15" t="n">
        <f aca="false">IFERROR((I1434-H1434)/H1434,0)</f>
        <v>0.0338401177047571</v>
      </c>
      <c r="N1434" s="16" t="n">
        <f aca="false">G1434*I1434</f>
        <v>102533.12</v>
      </c>
    </row>
    <row r="1435" customFormat="false" ht="15" hidden="false" customHeight="true" outlineLevel="0" collapsed="false">
      <c r="A1435" s="4" t="s">
        <v>1611</v>
      </c>
      <c r="B1435" s="4" t="s">
        <v>125</v>
      </c>
      <c r="C1435" s="13" t="n">
        <v>45420</v>
      </c>
      <c r="D1435" s="13" t="n">
        <v>45425</v>
      </c>
      <c r="E1435" s="13" t="n">
        <v>45430</v>
      </c>
      <c r="F1435" s="4" t="n">
        <v>12</v>
      </c>
      <c r="G1435" s="4" t="n">
        <v>10</v>
      </c>
      <c r="H1435" s="4" t="n">
        <v>729.32</v>
      </c>
      <c r="I1435" s="4" t="n">
        <v>722.38</v>
      </c>
      <c r="J1435" s="14" t="n">
        <f aca="false">E1435-D1435</f>
        <v>5</v>
      </c>
      <c r="K1435" s="14" t="n">
        <f aca="false">IF(J1435&lt;=0,1,0)</f>
        <v>0</v>
      </c>
      <c r="L1435" s="15" t="n">
        <f aca="false">IFERROR(G1435/F1435,0)</f>
        <v>0.833333333333333</v>
      </c>
      <c r="M1435" s="15" t="n">
        <f aca="false">IFERROR((I1435-H1435)/H1435,0)</f>
        <v>-0.00951571326715304</v>
      </c>
      <c r="N1435" s="16" t="n">
        <f aca="false">G1435*I1435</f>
        <v>7223.8</v>
      </c>
    </row>
    <row r="1436" customFormat="false" ht="15" hidden="false" customHeight="true" outlineLevel="0" collapsed="false">
      <c r="A1436" s="4" t="s">
        <v>1612</v>
      </c>
      <c r="B1436" s="4" t="s">
        <v>74</v>
      </c>
      <c r="C1436" s="13" t="n">
        <v>45018</v>
      </c>
      <c r="D1436" s="13" t="n">
        <v>45024</v>
      </c>
      <c r="E1436" s="13" t="n">
        <v>45024</v>
      </c>
      <c r="F1436" s="4" t="n">
        <v>6</v>
      </c>
      <c r="G1436" s="4" t="n">
        <v>6</v>
      </c>
      <c r="H1436" s="4" t="n">
        <v>1294.62</v>
      </c>
      <c r="I1436" s="4" t="n">
        <v>1314.61</v>
      </c>
      <c r="J1436" s="14" t="n">
        <f aca="false">E1436-D1436</f>
        <v>0</v>
      </c>
      <c r="K1436" s="14" t="n">
        <f aca="false">IF(J1436&lt;=0,1,0)</f>
        <v>1</v>
      </c>
      <c r="L1436" s="15" t="n">
        <f aca="false">IFERROR(G1436/F1436,0)</f>
        <v>1</v>
      </c>
      <c r="M1436" s="15" t="n">
        <f aca="false">IFERROR((I1436-H1436)/H1436,0)</f>
        <v>0.0154408243345538</v>
      </c>
      <c r="N1436" s="16" t="n">
        <f aca="false">G1436*I1436</f>
        <v>7887.66</v>
      </c>
    </row>
    <row r="1437" customFormat="false" ht="15" hidden="false" customHeight="true" outlineLevel="0" collapsed="false">
      <c r="A1437" s="4" t="s">
        <v>1613</v>
      </c>
      <c r="B1437" s="4" t="s">
        <v>89</v>
      </c>
      <c r="C1437" s="13" t="n">
        <v>45097</v>
      </c>
      <c r="D1437" s="13" t="n">
        <v>45103</v>
      </c>
      <c r="E1437" s="13" t="n">
        <v>45104</v>
      </c>
      <c r="F1437" s="4" t="n">
        <v>3</v>
      </c>
      <c r="G1437" s="4" t="n">
        <v>3</v>
      </c>
      <c r="H1437" s="4" t="n">
        <v>1929.81</v>
      </c>
      <c r="I1437" s="4" t="n">
        <v>1931.99</v>
      </c>
      <c r="J1437" s="14" t="n">
        <f aca="false">E1437-D1437</f>
        <v>1</v>
      </c>
      <c r="K1437" s="14" t="n">
        <f aca="false">IF(J1437&lt;=0,1,0)</f>
        <v>0</v>
      </c>
      <c r="L1437" s="15" t="n">
        <f aca="false">IFERROR(G1437/F1437,0)</f>
        <v>1</v>
      </c>
      <c r="M1437" s="15" t="n">
        <f aca="false">IFERROR((I1437-H1437)/H1437,0)</f>
        <v>0.00112964488732055</v>
      </c>
      <c r="N1437" s="16" t="n">
        <f aca="false">G1437*I1437</f>
        <v>5795.97</v>
      </c>
    </row>
    <row r="1438" customFormat="false" ht="15" hidden="false" customHeight="true" outlineLevel="0" collapsed="false">
      <c r="A1438" s="4" t="s">
        <v>1614</v>
      </c>
      <c r="B1438" s="4" t="s">
        <v>133</v>
      </c>
      <c r="C1438" s="13" t="n">
        <v>45399</v>
      </c>
      <c r="D1438" s="13" t="n">
        <v>45409</v>
      </c>
      <c r="E1438" s="13" t="n">
        <v>45411</v>
      </c>
      <c r="F1438" s="4" t="n">
        <v>533</v>
      </c>
      <c r="G1438" s="4" t="n">
        <v>516</v>
      </c>
      <c r="H1438" s="4" t="n">
        <v>138.21</v>
      </c>
      <c r="I1438" s="4" t="n">
        <v>140.3</v>
      </c>
      <c r="J1438" s="14" t="n">
        <f aca="false">E1438-D1438</f>
        <v>2</v>
      </c>
      <c r="K1438" s="14" t="n">
        <f aca="false">IF(J1438&lt;=0,1,0)</f>
        <v>0</v>
      </c>
      <c r="L1438" s="15" t="n">
        <f aca="false">IFERROR(G1438/F1438,0)</f>
        <v>0.968105065666041</v>
      </c>
      <c r="M1438" s="15" t="n">
        <f aca="false">IFERROR((I1438-H1438)/H1438,0)</f>
        <v>0.0151219159250416</v>
      </c>
      <c r="N1438" s="16" t="n">
        <f aca="false">G1438*I1438</f>
        <v>72394.8</v>
      </c>
    </row>
    <row r="1439" customFormat="false" ht="15" hidden="false" customHeight="true" outlineLevel="0" collapsed="false">
      <c r="A1439" s="4" t="s">
        <v>1615</v>
      </c>
      <c r="B1439" s="4" t="s">
        <v>52</v>
      </c>
      <c r="C1439" s="13" t="n">
        <v>45277</v>
      </c>
      <c r="D1439" s="13" t="n">
        <v>45286</v>
      </c>
      <c r="E1439" s="13" t="n">
        <v>45291</v>
      </c>
      <c r="F1439" s="4" t="n">
        <v>674</v>
      </c>
      <c r="G1439" s="4" t="n">
        <v>588</v>
      </c>
      <c r="H1439" s="4" t="n">
        <v>170.24</v>
      </c>
      <c r="I1439" s="4" t="n">
        <v>175.62</v>
      </c>
      <c r="J1439" s="14" t="n">
        <f aca="false">E1439-D1439</f>
        <v>5</v>
      </c>
      <c r="K1439" s="14" t="n">
        <f aca="false">IF(J1439&lt;=0,1,0)</f>
        <v>0</v>
      </c>
      <c r="L1439" s="15" t="n">
        <f aca="false">IFERROR(G1439/F1439,0)</f>
        <v>0.872403560830861</v>
      </c>
      <c r="M1439" s="15" t="n">
        <f aca="false">IFERROR((I1439-H1439)/H1439,0)</f>
        <v>0.0316024436090225</v>
      </c>
      <c r="N1439" s="16" t="n">
        <f aca="false">G1439*I1439</f>
        <v>103264.56</v>
      </c>
    </row>
    <row r="1440" customFormat="false" ht="15" hidden="false" customHeight="true" outlineLevel="0" collapsed="false">
      <c r="A1440" s="4" t="s">
        <v>1616</v>
      </c>
      <c r="B1440" s="4" t="s">
        <v>141</v>
      </c>
      <c r="C1440" s="13" t="n">
        <v>45034</v>
      </c>
      <c r="D1440" s="13" t="n">
        <v>45054</v>
      </c>
      <c r="E1440" s="13" t="n">
        <v>45061</v>
      </c>
      <c r="F1440" s="4" t="n">
        <v>364</v>
      </c>
      <c r="G1440" s="4" t="n">
        <v>349</v>
      </c>
      <c r="H1440" s="4" t="n">
        <v>1252.36</v>
      </c>
      <c r="I1440" s="4" t="n">
        <v>1216.49</v>
      </c>
      <c r="J1440" s="14" t="n">
        <f aca="false">E1440-D1440</f>
        <v>7</v>
      </c>
      <c r="K1440" s="14" t="n">
        <f aca="false">IF(J1440&lt;=0,1,0)</f>
        <v>0</v>
      </c>
      <c r="L1440" s="15" t="n">
        <f aca="false">IFERROR(G1440/F1440,0)</f>
        <v>0.958791208791209</v>
      </c>
      <c r="M1440" s="15" t="n">
        <f aca="false">IFERROR((I1440-H1440)/H1440,0)</f>
        <v>-0.0286419240473984</v>
      </c>
      <c r="N1440" s="16" t="n">
        <f aca="false">G1440*I1440</f>
        <v>424555.01</v>
      </c>
    </row>
    <row r="1441" customFormat="false" ht="15" hidden="false" customHeight="true" outlineLevel="0" collapsed="false">
      <c r="A1441" s="4" t="s">
        <v>1617</v>
      </c>
      <c r="B1441" s="4" t="s">
        <v>85</v>
      </c>
      <c r="C1441" s="13" t="n">
        <v>45412</v>
      </c>
      <c r="D1441" s="13" t="n">
        <v>45423</v>
      </c>
      <c r="E1441" s="13" t="n">
        <v>45422</v>
      </c>
      <c r="F1441" s="4" t="n">
        <v>609</v>
      </c>
      <c r="G1441" s="4" t="n">
        <v>595</v>
      </c>
      <c r="H1441" s="4" t="n">
        <v>241.88</v>
      </c>
      <c r="I1441" s="4" t="n">
        <v>235.5</v>
      </c>
      <c r="J1441" s="14" t="n">
        <f aca="false">E1441-D1441</f>
        <v>-1</v>
      </c>
      <c r="K1441" s="14" t="n">
        <f aca="false">IF(J1441&lt;=0,1,0)</f>
        <v>1</v>
      </c>
      <c r="L1441" s="15" t="n">
        <f aca="false">IFERROR(G1441/F1441,0)</f>
        <v>0.977011494252874</v>
      </c>
      <c r="M1441" s="15" t="n">
        <f aca="false">IFERROR((I1441-H1441)/H1441,0)</f>
        <v>-0.0263767157268067</v>
      </c>
      <c r="N1441" s="16" t="n">
        <f aca="false">G1441*I1441</f>
        <v>140122.5</v>
      </c>
    </row>
    <row r="1442" customFormat="false" ht="15" hidden="false" customHeight="true" outlineLevel="0" collapsed="false">
      <c r="A1442" s="4" t="s">
        <v>1618</v>
      </c>
      <c r="B1442" s="4" t="s">
        <v>133</v>
      </c>
      <c r="C1442" s="13" t="n">
        <v>45323</v>
      </c>
      <c r="D1442" s="13" t="n">
        <v>45332</v>
      </c>
      <c r="E1442" s="13" t="n">
        <v>45336</v>
      </c>
      <c r="F1442" s="4" t="n">
        <v>413</v>
      </c>
      <c r="G1442" s="4" t="n">
        <v>396</v>
      </c>
      <c r="H1442" s="4" t="n">
        <v>138.21</v>
      </c>
      <c r="I1442" s="4" t="n">
        <v>142.41</v>
      </c>
      <c r="J1442" s="14" t="n">
        <f aca="false">E1442-D1442</f>
        <v>4</v>
      </c>
      <c r="K1442" s="14" t="n">
        <f aca="false">IF(J1442&lt;=0,1,0)</f>
        <v>0</v>
      </c>
      <c r="L1442" s="15" t="n">
        <f aca="false">IFERROR(G1442/F1442,0)</f>
        <v>0.958837772397094</v>
      </c>
      <c r="M1442" s="15" t="n">
        <f aca="false">IFERROR((I1442-H1442)/H1442,0)</f>
        <v>0.0303885391795094</v>
      </c>
      <c r="N1442" s="16" t="n">
        <f aca="false">G1442*I1442</f>
        <v>56394.36</v>
      </c>
    </row>
    <row r="1443" customFormat="false" ht="15" hidden="false" customHeight="true" outlineLevel="0" collapsed="false">
      <c r="A1443" s="4" t="s">
        <v>1619</v>
      </c>
      <c r="B1443" s="4" t="s">
        <v>41</v>
      </c>
      <c r="C1443" s="13" t="n">
        <v>45487</v>
      </c>
      <c r="D1443" s="13" t="n">
        <v>45496</v>
      </c>
      <c r="E1443" s="13" t="n">
        <v>45496</v>
      </c>
      <c r="F1443" s="4" t="n">
        <v>3488</v>
      </c>
      <c r="G1443" s="4" t="n">
        <v>3488</v>
      </c>
      <c r="H1443" s="4" t="n">
        <v>45.51</v>
      </c>
      <c r="I1443" s="4" t="n">
        <v>44.4</v>
      </c>
      <c r="J1443" s="14" t="n">
        <f aca="false">E1443-D1443</f>
        <v>0</v>
      </c>
      <c r="K1443" s="14" t="n">
        <f aca="false">IF(J1443&lt;=0,1,0)</f>
        <v>1</v>
      </c>
      <c r="L1443" s="15" t="n">
        <f aca="false">IFERROR(G1443/F1443,0)</f>
        <v>1</v>
      </c>
      <c r="M1443" s="15" t="n">
        <f aca="false">IFERROR((I1443-H1443)/H1443,0)</f>
        <v>-0.024390243902439</v>
      </c>
      <c r="N1443" s="16" t="n">
        <f aca="false">G1443*I1443</f>
        <v>154867.2</v>
      </c>
    </row>
    <row r="1444" customFormat="false" ht="15" hidden="false" customHeight="true" outlineLevel="0" collapsed="false">
      <c r="A1444" s="4" t="s">
        <v>1620</v>
      </c>
      <c r="B1444" s="4" t="s">
        <v>95</v>
      </c>
      <c r="C1444" s="13" t="n">
        <v>44950</v>
      </c>
      <c r="D1444" s="13" t="n">
        <v>44956</v>
      </c>
      <c r="E1444" s="13" t="n">
        <v>44954</v>
      </c>
      <c r="F1444" s="4" t="n">
        <v>2312</v>
      </c>
      <c r="G1444" s="4" t="n">
        <v>2274</v>
      </c>
      <c r="H1444" s="4" t="n">
        <v>20.39</v>
      </c>
      <c r="I1444" s="4" t="n">
        <v>20.54</v>
      </c>
      <c r="J1444" s="14" t="n">
        <f aca="false">E1444-D1444</f>
        <v>-2</v>
      </c>
      <c r="K1444" s="14" t="n">
        <f aca="false">IF(J1444&lt;=0,1,0)</f>
        <v>1</v>
      </c>
      <c r="L1444" s="15" t="n">
        <f aca="false">IFERROR(G1444/F1444,0)</f>
        <v>0.983564013840831</v>
      </c>
      <c r="M1444" s="15" t="n">
        <f aca="false">IFERROR((I1444-H1444)/H1444,0)</f>
        <v>0.00735654732712107</v>
      </c>
      <c r="N1444" s="16" t="n">
        <f aca="false">G1444*I1444</f>
        <v>46707.96</v>
      </c>
    </row>
    <row r="1445" customFormat="false" ht="15" hidden="false" customHeight="true" outlineLevel="0" collapsed="false">
      <c r="A1445" s="4" t="s">
        <v>1621</v>
      </c>
      <c r="B1445" s="4" t="s">
        <v>68</v>
      </c>
      <c r="C1445" s="13" t="n">
        <v>45549</v>
      </c>
      <c r="D1445" s="13" t="n">
        <v>45568</v>
      </c>
      <c r="E1445" s="13" t="n">
        <v>45569</v>
      </c>
      <c r="F1445" s="4" t="n">
        <v>173</v>
      </c>
      <c r="G1445" s="4" t="n">
        <v>161</v>
      </c>
      <c r="H1445" s="4" t="n">
        <v>1232.83</v>
      </c>
      <c r="I1445" s="4" t="n">
        <v>1243.85</v>
      </c>
      <c r="J1445" s="14" t="n">
        <f aca="false">E1445-D1445</f>
        <v>1</v>
      </c>
      <c r="K1445" s="14" t="n">
        <f aca="false">IF(J1445&lt;=0,1,0)</f>
        <v>0</v>
      </c>
      <c r="L1445" s="15" t="n">
        <f aca="false">IFERROR(G1445/F1445,0)</f>
        <v>0.930635838150289</v>
      </c>
      <c r="M1445" s="15" t="n">
        <f aca="false">IFERROR((I1445-H1445)/H1445,0)</f>
        <v>0.00893878312500506</v>
      </c>
      <c r="N1445" s="16" t="n">
        <f aca="false">G1445*I1445</f>
        <v>200259.85</v>
      </c>
    </row>
    <row r="1446" customFormat="false" ht="15" hidden="false" customHeight="true" outlineLevel="0" collapsed="false">
      <c r="A1446" s="4" t="s">
        <v>1622</v>
      </c>
      <c r="B1446" s="4" t="s">
        <v>129</v>
      </c>
      <c r="C1446" s="13" t="n">
        <v>45287</v>
      </c>
      <c r="D1446" s="13" t="n">
        <v>45307</v>
      </c>
      <c r="E1446" s="13" t="n">
        <v>45310</v>
      </c>
      <c r="F1446" s="4" t="n">
        <v>441</v>
      </c>
      <c r="G1446" s="4" t="n">
        <v>431</v>
      </c>
      <c r="H1446" s="4" t="n">
        <v>709.66</v>
      </c>
      <c r="I1446" s="4" t="n">
        <v>704.16</v>
      </c>
      <c r="J1446" s="14" t="n">
        <f aca="false">E1446-D1446</f>
        <v>3</v>
      </c>
      <c r="K1446" s="14" t="n">
        <f aca="false">IF(J1446&lt;=0,1,0)</f>
        <v>0</v>
      </c>
      <c r="L1446" s="15" t="n">
        <f aca="false">IFERROR(G1446/F1446,0)</f>
        <v>0.977324263038549</v>
      </c>
      <c r="M1446" s="15" t="n">
        <f aca="false">IFERROR((I1446-H1446)/H1446,0)</f>
        <v>-0.00775019023194206</v>
      </c>
      <c r="N1446" s="16" t="n">
        <f aca="false">G1446*I1446</f>
        <v>303492.96</v>
      </c>
    </row>
    <row r="1447" customFormat="false" ht="15" hidden="false" customHeight="true" outlineLevel="0" collapsed="false">
      <c r="A1447" s="4" t="s">
        <v>1623</v>
      </c>
      <c r="B1447" s="4" t="s">
        <v>107</v>
      </c>
      <c r="C1447" s="13" t="n">
        <v>45604</v>
      </c>
      <c r="D1447" s="13" t="n">
        <v>45610</v>
      </c>
      <c r="E1447" s="13" t="n">
        <v>45611</v>
      </c>
      <c r="F1447" s="4" t="n">
        <v>2696</v>
      </c>
      <c r="G1447" s="4" t="n">
        <v>2573</v>
      </c>
      <c r="H1447" s="4" t="n">
        <v>40.41</v>
      </c>
      <c r="I1447" s="4" t="n">
        <v>40.43</v>
      </c>
      <c r="J1447" s="14" t="n">
        <f aca="false">E1447-D1447</f>
        <v>1</v>
      </c>
      <c r="K1447" s="14" t="n">
        <f aca="false">IF(J1447&lt;=0,1,0)</f>
        <v>0</v>
      </c>
      <c r="L1447" s="15" t="n">
        <f aca="false">IFERROR(G1447/F1447,0)</f>
        <v>0.954376854599407</v>
      </c>
      <c r="M1447" s="15" t="n">
        <f aca="false">IFERROR((I1447-H1447)/H1447,0)</f>
        <v>0.000494926998267833</v>
      </c>
      <c r="N1447" s="16" t="n">
        <f aca="false">G1447*I1447</f>
        <v>104026.39</v>
      </c>
    </row>
    <row r="1448" customFormat="false" ht="15" hidden="false" customHeight="true" outlineLevel="0" collapsed="false">
      <c r="A1448" s="4" t="s">
        <v>1624</v>
      </c>
      <c r="B1448" s="4" t="s">
        <v>159</v>
      </c>
      <c r="C1448" s="13" t="n">
        <v>44934</v>
      </c>
      <c r="D1448" s="13" t="n">
        <v>44943</v>
      </c>
      <c r="E1448" s="13" t="n">
        <v>44946</v>
      </c>
      <c r="F1448" s="4" t="n">
        <v>3574</v>
      </c>
      <c r="G1448" s="4" t="n">
        <v>3574</v>
      </c>
      <c r="H1448" s="4" t="n">
        <v>32.91</v>
      </c>
      <c r="I1448" s="4" t="n">
        <v>33.22</v>
      </c>
      <c r="J1448" s="14" t="n">
        <f aca="false">E1448-D1448</f>
        <v>3</v>
      </c>
      <c r="K1448" s="14" t="n">
        <f aca="false">IF(J1448&lt;=0,1,0)</f>
        <v>0</v>
      </c>
      <c r="L1448" s="15" t="n">
        <f aca="false">IFERROR(G1448/F1448,0)</f>
        <v>1</v>
      </c>
      <c r="M1448" s="15" t="n">
        <f aca="false">IFERROR((I1448-H1448)/H1448,0)</f>
        <v>0.00941962929200858</v>
      </c>
      <c r="N1448" s="16" t="n">
        <f aca="false">G1448*I1448</f>
        <v>118728.28</v>
      </c>
    </row>
    <row r="1449" customFormat="false" ht="15" hidden="false" customHeight="true" outlineLevel="0" collapsed="false">
      <c r="A1449" s="4" t="s">
        <v>1625</v>
      </c>
      <c r="B1449" s="4" t="s">
        <v>149</v>
      </c>
      <c r="C1449" s="13" t="n">
        <v>45156</v>
      </c>
      <c r="D1449" s="13" t="n">
        <v>45161</v>
      </c>
      <c r="E1449" s="13" t="n">
        <v>45163</v>
      </c>
      <c r="F1449" s="4" t="n">
        <v>6</v>
      </c>
      <c r="G1449" s="4" t="n">
        <v>6</v>
      </c>
      <c r="H1449" s="4" t="n">
        <v>1458.52</v>
      </c>
      <c r="I1449" s="4" t="n">
        <v>1458.02</v>
      </c>
      <c r="J1449" s="14" t="n">
        <f aca="false">E1449-D1449</f>
        <v>2</v>
      </c>
      <c r="K1449" s="14" t="n">
        <f aca="false">IF(J1449&lt;=0,1,0)</f>
        <v>0</v>
      </c>
      <c r="L1449" s="15" t="n">
        <f aca="false">IFERROR(G1449/F1449,0)</f>
        <v>1</v>
      </c>
      <c r="M1449" s="15" t="n">
        <f aca="false">IFERROR((I1449-H1449)/H1449,0)</f>
        <v>-0.00034281326275951</v>
      </c>
      <c r="N1449" s="16" t="n">
        <f aca="false">G1449*I1449</f>
        <v>8748.12</v>
      </c>
    </row>
    <row r="1450" customFormat="false" ht="15" hidden="false" customHeight="true" outlineLevel="0" collapsed="false">
      <c r="A1450" s="4" t="s">
        <v>1626</v>
      </c>
      <c r="B1450" s="4" t="s">
        <v>121</v>
      </c>
      <c r="C1450" s="13" t="n">
        <v>45039</v>
      </c>
      <c r="D1450" s="13" t="n">
        <v>45048</v>
      </c>
      <c r="E1450" s="13" t="n">
        <v>45045</v>
      </c>
      <c r="F1450" s="4" t="n">
        <v>580</v>
      </c>
      <c r="G1450" s="4" t="n">
        <v>527</v>
      </c>
      <c r="H1450" s="4" t="n">
        <v>206.07</v>
      </c>
      <c r="I1450" s="4" t="n">
        <v>211.11</v>
      </c>
      <c r="J1450" s="14" t="n">
        <f aca="false">E1450-D1450</f>
        <v>-3</v>
      </c>
      <c r="K1450" s="14" t="n">
        <f aca="false">IF(J1450&lt;=0,1,0)</f>
        <v>1</v>
      </c>
      <c r="L1450" s="15" t="n">
        <f aca="false">IFERROR(G1450/F1450,0)</f>
        <v>0.908620689655172</v>
      </c>
      <c r="M1450" s="15" t="n">
        <f aca="false">IFERROR((I1450-H1450)/H1450,0)</f>
        <v>0.0244577085456399</v>
      </c>
      <c r="N1450" s="16" t="n">
        <f aca="false">G1450*I1450</f>
        <v>111254.97</v>
      </c>
    </row>
    <row r="1451" customFormat="false" ht="15" hidden="false" customHeight="true" outlineLevel="0" collapsed="false">
      <c r="A1451" s="4" t="s">
        <v>1627</v>
      </c>
      <c r="B1451" s="4" t="s">
        <v>113</v>
      </c>
      <c r="C1451" s="13" t="n">
        <v>45622</v>
      </c>
      <c r="D1451" s="13" t="n">
        <v>45634</v>
      </c>
      <c r="E1451" s="13" t="n">
        <v>45634</v>
      </c>
      <c r="F1451" s="4" t="n">
        <v>1601</v>
      </c>
      <c r="G1451" s="4" t="n">
        <v>1549</v>
      </c>
      <c r="H1451" s="4" t="n">
        <v>170.42</v>
      </c>
      <c r="I1451" s="4" t="n">
        <v>174.6</v>
      </c>
      <c r="J1451" s="14" t="n">
        <f aca="false">E1451-D1451</f>
        <v>0</v>
      </c>
      <c r="K1451" s="14" t="n">
        <f aca="false">IF(J1451&lt;=0,1,0)</f>
        <v>1</v>
      </c>
      <c r="L1451" s="15" t="n">
        <f aca="false">IFERROR(G1451/F1451,0)</f>
        <v>0.967520299812617</v>
      </c>
      <c r="M1451" s="15" t="n">
        <f aca="false">IFERROR((I1451-H1451)/H1451,0)</f>
        <v>0.0245276376012206</v>
      </c>
      <c r="N1451" s="16" t="n">
        <f aca="false">G1451*I1451</f>
        <v>270455.4</v>
      </c>
    </row>
    <row r="1452" customFormat="false" ht="15" hidden="false" customHeight="true" outlineLevel="0" collapsed="false">
      <c r="A1452" s="4" t="s">
        <v>1628</v>
      </c>
      <c r="B1452" s="4" t="s">
        <v>107</v>
      </c>
      <c r="C1452" s="13" t="n">
        <v>44954</v>
      </c>
      <c r="D1452" s="13" t="n">
        <v>44961</v>
      </c>
      <c r="E1452" s="13" t="n">
        <v>44964</v>
      </c>
      <c r="F1452" s="4" t="n">
        <v>891</v>
      </c>
      <c r="G1452" s="4" t="n">
        <v>891</v>
      </c>
      <c r="H1452" s="4" t="n">
        <v>40.41</v>
      </c>
      <c r="I1452" s="4" t="n">
        <v>40.14</v>
      </c>
      <c r="J1452" s="14" t="n">
        <f aca="false">E1452-D1452</f>
        <v>3</v>
      </c>
      <c r="K1452" s="14" t="n">
        <f aca="false">IF(J1452&lt;=0,1,0)</f>
        <v>0</v>
      </c>
      <c r="L1452" s="15" t="n">
        <f aca="false">IFERROR(G1452/F1452,0)</f>
        <v>1</v>
      </c>
      <c r="M1452" s="15" t="n">
        <f aca="false">IFERROR((I1452-H1452)/H1452,0)</f>
        <v>-0.0066815144766146</v>
      </c>
      <c r="N1452" s="16" t="n">
        <f aca="false">G1452*I1452</f>
        <v>35764.74</v>
      </c>
    </row>
    <row r="1453" customFormat="false" ht="15" hidden="false" customHeight="true" outlineLevel="0" collapsed="false">
      <c r="A1453" s="4" t="s">
        <v>1629</v>
      </c>
      <c r="B1453" s="4" t="s">
        <v>37</v>
      </c>
      <c r="C1453" s="13" t="n">
        <v>45240</v>
      </c>
      <c r="D1453" s="13" t="n">
        <v>45249</v>
      </c>
      <c r="E1453" s="13" t="n">
        <v>45249</v>
      </c>
      <c r="F1453" s="4" t="n">
        <v>3493</v>
      </c>
      <c r="G1453" s="4" t="n">
        <v>3454</v>
      </c>
      <c r="H1453" s="4" t="n">
        <v>22.26</v>
      </c>
      <c r="I1453" s="4" t="n">
        <v>21.46</v>
      </c>
      <c r="J1453" s="14" t="n">
        <f aca="false">E1453-D1453</f>
        <v>0</v>
      </c>
      <c r="K1453" s="14" t="n">
        <f aca="false">IF(J1453&lt;=0,1,0)</f>
        <v>1</v>
      </c>
      <c r="L1453" s="15" t="n">
        <f aca="false">IFERROR(G1453/F1453,0)</f>
        <v>0.988834812482107</v>
      </c>
      <c r="M1453" s="15" t="n">
        <f aca="false">IFERROR((I1453-H1453)/H1453,0)</f>
        <v>-0.0359389038634322</v>
      </c>
      <c r="N1453" s="16" t="n">
        <f aca="false">G1453*I1453</f>
        <v>74122.84</v>
      </c>
    </row>
    <row r="1454" customFormat="false" ht="15" hidden="false" customHeight="true" outlineLevel="0" collapsed="false">
      <c r="A1454" s="4" t="s">
        <v>1630</v>
      </c>
      <c r="B1454" s="4" t="s">
        <v>107</v>
      </c>
      <c r="C1454" s="13" t="n">
        <v>44948</v>
      </c>
      <c r="D1454" s="13" t="n">
        <v>44956</v>
      </c>
      <c r="E1454" s="13" t="n">
        <v>44957</v>
      </c>
      <c r="F1454" s="4" t="n">
        <v>855</v>
      </c>
      <c r="G1454" s="4" t="n">
        <v>822</v>
      </c>
      <c r="H1454" s="4" t="n">
        <v>40.41</v>
      </c>
      <c r="I1454" s="4" t="n">
        <v>39.77</v>
      </c>
      <c r="J1454" s="14" t="n">
        <f aca="false">E1454-D1454</f>
        <v>1</v>
      </c>
      <c r="K1454" s="14" t="n">
        <f aca="false">IF(J1454&lt;=0,1,0)</f>
        <v>0</v>
      </c>
      <c r="L1454" s="15" t="n">
        <f aca="false">IFERROR(G1454/F1454,0)</f>
        <v>0.96140350877193</v>
      </c>
      <c r="M1454" s="15" t="n">
        <f aca="false">IFERROR((I1454-H1454)/H1454,0)</f>
        <v>-0.015837663944568</v>
      </c>
      <c r="N1454" s="16" t="n">
        <f aca="false">G1454*I1454</f>
        <v>32690.94</v>
      </c>
    </row>
    <row r="1455" customFormat="false" ht="15" hidden="false" customHeight="true" outlineLevel="0" collapsed="false">
      <c r="A1455" s="4" t="s">
        <v>1631</v>
      </c>
      <c r="B1455" s="4" t="s">
        <v>58</v>
      </c>
      <c r="C1455" s="13" t="n">
        <v>45090</v>
      </c>
      <c r="D1455" s="13" t="n">
        <v>45102</v>
      </c>
      <c r="E1455" s="13" t="n">
        <v>45104</v>
      </c>
      <c r="F1455" s="4" t="n">
        <v>201</v>
      </c>
      <c r="G1455" s="4" t="n">
        <v>194</v>
      </c>
      <c r="H1455" s="4" t="n">
        <v>135.68</v>
      </c>
      <c r="I1455" s="4" t="n">
        <v>137.23</v>
      </c>
      <c r="J1455" s="14" t="n">
        <f aca="false">E1455-D1455</f>
        <v>2</v>
      </c>
      <c r="K1455" s="14" t="n">
        <f aca="false">IF(J1455&lt;=0,1,0)</f>
        <v>0</v>
      </c>
      <c r="L1455" s="15" t="n">
        <f aca="false">IFERROR(G1455/F1455,0)</f>
        <v>0.965174129353234</v>
      </c>
      <c r="M1455" s="15" t="n">
        <f aca="false">IFERROR((I1455-H1455)/H1455,0)</f>
        <v>0.0114239386792452</v>
      </c>
      <c r="N1455" s="16" t="n">
        <f aca="false">G1455*I1455</f>
        <v>26622.62</v>
      </c>
    </row>
    <row r="1456" customFormat="false" ht="15" hidden="false" customHeight="true" outlineLevel="0" collapsed="false">
      <c r="A1456" s="4" t="s">
        <v>1632</v>
      </c>
      <c r="B1456" s="4" t="s">
        <v>139</v>
      </c>
      <c r="C1456" s="13" t="n">
        <v>45267</v>
      </c>
      <c r="D1456" s="13" t="n">
        <v>45277</v>
      </c>
      <c r="E1456" s="13" t="n">
        <v>45275</v>
      </c>
      <c r="F1456" s="4" t="n">
        <v>453</v>
      </c>
      <c r="G1456" s="4" t="n">
        <v>402</v>
      </c>
      <c r="H1456" s="4" t="n">
        <v>207.64</v>
      </c>
      <c r="I1456" s="4" t="n">
        <v>213.17</v>
      </c>
      <c r="J1456" s="14" t="n">
        <f aca="false">E1456-D1456</f>
        <v>-2</v>
      </c>
      <c r="K1456" s="14" t="n">
        <f aca="false">IF(J1456&lt;=0,1,0)</f>
        <v>1</v>
      </c>
      <c r="L1456" s="15" t="n">
        <f aca="false">IFERROR(G1456/F1456,0)</f>
        <v>0.887417218543046</v>
      </c>
      <c r="M1456" s="15" t="n">
        <f aca="false">IFERROR((I1456-H1456)/H1456,0)</f>
        <v>0.0266326334039684</v>
      </c>
      <c r="N1456" s="16" t="n">
        <f aca="false">G1456*I1456</f>
        <v>85694.34</v>
      </c>
    </row>
    <row r="1457" customFormat="false" ht="15" hidden="false" customHeight="true" outlineLevel="0" collapsed="false">
      <c r="A1457" s="4" t="s">
        <v>1633</v>
      </c>
      <c r="B1457" s="4" t="s">
        <v>153</v>
      </c>
      <c r="C1457" s="13" t="n">
        <v>45116</v>
      </c>
      <c r="D1457" s="13" t="n">
        <v>45133</v>
      </c>
      <c r="E1457" s="13" t="n">
        <v>45139</v>
      </c>
      <c r="F1457" s="4" t="n">
        <v>332</v>
      </c>
      <c r="G1457" s="4" t="n">
        <v>303</v>
      </c>
      <c r="H1457" s="4" t="n">
        <v>1492.04</v>
      </c>
      <c r="I1457" s="4" t="n">
        <v>1525.65</v>
      </c>
      <c r="J1457" s="14" t="n">
        <f aca="false">E1457-D1457</f>
        <v>6</v>
      </c>
      <c r="K1457" s="14" t="n">
        <f aca="false">IF(J1457&lt;=0,1,0)</f>
        <v>0</v>
      </c>
      <c r="L1457" s="15" t="n">
        <f aca="false">IFERROR(G1457/F1457,0)</f>
        <v>0.912650602409639</v>
      </c>
      <c r="M1457" s="15" t="n">
        <f aca="false">IFERROR((I1457-H1457)/H1457,0)</f>
        <v>0.0225262057317499</v>
      </c>
      <c r="N1457" s="16" t="n">
        <f aca="false">G1457*I1457</f>
        <v>462271.95</v>
      </c>
    </row>
    <row r="1458" customFormat="false" ht="15" hidden="false" customHeight="true" outlineLevel="0" collapsed="false">
      <c r="A1458" s="4" t="s">
        <v>1634</v>
      </c>
      <c r="B1458" s="4" t="s">
        <v>65</v>
      </c>
      <c r="C1458" s="13" t="n">
        <v>45603</v>
      </c>
      <c r="D1458" s="13" t="n">
        <v>45623</v>
      </c>
      <c r="E1458" s="13" t="n">
        <v>45619</v>
      </c>
      <c r="F1458" s="4" t="n">
        <v>449</v>
      </c>
      <c r="G1458" s="4" t="n">
        <v>437</v>
      </c>
      <c r="H1458" s="4" t="n">
        <v>1365.59</v>
      </c>
      <c r="I1458" s="4" t="n">
        <v>1362.14</v>
      </c>
      <c r="J1458" s="14" t="n">
        <f aca="false">E1458-D1458</f>
        <v>-4</v>
      </c>
      <c r="K1458" s="14" t="n">
        <f aca="false">IF(J1458&lt;=0,1,0)</f>
        <v>1</v>
      </c>
      <c r="L1458" s="15" t="n">
        <f aca="false">IFERROR(G1458/F1458,0)</f>
        <v>0.973273942093541</v>
      </c>
      <c r="M1458" s="15" t="n">
        <f aca="false">IFERROR((I1458-H1458)/H1458,0)</f>
        <v>-0.00252638053881459</v>
      </c>
      <c r="N1458" s="16" t="n">
        <f aca="false">G1458*I1458</f>
        <v>595255.18</v>
      </c>
    </row>
    <row r="1459" customFormat="false" ht="15" hidden="false" customHeight="true" outlineLevel="0" collapsed="false">
      <c r="A1459" s="4" t="s">
        <v>1635</v>
      </c>
      <c r="B1459" s="4" t="s">
        <v>121</v>
      </c>
      <c r="C1459" s="13" t="n">
        <v>45176</v>
      </c>
      <c r="D1459" s="13" t="n">
        <v>45188</v>
      </c>
      <c r="E1459" s="13" t="n">
        <v>45194</v>
      </c>
      <c r="F1459" s="4" t="n">
        <v>719</v>
      </c>
      <c r="G1459" s="4" t="n">
        <v>666</v>
      </c>
      <c r="H1459" s="4" t="n">
        <v>206.07</v>
      </c>
      <c r="I1459" s="4" t="n">
        <v>212.95</v>
      </c>
      <c r="J1459" s="14" t="n">
        <f aca="false">E1459-D1459</f>
        <v>6</v>
      </c>
      <c r="K1459" s="14" t="n">
        <f aca="false">IF(J1459&lt;=0,1,0)</f>
        <v>0</v>
      </c>
      <c r="L1459" s="15" t="n">
        <f aca="false">IFERROR(G1459/F1459,0)</f>
        <v>0.926286509040334</v>
      </c>
      <c r="M1459" s="15" t="n">
        <f aca="false">IFERROR((I1459-H1459)/H1459,0)</f>
        <v>0.0333867132527782</v>
      </c>
      <c r="N1459" s="16" t="n">
        <f aca="false">G1459*I1459</f>
        <v>141824.7</v>
      </c>
    </row>
    <row r="1460" customFormat="false" ht="15" hidden="false" customHeight="true" outlineLevel="0" collapsed="false">
      <c r="A1460" s="4" t="s">
        <v>1636</v>
      </c>
      <c r="B1460" s="4" t="s">
        <v>107</v>
      </c>
      <c r="C1460" s="13" t="n">
        <v>44971</v>
      </c>
      <c r="D1460" s="13" t="n">
        <v>44980</v>
      </c>
      <c r="E1460" s="13" t="n">
        <v>44972</v>
      </c>
      <c r="F1460" s="4" t="n">
        <v>4539</v>
      </c>
      <c r="G1460" s="4" t="n">
        <v>4462</v>
      </c>
      <c r="H1460" s="4" t="n">
        <v>40.41</v>
      </c>
      <c r="I1460" s="4" t="n">
        <v>40.47</v>
      </c>
      <c r="J1460" s="14" t="n">
        <f aca="false">E1460-D1460</f>
        <v>-8</v>
      </c>
      <c r="K1460" s="14" t="n">
        <f aca="false">IF(J1460&lt;=0,1,0)</f>
        <v>1</v>
      </c>
      <c r="L1460" s="15" t="n">
        <f aca="false">IFERROR(G1460/F1460,0)</f>
        <v>0.983035910993611</v>
      </c>
      <c r="M1460" s="15" t="n">
        <f aca="false">IFERROR((I1460-H1460)/H1460,0)</f>
        <v>0.00148478099480332</v>
      </c>
      <c r="N1460" s="16" t="n">
        <f aca="false">G1460*I1460</f>
        <v>180577.14</v>
      </c>
    </row>
    <row r="1461" customFormat="false" ht="15" hidden="false" customHeight="true" outlineLevel="0" collapsed="false">
      <c r="A1461" s="4" t="s">
        <v>1637</v>
      </c>
      <c r="B1461" s="4" t="s">
        <v>68</v>
      </c>
      <c r="C1461" s="13" t="n">
        <v>45518</v>
      </c>
      <c r="D1461" s="13" t="n">
        <v>45535</v>
      </c>
      <c r="E1461" s="13" t="n">
        <v>45534</v>
      </c>
      <c r="F1461" s="4" t="n">
        <v>359</v>
      </c>
      <c r="G1461" s="4" t="n">
        <v>331</v>
      </c>
      <c r="H1461" s="4" t="n">
        <v>1232.83</v>
      </c>
      <c r="I1461" s="4" t="n">
        <v>1230.74</v>
      </c>
      <c r="J1461" s="14" t="n">
        <f aca="false">E1461-D1461</f>
        <v>-1</v>
      </c>
      <c r="K1461" s="14" t="n">
        <f aca="false">IF(J1461&lt;=0,1,0)</f>
        <v>1</v>
      </c>
      <c r="L1461" s="15" t="n">
        <f aca="false">IFERROR(G1461/F1461,0)</f>
        <v>0.922005571030641</v>
      </c>
      <c r="M1461" s="15" t="n">
        <f aca="false">IFERROR((I1461-H1461)/H1461,0)</f>
        <v>-0.00169528645474227</v>
      </c>
      <c r="N1461" s="16" t="n">
        <f aca="false">G1461*I1461</f>
        <v>407374.94</v>
      </c>
    </row>
    <row r="1462" customFormat="false" ht="15" hidden="false" customHeight="true" outlineLevel="0" collapsed="false">
      <c r="A1462" s="4" t="s">
        <v>1638</v>
      </c>
      <c r="B1462" s="4" t="s">
        <v>149</v>
      </c>
      <c r="C1462" s="13" t="n">
        <v>45556</v>
      </c>
      <c r="D1462" s="13" t="n">
        <v>45562</v>
      </c>
      <c r="E1462" s="13" t="n">
        <v>45564</v>
      </c>
      <c r="F1462" s="4" t="n">
        <v>9</v>
      </c>
      <c r="G1462" s="4" t="n">
        <v>9</v>
      </c>
      <c r="H1462" s="4" t="n">
        <v>1458.52</v>
      </c>
      <c r="I1462" s="4" t="n">
        <v>1485.41</v>
      </c>
      <c r="J1462" s="14" t="n">
        <f aca="false">E1462-D1462</f>
        <v>2</v>
      </c>
      <c r="K1462" s="14" t="n">
        <f aca="false">IF(J1462&lt;=0,1,0)</f>
        <v>0</v>
      </c>
      <c r="L1462" s="15" t="n">
        <f aca="false">IFERROR(G1462/F1462,0)</f>
        <v>1</v>
      </c>
      <c r="M1462" s="15" t="n">
        <f aca="false">IFERROR((I1462-H1462)/H1462,0)</f>
        <v>0.0184364972712065</v>
      </c>
      <c r="N1462" s="16" t="n">
        <f aca="false">G1462*I1462</f>
        <v>13368.69</v>
      </c>
    </row>
    <row r="1463" customFormat="false" ht="15" hidden="false" customHeight="true" outlineLevel="0" collapsed="false">
      <c r="A1463" s="4" t="s">
        <v>1639</v>
      </c>
      <c r="B1463" s="4" t="s">
        <v>151</v>
      </c>
      <c r="C1463" s="13" t="n">
        <v>45648</v>
      </c>
      <c r="D1463" s="13" t="n">
        <v>45654</v>
      </c>
      <c r="E1463" s="13" t="n">
        <v>45655</v>
      </c>
      <c r="F1463" s="4" t="n">
        <v>13</v>
      </c>
      <c r="G1463" s="4" t="n">
        <v>13</v>
      </c>
      <c r="H1463" s="4" t="n">
        <v>503.46</v>
      </c>
      <c r="I1463" s="4" t="n">
        <v>509.81</v>
      </c>
      <c r="J1463" s="14" t="n">
        <f aca="false">E1463-D1463</f>
        <v>1</v>
      </c>
      <c r="K1463" s="14" t="n">
        <f aca="false">IF(J1463&lt;=0,1,0)</f>
        <v>0</v>
      </c>
      <c r="L1463" s="15" t="n">
        <f aca="false">IFERROR(G1463/F1463,0)</f>
        <v>1</v>
      </c>
      <c r="M1463" s="15" t="n">
        <f aca="false">IFERROR((I1463-H1463)/H1463,0)</f>
        <v>0.012612719977754</v>
      </c>
      <c r="N1463" s="16" t="n">
        <f aca="false">G1463*I1463</f>
        <v>6627.53</v>
      </c>
    </row>
    <row r="1464" customFormat="false" ht="15" hidden="false" customHeight="true" outlineLevel="0" collapsed="false">
      <c r="A1464" s="4" t="s">
        <v>1640</v>
      </c>
      <c r="B1464" s="4" t="s">
        <v>74</v>
      </c>
      <c r="C1464" s="13" t="n">
        <v>45182</v>
      </c>
      <c r="D1464" s="13" t="n">
        <v>45189</v>
      </c>
      <c r="E1464" s="13" t="n">
        <v>45190</v>
      </c>
      <c r="F1464" s="4" t="n">
        <v>5</v>
      </c>
      <c r="G1464" s="4" t="n">
        <v>5</v>
      </c>
      <c r="H1464" s="4" t="n">
        <v>1294.62</v>
      </c>
      <c r="I1464" s="4" t="n">
        <v>1329.5</v>
      </c>
      <c r="J1464" s="14" t="n">
        <f aca="false">E1464-D1464</f>
        <v>1</v>
      </c>
      <c r="K1464" s="14" t="n">
        <f aca="false">IF(J1464&lt;=0,1,0)</f>
        <v>0</v>
      </c>
      <c r="L1464" s="15" t="n">
        <f aca="false">IFERROR(G1464/F1464,0)</f>
        <v>1</v>
      </c>
      <c r="M1464" s="15" t="n">
        <f aca="false">IFERROR((I1464-H1464)/H1464,0)</f>
        <v>0.0269422687738488</v>
      </c>
      <c r="N1464" s="16" t="n">
        <f aca="false">G1464*I1464</f>
        <v>6647.5</v>
      </c>
    </row>
    <row r="1465" customFormat="false" ht="15" hidden="false" customHeight="true" outlineLevel="0" collapsed="false">
      <c r="A1465" s="4" t="s">
        <v>1641</v>
      </c>
      <c r="B1465" s="4" t="s">
        <v>157</v>
      </c>
      <c r="C1465" s="13" t="n">
        <v>45530</v>
      </c>
      <c r="D1465" s="13" t="n">
        <v>45539</v>
      </c>
      <c r="E1465" s="13" t="n">
        <v>45549</v>
      </c>
      <c r="F1465" s="4" t="n">
        <v>1011</v>
      </c>
      <c r="G1465" s="4" t="n">
        <v>974</v>
      </c>
      <c r="H1465" s="4" t="n">
        <v>13.1</v>
      </c>
      <c r="I1465" s="4" t="n">
        <v>13.74</v>
      </c>
      <c r="J1465" s="14" t="n">
        <f aca="false">E1465-D1465</f>
        <v>10</v>
      </c>
      <c r="K1465" s="14" t="n">
        <f aca="false">IF(J1465&lt;=0,1,0)</f>
        <v>0</v>
      </c>
      <c r="L1465" s="15" t="n">
        <f aca="false">IFERROR(G1465/F1465,0)</f>
        <v>0.963402571711177</v>
      </c>
      <c r="M1465" s="15" t="n">
        <f aca="false">IFERROR((I1465-H1465)/H1465,0)</f>
        <v>0.0488549618320611</v>
      </c>
      <c r="N1465" s="16" t="n">
        <f aca="false">G1465*I1465</f>
        <v>13382.76</v>
      </c>
    </row>
    <row r="1466" customFormat="false" ht="15" hidden="false" customHeight="true" outlineLevel="0" collapsed="false">
      <c r="A1466" s="4" t="s">
        <v>1642</v>
      </c>
      <c r="B1466" s="4" t="s">
        <v>113</v>
      </c>
      <c r="C1466" s="13" t="n">
        <v>45271</v>
      </c>
      <c r="D1466" s="13" t="n">
        <v>45282</v>
      </c>
      <c r="E1466" s="13" t="n">
        <v>45283</v>
      </c>
      <c r="F1466" s="4" t="n">
        <v>1749</v>
      </c>
      <c r="G1466" s="4" t="n">
        <v>1687</v>
      </c>
      <c r="H1466" s="4" t="n">
        <v>170.42</v>
      </c>
      <c r="I1466" s="4" t="n">
        <v>172.85</v>
      </c>
      <c r="J1466" s="14" t="n">
        <f aca="false">E1466-D1466</f>
        <v>1</v>
      </c>
      <c r="K1466" s="14" t="n">
        <f aca="false">IF(J1466&lt;=0,1,0)</f>
        <v>0</v>
      </c>
      <c r="L1466" s="15" t="n">
        <f aca="false">IFERROR(G1466/F1466,0)</f>
        <v>0.964551172098342</v>
      </c>
      <c r="M1466" s="15" t="n">
        <f aca="false">IFERROR((I1466-H1466)/H1466,0)</f>
        <v>0.0142588898016665</v>
      </c>
      <c r="N1466" s="16" t="n">
        <f aca="false">G1466*I1466</f>
        <v>291597.95</v>
      </c>
    </row>
    <row r="1467" customFormat="false" ht="15" hidden="false" customHeight="true" outlineLevel="0" collapsed="false">
      <c r="A1467" s="4" t="s">
        <v>1643</v>
      </c>
      <c r="B1467" s="4" t="s">
        <v>115</v>
      </c>
      <c r="C1467" s="13" t="n">
        <v>45003</v>
      </c>
      <c r="D1467" s="13" t="n">
        <v>45017</v>
      </c>
      <c r="E1467" s="13" t="n">
        <v>45026</v>
      </c>
      <c r="F1467" s="4" t="n">
        <v>147</v>
      </c>
      <c r="G1467" s="4" t="n">
        <v>133</v>
      </c>
      <c r="H1467" s="4" t="n">
        <v>115.53</v>
      </c>
      <c r="I1467" s="4" t="n">
        <v>118.01</v>
      </c>
      <c r="J1467" s="14" t="n">
        <f aca="false">E1467-D1467</f>
        <v>9</v>
      </c>
      <c r="K1467" s="14" t="n">
        <f aca="false">IF(J1467&lt;=0,1,0)</f>
        <v>0</v>
      </c>
      <c r="L1467" s="15" t="n">
        <f aca="false">IFERROR(G1467/F1467,0)</f>
        <v>0.904761904761905</v>
      </c>
      <c r="M1467" s="15" t="n">
        <f aca="false">IFERROR((I1467-H1467)/H1467,0)</f>
        <v>0.0214662858132087</v>
      </c>
      <c r="N1467" s="16" t="n">
        <f aca="false">G1467*I1467</f>
        <v>15695.33</v>
      </c>
    </row>
    <row r="1468" customFormat="false" ht="15" hidden="false" customHeight="true" outlineLevel="0" collapsed="false">
      <c r="A1468" s="4" t="s">
        <v>1644</v>
      </c>
      <c r="B1468" s="4" t="s">
        <v>123</v>
      </c>
      <c r="C1468" s="13" t="n">
        <v>45534</v>
      </c>
      <c r="D1468" s="13" t="n">
        <v>45548</v>
      </c>
      <c r="E1468" s="13" t="n">
        <v>45548</v>
      </c>
      <c r="F1468" s="4" t="n">
        <v>149</v>
      </c>
      <c r="G1468" s="4" t="n">
        <v>144</v>
      </c>
      <c r="H1468" s="4" t="n">
        <v>214.07</v>
      </c>
      <c r="I1468" s="4" t="n">
        <v>247.64</v>
      </c>
      <c r="J1468" s="14" t="n">
        <f aca="false">E1468-D1468</f>
        <v>0</v>
      </c>
      <c r="K1468" s="14" t="n">
        <f aca="false">IF(J1468&lt;=0,1,0)</f>
        <v>1</v>
      </c>
      <c r="L1468" s="15" t="n">
        <f aca="false">IFERROR(G1468/F1468,0)</f>
        <v>0.966442953020134</v>
      </c>
      <c r="M1468" s="15" t="n">
        <f aca="false">IFERROR((I1468-H1468)/H1468,0)</f>
        <v>0.156817863315738</v>
      </c>
      <c r="N1468" s="16" t="n">
        <f aca="false">G1468*I1468</f>
        <v>35660.16</v>
      </c>
    </row>
    <row r="1469" customFormat="false" ht="15" hidden="false" customHeight="true" outlineLevel="0" collapsed="false">
      <c r="A1469" s="4" t="s">
        <v>1645</v>
      </c>
      <c r="B1469" s="4" t="s">
        <v>141</v>
      </c>
      <c r="C1469" s="13" t="n">
        <v>45170</v>
      </c>
      <c r="D1469" s="13" t="n">
        <v>45188</v>
      </c>
      <c r="E1469" s="13" t="n">
        <v>45191</v>
      </c>
      <c r="F1469" s="4" t="n">
        <v>205</v>
      </c>
      <c r="G1469" s="4" t="n">
        <v>198</v>
      </c>
      <c r="H1469" s="4" t="n">
        <v>1252.36</v>
      </c>
      <c r="I1469" s="4" t="n">
        <v>1241.01</v>
      </c>
      <c r="J1469" s="14" t="n">
        <f aca="false">E1469-D1469</f>
        <v>3</v>
      </c>
      <c r="K1469" s="14" t="n">
        <f aca="false">IF(J1469&lt;=0,1,0)</f>
        <v>0</v>
      </c>
      <c r="L1469" s="15" t="n">
        <f aca="false">IFERROR(G1469/F1469,0)</f>
        <v>0.965853658536585</v>
      </c>
      <c r="M1469" s="15" t="n">
        <f aca="false">IFERROR((I1469-H1469)/H1469,0)</f>
        <v>-0.00906288926506748</v>
      </c>
      <c r="N1469" s="16" t="n">
        <f aca="false">G1469*I1469</f>
        <v>245719.98</v>
      </c>
    </row>
    <row r="1470" customFormat="false" ht="15" hidden="false" customHeight="true" outlineLevel="0" collapsed="false">
      <c r="A1470" s="4" t="s">
        <v>1646</v>
      </c>
      <c r="B1470" s="4" t="s">
        <v>41</v>
      </c>
      <c r="C1470" s="13" t="n">
        <v>45385</v>
      </c>
      <c r="D1470" s="13" t="n">
        <v>45393</v>
      </c>
      <c r="E1470" s="13" t="n">
        <v>45390</v>
      </c>
      <c r="F1470" s="4" t="n">
        <v>4591</v>
      </c>
      <c r="G1470" s="4" t="n">
        <v>4531</v>
      </c>
      <c r="H1470" s="4" t="n">
        <v>45.51</v>
      </c>
      <c r="I1470" s="4" t="n">
        <v>44.43</v>
      </c>
      <c r="J1470" s="14" t="n">
        <f aca="false">E1470-D1470</f>
        <v>-3</v>
      </c>
      <c r="K1470" s="14" t="n">
        <f aca="false">IF(J1470&lt;=0,1,0)</f>
        <v>1</v>
      </c>
      <c r="L1470" s="15" t="n">
        <f aca="false">IFERROR(G1470/F1470,0)</f>
        <v>0.986930951862339</v>
      </c>
      <c r="M1470" s="15" t="n">
        <f aca="false">IFERROR((I1470-H1470)/H1470,0)</f>
        <v>-0.023731048121292</v>
      </c>
      <c r="N1470" s="16" t="n">
        <f aca="false">G1470*I1470</f>
        <v>201312.33</v>
      </c>
    </row>
    <row r="1471" customFormat="false" ht="15" hidden="false" customHeight="true" outlineLevel="0" collapsed="false">
      <c r="A1471" s="4" t="s">
        <v>1647</v>
      </c>
      <c r="B1471" s="4" t="s">
        <v>61</v>
      </c>
      <c r="C1471" s="13" t="n">
        <v>45474</v>
      </c>
      <c r="D1471" s="13" t="n">
        <v>45485</v>
      </c>
      <c r="E1471" s="13" t="n">
        <v>45494</v>
      </c>
      <c r="F1471" s="4" t="n">
        <v>969</v>
      </c>
      <c r="G1471" s="4" t="n">
        <v>942</v>
      </c>
      <c r="H1471" s="4" t="n">
        <v>107.41</v>
      </c>
      <c r="I1471" s="4" t="n">
        <v>104.83</v>
      </c>
      <c r="J1471" s="14" t="n">
        <f aca="false">E1471-D1471</f>
        <v>9</v>
      </c>
      <c r="K1471" s="14" t="n">
        <f aca="false">IF(J1471&lt;=0,1,0)</f>
        <v>0</v>
      </c>
      <c r="L1471" s="15" t="n">
        <f aca="false">IFERROR(G1471/F1471,0)</f>
        <v>0.972136222910217</v>
      </c>
      <c r="M1471" s="15" t="n">
        <f aca="false">IFERROR((I1471-H1471)/H1471,0)</f>
        <v>-0.0240201098594172</v>
      </c>
      <c r="N1471" s="16" t="n">
        <f aca="false">G1471*I1471</f>
        <v>98749.86</v>
      </c>
    </row>
    <row r="1472" customFormat="false" ht="15" hidden="false" customHeight="true" outlineLevel="0" collapsed="false">
      <c r="A1472" s="4" t="s">
        <v>1648</v>
      </c>
      <c r="B1472" s="4" t="s">
        <v>61</v>
      </c>
      <c r="C1472" s="13" t="n">
        <v>45418</v>
      </c>
      <c r="D1472" s="13" t="n">
        <v>45428</v>
      </c>
      <c r="E1472" s="13" t="n">
        <v>45425</v>
      </c>
      <c r="F1472" s="4" t="n">
        <v>693</v>
      </c>
      <c r="G1472" s="4" t="n">
        <v>683</v>
      </c>
      <c r="H1472" s="4" t="n">
        <v>107.41</v>
      </c>
      <c r="I1472" s="4" t="n">
        <v>109.03</v>
      </c>
      <c r="J1472" s="14" t="n">
        <f aca="false">E1472-D1472</f>
        <v>-3</v>
      </c>
      <c r="K1472" s="14" t="n">
        <f aca="false">IF(J1472&lt;=0,1,0)</f>
        <v>1</v>
      </c>
      <c r="L1472" s="15" t="n">
        <f aca="false">IFERROR(G1472/F1472,0)</f>
        <v>0.985569985569986</v>
      </c>
      <c r="M1472" s="15" t="n">
        <f aca="false">IFERROR((I1472-H1472)/H1472,0)</f>
        <v>0.0150823945628899</v>
      </c>
      <c r="N1472" s="16" t="n">
        <f aca="false">G1472*I1472</f>
        <v>74467.49</v>
      </c>
    </row>
    <row r="1473" customFormat="false" ht="15" hidden="false" customHeight="true" outlineLevel="0" collapsed="false">
      <c r="A1473" s="4" t="s">
        <v>1649</v>
      </c>
      <c r="B1473" s="4" t="s">
        <v>81</v>
      </c>
      <c r="C1473" s="13" t="n">
        <v>45324</v>
      </c>
      <c r="D1473" s="13" t="n">
        <v>45330</v>
      </c>
      <c r="E1473" s="13" t="n">
        <v>45334</v>
      </c>
      <c r="F1473" s="4" t="n">
        <v>18</v>
      </c>
      <c r="G1473" s="4" t="n">
        <v>18</v>
      </c>
      <c r="H1473" s="4" t="n">
        <v>697.63</v>
      </c>
      <c r="I1473" s="4" t="n">
        <v>681.92</v>
      </c>
      <c r="J1473" s="14" t="n">
        <f aca="false">E1473-D1473</f>
        <v>4</v>
      </c>
      <c r="K1473" s="14" t="n">
        <f aca="false">IF(J1473&lt;=0,1,0)</f>
        <v>0</v>
      </c>
      <c r="L1473" s="15" t="n">
        <f aca="false">IFERROR(G1473/F1473,0)</f>
        <v>1</v>
      </c>
      <c r="M1473" s="15" t="n">
        <f aca="false">IFERROR((I1473-H1473)/H1473,0)</f>
        <v>-0.0225191003827244</v>
      </c>
      <c r="N1473" s="16" t="n">
        <f aca="false">G1473*I1473</f>
        <v>12274.56</v>
      </c>
    </row>
    <row r="1474" customFormat="false" ht="15" hidden="false" customHeight="true" outlineLevel="0" collapsed="false">
      <c r="A1474" s="4" t="s">
        <v>1650</v>
      </c>
      <c r="B1474" s="4" t="s">
        <v>123</v>
      </c>
      <c r="C1474" s="13" t="n">
        <v>45193</v>
      </c>
      <c r="D1474" s="13" t="n">
        <v>45206</v>
      </c>
      <c r="E1474" s="13" t="n">
        <v>45204</v>
      </c>
      <c r="F1474" s="4" t="n">
        <v>266</v>
      </c>
      <c r="G1474" s="4" t="n">
        <v>258</v>
      </c>
      <c r="H1474" s="4" t="n">
        <v>214.07</v>
      </c>
      <c r="I1474" s="4" t="n">
        <v>228.71</v>
      </c>
      <c r="J1474" s="14" t="n">
        <f aca="false">E1474-D1474</f>
        <v>-2</v>
      </c>
      <c r="K1474" s="14" t="n">
        <f aca="false">IF(J1474&lt;=0,1,0)</f>
        <v>1</v>
      </c>
      <c r="L1474" s="15" t="n">
        <f aca="false">IFERROR(G1474/F1474,0)</f>
        <v>0.969924812030075</v>
      </c>
      <c r="M1474" s="15" t="n">
        <f aca="false">IFERROR((I1474-H1474)/H1474,0)</f>
        <v>0.0683888447704023</v>
      </c>
      <c r="N1474" s="16" t="n">
        <f aca="false">G1474*I1474</f>
        <v>59007.18</v>
      </c>
    </row>
    <row r="1475" customFormat="false" ht="15" hidden="false" customHeight="true" outlineLevel="0" collapsed="false">
      <c r="A1475" s="4" t="s">
        <v>1651</v>
      </c>
      <c r="B1475" s="4" t="s">
        <v>151</v>
      </c>
      <c r="C1475" s="13" t="n">
        <v>45317</v>
      </c>
      <c r="D1475" s="13" t="n">
        <v>45321</v>
      </c>
      <c r="E1475" s="13" t="n">
        <v>45325</v>
      </c>
      <c r="F1475" s="4" t="n">
        <v>11</v>
      </c>
      <c r="G1475" s="4" t="n">
        <v>11</v>
      </c>
      <c r="H1475" s="4" t="n">
        <v>503.46</v>
      </c>
      <c r="I1475" s="4" t="n">
        <v>516.19</v>
      </c>
      <c r="J1475" s="14" t="n">
        <f aca="false">E1475-D1475</f>
        <v>4</v>
      </c>
      <c r="K1475" s="14" t="n">
        <f aca="false">IF(J1475&lt;=0,1,0)</f>
        <v>0</v>
      </c>
      <c r="L1475" s="15" t="n">
        <f aca="false">IFERROR(G1475/F1475,0)</f>
        <v>1</v>
      </c>
      <c r="M1475" s="15" t="n">
        <f aca="false">IFERROR((I1475-H1475)/H1475,0)</f>
        <v>0.0252850276089462</v>
      </c>
      <c r="N1475" s="16" t="n">
        <f aca="false">G1475*I1475</f>
        <v>5678.09</v>
      </c>
    </row>
    <row r="1476" customFormat="false" ht="15" hidden="false" customHeight="true" outlineLevel="0" collapsed="false">
      <c r="A1476" s="4" t="s">
        <v>1652</v>
      </c>
      <c r="B1476" s="4" t="s">
        <v>77</v>
      </c>
      <c r="C1476" s="13" t="n">
        <v>45607</v>
      </c>
      <c r="D1476" s="13" t="n">
        <v>45615</v>
      </c>
      <c r="E1476" s="13" t="n">
        <v>45626</v>
      </c>
      <c r="F1476" s="4" t="n">
        <v>501</v>
      </c>
      <c r="G1476" s="4" t="n">
        <v>489</v>
      </c>
      <c r="H1476" s="4" t="n">
        <v>36.83</v>
      </c>
      <c r="I1476" s="4" t="n">
        <v>34.97</v>
      </c>
      <c r="J1476" s="14" t="n">
        <f aca="false">E1476-D1476</f>
        <v>11</v>
      </c>
      <c r="K1476" s="14" t="n">
        <f aca="false">IF(J1476&lt;=0,1,0)</f>
        <v>0</v>
      </c>
      <c r="L1476" s="15" t="n">
        <f aca="false">IFERROR(G1476/F1476,0)</f>
        <v>0.976047904191617</v>
      </c>
      <c r="M1476" s="15" t="n">
        <f aca="false">IFERROR((I1476-H1476)/H1476,0)</f>
        <v>-0.0505023079011675</v>
      </c>
      <c r="N1476" s="16" t="n">
        <f aca="false">G1476*I1476</f>
        <v>17100.33</v>
      </c>
    </row>
    <row r="1477" customFormat="false" ht="15" hidden="false" customHeight="true" outlineLevel="0" collapsed="false">
      <c r="A1477" s="4" t="s">
        <v>1653</v>
      </c>
      <c r="B1477" s="4" t="s">
        <v>145</v>
      </c>
      <c r="C1477" s="13" t="n">
        <v>45333</v>
      </c>
      <c r="D1477" s="13" t="n">
        <v>45345</v>
      </c>
      <c r="E1477" s="13" t="n">
        <v>45341</v>
      </c>
      <c r="F1477" s="4" t="n">
        <v>1320</v>
      </c>
      <c r="G1477" s="4" t="n">
        <v>1265</v>
      </c>
      <c r="H1477" s="4" t="n">
        <v>237.04</v>
      </c>
      <c r="I1477" s="4" t="n">
        <v>256.24</v>
      </c>
      <c r="J1477" s="14" t="n">
        <f aca="false">E1477-D1477</f>
        <v>-4</v>
      </c>
      <c r="K1477" s="14" t="n">
        <f aca="false">IF(J1477&lt;=0,1,0)</f>
        <v>1</v>
      </c>
      <c r="L1477" s="15" t="n">
        <f aca="false">IFERROR(G1477/F1477,0)</f>
        <v>0.958333333333333</v>
      </c>
      <c r="M1477" s="15" t="n">
        <f aca="false">IFERROR((I1477-H1477)/H1477,0)</f>
        <v>0.0809989875126562</v>
      </c>
      <c r="N1477" s="16" t="n">
        <f aca="false">G1477*I1477</f>
        <v>324143.6</v>
      </c>
    </row>
    <row r="1478" customFormat="false" ht="15" hidden="false" customHeight="true" outlineLevel="0" collapsed="false">
      <c r="A1478" s="4" t="s">
        <v>1654</v>
      </c>
      <c r="B1478" s="4" t="s">
        <v>95</v>
      </c>
      <c r="C1478" s="13" t="n">
        <v>45334</v>
      </c>
      <c r="D1478" s="13" t="n">
        <v>45340</v>
      </c>
      <c r="E1478" s="13" t="n">
        <v>45340</v>
      </c>
      <c r="F1478" s="4" t="n">
        <v>3937</v>
      </c>
      <c r="G1478" s="4" t="n">
        <v>3829</v>
      </c>
      <c r="H1478" s="4" t="n">
        <v>20.39</v>
      </c>
      <c r="I1478" s="4" t="n">
        <v>21.03</v>
      </c>
      <c r="J1478" s="14" t="n">
        <f aca="false">E1478-D1478</f>
        <v>0</v>
      </c>
      <c r="K1478" s="14" t="n">
        <f aca="false">IF(J1478&lt;=0,1,0)</f>
        <v>1</v>
      </c>
      <c r="L1478" s="15" t="n">
        <f aca="false">IFERROR(G1478/F1478,0)</f>
        <v>0.97256794513589</v>
      </c>
      <c r="M1478" s="15" t="n">
        <f aca="false">IFERROR((I1478-H1478)/H1478,0)</f>
        <v>0.0313879352623836</v>
      </c>
      <c r="N1478" s="16" t="n">
        <f aca="false">G1478*I1478</f>
        <v>80523.87</v>
      </c>
    </row>
    <row r="1479" customFormat="false" ht="15" hidden="false" customHeight="true" outlineLevel="0" collapsed="false">
      <c r="A1479" s="4" t="s">
        <v>1655</v>
      </c>
      <c r="B1479" s="4" t="s">
        <v>163</v>
      </c>
      <c r="C1479" s="13" t="n">
        <v>45366</v>
      </c>
      <c r="D1479" s="13" t="n">
        <v>45384</v>
      </c>
      <c r="E1479" s="13" t="n">
        <v>45387</v>
      </c>
      <c r="F1479" s="4" t="n">
        <v>76</v>
      </c>
      <c r="G1479" s="4" t="n">
        <v>75</v>
      </c>
      <c r="H1479" s="4" t="n">
        <v>482.79</v>
      </c>
      <c r="I1479" s="4" t="n">
        <v>487.28</v>
      </c>
      <c r="J1479" s="14" t="n">
        <f aca="false">E1479-D1479</f>
        <v>3</v>
      </c>
      <c r="K1479" s="14" t="n">
        <f aca="false">IF(J1479&lt;=0,1,0)</f>
        <v>0</v>
      </c>
      <c r="L1479" s="15" t="n">
        <f aca="false">IFERROR(G1479/F1479,0)</f>
        <v>0.986842105263158</v>
      </c>
      <c r="M1479" s="15" t="n">
        <f aca="false">IFERROR((I1479-H1479)/H1479,0)</f>
        <v>0.00930010977857858</v>
      </c>
      <c r="N1479" s="16" t="n">
        <f aca="false">G1479*I1479</f>
        <v>36546</v>
      </c>
    </row>
    <row r="1480" customFormat="false" ht="15" hidden="false" customHeight="true" outlineLevel="0" collapsed="false">
      <c r="A1480" s="4" t="s">
        <v>1656</v>
      </c>
      <c r="B1480" s="4" t="s">
        <v>113</v>
      </c>
      <c r="C1480" s="13" t="n">
        <v>45180</v>
      </c>
      <c r="D1480" s="13" t="n">
        <v>45189</v>
      </c>
      <c r="E1480" s="13" t="n">
        <v>45191</v>
      </c>
      <c r="F1480" s="4" t="n">
        <v>1066</v>
      </c>
      <c r="G1480" s="4" t="n">
        <v>1019</v>
      </c>
      <c r="H1480" s="4" t="n">
        <v>170.42</v>
      </c>
      <c r="I1480" s="4" t="n">
        <v>171.16</v>
      </c>
      <c r="J1480" s="14" t="n">
        <f aca="false">E1480-D1480</f>
        <v>2</v>
      </c>
      <c r="K1480" s="14" t="n">
        <f aca="false">IF(J1480&lt;=0,1,0)</f>
        <v>0</v>
      </c>
      <c r="L1480" s="15" t="n">
        <f aca="false">IFERROR(G1480/F1480,0)</f>
        <v>0.955909943714822</v>
      </c>
      <c r="M1480" s="15" t="n">
        <f aca="false">IFERROR((I1480-H1480)/H1480,0)</f>
        <v>0.00434221335524005</v>
      </c>
      <c r="N1480" s="16" t="n">
        <f aca="false">G1480*I1480</f>
        <v>174412.04</v>
      </c>
    </row>
    <row r="1481" customFormat="false" ht="15" hidden="false" customHeight="true" outlineLevel="0" collapsed="false">
      <c r="A1481" s="4" t="s">
        <v>1657</v>
      </c>
      <c r="B1481" s="4" t="s">
        <v>74</v>
      </c>
      <c r="C1481" s="13" t="n">
        <v>45307</v>
      </c>
      <c r="D1481" s="13" t="n">
        <v>45311</v>
      </c>
      <c r="E1481" s="13" t="n">
        <v>45313</v>
      </c>
      <c r="F1481" s="4" t="n">
        <v>7</v>
      </c>
      <c r="G1481" s="4" t="n">
        <v>7</v>
      </c>
      <c r="H1481" s="4" t="n">
        <v>1294.62</v>
      </c>
      <c r="I1481" s="4" t="n">
        <v>1340.32</v>
      </c>
      <c r="J1481" s="14" t="n">
        <f aca="false">E1481-D1481</f>
        <v>2</v>
      </c>
      <c r="K1481" s="14" t="n">
        <f aca="false">IF(J1481&lt;=0,1,0)</f>
        <v>0</v>
      </c>
      <c r="L1481" s="15" t="n">
        <f aca="false">IFERROR(G1481/F1481,0)</f>
        <v>1</v>
      </c>
      <c r="M1481" s="15" t="n">
        <f aca="false">IFERROR((I1481-H1481)/H1481,0)</f>
        <v>0.035299933571241</v>
      </c>
      <c r="N1481" s="16" t="n">
        <f aca="false">G1481*I1481</f>
        <v>9382.24</v>
      </c>
    </row>
    <row r="1482" customFormat="false" ht="15" hidden="false" customHeight="true" outlineLevel="0" collapsed="false">
      <c r="A1482" s="4" t="s">
        <v>1658</v>
      </c>
      <c r="B1482" s="4" t="s">
        <v>50</v>
      </c>
      <c r="C1482" s="13" t="n">
        <v>44998</v>
      </c>
      <c r="D1482" s="13" t="n">
        <v>45016</v>
      </c>
      <c r="E1482" s="13" t="n">
        <v>45014</v>
      </c>
      <c r="F1482" s="4" t="n">
        <v>248</v>
      </c>
      <c r="G1482" s="4" t="n">
        <v>244</v>
      </c>
      <c r="H1482" s="4" t="n">
        <v>707.19</v>
      </c>
      <c r="I1482" s="4" t="n">
        <v>721.99</v>
      </c>
      <c r="J1482" s="14" t="n">
        <f aca="false">E1482-D1482</f>
        <v>-2</v>
      </c>
      <c r="K1482" s="14" t="n">
        <f aca="false">IF(J1482&lt;=0,1,0)</f>
        <v>1</v>
      </c>
      <c r="L1482" s="15" t="n">
        <f aca="false">IFERROR(G1482/F1482,0)</f>
        <v>0.983870967741936</v>
      </c>
      <c r="M1482" s="15" t="n">
        <f aca="false">IFERROR((I1482-H1482)/H1482,0)</f>
        <v>0.0209278977361105</v>
      </c>
      <c r="N1482" s="16" t="n">
        <f aca="false">G1482*I1482</f>
        <v>176165.56</v>
      </c>
    </row>
    <row r="1483" customFormat="false" ht="15" hidden="false" customHeight="true" outlineLevel="0" collapsed="false">
      <c r="A1483" s="4" t="s">
        <v>1659</v>
      </c>
      <c r="B1483" s="4" t="s">
        <v>37</v>
      </c>
      <c r="C1483" s="13" t="n">
        <v>45359</v>
      </c>
      <c r="D1483" s="13" t="n">
        <v>45366</v>
      </c>
      <c r="E1483" s="13" t="n">
        <v>45365</v>
      </c>
      <c r="F1483" s="4" t="n">
        <v>1976</v>
      </c>
      <c r="G1483" s="4" t="n">
        <v>1976</v>
      </c>
      <c r="H1483" s="4" t="n">
        <v>22.26</v>
      </c>
      <c r="I1483" s="4" t="n">
        <v>21.29</v>
      </c>
      <c r="J1483" s="14" t="n">
        <f aca="false">E1483-D1483</f>
        <v>-1</v>
      </c>
      <c r="K1483" s="14" t="n">
        <f aca="false">IF(J1483&lt;=0,1,0)</f>
        <v>1</v>
      </c>
      <c r="L1483" s="15" t="n">
        <f aca="false">IFERROR(G1483/F1483,0)</f>
        <v>1</v>
      </c>
      <c r="M1483" s="15" t="n">
        <f aca="false">IFERROR((I1483-H1483)/H1483,0)</f>
        <v>-0.0435759209344116</v>
      </c>
      <c r="N1483" s="16" t="n">
        <f aca="false">G1483*I1483</f>
        <v>42069.04</v>
      </c>
    </row>
    <row r="1484" customFormat="false" ht="15" hidden="false" customHeight="true" outlineLevel="0" collapsed="false">
      <c r="A1484" s="4" t="s">
        <v>1660</v>
      </c>
      <c r="B1484" s="4" t="s">
        <v>50</v>
      </c>
      <c r="C1484" s="13" t="n">
        <v>45049</v>
      </c>
      <c r="D1484" s="13" t="n">
        <v>45069</v>
      </c>
      <c r="E1484" s="13" t="n">
        <v>45065</v>
      </c>
      <c r="F1484" s="4" t="n">
        <v>144</v>
      </c>
      <c r="G1484" s="4" t="n">
        <v>138</v>
      </c>
      <c r="H1484" s="4" t="n">
        <v>707.19</v>
      </c>
      <c r="I1484" s="4" t="n">
        <v>719.97</v>
      </c>
      <c r="J1484" s="14" t="n">
        <f aca="false">E1484-D1484</f>
        <v>-4</v>
      </c>
      <c r="K1484" s="14" t="n">
        <f aca="false">IF(J1484&lt;=0,1,0)</f>
        <v>1</v>
      </c>
      <c r="L1484" s="15" t="n">
        <f aca="false">IFERROR(G1484/F1484,0)</f>
        <v>0.958333333333333</v>
      </c>
      <c r="M1484" s="15" t="n">
        <f aca="false">IFERROR((I1484-H1484)/H1484,0)</f>
        <v>0.0180715225045603</v>
      </c>
      <c r="N1484" s="16" t="n">
        <f aca="false">G1484*I1484</f>
        <v>99355.86</v>
      </c>
    </row>
    <row r="1485" customFormat="false" ht="15" hidden="false" customHeight="true" outlineLevel="0" collapsed="false">
      <c r="A1485" s="4" t="s">
        <v>1661</v>
      </c>
      <c r="B1485" s="4" t="s">
        <v>95</v>
      </c>
      <c r="C1485" s="13" t="n">
        <v>45550</v>
      </c>
      <c r="D1485" s="13" t="n">
        <v>45558</v>
      </c>
      <c r="E1485" s="13" t="n">
        <v>45565</v>
      </c>
      <c r="F1485" s="4" t="n">
        <v>3253</v>
      </c>
      <c r="G1485" s="4" t="n">
        <v>3253</v>
      </c>
      <c r="H1485" s="4" t="n">
        <v>20.39</v>
      </c>
      <c r="I1485" s="4" t="n">
        <v>21.07</v>
      </c>
      <c r="J1485" s="14" t="n">
        <f aca="false">E1485-D1485</f>
        <v>7</v>
      </c>
      <c r="K1485" s="14" t="n">
        <f aca="false">IF(J1485&lt;=0,1,0)</f>
        <v>0</v>
      </c>
      <c r="L1485" s="15" t="n">
        <f aca="false">IFERROR(G1485/F1485,0)</f>
        <v>1</v>
      </c>
      <c r="M1485" s="15" t="n">
        <f aca="false">IFERROR((I1485-H1485)/H1485,0)</f>
        <v>0.0333496812162825</v>
      </c>
      <c r="N1485" s="16" t="n">
        <f aca="false">G1485*I1485</f>
        <v>68540.71</v>
      </c>
    </row>
    <row r="1486" customFormat="false" ht="15" hidden="false" customHeight="true" outlineLevel="0" collapsed="false">
      <c r="A1486" s="4" t="s">
        <v>1662</v>
      </c>
      <c r="B1486" s="4" t="s">
        <v>61</v>
      </c>
      <c r="C1486" s="13" t="n">
        <v>45348</v>
      </c>
      <c r="D1486" s="13" t="n">
        <v>45357</v>
      </c>
      <c r="E1486" s="13" t="n">
        <v>45362</v>
      </c>
      <c r="F1486" s="4" t="n">
        <v>1233</v>
      </c>
      <c r="G1486" s="4" t="n">
        <v>1215</v>
      </c>
      <c r="H1486" s="4" t="n">
        <v>107.41</v>
      </c>
      <c r="I1486" s="4" t="n">
        <v>106.92</v>
      </c>
      <c r="J1486" s="14" t="n">
        <f aca="false">E1486-D1486</f>
        <v>5</v>
      </c>
      <c r="K1486" s="14" t="n">
        <f aca="false">IF(J1486&lt;=0,1,0)</f>
        <v>0</v>
      </c>
      <c r="L1486" s="15" t="n">
        <f aca="false">IFERROR(G1486/F1486,0)</f>
        <v>0.985401459854015</v>
      </c>
      <c r="M1486" s="15" t="n">
        <f aca="false">IFERROR((I1486-H1486)/H1486,0)</f>
        <v>-0.00456195884926911</v>
      </c>
      <c r="N1486" s="16" t="n">
        <f aca="false">G1486*I1486</f>
        <v>129907.8</v>
      </c>
    </row>
    <row r="1487" customFormat="false" ht="15" hidden="false" customHeight="true" outlineLevel="0" collapsed="false">
      <c r="A1487" s="4" t="s">
        <v>1663</v>
      </c>
      <c r="B1487" s="4" t="s">
        <v>161</v>
      </c>
      <c r="C1487" s="13" t="n">
        <v>45347</v>
      </c>
      <c r="D1487" s="13" t="n">
        <v>45356</v>
      </c>
      <c r="E1487" s="13" t="n">
        <v>45356</v>
      </c>
      <c r="F1487" s="4" t="n">
        <v>952</v>
      </c>
      <c r="G1487" s="4" t="n">
        <v>945</v>
      </c>
      <c r="H1487" s="4" t="n">
        <v>101.94</v>
      </c>
      <c r="I1487" s="4" t="n">
        <v>113.18</v>
      </c>
      <c r="J1487" s="14" t="n">
        <f aca="false">E1487-D1487</f>
        <v>0</v>
      </c>
      <c r="K1487" s="14" t="n">
        <f aca="false">IF(J1487&lt;=0,1,0)</f>
        <v>1</v>
      </c>
      <c r="L1487" s="15" t="n">
        <f aca="false">IFERROR(G1487/F1487,0)</f>
        <v>0.992647058823529</v>
      </c>
      <c r="M1487" s="15" t="n">
        <f aca="false">IFERROR((I1487-H1487)/H1487,0)</f>
        <v>0.110260937806553</v>
      </c>
      <c r="N1487" s="16" t="n">
        <f aca="false">G1487*I1487</f>
        <v>106955.1</v>
      </c>
    </row>
    <row r="1488" customFormat="false" ht="15" hidden="false" customHeight="true" outlineLevel="0" collapsed="false">
      <c r="A1488" s="4" t="s">
        <v>1664</v>
      </c>
      <c r="B1488" s="4" t="s">
        <v>113</v>
      </c>
      <c r="C1488" s="13" t="n">
        <v>44988</v>
      </c>
      <c r="D1488" s="13" t="n">
        <v>44997</v>
      </c>
      <c r="E1488" s="13" t="n">
        <v>45000</v>
      </c>
      <c r="F1488" s="4" t="n">
        <v>391</v>
      </c>
      <c r="G1488" s="4" t="n">
        <v>381</v>
      </c>
      <c r="H1488" s="4" t="n">
        <v>170.42</v>
      </c>
      <c r="I1488" s="4" t="n">
        <v>171.64</v>
      </c>
      <c r="J1488" s="14" t="n">
        <f aca="false">E1488-D1488</f>
        <v>3</v>
      </c>
      <c r="K1488" s="14" t="n">
        <f aca="false">IF(J1488&lt;=0,1,0)</f>
        <v>0</v>
      </c>
      <c r="L1488" s="15" t="n">
        <f aca="false">IFERROR(G1488/F1488,0)</f>
        <v>0.974424552429668</v>
      </c>
      <c r="M1488" s="15" t="n">
        <f aca="false">IFERROR((I1488-H1488)/H1488,0)</f>
        <v>0.00715878418026053</v>
      </c>
      <c r="N1488" s="16" t="n">
        <f aca="false">G1488*I1488</f>
        <v>65394.84</v>
      </c>
    </row>
    <row r="1489" customFormat="false" ht="15" hidden="false" customHeight="true" outlineLevel="0" collapsed="false">
      <c r="A1489" s="4" t="s">
        <v>1665</v>
      </c>
      <c r="B1489" s="4" t="s">
        <v>87</v>
      </c>
      <c r="C1489" s="13" t="n">
        <v>45398</v>
      </c>
      <c r="D1489" s="13" t="n">
        <v>45407</v>
      </c>
      <c r="E1489" s="13" t="n">
        <v>45407</v>
      </c>
      <c r="F1489" s="4" t="n">
        <v>1814</v>
      </c>
      <c r="G1489" s="4" t="n">
        <v>1605</v>
      </c>
      <c r="H1489" s="4" t="n">
        <v>161.95</v>
      </c>
      <c r="I1489" s="4" t="n">
        <v>184.05</v>
      </c>
      <c r="J1489" s="14" t="n">
        <f aca="false">E1489-D1489</f>
        <v>0</v>
      </c>
      <c r="K1489" s="14" t="n">
        <f aca="false">IF(J1489&lt;=0,1,0)</f>
        <v>1</v>
      </c>
      <c r="L1489" s="15" t="n">
        <f aca="false">IFERROR(G1489/F1489,0)</f>
        <v>0.884785005512679</v>
      </c>
      <c r="M1489" s="15" t="n">
        <f aca="false">IFERROR((I1489-H1489)/H1489,0)</f>
        <v>0.136461870947824</v>
      </c>
      <c r="N1489" s="16" t="n">
        <f aca="false">G1489*I1489</f>
        <v>295400.25</v>
      </c>
    </row>
    <row r="1490" customFormat="false" ht="15" hidden="false" customHeight="true" outlineLevel="0" collapsed="false">
      <c r="A1490" s="4" t="s">
        <v>1666</v>
      </c>
      <c r="B1490" s="4" t="s">
        <v>93</v>
      </c>
      <c r="C1490" s="13" t="n">
        <v>45097</v>
      </c>
      <c r="D1490" s="13" t="n">
        <v>45106</v>
      </c>
      <c r="E1490" s="13" t="n">
        <v>45108</v>
      </c>
      <c r="F1490" s="4" t="n">
        <v>1817</v>
      </c>
      <c r="G1490" s="4" t="n">
        <v>1776</v>
      </c>
      <c r="H1490" s="4" t="n">
        <v>174.25</v>
      </c>
      <c r="I1490" s="4" t="n">
        <v>177.88</v>
      </c>
      <c r="J1490" s="14" t="n">
        <f aca="false">E1490-D1490</f>
        <v>2</v>
      </c>
      <c r="K1490" s="14" t="n">
        <f aca="false">IF(J1490&lt;=0,1,0)</f>
        <v>0</v>
      </c>
      <c r="L1490" s="15" t="n">
        <f aca="false">IFERROR(G1490/F1490,0)</f>
        <v>0.977435332966428</v>
      </c>
      <c r="M1490" s="15" t="n">
        <f aca="false">IFERROR((I1490-H1490)/H1490,0)</f>
        <v>0.020832137733142</v>
      </c>
      <c r="N1490" s="16" t="n">
        <f aca="false">G1490*I1490</f>
        <v>315914.88</v>
      </c>
    </row>
    <row r="1491" customFormat="false" ht="15" hidden="false" customHeight="true" outlineLevel="0" collapsed="false">
      <c r="A1491" s="4" t="s">
        <v>1667</v>
      </c>
      <c r="B1491" s="4" t="s">
        <v>103</v>
      </c>
      <c r="C1491" s="13" t="n">
        <v>45224</v>
      </c>
      <c r="D1491" s="13" t="n">
        <v>45241</v>
      </c>
      <c r="E1491" s="13" t="n">
        <v>45243</v>
      </c>
      <c r="F1491" s="4" t="n">
        <v>326</v>
      </c>
      <c r="G1491" s="4" t="n">
        <v>326</v>
      </c>
      <c r="H1491" s="4" t="n">
        <v>1400.22</v>
      </c>
      <c r="I1491" s="4" t="n">
        <v>1450.75</v>
      </c>
      <c r="J1491" s="14" t="n">
        <f aca="false">E1491-D1491</f>
        <v>2</v>
      </c>
      <c r="K1491" s="14" t="n">
        <f aca="false">IF(J1491&lt;=0,1,0)</f>
        <v>0</v>
      </c>
      <c r="L1491" s="15" t="n">
        <f aca="false">IFERROR(G1491/F1491,0)</f>
        <v>1</v>
      </c>
      <c r="M1491" s="15" t="n">
        <f aca="false">IFERROR((I1491-H1491)/H1491,0)</f>
        <v>0.0360871862992958</v>
      </c>
      <c r="N1491" s="16" t="n">
        <f aca="false">G1491*I1491</f>
        <v>472944.5</v>
      </c>
    </row>
    <row r="1492" customFormat="false" ht="15" hidden="false" customHeight="true" outlineLevel="0" collapsed="false">
      <c r="A1492" s="4" t="s">
        <v>1668</v>
      </c>
      <c r="B1492" s="4" t="s">
        <v>101</v>
      </c>
      <c r="C1492" s="13" t="n">
        <v>45573</v>
      </c>
      <c r="D1492" s="13" t="n">
        <v>45593</v>
      </c>
      <c r="E1492" s="13" t="n">
        <v>45595</v>
      </c>
      <c r="F1492" s="4" t="n">
        <v>61</v>
      </c>
      <c r="G1492" s="4" t="n">
        <v>58</v>
      </c>
      <c r="H1492" s="4" t="n">
        <v>442.74</v>
      </c>
      <c r="I1492" s="4" t="n">
        <v>450.67</v>
      </c>
      <c r="J1492" s="14" t="n">
        <f aca="false">E1492-D1492</f>
        <v>2</v>
      </c>
      <c r="K1492" s="14" t="n">
        <f aca="false">IF(J1492&lt;=0,1,0)</f>
        <v>0</v>
      </c>
      <c r="L1492" s="15" t="n">
        <f aca="false">IFERROR(G1492/F1492,0)</f>
        <v>0.950819672131148</v>
      </c>
      <c r="M1492" s="15" t="n">
        <f aca="false">IFERROR((I1492-H1492)/H1492,0)</f>
        <v>0.0179111894113927</v>
      </c>
      <c r="N1492" s="16" t="n">
        <f aca="false">G1492*I1492</f>
        <v>26138.86</v>
      </c>
    </row>
    <row r="1493" customFormat="false" ht="15" hidden="false" customHeight="true" outlineLevel="0" collapsed="false">
      <c r="A1493" s="4" t="s">
        <v>1669</v>
      </c>
      <c r="B1493" s="4" t="s">
        <v>97</v>
      </c>
      <c r="C1493" s="13" t="n">
        <v>45145</v>
      </c>
      <c r="D1493" s="13" t="n">
        <v>45154</v>
      </c>
      <c r="E1493" s="13" t="n">
        <v>45160</v>
      </c>
      <c r="F1493" s="4" t="n">
        <v>558</v>
      </c>
      <c r="G1493" s="4" t="n">
        <v>534</v>
      </c>
      <c r="H1493" s="4" t="n">
        <v>123.04</v>
      </c>
      <c r="I1493" s="4" t="n">
        <v>123.55</v>
      </c>
      <c r="J1493" s="14" t="n">
        <f aca="false">E1493-D1493</f>
        <v>6</v>
      </c>
      <c r="K1493" s="14" t="n">
        <f aca="false">IF(J1493&lt;=0,1,0)</f>
        <v>0</v>
      </c>
      <c r="L1493" s="15" t="n">
        <f aca="false">IFERROR(G1493/F1493,0)</f>
        <v>0.956989247311828</v>
      </c>
      <c r="M1493" s="15" t="n">
        <f aca="false">IFERROR((I1493-H1493)/H1493,0)</f>
        <v>0.00414499349804934</v>
      </c>
      <c r="N1493" s="16" t="n">
        <f aca="false">G1493*I1493</f>
        <v>65975.7</v>
      </c>
    </row>
    <row r="1494" customFormat="false" ht="15" hidden="false" customHeight="true" outlineLevel="0" collapsed="false">
      <c r="A1494" s="4" t="s">
        <v>1670</v>
      </c>
      <c r="B1494" s="4" t="s">
        <v>68</v>
      </c>
      <c r="C1494" s="13" t="n">
        <v>44929</v>
      </c>
      <c r="D1494" s="13" t="n">
        <v>44948</v>
      </c>
      <c r="E1494" s="13" t="n">
        <v>44951</v>
      </c>
      <c r="F1494" s="4" t="n">
        <v>91</v>
      </c>
      <c r="G1494" s="4" t="n">
        <v>85</v>
      </c>
      <c r="H1494" s="4" t="n">
        <v>1232.83</v>
      </c>
      <c r="I1494" s="4" t="n">
        <v>1226.66</v>
      </c>
      <c r="J1494" s="14" t="n">
        <f aca="false">E1494-D1494</f>
        <v>3</v>
      </c>
      <c r="K1494" s="14" t="n">
        <f aca="false">IF(J1494&lt;=0,1,0)</f>
        <v>0</v>
      </c>
      <c r="L1494" s="15" t="n">
        <f aca="false">IFERROR(G1494/F1494,0)</f>
        <v>0.934065934065934</v>
      </c>
      <c r="M1494" s="15" t="n">
        <f aca="false">IFERROR((I1494-H1494)/H1494,0)</f>
        <v>-0.00500474517978947</v>
      </c>
      <c r="N1494" s="16" t="n">
        <f aca="false">G1494*I1494</f>
        <v>104266.1</v>
      </c>
    </row>
    <row r="1495" customFormat="false" ht="15" hidden="false" customHeight="true" outlineLevel="0" collapsed="false">
      <c r="A1495" s="4" t="s">
        <v>1671</v>
      </c>
      <c r="B1495" s="4" t="s">
        <v>50</v>
      </c>
      <c r="C1495" s="13" t="n">
        <v>45240</v>
      </c>
      <c r="D1495" s="13" t="n">
        <v>45257</v>
      </c>
      <c r="E1495" s="13" t="n">
        <v>45253</v>
      </c>
      <c r="F1495" s="4" t="n">
        <v>391</v>
      </c>
      <c r="G1495" s="4" t="n">
        <v>385</v>
      </c>
      <c r="H1495" s="4" t="n">
        <v>707.19</v>
      </c>
      <c r="I1495" s="4" t="n">
        <v>728.3</v>
      </c>
      <c r="J1495" s="14" t="n">
        <f aca="false">E1495-D1495</f>
        <v>-4</v>
      </c>
      <c r="K1495" s="14" t="n">
        <f aca="false">IF(J1495&lt;=0,1,0)</f>
        <v>1</v>
      </c>
      <c r="L1495" s="15" t="n">
        <f aca="false">IFERROR(G1495/F1495,0)</f>
        <v>0.984654731457801</v>
      </c>
      <c r="M1495" s="15" t="n">
        <f aca="false">IFERROR((I1495-H1495)/H1495,0)</f>
        <v>0.029850535216844</v>
      </c>
      <c r="N1495" s="16" t="n">
        <f aca="false">G1495*I1495</f>
        <v>280395.5</v>
      </c>
    </row>
    <row r="1496" customFormat="false" ht="15" hidden="false" customHeight="true" outlineLevel="0" collapsed="false">
      <c r="A1496" s="4" t="s">
        <v>1672</v>
      </c>
      <c r="B1496" s="4" t="s">
        <v>101</v>
      </c>
      <c r="C1496" s="13" t="n">
        <v>45567</v>
      </c>
      <c r="D1496" s="13" t="n">
        <v>45586</v>
      </c>
      <c r="E1496" s="13" t="n">
        <v>45589</v>
      </c>
      <c r="F1496" s="4" t="n">
        <v>177</v>
      </c>
      <c r="G1496" s="4" t="n">
        <v>170</v>
      </c>
      <c r="H1496" s="4" t="n">
        <v>442.74</v>
      </c>
      <c r="I1496" s="4" t="n">
        <v>451.41</v>
      </c>
      <c r="J1496" s="14" t="n">
        <f aca="false">E1496-D1496</f>
        <v>3</v>
      </c>
      <c r="K1496" s="14" t="n">
        <f aca="false">IF(J1496&lt;=0,1,0)</f>
        <v>0</v>
      </c>
      <c r="L1496" s="15" t="n">
        <f aca="false">IFERROR(G1496/F1496,0)</f>
        <v>0.96045197740113</v>
      </c>
      <c r="M1496" s="15" t="n">
        <f aca="false">IFERROR((I1496-H1496)/H1496,0)</f>
        <v>0.0195825992681936</v>
      </c>
      <c r="N1496" s="16" t="n">
        <f aca="false">G1496*I1496</f>
        <v>76739.7</v>
      </c>
    </row>
    <row r="1497" customFormat="false" ht="15" hidden="false" customHeight="true" outlineLevel="0" collapsed="false">
      <c r="A1497" s="4" t="s">
        <v>1673</v>
      </c>
      <c r="B1497" s="4" t="s">
        <v>87</v>
      </c>
      <c r="C1497" s="13" t="n">
        <v>45455</v>
      </c>
      <c r="D1497" s="13" t="n">
        <v>45467</v>
      </c>
      <c r="E1497" s="13" t="n">
        <v>45470</v>
      </c>
      <c r="F1497" s="4" t="n">
        <v>566</v>
      </c>
      <c r="G1497" s="4" t="n">
        <v>533</v>
      </c>
      <c r="H1497" s="4" t="n">
        <v>161.95</v>
      </c>
      <c r="I1497" s="4" t="n">
        <v>189.88</v>
      </c>
      <c r="J1497" s="14" t="n">
        <f aca="false">E1497-D1497</f>
        <v>3</v>
      </c>
      <c r="K1497" s="14" t="n">
        <f aca="false">IF(J1497&lt;=0,1,0)</f>
        <v>0</v>
      </c>
      <c r="L1497" s="15" t="n">
        <f aca="false">IFERROR(G1497/F1497,0)</f>
        <v>0.941696113074205</v>
      </c>
      <c r="M1497" s="15" t="n">
        <f aca="false">IFERROR((I1497-H1497)/H1497,0)</f>
        <v>0.172460635998765</v>
      </c>
      <c r="N1497" s="16" t="n">
        <f aca="false">G1497*I1497</f>
        <v>101206.04</v>
      </c>
    </row>
    <row r="1498" customFormat="false" ht="15" hidden="false" customHeight="true" outlineLevel="0" collapsed="false">
      <c r="A1498" s="4" t="s">
        <v>1674</v>
      </c>
      <c r="B1498" s="4" t="s">
        <v>70</v>
      </c>
      <c r="C1498" s="13" t="n">
        <v>45578</v>
      </c>
      <c r="D1498" s="13" t="n">
        <v>45585</v>
      </c>
      <c r="E1498" s="13" t="n">
        <v>45586</v>
      </c>
      <c r="F1498" s="4" t="n">
        <v>3222</v>
      </c>
      <c r="G1498" s="4" t="n">
        <v>3012</v>
      </c>
      <c r="H1498" s="4" t="n">
        <v>35.88</v>
      </c>
      <c r="I1498" s="4" t="n">
        <v>38.47</v>
      </c>
      <c r="J1498" s="14" t="n">
        <f aca="false">E1498-D1498</f>
        <v>1</v>
      </c>
      <c r="K1498" s="14" t="n">
        <f aca="false">IF(J1498&lt;=0,1,0)</f>
        <v>0</v>
      </c>
      <c r="L1498" s="15" t="n">
        <f aca="false">IFERROR(G1498/F1498,0)</f>
        <v>0.934823091247672</v>
      </c>
      <c r="M1498" s="15" t="n">
        <f aca="false">IFERROR((I1498-H1498)/H1498,0)</f>
        <v>0.072185061315496</v>
      </c>
      <c r="N1498" s="16" t="n">
        <f aca="false">G1498*I1498</f>
        <v>115871.64</v>
      </c>
    </row>
    <row r="1499" customFormat="false" ht="15" hidden="false" customHeight="true" outlineLevel="0" collapsed="false">
      <c r="A1499" s="4" t="s">
        <v>1675</v>
      </c>
      <c r="B1499" s="4" t="s">
        <v>85</v>
      </c>
      <c r="C1499" s="13" t="n">
        <v>45575</v>
      </c>
      <c r="D1499" s="13" t="n">
        <v>45585</v>
      </c>
      <c r="E1499" s="13" t="n">
        <v>45592</v>
      </c>
      <c r="F1499" s="4" t="n">
        <v>1380</v>
      </c>
      <c r="G1499" s="4" t="n">
        <v>1308</v>
      </c>
      <c r="H1499" s="4" t="n">
        <v>241.88</v>
      </c>
      <c r="I1499" s="4" t="n">
        <v>233.13</v>
      </c>
      <c r="J1499" s="14" t="n">
        <f aca="false">E1499-D1499</f>
        <v>7</v>
      </c>
      <c r="K1499" s="14" t="n">
        <f aca="false">IF(J1499&lt;=0,1,0)</f>
        <v>0</v>
      </c>
      <c r="L1499" s="15" t="n">
        <f aca="false">IFERROR(G1499/F1499,0)</f>
        <v>0.947826086956522</v>
      </c>
      <c r="M1499" s="15" t="n">
        <f aca="false">IFERROR((I1499-H1499)/H1499,0)</f>
        <v>-0.0361749627914668</v>
      </c>
      <c r="N1499" s="16" t="n">
        <f aca="false">G1499*I1499</f>
        <v>304934.04</v>
      </c>
    </row>
    <row r="1500" customFormat="false" ht="15" hidden="false" customHeight="true" outlineLevel="0" collapsed="false">
      <c r="A1500" s="4" t="s">
        <v>1676</v>
      </c>
      <c r="B1500" s="4" t="s">
        <v>133</v>
      </c>
      <c r="C1500" s="13" t="n">
        <v>45552</v>
      </c>
      <c r="D1500" s="13" t="n">
        <v>45561</v>
      </c>
      <c r="E1500" s="13" t="n">
        <v>45571</v>
      </c>
      <c r="F1500" s="4" t="n">
        <v>825</v>
      </c>
      <c r="G1500" s="4" t="n">
        <v>777</v>
      </c>
      <c r="H1500" s="4" t="n">
        <v>138.21</v>
      </c>
      <c r="I1500" s="4" t="n">
        <v>139.86</v>
      </c>
      <c r="J1500" s="14" t="n">
        <f aca="false">E1500-D1500</f>
        <v>10</v>
      </c>
      <c r="K1500" s="14" t="n">
        <f aca="false">IF(J1500&lt;=0,1,0)</f>
        <v>0</v>
      </c>
      <c r="L1500" s="15" t="n">
        <f aca="false">IFERROR(G1500/F1500,0)</f>
        <v>0.941818181818182</v>
      </c>
      <c r="M1500" s="15" t="n">
        <f aca="false">IFERROR((I1500-H1500)/H1500,0)</f>
        <v>0.0119383546776645</v>
      </c>
      <c r="N1500" s="16" t="n">
        <f aca="false">G1500*I1500</f>
        <v>108671.22</v>
      </c>
    </row>
    <row r="1501" customFormat="false" ht="15" hidden="false" customHeight="true" outlineLevel="0" collapsed="false">
      <c r="A1501" s="4" t="s">
        <v>1677</v>
      </c>
      <c r="B1501" s="4" t="s">
        <v>95</v>
      </c>
      <c r="C1501" s="13" t="n">
        <v>45168</v>
      </c>
      <c r="D1501" s="13" t="n">
        <v>45175</v>
      </c>
      <c r="E1501" s="13" t="n">
        <v>45176</v>
      </c>
      <c r="F1501" s="4" t="n">
        <v>1284</v>
      </c>
      <c r="G1501" s="4" t="n">
        <v>1284</v>
      </c>
      <c r="H1501" s="4" t="n">
        <v>20.39</v>
      </c>
      <c r="I1501" s="4" t="n">
        <v>20.72</v>
      </c>
      <c r="J1501" s="14" t="n">
        <f aca="false">E1501-D1501</f>
        <v>1</v>
      </c>
      <c r="K1501" s="14" t="n">
        <f aca="false">IF(J1501&lt;=0,1,0)</f>
        <v>0</v>
      </c>
      <c r="L1501" s="15" t="n">
        <f aca="false">IFERROR(G1501/F1501,0)</f>
        <v>1</v>
      </c>
      <c r="M1501" s="15" t="n">
        <f aca="false">IFERROR((I1501-H1501)/H1501,0)</f>
        <v>0.0161844041196664</v>
      </c>
      <c r="N1501" s="16" t="n">
        <f aca="false">G1501*I1501</f>
        <v>26604.48</v>
      </c>
    </row>
    <row r="1502" customFormat="false" ht="15" hidden="false" customHeight="true" outlineLevel="0" collapsed="false">
      <c r="A1502" s="4" t="s">
        <v>1678</v>
      </c>
      <c r="B1502" s="4" t="s">
        <v>97</v>
      </c>
      <c r="C1502" s="13" t="n">
        <v>44950</v>
      </c>
      <c r="D1502" s="13" t="n">
        <v>44961</v>
      </c>
      <c r="E1502" s="13" t="n">
        <v>44965</v>
      </c>
      <c r="F1502" s="4" t="n">
        <v>825</v>
      </c>
      <c r="G1502" s="4" t="n">
        <v>811</v>
      </c>
      <c r="H1502" s="4" t="n">
        <v>123.04</v>
      </c>
      <c r="I1502" s="4" t="n">
        <v>122.89</v>
      </c>
      <c r="J1502" s="14" t="n">
        <f aca="false">E1502-D1502</f>
        <v>4</v>
      </c>
      <c r="K1502" s="14" t="n">
        <f aca="false">IF(J1502&lt;=0,1,0)</f>
        <v>0</v>
      </c>
      <c r="L1502" s="15" t="n">
        <f aca="false">IFERROR(G1502/F1502,0)</f>
        <v>0.983030303030303</v>
      </c>
      <c r="M1502" s="15" t="n">
        <f aca="false">IFERROR((I1502-H1502)/H1502,0)</f>
        <v>-0.00121911573472046</v>
      </c>
      <c r="N1502" s="16" t="n">
        <f aca="false">G1502*I1502</f>
        <v>99663.79</v>
      </c>
    </row>
    <row r="1503" customFormat="false" ht="15" hidden="false" customHeight="true" outlineLevel="0" collapsed="false">
      <c r="A1503" s="4" t="s">
        <v>1679</v>
      </c>
      <c r="B1503" s="4" t="s">
        <v>99</v>
      </c>
      <c r="C1503" s="13" t="n">
        <v>45091</v>
      </c>
      <c r="D1503" s="13" t="n">
        <v>45099</v>
      </c>
      <c r="E1503" s="13" t="n">
        <v>45106</v>
      </c>
      <c r="F1503" s="4" t="n">
        <v>2126</v>
      </c>
      <c r="G1503" s="4" t="n">
        <v>2011</v>
      </c>
      <c r="H1503" s="4" t="n">
        <v>11.5</v>
      </c>
      <c r="I1503" s="4" t="n">
        <v>11.71</v>
      </c>
      <c r="J1503" s="14" t="n">
        <f aca="false">E1503-D1503</f>
        <v>7</v>
      </c>
      <c r="K1503" s="14" t="n">
        <f aca="false">IF(J1503&lt;=0,1,0)</f>
        <v>0</v>
      </c>
      <c r="L1503" s="15" t="n">
        <f aca="false">IFERROR(G1503/F1503,0)</f>
        <v>0.94590780809031</v>
      </c>
      <c r="M1503" s="15" t="n">
        <f aca="false">IFERROR((I1503-H1503)/H1503,0)</f>
        <v>0.0182608695652175</v>
      </c>
      <c r="N1503" s="16" t="n">
        <f aca="false">G1503*I1503</f>
        <v>23548.81</v>
      </c>
    </row>
    <row r="1504" customFormat="false" ht="15" hidden="false" customHeight="true" outlineLevel="0" collapsed="false">
      <c r="A1504" s="4" t="s">
        <v>1680</v>
      </c>
      <c r="B1504" s="4" t="s">
        <v>129</v>
      </c>
      <c r="C1504" s="13" t="n">
        <v>44967</v>
      </c>
      <c r="D1504" s="13" t="n">
        <v>44986</v>
      </c>
      <c r="E1504" s="13" t="n">
        <v>44987</v>
      </c>
      <c r="F1504" s="4" t="n">
        <v>226</v>
      </c>
      <c r="G1504" s="4" t="n">
        <v>226</v>
      </c>
      <c r="H1504" s="4" t="n">
        <v>709.66</v>
      </c>
      <c r="I1504" s="4" t="n">
        <v>702.93</v>
      </c>
      <c r="J1504" s="14" t="n">
        <f aca="false">E1504-D1504</f>
        <v>1</v>
      </c>
      <c r="K1504" s="14" t="n">
        <f aca="false">IF(J1504&lt;=0,1,0)</f>
        <v>0</v>
      </c>
      <c r="L1504" s="15" t="n">
        <f aca="false">IFERROR(G1504/F1504,0)</f>
        <v>1</v>
      </c>
      <c r="M1504" s="15" t="n">
        <f aca="false">IFERROR((I1504-H1504)/H1504,0)</f>
        <v>-0.00948341459290367</v>
      </c>
      <c r="N1504" s="16" t="n">
        <f aca="false">G1504*I1504</f>
        <v>158862.18</v>
      </c>
    </row>
    <row r="1505" customFormat="false" ht="15" hidden="false" customHeight="true" outlineLevel="0" collapsed="false">
      <c r="A1505" s="4" t="s">
        <v>1681</v>
      </c>
      <c r="B1505" s="4" t="s">
        <v>50</v>
      </c>
      <c r="C1505" s="13" t="n">
        <v>45433</v>
      </c>
      <c r="D1505" s="13" t="n">
        <v>45451</v>
      </c>
      <c r="E1505" s="13" t="n">
        <v>45449</v>
      </c>
      <c r="F1505" s="4" t="n">
        <v>480</v>
      </c>
      <c r="G1505" s="4" t="n">
        <v>461</v>
      </c>
      <c r="H1505" s="4" t="n">
        <v>707.19</v>
      </c>
      <c r="I1505" s="4" t="n">
        <v>741.52</v>
      </c>
      <c r="J1505" s="14" t="n">
        <f aca="false">E1505-D1505</f>
        <v>-2</v>
      </c>
      <c r="K1505" s="14" t="n">
        <f aca="false">IF(J1505&lt;=0,1,0)</f>
        <v>1</v>
      </c>
      <c r="L1505" s="15" t="n">
        <f aca="false">IFERROR(G1505/F1505,0)</f>
        <v>0.960416666666667</v>
      </c>
      <c r="M1505" s="15" t="n">
        <f aca="false">IFERROR((I1505-H1505)/H1505,0)</f>
        <v>0.0485442384649103</v>
      </c>
      <c r="N1505" s="16" t="n">
        <f aca="false">G1505*I1505</f>
        <v>341840.72</v>
      </c>
    </row>
    <row r="1506" customFormat="false" ht="15" hidden="false" customHeight="true" outlineLevel="0" collapsed="false">
      <c r="A1506" s="4" t="s">
        <v>1682</v>
      </c>
      <c r="B1506" s="4" t="s">
        <v>149</v>
      </c>
      <c r="C1506" s="13" t="n">
        <v>45011</v>
      </c>
      <c r="D1506" s="13" t="n">
        <v>45018</v>
      </c>
      <c r="E1506" s="13" t="n">
        <v>45021</v>
      </c>
      <c r="F1506" s="4" t="n">
        <v>19</v>
      </c>
      <c r="G1506" s="4" t="n">
        <v>18</v>
      </c>
      <c r="H1506" s="4" t="n">
        <v>1458.52</v>
      </c>
      <c r="I1506" s="4" t="n">
        <v>1473.36</v>
      </c>
      <c r="J1506" s="14" t="n">
        <f aca="false">E1506-D1506</f>
        <v>3</v>
      </c>
      <c r="K1506" s="14" t="n">
        <f aca="false">IF(J1506&lt;=0,1,0)</f>
        <v>0</v>
      </c>
      <c r="L1506" s="15" t="n">
        <f aca="false">IFERROR(G1506/F1506,0)</f>
        <v>0.947368421052632</v>
      </c>
      <c r="M1506" s="15" t="n">
        <f aca="false">IFERROR((I1506-H1506)/H1506,0)</f>
        <v>0.0101746976387022</v>
      </c>
      <c r="N1506" s="16" t="n">
        <f aca="false">G1506*I1506</f>
        <v>26520.48</v>
      </c>
    </row>
    <row r="1507" customFormat="false" ht="15" hidden="false" customHeight="true" outlineLevel="0" collapsed="false">
      <c r="A1507" s="4" t="s">
        <v>1683</v>
      </c>
      <c r="B1507" s="4" t="s">
        <v>68</v>
      </c>
      <c r="C1507" s="13" t="n">
        <v>45398</v>
      </c>
      <c r="D1507" s="13" t="n">
        <v>45418</v>
      </c>
      <c r="E1507" s="13" t="n">
        <v>45420</v>
      </c>
      <c r="F1507" s="4" t="n">
        <v>422</v>
      </c>
      <c r="G1507" s="4" t="n">
        <v>383</v>
      </c>
      <c r="H1507" s="4" t="n">
        <v>1232.83</v>
      </c>
      <c r="I1507" s="4" t="n">
        <v>1222.88</v>
      </c>
      <c r="J1507" s="14" t="n">
        <f aca="false">E1507-D1507</f>
        <v>2</v>
      </c>
      <c r="K1507" s="14" t="n">
        <f aca="false">IF(J1507&lt;=0,1,0)</f>
        <v>0</v>
      </c>
      <c r="L1507" s="15" t="n">
        <f aca="false">IFERROR(G1507/F1507,0)</f>
        <v>0.907582938388626</v>
      </c>
      <c r="M1507" s="15" t="n">
        <f aca="false">IFERROR((I1507-H1507)/H1507,0)</f>
        <v>-0.00807086135152439</v>
      </c>
      <c r="N1507" s="16" t="n">
        <f aca="false">G1507*I1507</f>
        <v>468363.04</v>
      </c>
    </row>
    <row r="1508" customFormat="false" ht="15" hidden="false" customHeight="true" outlineLevel="0" collapsed="false">
      <c r="A1508" s="4" t="s">
        <v>1684</v>
      </c>
      <c r="B1508" s="4" t="s">
        <v>111</v>
      </c>
      <c r="C1508" s="13" t="n">
        <v>45421</v>
      </c>
      <c r="D1508" s="13" t="n">
        <v>45432</v>
      </c>
      <c r="E1508" s="13" t="n">
        <v>45434</v>
      </c>
      <c r="F1508" s="4" t="n">
        <v>1462</v>
      </c>
      <c r="G1508" s="4" t="n">
        <v>1462</v>
      </c>
      <c r="H1508" s="4" t="n">
        <v>148.08</v>
      </c>
      <c r="I1508" s="4" t="n">
        <v>150.41</v>
      </c>
      <c r="J1508" s="14" t="n">
        <f aca="false">E1508-D1508</f>
        <v>2</v>
      </c>
      <c r="K1508" s="14" t="n">
        <f aca="false">IF(J1508&lt;=0,1,0)</f>
        <v>0</v>
      </c>
      <c r="L1508" s="15" t="n">
        <f aca="false">IFERROR(G1508/F1508,0)</f>
        <v>1</v>
      </c>
      <c r="M1508" s="15" t="n">
        <f aca="false">IFERROR((I1508-H1508)/H1508,0)</f>
        <v>0.0157347379794704</v>
      </c>
      <c r="N1508" s="16" t="n">
        <f aca="false">G1508*I1508</f>
        <v>219899.42</v>
      </c>
    </row>
    <row r="1509" customFormat="false" ht="15" hidden="false" customHeight="true" outlineLevel="0" collapsed="false">
      <c r="A1509" s="4" t="s">
        <v>1685</v>
      </c>
      <c r="B1509" s="4" t="s">
        <v>145</v>
      </c>
      <c r="C1509" s="13" t="n">
        <v>45034</v>
      </c>
      <c r="D1509" s="13" t="n">
        <v>45044</v>
      </c>
      <c r="E1509" s="13" t="n">
        <v>45043</v>
      </c>
      <c r="F1509" s="4" t="n">
        <v>1584</v>
      </c>
      <c r="G1509" s="4" t="n">
        <v>1481</v>
      </c>
      <c r="H1509" s="4" t="n">
        <v>237.04</v>
      </c>
      <c r="I1509" s="4" t="n">
        <v>246.1</v>
      </c>
      <c r="J1509" s="14" t="n">
        <f aca="false">E1509-D1509</f>
        <v>-1</v>
      </c>
      <c r="K1509" s="14" t="n">
        <f aca="false">IF(J1509&lt;=0,1,0)</f>
        <v>1</v>
      </c>
      <c r="L1509" s="15" t="n">
        <f aca="false">IFERROR(G1509/F1509,0)</f>
        <v>0.934974747474748</v>
      </c>
      <c r="M1509" s="15" t="n">
        <f aca="false">IFERROR((I1509-H1509)/H1509,0)</f>
        <v>0.0382213972325346</v>
      </c>
      <c r="N1509" s="16" t="n">
        <f aca="false">G1509*I1509</f>
        <v>364474.1</v>
      </c>
    </row>
    <row r="1510" customFormat="false" ht="15" hidden="false" customHeight="true" outlineLevel="0" collapsed="false">
      <c r="A1510" s="4" t="s">
        <v>1686</v>
      </c>
      <c r="B1510" s="4" t="s">
        <v>63</v>
      </c>
      <c r="C1510" s="13" t="n">
        <v>45625</v>
      </c>
      <c r="D1510" s="13" t="n">
        <v>45637</v>
      </c>
      <c r="E1510" s="13" t="n">
        <v>45651</v>
      </c>
      <c r="F1510" s="4" t="n">
        <v>1481</v>
      </c>
      <c r="G1510" s="4" t="n">
        <v>1392</v>
      </c>
      <c r="H1510" s="4" t="n">
        <v>239.8</v>
      </c>
      <c r="I1510" s="4" t="n">
        <v>272.35</v>
      </c>
      <c r="J1510" s="14" t="n">
        <f aca="false">E1510-D1510</f>
        <v>14</v>
      </c>
      <c r="K1510" s="14" t="n">
        <f aca="false">IF(J1510&lt;=0,1,0)</f>
        <v>0</v>
      </c>
      <c r="L1510" s="15" t="n">
        <f aca="false">IFERROR(G1510/F1510,0)</f>
        <v>0.939905469277515</v>
      </c>
      <c r="M1510" s="15" t="n">
        <f aca="false">IFERROR((I1510-H1510)/H1510,0)</f>
        <v>0.135738115095913</v>
      </c>
      <c r="N1510" s="16" t="n">
        <f aca="false">G1510*I1510</f>
        <v>379111.2</v>
      </c>
    </row>
    <row r="1511" customFormat="false" ht="15" hidden="false" customHeight="true" outlineLevel="0" collapsed="false">
      <c r="A1511" s="4" t="s">
        <v>1687</v>
      </c>
      <c r="B1511" s="4" t="s">
        <v>95</v>
      </c>
      <c r="C1511" s="13" t="n">
        <v>45009</v>
      </c>
      <c r="D1511" s="13" t="n">
        <v>45017</v>
      </c>
      <c r="E1511" s="13" t="n">
        <v>45014</v>
      </c>
      <c r="F1511" s="4" t="n">
        <v>4853</v>
      </c>
      <c r="G1511" s="4" t="n">
        <v>4773</v>
      </c>
      <c r="H1511" s="4" t="n">
        <v>20.39</v>
      </c>
      <c r="I1511" s="4" t="n">
        <v>20.98</v>
      </c>
      <c r="J1511" s="14" t="n">
        <f aca="false">E1511-D1511</f>
        <v>-3</v>
      </c>
      <c r="K1511" s="14" t="n">
        <f aca="false">IF(J1511&lt;=0,1,0)</f>
        <v>1</v>
      </c>
      <c r="L1511" s="15" t="n">
        <f aca="false">IFERROR(G1511/F1511,0)</f>
        <v>0.983515351329075</v>
      </c>
      <c r="M1511" s="15" t="n">
        <f aca="false">IFERROR((I1511-H1511)/H1511,0)</f>
        <v>0.0289357528200098</v>
      </c>
      <c r="N1511" s="16" t="n">
        <f aca="false">G1511*I1511</f>
        <v>100137.54</v>
      </c>
    </row>
    <row r="1512" customFormat="false" ht="15" hidden="false" customHeight="true" outlineLevel="0" collapsed="false">
      <c r="A1512" s="4" t="s">
        <v>1688</v>
      </c>
      <c r="B1512" s="4" t="s">
        <v>153</v>
      </c>
      <c r="C1512" s="13" t="n">
        <v>45316</v>
      </c>
      <c r="D1512" s="13" t="n">
        <v>45333</v>
      </c>
      <c r="E1512" s="13" t="n">
        <v>45336</v>
      </c>
      <c r="F1512" s="4" t="n">
        <v>69</v>
      </c>
      <c r="G1512" s="4" t="n">
        <v>65</v>
      </c>
      <c r="H1512" s="4" t="n">
        <v>1492.04</v>
      </c>
      <c r="I1512" s="4" t="n">
        <v>1533.63</v>
      </c>
      <c r="J1512" s="14" t="n">
        <f aca="false">E1512-D1512</f>
        <v>3</v>
      </c>
      <c r="K1512" s="14" t="n">
        <f aca="false">IF(J1512&lt;=0,1,0)</f>
        <v>0</v>
      </c>
      <c r="L1512" s="15" t="n">
        <f aca="false">IFERROR(G1512/F1512,0)</f>
        <v>0.942028985507246</v>
      </c>
      <c r="M1512" s="15" t="n">
        <f aca="false">IFERROR((I1512-H1512)/H1512,0)</f>
        <v>0.0278745878126593</v>
      </c>
      <c r="N1512" s="16" t="n">
        <f aca="false">G1512*I1512</f>
        <v>99685.95</v>
      </c>
    </row>
    <row r="1513" customFormat="false" ht="15" hidden="false" customHeight="true" outlineLevel="0" collapsed="false">
      <c r="A1513" s="4" t="s">
        <v>1689</v>
      </c>
      <c r="B1513" s="4" t="s">
        <v>77</v>
      </c>
      <c r="C1513" s="13" t="n">
        <v>45510</v>
      </c>
      <c r="D1513" s="13" t="n">
        <v>45518</v>
      </c>
      <c r="E1513" s="13" t="n">
        <v>45528</v>
      </c>
      <c r="F1513" s="4" t="n">
        <v>2710</v>
      </c>
      <c r="G1513" s="4" t="n">
        <v>2664</v>
      </c>
      <c r="H1513" s="4" t="n">
        <v>36.83</v>
      </c>
      <c r="I1513" s="4" t="n">
        <v>35.15</v>
      </c>
      <c r="J1513" s="14" t="n">
        <f aca="false">E1513-D1513</f>
        <v>10</v>
      </c>
      <c r="K1513" s="14" t="n">
        <f aca="false">IF(J1513&lt;=0,1,0)</f>
        <v>0</v>
      </c>
      <c r="L1513" s="15" t="n">
        <f aca="false">IFERROR(G1513/F1513,0)</f>
        <v>0.983025830258303</v>
      </c>
      <c r="M1513" s="15" t="n">
        <f aca="false">IFERROR((I1513-H1513)/H1513,0)</f>
        <v>-0.0456149877816997</v>
      </c>
      <c r="N1513" s="16" t="n">
        <f aca="false">G1513*I1513</f>
        <v>93639.6</v>
      </c>
    </row>
    <row r="1514" customFormat="false" ht="15" hidden="false" customHeight="true" outlineLevel="0" collapsed="false">
      <c r="A1514" s="4" t="s">
        <v>1690</v>
      </c>
      <c r="B1514" s="4" t="s">
        <v>139</v>
      </c>
      <c r="C1514" s="13" t="n">
        <v>45462</v>
      </c>
      <c r="D1514" s="13" t="n">
        <v>45473</v>
      </c>
      <c r="E1514" s="13" t="n">
        <v>45474</v>
      </c>
      <c r="F1514" s="4" t="n">
        <v>616</v>
      </c>
      <c r="G1514" s="4" t="n">
        <v>562</v>
      </c>
      <c r="H1514" s="4" t="n">
        <v>207.64</v>
      </c>
      <c r="I1514" s="4" t="n">
        <v>217.65</v>
      </c>
      <c r="J1514" s="14" t="n">
        <f aca="false">E1514-D1514</f>
        <v>1</v>
      </c>
      <c r="K1514" s="14" t="n">
        <f aca="false">IF(J1514&lt;=0,1,0)</f>
        <v>0</v>
      </c>
      <c r="L1514" s="15" t="n">
        <f aca="false">IFERROR(G1514/F1514,0)</f>
        <v>0.912337662337662</v>
      </c>
      <c r="M1514" s="15" t="n">
        <f aca="false">IFERROR((I1514-H1514)/H1514,0)</f>
        <v>0.0482084376806011</v>
      </c>
      <c r="N1514" s="16" t="n">
        <f aca="false">G1514*I1514</f>
        <v>122319.3</v>
      </c>
    </row>
    <row r="1515" customFormat="false" ht="15" hidden="false" customHeight="true" outlineLevel="0" collapsed="false">
      <c r="A1515" s="4" t="s">
        <v>1691</v>
      </c>
      <c r="B1515" s="4" t="s">
        <v>101</v>
      </c>
      <c r="C1515" s="13" t="n">
        <v>45190</v>
      </c>
      <c r="D1515" s="13" t="n">
        <v>45207</v>
      </c>
      <c r="E1515" s="13" t="n">
        <v>45208</v>
      </c>
      <c r="F1515" s="4" t="n">
        <v>97</v>
      </c>
      <c r="G1515" s="4" t="n">
        <v>95</v>
      </c>
      <c r="H1515" s="4" t="n">
        <v>442.74</v>
      </c>
      <c r="I1515" s="4" t="n">
        <v>441.57</v>
      </c>
      <c r="J1515" s="14" t="n">
        <f aca="false">E1515-D1515</f>
        <v>1</v>
      </c>
      <c r="K1515" s="14" t="n">
        <f aca="false">IF(J1515&lt;=0,1,0)</f>
        <v>0</v>
      </c>
      <c r="L1515" s="15" t="n">
        <f aca="false">IFERROR(G1515/F1515,0)</f>
        <v>0.979381443298969</v>
      </c>
      <c r="M1515" s="15" t="n">
        <f aca="false">IFERROR((I1515-H1515)/H1515,0)</f>
        <v>-0.00264263450332027</v>
      </c>
      <c r="N1515" s="16" t="n">
        <f aca="false">G1515*I1515</f>
        <v>41949.15</v>
      </c>
    </row>
    <row r="1516" customFormat="false" ht="15" hidden="false" customHeight="true" outlineLevel="0" collapsed="false">
      <c r="A1516" s="4" t="s">
        <v>1692</v>
      </c>
      <c r="B1516" s="4" t="s">
        <v>155</v>
      </c>
      <c r="C1516" s="13" t="n">
        <v>45083</v>
      </c>
      <c r="D1516" s="13" t="n">
        <v>45091</v>
      </c>
      <c r="E1516" s="13" t="n">
        <v>45088</v>
      </c>
      <c r="F1516" s="4" t="n">
        <v>3197</v>
      </c>
      <c r="G1516" s="4" t="n">
        <v>3075</v>
      </c>
      <c r="H1516" s="4" t="n">
        <v>24.04</v>
      </c>
      <c r="I1516" s="4" t="n">
        <v>24.01</v>
      </c>
      <c r="J1516" s="14" t="n">
        <f aca="false">E1516-D1516</f>
        <v>-3</v>
      </c>
      <c r="K1516" s="14" t="n">
        <f aca="false">IF(J1516&lt;=0,1,0)</f>
        <v>1</v>
      </c>
      <c r="L1516" s="15" t="n">
        <f aca="false">IFERROR(G1516/F1516,0)</f>
        <v>0.961839224272756</v>
      </c>
      <c r="M1516" s="15" t="n">
        <f aca="false">IFERROR((I1516-H1516)/H1516,0)</f>
        <v>-0.00124792013311138</v>
      </c>
      <c r="N1516" s="16" t="n">
        <f aca="false">G1516*I1516</f>
        <v>73830.75</v>
      </c>
    </row>
    <row r="1517" customFormat="false" ht="15" hidden="false" customHeight="true" outlineLevel="0" collapsed="false">
      <c r="A1517" s="4" t="s">
        <v>1693</v>
      </c>
      <c r="B1517" s="4" t="s">
        <v>87</v>
      </c>
      <c r="C1517" s="13" t="n">
        <v>45297</v>
      </c>
      <c r="D1517" s="13" t="n">
        <v>45307</v>
      </c>
      <c r="E1517" s="13" t="n">
        <v>45304</v>
      </c>
      <c r="F1517" s="4" t="n">
        <v>551</v>
      </c>
      <c r="G1517" s="4" t="n">
        <v>504</v>
      </c>
      <c r="H1517" s="4" t="n">
        <v>161.95</v>
      </c>
      <c r="I1517" s="4" t="n">
        <v>178.1</v>
      </c>
      <c r="J1517" s="14" t="n">
        <f aca="false">E1517-D1517</f>
        <v>-3</v>
      </c>
      <c r="K1517" s="14" t="n">
        <f aca="false">IF(J1517&lt;=0,1,0)</f>
        <v>1</v>
      </c>
      <c r="L1517" s="15" t="n">
        <f aca="false">IFERROR(G1517/F1517,0)</f>
        <v>0.91470054446461</v>
      </c>
      <c r="M1517" s="15" t="n">
        <f aca="false">IFERROR((I1517-H1517)/H1517,0)</f>
        <v>0.099722136461871</v>
      </c>
      <c r="N1517" s="16" t="n">
        <f aca="false">G1517*I1517</f>
        <v>89762.4</v>
      </c>
    </row>
    <row r="1518" customFormat="false" ht="15" hidden="false" customHeight="true" outlineLevel="0" collapsed="false">
      <c r="A1518" s="4" t="s">
        <v>1694</v>
      </c>
      <c r="B1518" s="4" t="s">
        <v>103</v>
      </c>
      <c r="C1518" s="13" t="n">
        <v>45544</v>
      </c>
      <c r="D1518" s="13" t="n">
        <v>45564</v>
      </c>
      <c r="E1518" s="13" t="n">
        <v>45567</v>
      </c>
      <c r="F1518" s="4" t="n">
        <v>75</v>
      </c>
      <c r="G1518" s="4" t="n">
        <v>74</v>
      </c>
      <c r="H1518" s="4" t="n">
        <v>1400.22</v>
      </c>
      <c r="I1518" s="4" t="n">
        <v>1457.12</v>
      </c>
      <c r="J1518" s="14" t="n">
        <f aca="false">E1518-D1518</f>
        <v>3</v>
      </c>
      <c r="K1518" s="14" t="n">
        <f aca="false">IF(J1518&lt;=0,1,0)</f>
        <v>0</v>
      </c>
      <c r="L1518" s="15" t="n">
        <f aca="false">IFERROR(G1518/F1518,0)</f>
        <v>0.986666666666667</v>
      </c>
      <c r="M1518" s="15" t="n">
        <f aca="false">IFERROR((I1518-H1518)/H1518,0)</f>
        <v>0.0406364714116352</v>
      </c>
      <c r="N1518" s="16" t="n">
        <f aca="false">G1518*I1518</f>
        <v>107826.88</v>
      </c>
    </row>
    <row r="1519" customFormat="false" ht="15" hidden="false" customHeight="true" outlineLevel="0" collapsed="false">
      <c r="A1519" s="4" t="s">
        <v>1695</v>
      </c>
      <c r="B1519" s="4" t="s">
        <v>139</v>
      </c>
      <c r="C1519" s="13" t="n">
        <v>45603</v>
      </c>
      <c r="D1519" s="13" t="n">
        <v>45614</v>
      </c>
      <c r="E1519" s="13" t="n">
        <v>45619</v>
      </c>
      <c r="F1519" s="4" t="n">
        <v>1218</v>
      </c>
      <c r="G1519" s="4" t="n">
        <v>1098</v>
      </c>
      <c r="H1519" s="4" t="n">
        <v>207.64</v>
      </c>
      <c r="I1519" s="4" t="n">
        <v>218.09</v>
      </c>
      <c r="J1519" s="14" t="n">
        <f aca="false">E1519-D1519</f>
        <v>5</v>
      </c>
      <c r="K1519" s="14" t="n">
        <f aca="false">IF(J1519&lt;=0,1,0)</f>
        <v>0</v>
      </c>
      <c r="L1519" s="15" t="n">
        <f aca="false">IFERROR(G1519/F1519,0)</f>
        <v>0.901477832512315</v>
      </c>
      <c r="M1519" s="15" t="n">
        <f aca="false">IFERROR((I1519-H1519)/H1519,0)</f>
        <v>0.0503274898863418</v>
      </c>
      <c r="N1519" s="16" t="n">
        <f aca="false">G1519*I1519</f>
        <v>239462.82</v>
      </c>
    </row>
    <row r="1520" customFormat="false" ht="15" hidden="false" customHeight="true" outlineLevel="0" collapsed="false">
      <c r="A1520" s="4" t="s">
        <v>1696</v>
      </c>
      <c r="B1520" s="4" t="s">
        <v>139</v>
      </c>
      <c r="C1520" s="13" t="n">
        <v>45165</v>
      </c>
      <c r="D1520" s="13" t="n">
        <v>45177</v>
      </c>
      <c r="E1520" s="13" t="n">
        <v>45178</v>
      </c>
      <c r="F1520" s="4" t="n">
        <v>744</v>
      </c>
      <c r="G1520" s="4" t="n">
        <v>663</v>
      </c>
      <c r="H1520" s="4" t="n">
        <v>207.64</v>
      </c>
      <c r="I1520" s="4" t="n">
        <v>209.76</v>
      </c>
      <c r="J1520" s="14" t="n">
        <f aca="false">E1520-D1520</f>
        <v>1</v>
      </c>
      <c r="K1520" s="14" t="n">
        <f aca="false">IF(J1520&lt;=0,1,0)</f>
        <v>0</v>
      </c>
      <c r="L1520" s="15" t="n">
        <f aca="false">IFERROR(G1520/F1520,0)</f>
        <v>0.891129032258065</v>
      </c>
      <c r="M1520" s="15" t="n">
        <f aca="false">IFERROR((I1520-H1520)/H1520,0)</f>
        <v>0.010209978809478</v>
      </c>
      <c r="N1520" s="16" t="n">
        <f aca="false">G1520*I1520</f>
        <v>139070.88</v>
      </c>
    </row>
    <row r="1521" customFormat="false" ht="15" hidden="false" customHeight="true" outlineLevel="0" collapsed="false">
      <c r="A1521" s="4" t="s">
        <v>1697</v>
      </c>
      <c r="B1521" s="4" t="s">
        <v>89</v>
      </c>
      <c r="C1521" s="13" t="n">
        <v>45539</v>
      </c>
      <c r="D1521" s="13" t="n">
        <v>45545</v>
      </c>
      <c r="E1521" s="13" t="n">
        <v>45547</v>
      </c>
      <c r="F1521" s="4" t="n">
        <v>6</v>
      </c>
      <c r="G1521" s="4" t="n">
        <v>6</v>
      </c>
      <c r="H1521" s="4" t="n">
        <v>1929.81</v>
      </c>
      <c r="I1521" s="4" t="n">
        <v>1908.66</v>
      </c>
      <c r="J1521" s="14" t="n">
        <f aca="false">E1521-D1521</f>
        <v>2</v>
      </c>
      <c r="K1521" s="14" t="n">
        <f aca="false">IF(J1521&lt;=0,1,0)</f>
        <v>0</v>
      </c>
      <c r="L1521" s="15" t="n">
        <f aca="false">IFERROR(G1521/F1521,0)</f>
        <v>1</v>
      </c>
      <c r="M1521" s="15" t="n">
        <f aca="false">IFERROR((I1521-H1521)/H1521,0)</f>
        <v>-0.0109596281499214</v>
      </c>
      <c r="N1521" s="16" t="n">
        <f aca="false">G1521*I1521</f>
        <v>11451.96</v>
      </c>
    </row>
    <row r="1522" customFormat="false" ht="15" hidden="false" customHeight="true" outlineLevel="0" collapsed="false">
      <c r="A1522" s="4" t="s">
        <v>1698</v>
      </c>
      <c r="B1522" s="4" t="s">
        <v>135</v>
      </c>
      <c r="C1522" s="13" t="n">
        <v>45097</v>
      </c>
      <c r="D1522" s="13" t="n">
        <v>45108</v>
      </c>
      <c r="E1522" s="13" t="n">
        <v>45116</v>
      </c>
      <c r="F1522" s="4" t="n">
        <v>29</v>
      </c>
      <c r="G1522" s="4" t="n">
        <v>29</v>
      </c>
      <c r="H1522" s="4" t="n">
        <v>328.06</v>
      </c>
      <c r="I1522" s="4" t="n">
        <v>323.97</v>
      </c>
      <c r="J1522" s="14" t="n">
        <f aca="false">E1522-D1522</f>
        <v>8</v>
      </c>
      <c r="K1522" s="14" t="n">
        <f aca="false">IF(J1522&lt;=0,1,0)</f>
        <v>0</v>
      </c>
      <c r="L1522" s="15" t="n">
        <f aca="false">IFERROR(G1522/F1522,0)</f>
        <v>1</v>
      </c>
      <c r="M1522" s="15" t="n">
        <f aca="false">IFERROR((I1522-H1522)/H1522,0)</f>
        <v>-0.0124672316039748</v>
      </c>
      <c r="N1522" s="16" t="n">
        <f aca="false">G1522*I1522</f>
        <v>9395.13</v>
      </c>
    </row>
    <row r="1523" customFormat="false" ht="15" hidden="false" customHeight="true" outlineLevel="0" collapsed="false">
      <c r="A1523" s="4" t="s">
        <v>1699</v>
      </c>
      <c r="B1523" s="4" t="s">
        <v>105</v>
      </c>
      <c r="C1523" s="13" t="n">
        <v>45346</v>
      </c>
      <c r="D1523" s="13" t="n">
        <v>45363</v>
      </c>
      <c r="E1523" s="13" t="n">
        <v>45365</v>
      </c>
      <c r="F1523" s="4" t="n">
        <v>354</v>
      </c>
      <c r="G1523" s="4" t="n">
        <v>341</v>
      </c>
      <c r="H1523" s="4" t="n">
        <v>685.84</v>
      </c>
      <c r="I1523" s="4" t="n">
        <v>709.57</v>
      </c>
      <c r="J1523" s="14" t="n">
        <f aca="false">E1523-D1523</f>
        <v>2</v>
      </c>
      <c r="K1523" s="14" t="n">
        <f aca="false">IF(J1523&lt;=0,1,0)</f>
        <v>0</v>
      </c>
      <c r="L1523" s="15" t="n">
        <f aca="false">IFERROR(G1523/F1523,0)</f>
        <v>0.963276836158192</v>
      </c>
      <c r="M1523" s="15" t="n">
        <f aca="false">IFERROR((I1523-H1523)/H1523,0)</f>
        <v>0.0345999066837747</v>
      </c>
      <c r="N1523" s="16" t="n">
        <f aca="false">G1523*I1523</f>
        <v>241963.37</v>
      </c>
    </row>
    <row r="1524" customFormat="false" ht="15" hidden="false" customHeight="true" outlineLevel="0" collapsed="false">
      <c r="A1524" s="4" t="s">
        <v>1700</v>
      </c>
      <c r="B1524" s="4" t="s">
        <v>95</v>
      </c>
      <c r="C1524" s="13" t="n">
        <v>45405</v>
      </c>
      <c r="D1524" s="13" t="n">
        <v>45413</v>
      </c>
      <c r="E1524" s="13" t="n">
        <v>45413</v>
      </c>
      <c r="F1524" s="4" t="n">
        <v>4480</v>
      </c>
      <c r="G1524" s="4" t="n">
        <v>4460</v>
      </c>
      <c r="H1524" s="4" t="n">
        <v>20.39</v>
      </c>
      <c r="I1524" s="4" t="n">
        <v>21</v>
      </c>
      <c r="J1524" s="14" t="n">
        <f aca="false">E1524-D1524</f>
        <v>0</v>
      </c>
      <c r="K1524" s="14" t="n">
        <f aca="false">IF(J1524&lt;=0,1,0)</f>
        <v>1</v>
      </c>
      <c r="L1524" s="15" t="n">
        <f aca="false">IFERROR(G1524/F1524,0)</f>
        <v>0.995535714285714</v>
      </c>
      <c r="M1524" s="15" t="n">
        <f aca="false">IFERROR((I1524-H1524)/H1524,0)</f>
        <v>0.0299166257969593</v>
      </c>
      <c r="N1524" s="16" t="n">
        <f aca="false">G1524*I1524</f>
        <v>93660</v>
      </c>
    </row>
    <row r="1525" customFormat="false" ht="15" hidden="false" customHeight="true" outlineLevel="0" collapsed="false">
      <c r="A1525" s="4" t="s">
        <v>1701</v>
      </c>
      <c r="B1525" s="4" t="s">
        <v>50</v>
      </c>
      <c r="C1525" s="13" t="n">
        <v>45134</v>
      </c>
      <c r="D1525" s="13" t="n">
        <v>45153</v>
      </c>
      <c r="E1525" s="13" t="n">
        <v>45153</v>
      </c>
      <c r="F1525" s="4" t="n">
        <v>321</v>
      </c>
      <c r="G1525" s="4" t="n">
        <v>321</v>
      </c>
      <c r="H1525" s="4" t="n">
        <v>707.19</v>
      </c>
      <c r="I1525" s="4" t="n">
        <v>717.85</v>
      </c>
      <c r="J1525" s="14" t="n">
        <f aca="false">E1525-D1525</f>
        <v>0</v>
      </c>
      <c r="K1525" s="14" t="n">
        <f aca="false">IF(J1525&lt;=0,1,0)</f>
        <v>1</v>
      </c>
      <c r="L1525" s="15" t="n">
        <f aca="false">IFERROR(G1525/F1525,0)</f>
        <v>1</v>
      </c>
      <c r="M1525" s="15" t="n">
        <f aca="false">IFERROR((I1525-H1525)/H1525,0)</f>
        <v>0.0150737425585769</v>
      </c>
      <c r="N1525" s="16" t="n">
        <f aca="false">G1525*I1525</f>
        <v>230429.85</v>
      </c>
    </row>
    <row r="1526" customFormat="false" ht="15" hidden="false" customHeight="true" outlineLevel="0" collapsed="false">
      <c r="A1526" s="4" t="s">
        <v>1702</v>
      </c>
      <c r="B1526" s="4" t="s">
        <v>81</v>
      </c>
      <c r="C1526" s="13" t="n">
        <v>45351</v>
      </c>
      <c r="D1526" s="13" t="n">
        <v>45357</v>
      </c>
      <c r="E1526" s="13" t="n">
        <v>45359</v>
      </c>
      <c r="F1526" s="4" t="n">
        <v>3</v>
      </c>
      <c r="G1526" s="4" t="n">
        <v>3</v>
      </c>
      <c r="H1526" s="4" t="n">
        <v>697.63</v>
      </c>
      <c r="I1526" s="4" t="n">
        <v>694.34</v>
      </c>
      <c r="J1526" s="14" t="n">
        <f aca="false">E1526-D1526</f>
        <v>2</v>
      </c>
      <c r="K1526" s="14" t="n">
        <f aca="false">IF(J1526&lt;=0,1,0)</f>
        <v>0</v>
      </c>
      <c r="L1526" s="15" t="n">
        <f aca="false">IFERROR(G1526/F1526,0)</f>
        <v>1</v>
      </c>
      <c r="M1526" s="15" t="n">
        <f aca="false">IFERROR((I1526-H1526)/H1526,0)</f>
        <v>-0.0047159669165603</v>
      </c>
      <c r="N1526" s="16" t="n">
        <f aca="false">G1526*I1526</f>
        <v>2083.02</v>
      </c>
    </row>
    <row r="1527" customFormat="false" ht="15" hidden="false" customHeight="true" outlineLevel="0" collapsed="false">
      <c r="A1527" s="4" t="s">
        <v>1703</v>
      </c>
      <c r="B1527" s="4" t="s">
        <v>143</v>
      </c>
      <c r="C1527" s="13" t="n">
        <v>45050</v>
      </c>
      <c r="D1527" s="13" t="n">
        <v>45057</v>
      </c>
      <c r="E1527" s="13" t="n">
        <v>45070</v>
      </c>
      <c r="F1527" s="4" t="n">
        <v>1876</v>
      </c>
      <c r="G1527" s="4" t="n">
        <v>1666</v>
      </c>
      <c r="H1527" s="4" t="n">
        <v>20.6</v>
      </c>
      <c r="I1527" s="4" t="n">
        <v>20.91</v>
      </c>
      <c r="J1527" s="14" t="n">
        <f aca="false">E1527-D1527</f>
        <v>13</v>
      </c>
      <c r="K1527" s="14" t="n">
        <f aca="false">IF(J1527&lt;=0,1,0)</f>
        <v>0</v>
      </c>
      <c r="L1527" s="15" t="n">
        <f aca="false">IFERROR(G1527/F1527,0)</f>
        <v>0.888059701492537</v>
      </c>
      <c r="M1527" s="15" t="n">
        <f aca="false">IFERROR((I1527-H1527)/H1527,0)</f>
        <v>0.0150485436893203</v>
      </c>
      <c r="N1527" s="16" t="n">
        <f aca="false">G1527*I1527</f>
        <v>34836.06</v>
      </c>
    </row>
    <row r="1528" customFormat="false" ht="15" hidden="false" customHeight="true" outlineLevel="0" collapsed="false">
      <c r="A1528" s="4" t="s">
        <v>1704</v>
      </c>
      <c r="B1528" s="4" t="s">
        <v>37</v>
      </c>
      <c r="C1528" s="13" t="n">
        <v>45033</v>
      </c>
      <c r="D1528" s="13" t="n">
        <v>45039</v>
      </c>
      <c r="E1528" s="13" t="n">
        <v>45037</v>
      </c>
      <c r="F1528" s="4" t="n">
        <v>2439</v>
      </c>
      <c r="G1528" s="4" t="n">
        <v>2375</v>
      </c>
      <c r="H1528" s="4" t="n">
        <v>22.26</v>
      </c>
      <c r="I1528" s="4" t="n">
        <v>21.81</v>
      </c>
      <c r="J1528" s="14" t="n">
        <f aca="false">E1528-D1528</f>
        <v>-2</v>
      </c>
      <c r="K1528" s="14" t="n">
        <f aca="false">IF(J1528&lt;=0,1,0)</f>
        <v>1</v>
      </c>
      <c r="L1528" s="15" t="n">
        <f aca="false">IFERROR(G1528/F1528,0)</f>
        <v>0.973759737597376</v>
      </c>
      <c r="M1528" s="15" t="n">
        <f aca="false">IFERROR((I1528-H1528)/H1528,0)</f>
        <v>-0.0202156334231807</v>
      </c>
      <c r="N1528" s="16" t="n">
        <f aca="false">G1528*I1528</f>
        <v>51798.75</v>
      </c>
    </row>
    <row r="1529" customFormat="false" ht="15" hidden="false" customHeight="true" outlineLevel="0" collapsed="false">
      <c r="A1529" s="4" t="s">
        <v>1705</v>
      </c>
      <c r="B1529" s="4" t="s">
        <v>139</v>
      </c>
      <c r="C1529" s="13" t="n">
        <v>45415</v>
      </c>
      <c r="D1529" s="13" t="n">
        <v>45427</v>
      </c>
      <c r="E1529" s="13" t="n">
        <v>45423</v>
      </c>
      <c r="F1529" s="4" t="n">
        <v>1809</v>
      </c>
      <c r="G1529" s="4" t="n">
        <v>1576</v>
      </c>
      <c r="H1529" s="4" t="n">
        <v>207.64</v>
      </c>
      <c r="I1529" s="4" t="n">
        <v>218.03</v>
      </c>
      <c r="J1529" s="14" t="n">
        <f aca="false">E1529-D1529</f>
        <v>-4</v>
      </c>
      <c r="K1529" s="14" t="n">
        <f aca="false">IF(J1529&lt;=0,1,0)</f>
        <v>1</v>
      </c>
      <c r="L1529" s="15" t="n">
        <f aca="false">IFERROR(G1529/F1529,0)</f>
        <v>0.871199557766722</v>
      </c>
      <c r="M1529" s="15" t="n">
        <f aca="false">IFERROR((I1529-H1529)/H1529,0)</f>
        <v>0.0500385282219226</v>
      </c>
      <c r="N1529" s="16" t="n">
        <f aca="false">G1529*I1529</f>
        <v>343615.28</v>
      </c>
    </row>
    <row r="1530" customFormat="false" ht="15" hidden="false" customHeight="true" outlineLevel="0" collapsed="false">
      <c r="A1530" s="4" t="s">
        <v>1706</v>
      </c>
      <c r="B1530" s="4" t="s">
        <v>157</v>
      </c>
      <c r="C1530" s="13" t="n">
        <v>45041</v>
      </c>
      <c r="D1530" s="13" t="n">
        <v>45047</v>
      </c>
      <c r="E1530" s="13" t="n">
        <v>45047</v>
      </c>
      <c r="F1530" s="4" t="n">
        <v>2577</v>
      </c>
      <c r="G1530" s="4" t="n">
        <v>2532</v>
      </c>
      <c r="H1530" s="4" t="n">
        <v>13.1</v>
      </c>
      <c r="I1530" s="4" t="n">
        <v>13.38</v>
      </c>
      <c r="J1530" s="14" t="n">
        <f aca="false">E1530-D1530</f>
        <v>0</v>
      </c>
      <c r="K1530" s="14" t="n">
        <f aca="false">IF(J1530&lt;=0,1,0)</f>
        <v>1</v>
      </c>
      <c r="L1530" s="15" t="n">
        <f aca="false">IFERROR(G1530/F1530,0)</f>
        <v>0.982537834691502</v>
      </c>
      <c r="M1530" s="15" t="n">
        <f aca="false">IFERROR((I1530-H1530)/H1530,0)</f>
        <v>0.0213740458015268</v>
      </c>
      <c r="N1530" s="16" t="n">
        <f aca="false">G1530*I1530</f>
        <v>33878.16</v>
      </c>
    </row>
    <row r="1531" customFormat="false" ht="15" hidden="false" customHeight="true" outlineLevel="0" collapsed="false">
      <c r="A1531" s="4" t="s">
        <v>1707</v>
      </c>
      <c r="B1531" s="4" t="s">
        <v>65</v>
      </c>
      <c r="C1531" s="13" t="n">
        <v>45307</v>
      </c>
      <c r="D1531" s="13" t="n">
        <v>45324</v>
      </c>
      <c r="E1531" s="13" t="n">
        <v>45327</v>
      </c>
      <c r="F1531" s="4" t="n">
        <v>323</v>
      </c>
      <c r="G1531" s="4" t="n">
        <v>323</v>
      </c>
      <c r="H1531" s="4" t="n">
        <v>1365.59</v>
      </c>
      <c r="I1531" s="4" t="n">
        <v>1374.1</v>
      </c>
      <c r="J1531" s="14" t="n">
        <f aca="false">E1531-D1531</f>
        <v>3</v>
      </c>
      <c r="K1531" s="14" t="n">
        <f aca="false">IF(J1531&lt;=0,1,0)</f>
        <v>0</v>
      </c>
      <c r="L1531" s="15" t="n">
        <f aca="false">IFERROR(G1531/F1531,0)</f>
        <v>1</v>
      </c>
      <c r="M1531" s="15" t="n">
        <f aca="false">IFERROR((I1531-H1531)/H1531,0)</f>
        <v>0.00623173866240965</v>
      </c>
      <c r="N1531" s="16" t="n">
        <f aca="false">G1531*I1531</f>
        <v>443834.3</v>
      </c>
    </row>
    <row r="1532" customFormat="false" ht="15" hidden="false" customHeight="true" outlineLevel="0" collapsed="false">
      <c r="A1532" s="4" t="s">
        <v>1708</v>
      </c>
      <c r="B1532" s="4" t="s">
        <v>107</v>
      </c>
      <c r="C1532" s="13" t="n">
        <v>45218</v>
      </c>
      <c r="D1532" s="13" t="n">
        <v>45224</v>
      </c>
      <c r="E1532" s="13" t="n">
        <v>45225</v>
      </c>
      <c r="F1532" s="4" t="n">
        <v>4259</v>
      </c>
      <c r="G1532" s="4" t="n">
        <v>4251</v>
      </c>
      <c r="H1532" s="4" t="n">
        <v>40.41</v>
      </c>
      <c r="I1532" s="4" t="n">
        <v>40.84</v>
      </c>
      <c r="J1532" s="14" t="n">
        <f aca="false">E1532-D1532</f>
        <v>1</v>
      </c>
      <c r="K1532" s="14" t="n">
        <f aca="false">IF(J1532&lt;=0,1,0)</f>
        <v>0</v>
      </c>
      <c r="L1532" s="15" t="n">
        <f aca="false">IFERROR(G1532/F1532,0)</f>
        <v>0.998121624794553</v>
      </c>
      <c r="M1532" s="15" t="n">
        <f aca="false">IFERROR((I1532-H1532)/H1532,0)</f>
        <v>0.0106409304627569</v>
      </c>
      <c r="N1532" s="16" t="n">
        <f aca="false">G1532*I1532</f>
        <v>173610.84</v>
      </c>
    </row>
    <row r="1533" customFormat="false" ht="15" hidden="false" customHeight="true" outlineLevel="0" collapsed="false">
      <c r="A1533" s="4" t="s">
        <v>1709</v>
      </c>
      <c r="B1533" s="4" t="s">
        <v>109</v>
      </c>
      <c r="C1533" s="13" t="n">
        <v>45268</v>
      </c>
      <c r="D1533" s="13" t="n">
        <v>45287</v>
      </c>
      <c r="E1533" s="13" t="n">
        <v>45289</v>
      </c>
      <c r="F1533" s="4" t="n">
        <v>404</v>
      </c>
      <c r="G1533" s="4" t="n">
        <v>404</v>
      </c>
      <c r="H1533" s="4" t="n">
        <v>858.02</v>
      </c>
      <c r="I1533" s="4" t="n">
        <v>877.15</v>
      </c>
      <c r="J1533" s="14" t="n">
        <f aca="false">E1533-D1533</f>
        <v>2</v>
      </c>
      <c r="K1533" s="14" t="n">
        <f aca="false">IF(J1533&lt;=0,1,0)</f>
        <v>0</v>
      </c>
      <c r="L1533" s="15" t="n">
        <f aca="false">IFERROR(G1533/F1533,0)</f>
        <v>1</v>
      </c>
      <c r="M1533" s="15" t="n">
        <f aca="false">IFERROR((I1533-H1533)/H1533,0)</f>
        <v>0.0222955175870026</v>
      </c>
      <c r="N1533" s="16" t="n">
        <f aca="false">G1533*I1533</f>
        <v>354368.6</v>
      </c>
    </row>
    <row r="1534" customFormat="false" ht="15" hidden="false" customHeight="true" outlineLevel="0" collapsed="false">
      <c r="A1534" s="4" t="s">
        <v>1710</v>
      </c>
      <c r="B1534" s="4" t="s">
        <v>149</v>
      </c>
      <c r="C1534" s="13" t="n">
        <v>45156</v>
      </c>
      <c r="D1534" s="13" t="n">
        <v>45163</v>
      </c>
      <c r="E1534" s="13" t="n">
        <v>45166</v>
      </c>
      <c r="F1534" s="4" t="n">
        <v>6</v>
      </c>
      <c r="G1534" s="4" t="n">
        <v>6</v>
      </c>
      <c r="H1534" s="4" t="n">
        <v>1458.52</v>
      </c>
      <c r="I1534" s="4" t="n">
        <v>1465.3</v>
      </c>
      <c r="J1534" s="14" t="n">
        <f aca="false">E1534-D1534</f>
        <v>3</v>
      </c>
      <c r="K1534" s="14" t="n">
        <f aca="false">IF(J1534&lt;=0,1,0)</f>
        <v>0</v>
      </c>
      <c r="L1534" s="15" t="n">
        <f aca="false">IFERROR(G1534/F1534,0)</f>
        <v>1</v>
      </c>
      <c r="M1534" s="15" t="n">
        <f aca="false">IFERROR((I1534-H1534)/H1534,0)</f>
        <v>0.00464854784301893</v>
      </c>
      <c r="N1534" s="16" t="n">
        <f aca="false">G1534*I1534</f>
        <v>8791.8</v>
      </c>
    </row>
    <row r="1535" customFormat="false" ht="15" hidden="false" customHeight="true" outlineLevel="0" collapsed="false">
      <c r="A1535" s="4" t="s">
        <v>1711</v>
      </c>
      <c r="B1535" s="4" t="s">
        <v>37</v>
      </c>
      <c r="C1535" s="13" t="n">
        <v>45096</v>
      </c>
      <c r="D1535" s="13" t="n">
        <v>45105</v>
      </c>
      <c r="E1535" s="13" t="n">
        <v>45109</v>
      </c>
      <c r="F1535" s="4" t="n">
        <v>569</v>
      </c>
      <c r="G1535" s="4" t="n">
        <v>569</v>
      </c>
      <c r="H1535" s="4" t="n">
        <v>22.26</v>
      </c>
      <c r="I1535" s="4" t="n">
        <v>21.93</v>
      </c>
      <c r="J1535" s="14" t="n">
        <f aca="false">E1535-D1535</f>
        <v>4</v>
      </c>
      <c r="K1535" s="14" t="n">
        <f aca="false">IF(J1535&lt;=0,1,0)</f>
        <v>0</v>
      </c>
      <c r="L1535" s="15" t="n">
        <f aca="false">IFERROR(G1535/F1535,0)</f>
        <v>1</v>
      </c>
      <c r="M1535" s="15" t="n">
        <f aca="false">IFERROR((I1535-H1535)/H1535,0)</f>
        <v>-0.0148247978436659</v>
      </c>
      <c r="N1535" s="16" t="n">
        <f aca="false">G1535*I1535</f>
        <v>12478.17</v>
      </c>
    </row>
    <row r="1536" customFormat="false" ht="15" hidden="false" customHeight="true" outlineLevel="0" collapsed="false">
      <c r="A1536" s="4" t="s">
        <v>1712</v>
      </c>
      <c r="B1536" s="4" t="s">
        <v>61</v>
      </c>
      <c r="C1536" s="13" t="n">
        <v>45648</v>
      </c>
      <c r="D1536" s="13" t="n">
        <v>45659</v>
      </c>
      <c r="E1536" s="13" t="n">
        <v>45658</v>
      </c>
      <c r="F1536" s="4" t="n">
        <v>372</v>
      </c>
      <c r="G1536" s="4" t="n">
        <v>362</v>
      </c>
      <c r="H1536" s="4" t="n">
        <v>107.41</v>
      </c>
      <c r="I1536" s="4" t="n">
        <v>106.51</v>
      </c>
      <c r="J1536" s="14" t="n">
        <f aca="false">E1536-D1536</f>
        <v>-1</v>
      </c>
      <c r="K1536" s="14" t="n">
        <f aca="false">IF(J1536&lt;=0,1,0)</f>
        <v>1</v>
      </c>
      <c r="L1536" s="15" t="n">
        <f aca="false">IFERROR(G1536/F1536,0)</f>
        <v>0.973118279569893</v>
      </c>
      <c r="M1536" s="15" t="n">
        <f aca="false">IFERROR((I1536-H1536)/H1536,0)</f>
        <v>-0.00837910809049429</v>
      </c>
      <c r="N1536" s="16" t="n">
        <f aca="false">G1536*I1536</f>
        <v>38556.62</v>
      </c>
    </row>
    <row r="1537" customFormat="false" ht="15" hidden="false" customHeight="true" outlineLevel="0" collapsed="false">
      <c r="A1537" s="4" t="s">
        <v>1713</v>
      </c>
      <c r="B1537" s="4" t="s">
        <v>151</v>
      </c>
      <c r="C1537" s="13" t="n">
        <v>45044</v>
      </c>
      <c r="D1537" s="13" t="n">
        <v>45050</v>
      </c>
      <c r="E1537" s="13" t="n">
        <v>45053</v>
      </c>
      <c r="F1537" s="4" t="n">
        <v>16</v>
      </c>
      <c r="G1537" s="4" t="n">
        <v>16</v>
      </c>
      <c r="H1537" s="4" t="n">
        <v>503.46</v>
      </c>
      <c r="I1537" s="4" t="n">
        <v>511.69</v>
      </c>
      <c r="J1537" s="14" t="n">
        <f aca="false">E1537-D1537</f>
        <v>3</v>
      </c>
      <c r="K1537" s="14" t="n">
        <f aca="false">IF(J1537&lt;=0,1,0)</f>
        <v>0</v>
      </c>
      <c r="L1537" s="15" t="n">
        <f aca="false">IFERROR(G1537/F1537,0)</f>
        <v>1</v>
      </c>
      <c r="M1537" s="15" t="n">
        <f aca="false">IFERROR((I1537-H1537)/H1537,0)</f>
        <v>0.016346879593215</v>
      </c>
      <c r="N1537" s="16" t="n">
        <f aca="false">G1537*I1537</f>
        <v>8187.04</v>
      </c>
    </row>
    <row r="1538" customFormat="false" ht="15" hidden="false" customHeight="true" outlineLevel="0" collapsed="false">
      <c r="A1538" s="4" t="s">
        <v>1714</v>
      </c>
      <c r="B1538" s="4" t="s">
        <v>155</v>
      </c>
      <c r="C1538" s="13" t="n">
        <v>45415</v>
      </c>
      <c r="D1538" s="13" t="n">
        <v>45421</v>
      </c>
      <c r="E1538" s="13" t="n">
        <v>45421</v>
      </c>
      <c r="F1538" s="4" t="n">
        <v>4477</v>
      </c>
      <c r="G1538" s="4" t="n">
        <v>4356</v>
      </c>
      <c r="H1538" s="4" t="n">
        <v>24.04</v>
      </c>
      <c r="I1538" s="4" t="n">
        <v>23.15</v>
      </c>
      <c r="J1538" s="14" t="n">
        <f aca="false">E1538-D1538</f>
        <v>0</v>
      </c>
      <c r="K1538" s="14" t="n">
        <f aca="false">IF(J1538&lt;=0,1,0)</f>
        <v>1</v>
      </c>
      <c r="L1538" s="15" t="n">
        <f aca="false">IFERROR(G1538/F1538,0)</f>
        <v>0.972972972972973</v>
      </c>
      <c r="M1538" s="15" t="n">
        <f aca="false">IFERROR((I1538-H1538)/H1538,0)</f>
        <v>-0.0370216306156406</v>
      </c>
      <c r="N1538" s="16" t="n">
        <f aca="false">G1538*I1538</f>
        <v>100841.4</v>
      </c>
    </row>
    <row r="1539" customFormat="false" ht="15" hidden="false" customHeight="true" outlineLevel="0" collapsed="false">
      <c r="A1539" s="4" t="s">
        <v>1715</v>
      </c>
      <c r="B1539" s="4" t="s">
        <v>103</v>
      </c>
      <c r="C1539" s="13" t="n">
        <v>44966</v>
      </c>
      <c r="D1539" s="13" t="n">
        <v>44986</v>
      </c>
      <c r="E1539" s="13" t="n">
        <v>44986</v>
      </c>
      <c r="F1539" s="4" t="n">
        <v>473</v>
      </c>
      <c r="G1539" s="4" t="n">
        <v>463</v>
      </c>
      <c r="H1539" s="4" t="n">
        <v>1400.22</v>
      </c>
      <c r="I1539" s="4" t="n">
        <v>1416.85</v>
      </c>
      <c r="J1539" s="14" t="n">
        <f aca="false">E1539-D1539</f>
        <v>0</v>
      </c>
      <c r="K1539" s="14" t="n">
        <f aca="false">IF(J1539&lt;=0,1,0)</f>
        <v>1</v>
      </c>
      <c r="L1539" s="15" t="n">
        <f aca="false">IFERROR(G1539/F1539,0)</f>
        <v>0.978858350951374</v>
      </c>
      <c r="M1539" s="15" t="n">
        <f aca="false">IFERROR((I1539-H1539)/H1539,0)</f>
        <v>0.0118767050892002</v>
      </c>
      <c r="N1539" s="16" t="n">
        <f aca="false">G1539*I1539</f>
        <v>656001.55</v>
      </c>
    </row>
    <row r="1540" customFormat="false" ht="15" hidden="false" customHeight="true" outlineLevel="0" collapsed="false">
      <c r="A1540" s="4" t="s">
        <v>1716</v>
      </c>
      <c r="B1540" s="4" t="s">
        <v>72</v>
      </c>
      <c r="C1540" s="13" t="n">
        <v>45583</v>
      </c>
      <c r="D1540" s="13" t="n">
        <v>45589</v>
      </c>
      <c r="E1540" s="13" t="n">
        <v>45589</v>
      </c>
      <c r="F1540" s="4" t="n">
        <v>4237</v>
      </c>
      <c r="G1540" s="4" t="n">
        <v>4209</v>
      </c>
      <c r="H1540" s="4" t="n">
        <v>34.53</v>
      </c>
      <c r="I1540" s="4" t="n">
        <v>36.81</v>
      </c>
      <c r="J1540" s="14" t="n">
        <f aca="false">E1540-D1540</f>
        <v>0</v>
      </c>
      <c r="K1540" s="14" t="n">
        <f aca="false">IF(J1540&lt;=0,1,0)</f>
        <v>1</v>
      </c>
      <c r="L1540" s="15" t="n">
        <f aca="false">IFERROR(G1540/F1540,0)</f>
        <v>0.993391550625443</v>
      </c>
      <c r="M1540" s="15" t="n">
        <f aca="false">IFERROR((I1540-H1540)/H1540,0)</f>
        <v>0.0660295395308428</v>
      </c>
      <c r="N1540" s="16" t="n">
        <f aca="false">G1540*I1540</f>
        <v>154933.29</v>
      </c>
    </row>
    <row r="1541" customFormat="false" ht="15" hidden="false" customHeight="true" outlineLevel="0" collapsed="false">
      <c r="A1541" s="4" t="s">
        <v>1717</v>
      </c>
      <c r="B1541" s="4" t="s">
        <v>101</v>
      </c>
      <c r="C1541" s="13" t="n">
        <v>45120</v>
      </c>
      <c r="D1541" s="13" t="n">
        <v>45138</v>
      </c>
      <c r="E1541" s="13" t="n">
        <v>45141</v>
      </c>
      <c r="F1541" s="4" t="n">
        <v>428</v>
      </c>
      <c r="G1541" s="4" t="n">
        <v>399</v>
      </c>
      <c r="H1541" s="4" t="n">
        <v>442.74</v>
      </c>
      <c r="I1541" s="4" t="n">
        <v>445.26</v>
      </c>
      <c r="J1541" s="14" t="n">
        <f aca="false">E1541-D1541</f>
        <v>3</v>
      </c>
      <c r="K1541" s="14" t="n">
        <f aca="false">IF(J1541&lt;=0,1,0)</f>
        <v>0</v>
      </c>
      <c r="L1541" s="15" t="n">
        <f aca="false">IFERROR(G1541/F1541,0)</f>
        <v>0.932242990654206</v>
      </c>
      <c r="M1541" s="15" t="n">
        <f aca="false">IFERROR((I1541-H1541)/H1541,0)</f>
        <v>0.00569182816099738</v>
      </c>
      <c r="N1541" s="16" t="n">
        <f aca="false">G1541*I1541</f>
        <v>177658.74</v>
      </c>
    </row>
    <row r="1542" customFormat="false" ht="15" hidden="false" customHeight="true" outlineLevel="0" collapsed="false">
      <c r="A1542" s="4" t="s">
        <v>1718</v>
      </c>
      <c r="B1542" s="4" t="s">
        <v>115</v>
      </c>
      <c r="C1542" s="13" t="n">
        <v>45140</v>
      </c>
      <c r="D1542" s="13" t="n">
        <v>45151</v>
      </c>
      <c r="E1542" s="13" t="n">
        <v>45155</v>
      </c>
      <c r="F1542" s="4" t="n">
        <v>128</v>
      </c>
      <c r="G1542" s="4" t="n">
        <v>123</v>
      </c>
      <c r="H1542" s="4" t="n">
        <v>115.53</v>
      </c>
      <c r="I1542" s="4" t="n">
        <v>119.17</v>
      </c>
      <c r="J1542" s="14" t="n">
        <f aca="false">E1542-D1542</f>
        <v>4</v>
      </c>
      <c r="K1542" s="14" t="n">
        <f aca="false">IF(J1542&lt;=0,1,0)</f>
        <v>0</v>
      </c>
      <c r="L1542" s="15" t="n">
        <f aca="false">IFERROR(G1542/F1542,0)</f>
        <v>0.9609375</v>
      </c>
      <c r="M1542" s="15" t="n">
        <f aca="false">IFERROR((I1542-H1542)/H1542,0)</f>
        <v>0.0315069678871289</v>
      </c>
      <c r="N1542" s="16" t="n">
        <f aca="false">G1542*I1542</f>
        <v>14657.91</v>
      </c>
    </row>
    <row r="1543" customFormat="false" ht="15" hidden="false" customHeight="true" outlineLevel="0" collapsed="false">
      <c r="A1543" s="4" t="s">
        <v>1719</v>
      </c>
      <c r="B1543" s="4" t="s">
        <v>58</v>
      </c>
      <c r="C1543" s="13" t="n">
        <v>44965</v>
      </c>
      <c r="D1543" s="13" t="n">
        <v>44979</v>
      </c>
      <c r="E1543" s="13" t="n">
        <v>44976</v>
      </c>
      <c r="F1543" s="4" t="n">
        <v>38</v>
      </c>
      <c r="G1543" s="4" t="n">
        <v>35</v>
      </c>
      <c r="H1543" s="4" t="n">
        <v>135.68</v>
      </c>
      <c r="I1543" s="4" t="n">
        <v>138.16</v>
      </c>
      <c r="J1543" s="14" t="n">
        <f aca="false">E1543-D1543</f>
        <v>-3</v>
      </c>
      <c r="K1543" s="14" t="n">
        <f aca="false">IF(J1543&lt;=0,1,0)</f>
        <v>1</v>
      </c>
      <c r="L1543" s="15" t="n">
        <f aca="false">IFERROR(G1543/F1543,0)</f>
        <v>0.921052631578947</v>
      </c>
      <c r="M1543" s="15" t="n">
        <f aca="false">IFERROR((I1543-H1543)/H1543,0)</f>
        <v>0.0182783018867924</v>
      </c>
      <c r="N1543" s="16" t="n">
        <f aca="false">G1543*I1543</f>
        <v>4835.6</v>
      </c>
    </row>
    <row r="1544" customFormat="false" ht="15" hidden="false" customHeight="true" outlineLevel="0" collapsed="false">
      <c r="A1544" s="4" t="s">
        <v>1720</v>
      </c>
      <c r="B1544" s="4" t="s">
        <v>83</v>
      </c>
      <c r="C1544" s="13" t="n">
        <v>45017</v>
      </c>
      <c r="D1544" s="13" t="n">
        <v>45026</v>
      </c>
      <c r="E1544" s="13" t="n">
        <v>45027</v>
      </c>
      <c r="F1544" s="4" t="n">
        <v>1013</v>
      </c>
      <c r="G1544" s="4" t="n">
        <v>1013</v>
      </c>
      <c r="H1544" s="4" t="n">
        <v>101.36</v>
      </c>
      <c r="I1544" s="4" t="n">
        <v>102.23</v>
      </c>
      <c r="J1544" s="14" t="n">
        <f aca="false">E1544-D1544</f>
        <v>1</v>
      </c>
      <c r="K1544" s="14" t="n">
        <f aca="false">IF(J1544&lt;=0,1,0)</f>
        <v>0</v>
      </c>
      <c r="L1544" s="15" t="n">
        <f aca="false">IFERROR(G1544/F1544,0)</f>
        <v>1</v>
      </c>
      <c r="M1544" s="15" t="n">
        <f aca="false">IFERROR((I1544-H1544)/H1544,0)</f>
        <v>0.00858326756116816</v>
      </c>
      <c r="N1544" s="16" t="n">
        <f aca="false">G1544*I1544</f>
        <v>103558.99</v>
      </c>
    </row>
    <row r="1545" customFormat="false" ht="15" hidden="false" customHeight="true" outlineLevel="0" collapsed="false">
      <c r="A1545" s="4" t="s">
        <v>1721</v>
      </c>
      <c r="B1545" s="4" t="s">
        <v>41</v>
      </c>
      <c r="C1545" s="13" t="n">
        <v>44953</v>
      </c>
      <c r="D1545" s="13" t="n">
        <v>44959</v>
      </c>
      <c r="E1545" s="13" t="n">
        <v>44958</v>
      </c>
      <c r="F1545" s="4" t="n">
        <v>4052</v>
      </c>
      <c r="G1545" s="4" t="n">
        <v>3989</v>
      </c>
      <c r="H1545" s="4" t="n">
        <v>45.51</v>
      </c>
      <c r="I1545" s="4" t="n">
        <v>45.92</v>
      </c>
      <c r="J1545" s="14" t="n">
        <f aca="false">E1545-D1545</f>
        <v>-1</v>
      </c>
      <c r="K1545" s="14" t="n">
        <f aca="false">IF(J1545&lt;=0,1,0)</f>
        <v>1</v>
      </c>
      <c r="L1545" s="15" t="n">
        <f aca="false">IFERROR(G1545/F1545,0)</f>
        <v>0.984452122408687</v>
      </c>
      <c r="M1545" s="15" t="n">
        <f aca="false">IFERROR((I1545-H1545)/H1545,0)</f>
        <v>0.00900900900900909</v>
      </c>
      <c r="N1545" s="16" t="n">
        <f aca="false">G1545*I1545</f>
        <v>183174.88</v>
      </c>
    </row>
    <row r="1546" customFormat="false" ht="15" hidden="false" customHeight="true" outlineLevel="0" collapsed="false">
      <c r="A1546" s="4" t="s">
        <v>1722</v>
      </c>
      <c r="B1546" s="4" t="s">
        <v>52</v>
      </c>
      <c r="C1546" s="13" t="n">
        <v>45295</v>
      </c>
      <c r="D1546" s="13" t="n">
        <v>45305</v>
      </c>
      <c r="E1546" s="13" t="n">
        <v>45313</v>
      </c>
      <c r="F1546" s="4" t="n">
        <v>1916</v>
      </c>
      <c r="G1546" s="4" t="n">
        <v>1603</v>
      </c>
      <c r="H1546" s="4" t="n">
        <v>170.24</v>
      </c>
      <c r="I1546" s="4" t="n">
        <v>176.93</v>
      </c>
      <c r="J1546" s="14" t="n">
        <f aca="false">E1546-D1546</f>
        <v>8</v>
      </c>
      <c r="K1546" s="14" t="n">
        <f aca="false">IF(J1546&lt;=0,1,0)</f>
        <v>0</v>
      </c>
      <c r="L1546" s="15" t="n">
        <f aca="false">IFERROR(G1546/F1546,0)</f>
        <v>0.836638830897704</v>
      </c>
      <c r="M1546" s="15" t="n">
        <f aca="false">IFERROR((I1546-H1546)/H1546,0)</f>
        <v>0.039297462406015</v>
      </c>
      <c r="N1546" s="16" t="n">
        <f aca="false">G1546*I1546</f>
        <v>283618.79</v>
      </c>
    </row>
    <row r="1547" customFormat="false" ht="15" hidden="false" customHeight="true" outlineLevel="0" collapsed="false">
      <c r="A1547" s="4" t="s">
        <v>1723</v>
      </c>
      <c r="B1547" s="4" t="s">
        <v>105</v>
      </c>
      <c r="C1547" s="13" t="n">
        <v>45462</v>
      </c>
      <c r="D1547" s="13" t="n">
        <v>45480</v>
      </c>
      <c r="E1547" s="13" t="n">
        <v>45483</v>
      </c>
      <c r="F1547" s="4" t="n">
        <v>217</v>
      </c>
      <c r="G1547" s="4" t="n">
        <v>203</v>
      </c>
      <c r="H1547" s="4" t="n">
        <v>685.84</v>
      </c>
      <c r="I1547" s="4" t="n">
        <v>715.79</v>
      </c>
      <c r="J1547" s="14" t="n">
        <f aca="false">E1547-D1547</f>
        <v>3</v>
      </c>
      <c r="K1547" s="14" t="n">
        <f aca="false">IF(J1547&lt;=0,1,0)</f>
        <v>0</v>
      </c>
      <c r="L1547" s="15" t="n">
        <f aca="false">IFERROR(G1547/F1547,0)</f>
        <v>0.935483870967742</v>
      </c>
      <c r="M1547" s="15" t="n">
        <f aca="false">IFERROR((I1547-H1547)/H1547,0)</f>
        <v>0.0436690773358217</v>
      </c>
      <c r="N1547" s="16" t="n">
        <f aca="false">G1547*I1547</f>
        <v>145305.37</v>
      </c>
    </row>
    <row r="1548" customFormat="false" ht="15" hidden="false" customHeight="true" outlineLevel="0" collapsed="false">
      <c r="A1548" s="4" t="s">
        <v>1724</v>
      </c>
      <c r="B1548" s="4" t="s">
        <v>127</v>
      </c>
      <c r="C1548" s="13" t="n">
        <v>45494</v>
      </c>
      <c r="D1548" s="13" t="n">
        <v>45499</v>
      </c>
      <c r="E1548" s="13" t="n">
        <v>45500</v>
      </c>
      <c r="F1548" s="4" t="n">
        <v>7</v>
      </c>
      <c r="G1548" s="4" t="n">
        <v>7</v>
      </c>
      <c r="H1548" s="4" t="n">
        <v>1881</v>
      </c>
      <c r="I1548" s="4" t="n">
        <v>1759.79</v>
      </c>
      <c r="J1548" s="14" t="n">
        <f aca="false">E1548-D1548</f>
        <v>1</v>
      </c>
      <c r="K1548" s="14" t="n">
        <f aca="false">IF(J1548&lt;=0,1,0)</f>
        <v>0</v>
      </c>
      <c r="L1548" s="15" t="n">
        <f aca="false">IFERROR(G1548/F1548,0)</f>
        <v>1</v>
      </c>
      <c r="M1548" s="15" t="n">
        <f aca="false">IFERROR((I1548-H1548)/H1548,0)</f>
        <v>-0.0644391281233387</v>
      </c>
      <c r="N1548" s="16" t="n">
        <f aca="false">G1548*I1548</f>
        <v>12318.53</v>
      </c>
    </row>
    <row r="1549" customFormat="false" ht="15" hidden="false" customHeight="true" outlineLevel="0" collapsed="false">
      <c r="A1549" s="4" t="s">
        <v>1725</v>
      </c>
      <c r="B1549" s="4" t="s">
        <v>43</v>
      </c>
      <c r="C1549" s="13" t="n">
        <v>45362</v>
      </c>
      <c r="D1549" s="13" t="n">
        <v>45382</v>
      </c>
      <c r="E1549" s="13" t="n">
        <v>45385</v>
      </c>
      <c r="F1549" s="4" t="n">
        <v>113</v>
      </c>
      <c r="G1549" s="4" t="n">
        <v>111</v>
      </c>
      <c r="H1549" s="4" t="n">
        <v>1321.6</v>
      </c>
      <c r="I1549" s="4" t="n">
        <v>1317.1</v>
      </c>
      <c r="J1549" s="14" t="n">
        <f aca="false">E1549-D1549</f>
        <v>3</v>
      </c>
      <c r="K1549" s="14" t="n">
        <f aca="false">IF(J1549&lt;=0,1,0)</f>
        <v>0</v>
      </c>
      <c r="L1549" s="15" t="n">
        <f aca="false">IFERROR(G1549/F1549,0)</f>
        <v>0.982300884955752</v>
      </c>
      <c r="M1549" s="15" t="n">
        <f aca="false">IFERROR((I1549-H1549)/H1549,0)</f>
        <v>-0.00340496368038741</v>
      </c>
      <c r="N1549" s="16" t="n">
        <f aca="false">G1549*I1549</f>
        <v>146198.1</v>
      </c>
    </row>
    <row r="1550" customFormat="false" ht="15" hidden="false" customHeight="true" outlineLevel="0" collapsed="false">
      <c r="A1550" s="4" t="s">
        <v>1726</v>
      </c>
      <c r="B1550" s="4" t="s">
        <v>91</v>
      </c>
      <c r="C1550" s="13" t="n">
        <v>45315</v>
      </c>
      <c r="D1550" s="13" t="n">
        <v>45332</v>
      </c>
      <c r="E1550" s="13" t="n">
        <v>45335</v>
      </c>
      <c r="F1550" s="4" t="n">
        <v>193</v>
      </c>
      <c r="G1550" s="4" t="n">
        <v>181</v>
      </c>
      <c r="H1550" s="4" t="n">
        <v>496.29</v>
      </c>
      <c r="I1550" s="4" t="n">
        <v>490.23</v>
      </c>
      <c r="J1550" s="14" t="n">
        <f aca="false">E1550-D1550</f>
        <v>3</v>
      </c>
      <c r="K1550" s="14" t="n">
        <f aca="false">IF(J1550&lt;=0,1,0)</f>
        <v>0</v>
      </c>
      <c r="L1550" s="15" t="n">
        <f aca="false">IFERROR(G1550/F1550,0)</f>
        <v>0.937823834196891</v>
      </c>
      <c r="M1550" s="15" t="n">
        <f aca="false">IFERROR((I1550-H1550)/H1550,0)</f>
        <v>-0.0122106026718249</v>
      </c>
      <c r="N1550" s="16" t="n">
        <f aca="false">G1550*I1550</f>
        <v>88731.63</v>
      </c>
    </row>
    <row r="1551" customFormat="false" ht="15" hidden="false" customHeight="true" outlineLevel="0" collapsed="false">
      <c r="A1551" s="4" t="s">
        <v>1727</v>
      </c>
      <c r="B1551" s="4" t="s">
        <v>52</v>
      </c>
      <c r="C1551" s="13" t="n">
        <v>45325</v>
      </c>
      <c r="D1551" s="13" t="n">
        <v>45337</v>
      </c>
      <c r="E1551" s="13" t="n">
        <v>45345</v>
      </c>
      <c r="F1551" s="4" t="n">
        <v>372</v>
      </c>
      <c r="G1551" s="4" t="n">
        <v>308</v>
      </c>
      <c r="H1551" s="4" t="n">
        <v>170.24</v>
      </c>
      <c r="I1551" s="4" t="n">
        <v>175.89</v>
      </c>
      <c r="J1551" s="14" t="n">
        <f aca="false">E1551-D1551</f>
        <v>8</v>
      </c>
      <c r="K1551" s="14" t="n">
        <f aca="false">IF(J1551&lt;=0,1,0)</f>
        <v>0</v>
      </c>
      <c r="L1551" s="15" t="n">
        <f aca="false">IFERROR(G1551/F1551,0)</f>
        <v>0.827956989247312</v>
      </c>
      <c r="M1551" s="15" t="n">
        <f aca="false">IFERROR((I1551-H1551)/H1551,0)</f>
        <v>0.0331884398496239</v>
      </c>
      <c r="N1551" s="16" t="n">
        <f aca="false">G1551*I1551</f>
        <v>54174.12</v>
      </c>
    </row>
    <row r="1552" customFormat="false" ht="15" hidden="false" customHeight="true" outlineLevel="0" collapsed="false">
      <c r="A1552" s="4" t="s">
        <v>1728</v>
      </c>
      <c r="B1552" s="4" t="s">
        <v>61</v>
      </c>
      <c r="C1552" s="13" t="n">
        <v>45144</v>
      </c>
      <c r="D1552" s="13" t="n">
        <v>45156</v>
      </c>
      <c r="E1552" s="13" t="n">
        <v>45158</v>
      </c>
      <c r="F1552" s="4" t="n">
        <v>1411</v>
      </c>
      <c r="G1552" s="4" t="n">
        <v>1393</v>
      </c>
      <c r="H1552" s="4" t="n">
        <v>107.41</v>
      </c>
      <c r="I1552" s="4" t="n">
        <v>105.84</v>
      </c>
      <c r="J1552" s="14" t="n">
        <f aca="false">E1552-D1552</f>
        <v>2</v>
      </c>
      <c r="K1552" s="14" t="n">
        <f aca="false">IF(J1552&lt;=0,1,0)</f>
        <v>0</v>
      </c>
      <c r="L1552" s="15" t="n">
        <f aca="false">IFERROR(G1552/F1552,0)</f>
        <v>0.987243090007087</v>
      </c>
      <c r="M1552" s="15" t="n">
        <f aca="false">IFERROR((I1552-H1552)/H1552,0)</f>
        <v>-0.0146168885578623</v>
      </c>
      <c r="N1552" s="16" t="n">
        <f aca="false">G1552*I1552</f>
        <v>147435.12</v>
      </c>
    </row>
    <row r="1553" customFormat="false" ht="15" hidden="false" customHeight="true" outlineLevel="0" collapsed="false">
      <c r="A1553" s="4" t="s">
        <v>1729</v>
      </c>
      <c r="B1553" s="4" t="s">
        <v>163</v>
      </c>
      <c r="C1553" s="13" t="n">
        <v>45544</v>
      </c>
      <c r="D1553" s="13" t="n">
        <v>45561</v>
      </c>
      <c r="E1553" s="13" t="n">
        <v>45563</v>
      </c>
      <c r="F1553" s="4" t="n">
        <v>239</v>
      </c>
      <c r="G1553" s="4" t="n">
        <v>230</v>
      </c>
      <c r="H1553" s="4" t="n">
        <v>482.79</v>
      </c>
      <c r="I1553" s="4" t="n">
        <v>500.12</v>
      </c>
      <c r="J1553" s="14" t="n">
        <f aca="false">E1553-D1553</f>
        <v>2</v>
      </c>
      <c r="K1553" s="14" t="n">
        <f aca="false">IF(J1553&lt;=0,1,0)</f>
        <v>0</v>
      </c>
      <c r="L1553" s="15" t="n">
        <f aca="false">IFERROR(G1553/F1553,0)</f>
        <v>0.96234309623431</v>
      </c>
      <c r="M1553" s="15" t="n">
        <f aca="false">IFERROR((I1553-H1553)/H1553,0)</f>
        <v>0.0358955239338014</v>
      </c>
      <c r="N1553" s="16" t="n">
        <f aca="false">G1553*I1553</f>
        <v>115027.6</v>
      </c>
    </row>
    <row r="1554" customFormat="false" ht="15" hidden="false" customHeight="true" outlineLevel="0" collapsed="false">
      <c r="A1554" s="4" t="s">
        <v>1730</v>
      </c>
      <c r="B1554" s="4" t="s">
        <v>149</v>
      </c>
      <c r="C1554" s="13" t="n">
        <v>45200</v>
      </c>
      <c r="D1554" s="13" t="n">
        <v>45206</v>
      </c>
      <c r="E1554" s="13" t="n">
        <v>45207</v>
      </c>
      <c r="F1554" s="4" t="n">
        <v>4</v>
      </c>
      <c r="G1554" s="4" t="n">
        <v>4</v>
      </c>
      <c r="H1554" s="4" t="n">
        <v>1458.52</v>
      </c>
      <c r="I1554" s="4" t="n">
        <v>1454.84</v>
      </c>
      <c r="J1554" s="14" t="n">
        <f aca="false">E1554-D1554</f>
        <v>1</v>
      </c>
      <c r="K1554" s="14" t="n">
        <f aca="false">IF(J1554&lt;=0,1,0)</f>
        <v>0</v>
      </c>
      <c r="L1554" s="15" t="n">
        <f aca="false">IFERROR(G1554/F1554,0)</f>
        <v>1</v>
      </c>
      <c r="M1554" s="15" t="n">
        <f aca="false">IFERROR((I1554-H1554)/H1554,0)</f>
        <v>-0.00252310561391003</v>
      </c>
      <c r="N1554" s="16" t="n">
        <f aca="false">G1554*I1554</f>
        <v>5819.36</v>
      </c>
    </row>
    <row r="1555" customFormat="false" ht="15" hidden="false" customHeight="true" outlineLevel="0" collapsed="false">
      <c r="A1555" s="4" t="s">
        <v>1731</v>
      </c>
      <c r="B1555" s="4" t="s">
        <v>127</v>
      </c>
      <c r="C1555" s="13" t="n">
        <v>45237</v>
      </c>
      <c r="D1555" s="13" t="n">
        <v>45241</v>
      </c>
      <c r="E1555" s="13" t="n">
        <v>45243</v>
      </c>
      <c r="F1555" s="4" t="n">
        <v>3</v>
      </c>
      <c r="G1555" s="4" t="n">
        <v>3</v>
      </c>
      <c r="H1555" s="4" t="n">
        <v>1881</v>
      </c>
      <c r="I1555" s="4" t="n">
        <v>1833.52</v>
      </c>
      <c r="J1555" s="14" t="n">
        <f aca="false">E1555-D1555</f>
        <v>2</v>
      </c>
      <c r="K1555" s="14" t="n">
        <f aca="false">IF(J1555&lt;=0,1,0)</f>
        <v>0</v>
      </c>
      <c r="L1555" s="15" t="n">
        <f aca="false">IFERROR(G1555/F1555,0)</f>
        <v>1</v>
      </c>
      <c r="M1555" s="15" t="n">
        <f aca="false">IFERROR((I1555-H1555)/H1555,0)</f>
        <v>-0.0252418926103137</v>
      </c>
      <c r="N1555" s="16" t="n">
        <f aca="false">G1555*I1555</f>
        <v>5500.56</v>
      </c>
    </row>
    <row r="1556" customFormat="false" ht="15" hidden="false" customHeight="true" outlineLevel="0" collapsed="false">
      <c r="A1556" s="4" t="s">
        <v>1732</v>
      </c>
      <c r="B1556" s="4" t="s">
        <v>55</v>
      </c>
      <c r="C1556" s="13" t="n">
        <v>45616</v>
      </c>
      <c r="D1556" s="13" t="n">
        <v>45633</v>
      </c>
      <c r="E1556" s="13" t="n">
        <v>45635</v>
      </c>
      <c r="F1556" s="4" t="n">
        <v>93</v>
      </c>
      <c r="G1556" s="4" t="n">
        <v>88</v>
      </c>
      <c r="H1556" s="4" t="n">
        <v>598.09</v>
      </c>
      <c r="I1556" s="4" t="n">
        <v>558.12</v>
      </c>
      <c r="J1556" s="14" t="n">
        <f aca="false">E1556-D1556</f>
        <v>2</v>
      </c>
      <c r="K1556" s="14" t="n">
        <f aca="false">IF(J1556&lt;=0,1,0)</f>
        <v>0</v>
      </c>
      <c r="L1556" s="15" t="n">
        <f aca="false">IFERROR(G1556/F1556,0)</f>
        <v>0.946236559139785</v>
      </c>
      <c r="M1556" s="15" t="n">
        <f aca="false">IFERROR((I1556-H1556)/H1556,0)</f>
        <v>-0.066829406945443</v>
      </c>
      <c r="N1556" s="16" t="n">
        <f aca="false">G1556*I1556</f>
        <v>49114.56</v>
      </c>
    </row>
    <row r="1557" customFormat="false" ht="15" hidden="false" customHeight="true" outlineLevel="0" collapsed="false">
      <c r="A1557" s="4" t="s">
        <v>1733</v>
      </c>
      <c r="B1557" s="4" t="s">
        <v>113</v>
      </c>
      <c r="C1557" s="13" t="n">
        <v>45195</v>
      </c>
      <c r="D1557" s="13" t="n">
        <v>45205</v>
      </c>
      <c r="E1557" s="13" t="n">
        <v>45205</v>
      </c>
      <c r="F1557" s="4" t="n">
        <v>1115</v>
      </c>
      <c r="G1557" s="4" t="n">
        <v>1115</v>
      </c>
      <c r="H1557" s="4" t="n">
        <v>170.42</v>
      </c>
      <c r="I1557" s="4" t="n">
        <v>169.66</v>
      </c>
      <c r="J1557" s="14" t="n">
        <f aca="false">E1557-D1557</f>
        <v>0</v>
      </c>
      <c r="K1557" s="14" t="n">
        <f aca="false">IF(J1557&lt;=0,1,0)</f>
        <v>1</v>
      </c>
      <c r="L1557" s="15" t="n">
        <f aca="false">IFERROR(G1557/F1557,0)</f>
        <v>1</v>
      </c>
      <c r="M1557" s="15" t="n">
        <f aca="false">IFERROR((I1557-H1557)/H1557,0)</f>
        <v>-0.00445957047294913</v>
      </c>
      <c r="N1557" s="16" t="n">
        <f aca="false">G1557*I1557</f>
        <v>189170.9</v>
      </c>
    </row>
    <row r="1558" customFormat="false" ht="15" hidden="false" customHeight="true" outlineLevel="0" collapsed="false">
      <c r="A1558" s="4" t="s">
        <v>1734</v>
      </c>
      <c r="B1558" s="4" t="s">
        <v>121</v>
      </c>
      <c r="C1558" s="13" t="n">
        <v>45439</v>
      </c>
      <c r="D1558" s="13" t="n">
        <v>45451</v>
      </c>
      <c r="E1558" s="13" t="n">
        <v>45453</v>
      </c>
      <c r="F1558" s="4" t="n">
        <v>1457</v>
      </c>
      <c r="G1558" s="4" t="n">
        <v>1308</v>
      </c>
      <c r="H1558" s="4" t="n">
        <v>206.07</v>
      </c>
      <c r="I1558" s="4" t="n">
        <v>225.59</v>
      </c>
      <c r="J1558" s="14" t="n">
        <f aca="false">E1558-D1558</f>
        <v>2</v>
      </c>
      <c r="K1558" s="14" t="n">
        <f aca="false">IF(J1558&lt;=0,1,0)</f>
        <v>0</v>
      </c>
      <c r="L1558" s="15" t="n">
        <f aca="false">IFERROR(G1558/F1558,0)</f>
        <v>0.897735072065889</v>
      </c>
      <c r="M1558" s="15" t="n">
        <f aca="false">IFERROR((I1558-H1558)/H1558,0)</f>
        <v>0.0947250934148591</v>
      </c>
      <c r="N1558" s="16" t="n">
        <f aca="false">G1558*I1558</f>
        <v>295071.72</v>
      </c>
    </row>
    <row r="1559" customFormat="false" ht="15" hidden="false" customHeight="true" outlineLevel="0" collapsed="false">
      <c r="A1559" s="4" t="s">
        <v>1735</v>
      </c>
      <c r="B1559" s="4" t="s">
        <v>43</v>
      </c>
      <c r="C1559" s="13" t="n">
        <v>45419</v>
      </c>
      <c r="D1559" s="13" t="n">
        <v>45439</v>
      </c>
      <c r="E1559" s="13" t="n">
        <v>45443</v>
      </c>
      <c r="F1559" s="4" t="n">
        <v>214</v>
      </c>
      <c r="G1559" s="4" t="n">
        <v>214</v>
      </c>
      <c r="H1559" s="4" t="n">
        <v>1321.6</v>
      </c>
      <c r="I1559" s="4" t="n">
        <v>1326.12</v>
      </c>
      <c r="J1559" s="14" t="n">
        <f aca="false">E1559-D1559</f>
        <v>4</v>
      </c>
      <c r="K1559" s="14" t="n">
        <f aca="false">IF(J1559&lt;=0,1,0)</f>
        <v>0</v>
      </c>
      <c r="L1559" s="15" t="n">
        <f aca="false">IFERROR(G1559/F1559,0)</f>
        <v>1</v>
      </c>
      <c r="M1559" s="15" t="n">
        <f aca="false">IFERROR((I1559-H1559)/H1559,0)</f>
        <v>0.00342009685230023</v>
      </c>
      <c r="N1559" s="16" t="n">
        <f aca="false">G1559*I1559</f>
        <v>283789.68</v>
      </c>
    </row>
    <row r="1560" customFormat="false" ht="15" hidden="false" customHeight="true" outlineLevel="0" collapsed="false">
      <c r="A1560" s="4" t="s">
        <v>1736</v>
      </c>
      <c r="B1560" s="4" t="s">
        <v>129</v>
      </c>
      <c r="C1560" s="13" t="n">
        <v>45192</v>
      </c>
      <c r="D1560" s="13" t="n">
        <v>45210</v>
      </c>
      <c r="E1560" s="13" t="n">
        <v>45213</v>
      </c>
      <c r="F1560" s="4" t="n">
        <v>51</v>
      </c>
      <c r="G1560" s="4" t="n">
        <v>48</v>
      </c>
      <c r="H1560" s="4" t="n">
        <v>709.66</v>
      </c>
      <c r="I1560" s="4" t="n">
        <v>716.79</v>
      </c>
      <c r="J1560" s="14" t="n">
        <f aca="false">E1560-D1560</f>
        <v>3</v>
      </c>
      <c r="K1560" s="14" t="n">
        <f aca="false">IF(J1560&lt;=0,1,0)</f>
        <v>0</v>
      </c>
      <c r="L1560" s="15" t="n">
        <f aca="false">IFERROR(G1560/F1560,0)</f>
        <v>0.941176470588235</v>
      </c>
      <c r="M1560" s="15" t="n">
        <f aca="false">IFERROR((I1560-H1560)/H1560,0)</f>
        <v>0.0100470647915903</v>
      </c>
      <c r="N1560" s="16" t="n">
        <f aca="false">G1560*I1560</f>
        <v>34405.92</v>
      </c>
    </row>
    <row r="1561" customFormat="false" ht="15" hidden="false" customHeight="true" outlineLevel="0" collapsed="false">
      <c r="A1561" s="4" t="s">
        <v>1737</v>
      </c>
      <c r="B1561" s="4" t="s">
        <v>41</v>
      </c>
      <c r="C1561" s="13" t="n">
        <v>44968</v>
      </c>
      <c r="D1561" s="13" t="n">
        <v>44976</v>
      </c>
      <c r="E1561" s="13" t="n">
        <v>44978</v>
      </c>
      <c r="F1561" s="4" t="n">
        <v>4777</v>
      </c>
      <c r="G1561" s="4" t="n">
        <v>4610</v>
      </c>
      <c r="H1561" s="4" t="n">
        <v>45.51</v>
      </c>
      <c r="I1561" s="4" t="n">
        <v>44.55</v>
      </c>
      <c r="J1561" s="14" t="n">
        <f aca="false">E1561-D1561</f>
        <v>2</v>
      </c>
      <c r="K1561" s="14" t="n">
        <f aca="false">IF(J1561&lt;=0,1,0)</f>
        <v>0</v>
      </c>
      <c r="L1561" s="15" t="n">
        <f aca="false">IFERROR(G1561/F1561,0)</f>
        <v>0.965040820598702</v>
      </c>
      <c r="M1561" s="15" t="n">
        <f aca="false">IFERROR((I1561-H1561)/H1561,0)</f>
        <v>-0.021094264996704</v>
      </c>
      <c r="N1561" s="16" t="n">
        <f aca="false">G1561*I1561</f>
        <v>205375.5</v>
      </c>
    </row>
    <row r="1562" customFormat="false" ht="15" hidden="false" customHeight="true" outlineLevel="0" collapsed="false">
      <c r="A1562" s="4" t="s">
        <v>1738</v>
      </c>
      <c r="B1562" s="4" t="s">
        <v>111</v>
      </c>
      <c r="C1562" s="13" t="n">
        <v>45136</v>
      </c>
      <c r="D1562" s="13" t="n">
        <v>45147</v>
      </c>
      <c r="E1562" s="13" t="n">
        <v>45151</v>
      </c>
      <c r="F1562" s="4" t="n">
        <v>446</v>
      </c>
      <c r="G1562" s="4" t="n">
        <v>439</v>
      </c>
      <c r="H1562" s="4" t="n">
        <v>148.08</v>
      </c>
      <c r="I1562" s="4" t="n">
        <v>148.37</v>
      </c>
      <c r="J1562" s="14" t="n">
        <f aca="false">E1562-D1562</f>
        <v>4</v>
      </c>
      <c r="K1562" s="14" t="n">
        <f aca="false">IF(J1562&lt;=0,1,0)</f>
        <v>0</v>
      </c>
      <c r="L1562" s="15" t="n">
        <f aca="false">IFERROR(G1562/F1562,0)</f>
        <v>0.984304932735426</v>
      </c>
      <c r="M1562" s="15" t="n">
        <f aca="false">IFERROR((I1562-H1562)/H1562,0)</f>
        <v>0.00195840086439757</v>
      </c>
      <c r="N1562" s="16" t="n">
        <f aca="false">G1562*I1562</f>
        <v>65134.43</v>
      </c>
    </row>
    <row r="1563" customFormat="false" ht="15" hidden="false" customHeight="true" outlineLevel="0" collapsed="false">
      <c r="A1563" s="4" t="s">
        <v>1739</v>
      </c>
      <c r="B1563" s="4" t="s">
        <v>41</v>
      </c>
      <c r="C1563" s="13" t="n">
        <v>45401</v>
      </c>
      <c r="D1563" s="13" t="n">
        <v>45408</v>
      </c>
      <c r="E1563" s="13" t="n">
        <v>45405</v>
      </c>
      <c r="F1563" s="4" t="n">
        <v>2986</v>
      </c>
      <c r="G1563" s="4" t="n">
        <v>2986</v>
      </c>
      <c r="H1563" s="4" t="n">
        <v>45.51</v>
      </c>
      <c r="I1563" s="4" t="n">
        <v>43.79</v>
      </c>
      <c r="J1563" s="14" t="n">
        <f aca="false">E1563-D1563</f>
        <v>-3</v>
      </c>
      <c r="K1563" s="14" t="n">
        <f aca="false">IF(J1563&lt;=0,1,0)</f>
        <v>1</v>
      </c>
      <c r="L1563" s="15" t="n">
        <f aca="false">IFERROR(G1563/F1563,0)</f>
        <v>1</v>
      </c>
      <c r="M1563" s="15" t="n">
        <f aca="false">IFERROR((I1563-H1563)/H1563,0)</f>
        <v>-0.037793891452428</v>
      </c>
      <c r="N1563" s="16" t="n">
        <f aca="false">G1563*I1563</f>
        <v>130756.94</v>
      </c>
    </row>
    <row r="1564" customFormat="false" ht="15" hidden="false" customHeight="true" outlineLevel="0" collapsed="false">
      <c r="A1564" s="4" t="s">
        <v>1740</v>
      </c>
      <c r="B1564" s="4" t="s">
        <v>95</v>
      </c>
      <c r="C1564" s="13" t="n">
        <v>45610</v>
      </c>
      <c r="D1564" s="13" t="n">
        <v>45616</v>
      </c>
      <c r="E1564" s="13" t="n">
        <v>45617</v>
      </c>
      <c r="F1564" s="4" t="n">
        <v>4747</v>
      </c>
      <c r="G1564" s="4" t="n">
        <v>4747</v>
      </c>
      <c r="H1564" s="4" t="n">
        <v>20.39</v>
      </c>
      <c r="I1564" s="4" t="n">
        <v>21.37</v>
      </c>
      <c r="J1564" s="14" t="n">
        <f aca="false">E1564-D1564</f>
        <v>1</v>
      </c>
      <c r="K1564" s="14" t="n">
        <f aca="false">IF(J1564&lt;=0,1,0)</f>
        <v>0</v>
      </c>
      <c r="L1564" s="15" t="n">
        <f aca="false">IFERROR(G1564/F1564,0)</f>
        <v>1</v>
      </c>
      <c r="M1564" s="15" t="n">
        <f aca="false">IFERROR((I1564-H1564)/H1564,0)</f>
        <v>0.0480627758705248</v>
      </c>
      <c r="N1564" s="16" t="n">
        <f aca="false">G1564*I1564</f>
        <v>101443.39</v>
      </c>
    </row>
    <row r="1565" customFormat="false" ht="15" hidden="false" customHeight="true" outlineLevel="0" collapsed="false">
      <c r="A1565" s="4" t="s">
        <v>1741</v>
      </c>
      <c r="B1565" s="4" t="s">
        <v>74</v>
      </c>
      <c r="C1565" s="13" t="n">
        <v>45474</v>
      </c>
      <c r="D1565" s="13" t="n">
        <v>45481</v>
      </c>
      <c r="E1565" s="13" t="n">
        <v>45486</v>
      </c>
      <c r="F1565" s="4" t="n">
        <v>19</v>
      </c>
      <c r="G1565" s="4" t="n">
        <v>18</v>
      </c>
      <c r="H1565" s="4" t="n">
        <v>1294.62</v>
      </c>
      <c r="I1565" s="4" t="n">
        <v>1362.66</v>
      </c>
      <c r="J1565" s="14" t="n">
        <f aca="false">E1565-D1565</f>
        <v>5</v>
      </c>
      <c r="K1565" s="14" t="n">
        <f aca="false">IF(J1565&lt;=0,1,0)</f>
        <v>0</v>
      </c>
      <c r="L1565" s="15" t="n">
        <f aca="false">IFERROR(G1565/F1565,0)</f>
        <v>0.947368421052632</v>
      </c>
      <c r="M1565" s="15" t="n">
        <f aca="false">IFERROR((I1565-H1565)/H1565,0)</f>
        <v>0.0525559623673357</v>
      </c>
      <c r="N1565" s="16" t="n">
        <f aca="false">G1565*I1565</f>
        <v>24527.88</v>
      </c>
    </row>
    <row r="1566" customFormat="false" ht="15" hidden="false" customHeight="true" outlineLevel="0" collapsed="false">
      <c r="A1566" s="4" t="s">
        <v>1742</v>
      </c>
      <c r="B1566" s="4" t="s">
        <v>74</v>
      </c>
      <c r="C1566" s="13" t="n">
        <v>44954</v>
      </c>
      <c r="D1566" s="13" t="n">
        <v>44960</v>
      </c>
      <c r="E1566" s="13" t="n">
        <v>44964</v>
      </c>
      <c r="F1566" s="4" t="n">
        <v>11</v>
      </c>
      <c r="G1566" s="4" t="n">
        <v>11</v>
      </c>
      <c r="H1566" s="4" t="n">
        <v>1294.62</v>
      </c>
      <c r="I1566" s="4" t="n">
        <v>1300.76</v>
      </c>
      <c r="J1566" s="14" t="n">
        <f aca="false">E1566-D1566</f>
        <v>4</v>
      </c>
      <c r="K1566" s="14" t="n">
        <f aca="false">IF(J1566&lt;=0,1,0)</f>
        <v>0</v>
      </c>
      <c r="L1566" s="15" t="n">
        <f aca="false">IFERROR(G1566/F1566,0)</f>
        <v>1</v>
      </c>
      <c r="M1566" s="15" t="n">
        <f aca="false">IFERROR((I1566-H1566)/H1566,0)</f>
        <v>0.00474270442291954</v>
      </c>
      <c r="N1566" s="16" t="n">
        <f aca="false">G1566*I1566</f>
        <v>14308.36</v>
      </c>
    </row>
    <row r="1567" customFormat="false" ht="15" hidden="false" customHeight="true" outlineLevel="0" collapsed="false">
      <c r="A1567" s="4" t="s">
        <v>1743</v>
      </c>
      <c r="B1567" s="4" t="s">
        <v>133</v>
      </c>
      <c r="C1567" s="13" t="n">
        <v>45599</v>
      </c>
      <c r="D1567" s="13" t="n">
        <v>45608</v>
      </c>
      <c r="E1567" s="13" t="n">
        <v>45614</v>
      </c>
      <c r="F1567" s="4" t="n">
        <v>1496</v>
      </c>
      <c r="G1567" s="4" t="n">
        <v>1442</v>
      </c>
      <c r="H1567" s="4" t="n">
        <v>138.21</v>
      </c>
      <c r="I1567" s="4" t="n">
        <v>141.6</v>
      </c>
      <c r="J1567" s="14" t="n">
        <f aca="false">E1567-D1567</f>
        <v>6</v>
      </c>
      <c r="K1567" s="14" t="n">
        <f aca="false">IF(J1567&lt;=0,1,0)</f>
        <v>0</v>
      </c>
      <c r="L1567" s="15" t="n">
        <f aca="false">IFERROR(G1567/F1567,0)</f>
        <v>0.963903743315508</v>
      </c>
      <c r="M1567" s="15" t="n">
        <f aca="false">IFERROR((I1567-H1567)/H1567,0)</f>
        <v>0.0245278923377468</v>
      </c>
      <c r="N1567" s="16" t="n">
        <f aca="false">G1567*I1567</f>
        <v>204187.2</v>
      </c>
    </row>
    <row r="1568" customFormat="false" ht="15" hidden="false" customHeight="true" outlineLevel="0" collapsed="false">
      <c r="A1568" s="4" t="s">
        <v>1744</v>
      </c>
      <c r="B1568" s="4" t="s">
        <v>145</v>
      </c>
      <c r="C1568" s="13" t="n">
        <v>45028</v>
      </c>
      <c r="D1568" s="13" t="n">
        <v>45037</v>
      </c>
      <c r="E1568" s="13" t="n">
        <v>45038</v>
      </c>
      <c r="F1568" s="4" t="n">
        <v>662</v>
      </c>
      <c r="G1568" s="4" t="n">
        <v>606</v>
      </c>
      <c r="H1568" s="4" t="n">
        <v>237.04</v>
      </c>
      <c r="I1568" s="4" t="n">
        <v>241.37</v>
      </c>
      <c r="J1568" s="14" t="n">
        <f aca="false">E1568-D1568</f>
        <v>1</v>
      </c>
      <c r="K1568" s="14" t="n">
        <f aca="false">IF(J1568&lt;=0,1,0)</f>
        <v>0</v>
      </c>
      <c r="L1568" s="15" t="n">
        <f aca="false">IFERROR(G1568/F1568,0)</f>
        <v>0.915407854984894</v>
      </c>
      <c r="M1568" s="15" t="n">
        <f aca="false">IFERROR((I1568-H1568)/H1568,0)</f>
        <v>0.0182669591630105</v>
      </c>
      <c r="N1568" s="16" t="n">
        <f aca="false">G1568*I1568</f>
        <v>146270.22</v>
      </c>
    </row>
    <row r="1569" customFormat="false" ht="15" hidden="false" customHeight="true" outlineLevel="0" collapsed="false">
      <c r="A1569" s="4" t="s">
        <v>1745</v>
      </c>
      <c r="B1569" s="4" t="s">
        <v>157</v>
      </c>
      <c r="C1569" s="13" t="n">
        <v>44951</v>
      </c>
      <c r="D1569" s="13" t="n">
        <v>44958</v>
      </c>
      <c r="E1569" s="13" t="n">
        <v>44951</v>
      </c>
      <c r="F1569" s="4" t="n">
        <v>3235</v>
      </c>
      <c r="G1569" s="4" t="n">
        <v>3068</v>
      </c>
      <c r="H1569" s="4" t="n">
        <v>13.1</v>
      </c>
      <c r="I1569" s="4" t="n">
        <v>13.2</v>
      </c>
      <c r="J1569" s="14" t="n">
        <f aca="false">E1569-D1569</f>
        <v>-7</v>
      </c>
      <c r="K1569" s="14" t="n">
        <f aca="false">IF(J1569&lt;=0,1,0)</f>
        <v>1</v>
      </c>
      <c r="L1569" s="15" t="n">
        <f aca="false">IFERROR(G1569/F1569,0)</f>
        <v>0.948377125193199</v>
      </c>
      <c r="M1569" s="15" t="n">
        <f aca="false">IFERROR((I1569-H1569)/H1569,0)</f>
        <v>0.00763358778625952</v>
      </c>
      <c r="N1569" s="16" t="n">
        <f aca="false">G1569*I1569</f>
        <v>40497.6</v>
      </c>
    </row>
    <row r="1570" customFormat="false" ht="15" hidden="false" customHeight="true" outlineLevel="0" collapsed="false">
      <c r="A1570" s="4" t="s">
        <v>1746</v>
      </c>
      <c r="B1570" s="4" t="s">
        <v>72</v>
      </c>
      <c r="C1570" s="13" t="n">
        <v>45395</v>
      </c>
      <c r="D1570" s="13" t="n">
        <v>45401</v>
      </c>
      <c r="E1570" s="13" t="n">
        <v>45405</v>
      </c>
      <c r="F1570" s="4" t="n">
        <v>1317</v>
      </c>
      <c r="G1570" s="4" t="n">
        <v>1256</v>
      </c>
      <c r="H1570" s="4" t="n">
        <v>34.53</v>
      </c>
      <c r="I1570" s="4" t="n">
        <v>35.99</v>
      </c>
      <c r="J1570" s="14" t="n">
        <f aca="false">E1570-D1570</f>
        <v>4</v>
      </c>
      <c r="K1570" s="14" t="n">
        <f aca="false">IF(J1570&lt;=0,1,0)</f>
        <v>0</v>
      </c>
      <c r="L1570" s="15" t="n">
        <f aca="false">IFERROR(G1570/F1570,0)</f>
        <v>0.953682611996963</v>
      </c>
      <c r="M1570" s="15" t="n">
        <f aca="false">IFERROR((I1570-H1570)/H1570,0)</f>
        <v>0.0422820735592239</v>
      </c>
      <c r="N1570" s="16" t="n">
        <f aca="false">G1570*I1570</f>
        <v>45203.44</v>
      </c>
    </row>
    <row r="1571" customFormat="false" ht="15" hidden="false" customHeight="true" outlineLevel="0" collapsed="false">
      <c r="A1571" s="4" t="s">
        <v>1747</v>
      </c>
      <c r="B1571" s="4" t="s">
        <v>119</v>
      </c>
      <c r="C1571" s="13" t="n">
        <v>45130</v>
      </c>
      <c r="D1571" s="13" t="n">
        <v>45138</v>
      </c>
      <c r="E1571" s="13" t="n">
        <v>45139</v>
      </c>
      <c r="F1571" s="4" t="n">
        <v>1095</v>
      </c>
      <c r="G1571" s="4" t="n">
        <v>1095</v>
      </c>
      <c r="H1571" s="4" t="n">
        <v>50.92</v>
      </c>
      <c r="I1571" s="4" t="n">
        <v>49.29</v>
      </c>
      <c r="J1571" s="14" t="n">
        <f aca="false">E1571-D1571</f>
        <v>1</v>
      </c>
      <c r="K1571" s="14" t="n">
        <f aca="false">IF(J1571&lt;=0,1,0)</f>
        <v>0</v>
      </c>
      <c r="L1571" s="15" t="n">
        <f aca="false">IFERROR(G1571/F1571,0)</f>
        <v>1</v>
      </c>
      <c r="M1571" s="15" t="n">
        <f aca="false">IFERROR((I1571-H1571)/H1571,0)</f>
        <v>-0.0320109976433622</v>
      </c>
      <c r="N1571" s="16" t="n">
        <f aca="false">G1571*I1571</f>
        <v>53972.55</v>
      </c>
    </row>
    <row r="1572" customFormat="false" ht="15" hidden="false" customHeight="true" outlineLevel="0" collapsed="false">
      <c r="A1572" s="4" t="s">
        <v>1748</v>
      </c>
      <c r="B1572" s="4" t="s">
        <v>109</v>
      </c>
      <c r="C1572" s="13" t="n">
        <v>44947</v>
      </c>
      <c r="D1572" s="13" t="n">
        <v>44964</v>
      </c>
      <c r="E1572" s="13" t="n">
        <v>44964</v>
      </c>
      <c r="F1572" s="4" t="n">
        <v>410</v>
      </c>
      <c r="G1572" s="4" t="n">
        <v>399</v>
      </c>
      <c r="H1572" s="4" t="n">
        <v>858.02</v>
      </c>
      <c r="I1572" s="4" t="n">
        <v>851.36</v>
      </c>
      <c r="J1572" s="14" t="n">
        <f aca="false">E1572-D1572</f>
        <v>0</v>
      </c>
      <c r="K1572" s="14" t="n">
        <f aca="false">IF(J1572&lt;=0,1,0)</f>
        <v>1</v>
      </c>
      <c r="L1572" s="15" t="n">
        <f aca="false">IFERROR(G1572/F1572,0)</f>
        <v>0.973170731707317</v>
      </c>
      <c r="M1572" s="15" t="n">
        <f aca="false">IFERROR((I1572-H1572)/H1572,0)</f>
        <v>-0.00776205682851212</v>
      </c>
      <c r="N1572" s="16" t="n">
        <f aca="false">G1572*I1572</f>
        <v>339692.64</v>
      </c>
    </row>
    <row r="1573" customFormat="false" ht="15" hidden="false" customHeight="true" outlineLevel="0" collapsed="false">
      <c r="A1573" s="4" t="s">
        <v>1749</v>
      </c>
      <c r="B1573" s="4" t="s">
        <v>151</v>
      </c>
      <c r="C1573" s="13" t="n">
        <v>45044</v>
      </c>
      <c r="D1573" s="13" t="n">
        <v>45050</v>
      </c>
      <c r="E1573" s="13" t="n">
        <v>45051</v>
      </c>
      <c r="F1573" s="4" t="n">
        <v>9</v>
      </c>
      <c r="G1573" s="4" t="n">
        <v>9</v>
      </c>
      <c r="H1573" s="4" t="n">
        <v>503.46</v>
      </c>
      <c r="I1573" s="4" t="n">
        <v>505.66</v>
      </c>
      <c r="J1573" s="14" t="n">
        <f aca="false">E1573-D1573</f>
        <v>1</v>
      </c>
      <c r="K1573" s="14" t="n">
        <f aca="false">IF(J1573&lt;=0,1,0)</f>
        <v>0</v>
      </c>
      <c r="L1573" s="15" t="n">
        <f aca="false">IFERROR(G1573/F1573,0)</f>
        <v>1</v>
      </c>
      <c r="M1573" s="15" t="n">
        <f aca="false">IFERROR((I1573-H1573)/H1573,0)</f>
        <v>0.00436976125213532</v>
      </c>
      <c r="N1573" s="16" t="n">
        <f aca="false">G1573*I1573</f>
        <v>4550.94</v>
      </c>
    </row>
    <row r="1574" customFormat="false" ht="15" hidden="false" customHeight="true" outlineLevel="0" collapsed="false">
      <c r="A1574" s="4" t="s">
        <v>1750</v>
      </c>
      <c r="B1574" s="4" t="s">
        <v>91</v>
      </c>
      <c r="C1574" s="13" t="n">
        <v>45591</v>
      </c>
      <c r="D1574" s="13" t="n">
        <v>45609</v>
      </c>
      <c r="E1574" s="13" t="n">
        <v>45609</v>
      </c>
      <c r="F1574" s="4" t="n">
        <v>470</v>
      </c>
      <c r="G1574" s="4" t="n">
        <v>447</v>
      </c>
      <c r="H1574" s="4" t="n">
        <v>496.29</v>
      </c>
      <c r="I1574" s="4" t="n">
        <v>479.38</v>
      </c>
      <c r="J1574" s="14" t="n">
        <f aca="false">E1574-D1574</f>
        <v>0</v>
      </c>
      <c r="K1574" s="14" t="n">
        <f aca="false">IF(J1574&lt;=0,1,0)</f>
        <v>1</v>
      </c>
      <c r="L1574" s="15" t="n">
        <f aca="false">IFERROR(G1574/F1574,0)</f>
        <v>0.951063829787234</v>
      </c>
      <c r="M1574" s="15" t="n">
        <f aca="false">IFERROR((I1574-H1574)/H1574,0)</f>
        <v>-0.0340728203268251</v>
      </c>
      <c r="N1574" s="16" t="n">
        <f aca="false">G1574*I1574</f>
        <v>214282.86</v>
      </c>
    </row>
    <row r="1575" customFormat="false" ht="15" hidden="false" customHeight="true" outlineLevel="0" collapsed="false">
      <c r="A1575" s="4" t="s">
        <v>1751</v>
      </c>
      <c r="B1575" s="4" t="s">
        <v>72</v>
      </c>
      <c r="C1575" s="13" t="n">
        <v>44927</v>
      </c>
      <c r="D1575" s="13" t="n">
        <v>44935</v>
      </c>
      <c r="E1575" s="13" t="n">
        <v>44941</v>
      </c>
      <c r="F1575" s="4" t="n">
        <v>4895</v>
      </c>
      <c r="G1575" s="4" t="n">
        <v>4731</v>
      </c>
      <c r="H1575" s="4" t="n">
        <v>34.53</v>
      </c>
      <c r="I1575" s="4" t="n">
        <v>34.05</v>
      </c>
      <c r="J1575" s="14" t="n">
        <f aca="false">E1575-D1575</f>
        <v>6</v>
      </c>
      <c r="K1575" s="14" t="n">
        <f aca="false">IF(J1575&lt;=0,1,0)</f>
        <v>0</v>
      </c>
      <c r="L1575" s="15" t="n">
        <f aca="false">IFERROR(G1575/F1575,0)</f>
        <v>0.966496424923391</v>
      </c>
      <c r="M1575" s="15" t="n">
        <f aca="false">IFERROR((I1575-H1575)/H1575,0)</f>
        <v>-0.0139009556907039</v>
      </c>
      <c r="N1575" s="16" t="n">
        <f aca="false">G1575*I1575</f>
        <v>161090.55</v>
      </c>
    </row>
    <row r="1576" customFormat="false" ht="15" hidden="false" customHeight="true" outlineLevel="0" collapsed="false">
      <c r="A1576" s="4" t="s">
        <v>1752</v>
      </c>
      <c r="B1576" s="4" t="s">
        <v>103</v>
      </c>
      <c r="C1576" s="13" t="n">
        <v>45374</v>
      </c>
      <c r="D1576" s="13" t="n">
        <v>45393</v>
      </c>
      <c r="E1576" s="13" t="n">
        <v>45405</v>
      </c>
      <c r="F1576" s="4" t="n">
        <v>246</v>
      </c>
      <c r="G1576" s="4" t="n">
        <v>246</v>
      </c>
      <c r="H1576" s="4" t="n">
        <v>1400.22</v>
      </c>
      <c r="I1576" s="4" t="n">
        <v>1436.53</v>
      </c>
      <c r="J1576" s="14" t="n">
        <f aca="false">E1576-D1576</f>
        <v>12</v>
      </c>
      <c r="K1576" s="14" t="n">
        <f aca="false">IF(J1576&lt;=0,1,0)</f>
        <v>0</v>
      </c>
      <c r="L1576" s="15" t="n">
        <f aca="false">IFERROR(G1576/F1576,0)</f>
        <v>1</v>
      </c>
      <c r="M1576" s="15" t="n">
        <f aca="false">IFERROR((I1576-H1576)/H1576,0)</f>
        <v>0.0259316393138221</v>
      </c>
      <c r="N1576" s="16" t="n">
        <f aca="false">G1576*I1576</f>
        <v>353386.38</v>
      </c>
    </row>
    <row r="1577" customFormat="false" ht="15" hidden="false" customHeight="true" outlineLevel="0" collapsed="false">
      <c r="A1577" s="4" t="s">
        <v>1753</v>
      </c>
      <c r="B1577" s="4" t="s">
        <v>61</v>
      </c>
      <c r="C1577" s="13" t="n">
        <v>45602</v>
      </c>
      <c r="D1577" s="13" t="n">
        <v>45611</v>
      </c>
      <c r="E1577" s="13" t="n">
        <v>45618</v>
      </c>
      <c r="F1577" s="4" t="n">
        <v>1986</v>
      </c>
      <c r="G1577" s="4" t="n">
        <v>1960</v>
      </c>
      <c r="H1577" s="4" t="n">
        <v>107.41</v>
      </c>
      <c r="I1577" s="4" t="n">
        <v>107.62</v>
      </c>
      <c r="J1577" s="14" t="n">
        <f aca="false">E1577-D1577</f>
        <v>7</v>
      </c>
      <c r="K1577" s="14" t="n">
        <f aca="false">IF(J1577&lt;=0,1,0)</f>
        <v>0</v>
      </c>
      <c r="L1577" s="15" t="n">
        <f aca="false">IFERROR(G1577/F1577,0)</f>
        <v>0.986908358509567</v>
      </c>
      <c r="M1577" s="15" t="n">
        <f aca="false">IFERROR((I1577-H1577)/H1577,0)</f>
        <v>0.00195512522111543</v>
      </c>
      <c r="N1577" s="16" t="n">
        <f aca="false">G1577*I1577</f>
        <v>210935.2</v>
      </c>
    </row>
    <row r="1578" customFormat="false" ht="15" hidden="false" customHeight="true" outlineLevel="0" collapsed="false">
      <c r="A1578" s="4" t="s">
        <v>1754</v>
      </c>
      <c r="B1578" s="4" t="s">
        <v>159</v>
      </c>
      <c r="C1578" s="13" t="n">
        <v>45301</v>
      </c>
      <c r="D1578" s="13" t="n">
        <v>45307</v>
      </c>
      <c r="E1578" s="13" t="n">
        <v>45305</v>
      </c>
      <c r="F1578" s="4" t="n">
        <v>3356</v>
      </c>
      <c r="G1578" s="4" t="n">
        <v>3355</v>
      </c>
      <c r="H1578" s="4" t="n">
        <v>32.91</v>
      </c>
      <c r="I1578" s="4" t="n">
        <v>33.14</v>
      </c>
      <c r="J1578" s="14" t="n">
        <f aca="false">E1578-D1578</f>
        <v>-2</v>
      </c>
      <c r="K1578" s="14" t="n">
        <f aca="false">IF(J1578&lt;=0,1,0)</f>
        <v>1</v>
      </c>
      <c r="L1578" s="15" t="n">
        <f aca="false">IFERROR(G1578/F1578,0)</f>
        <v>0.999702026221693</v>
      </c>
      <c r="M1578" s="15" t="n">
        <f aca="false">IFERROR((I1578-H1578)/H1578,0)</f>
        <v>0.0069887572166516</v>
      </c>
      <c r="N1578" s="16" t="n">
        <f aca="false">G1578*I1578</f>
        <v>111184.7</v>
      </c>
    </row>
    <row r="1579" customFormat="false" ht="15" hidden="false" customHeight="true" outlineLevel="0" collapsed="false">
      <c r="A1579" s="4" t="s">
        <v>1755</v>
      </c>
      <c r="B1579" s="4" t="s">
        <v>107</v>
      </c>
      <c r="C1579" s="13" t="n">
        <v>44987</v>
      </c>
      <c r="D1579" s="13" t="n">
        <v>44995</v>
      </c>
      <c r="E1579" s="13" t="n">
        <v>44995</v>
      </c>
      <c r="F1579" s="4" t="n">
        <v>2076</v>
      </c>
      <c r="G1579" s="4" t="n">
        <v>2076</v>
      </c>
      <c r="H1579" s="4" t="n">
        <v>40.41</v>
      </c>
      <c r="I1579" s="4" t="n">
        <v>40.75</v>
      </c>
      <c r="J1579" s="14" t="n">
        <f aca="false">E1579-D1579</f>
        <v>0</v>
      </c>
      <c r="K1579" s="14" t="n">
        <f aca="false">IF(J1579&lt;=0,1,0)</f>
        <v>1</v>
      </c>
      <c r="L1579" s="15" t="n">
        <f aca="false">IFERROR(G1579/F1579,0)</f>
        <v>1</v>
      </c>
      <c r="M1579" s="15" t="n">
        <f aca="false">IFERROR((I1579-H1579)/H1579,0)</f>
        <v>0.00841375897055193</v>
      </c>
      <c r="N1579" s="16" t="n">
        <f aca="false">G1579*I1579</f>
        <v>84597</v>
      </c>
    </row>
    <row r="1580" customFormat="false" ht="15" hidden="false" customHeight="true" outlineLevel="0" collapsed="false">
      <c r="A1580" s="4" t="s">
        <v>1756</v>
      </c>
      <c r="B1580" s="4" t="s">
        <v>74</v>
      </c>
      <c r="C1580" s="13" t="n">
        <v>45334</v>
      </c>
      <c r="D1580" s="13" t="n">
        <v>45339</v>
      </c>
      <c r="E1580" s="13" t="n">
        <v>45343</v>
      </c>
      <c r="F1580" s="4" t="n">
        <v>6</v>
      </c>
      <c r="G1580" s="4" t="n">
        <v>6</v>
      </c>
      <c r="H1580" s="4" t="n">
        <v>1294.62</v>
      </c>
      <c r="I1580" s="4" t="n">
        <v>1334.13</v>
      </c>
      <c r="J1580" s="14" t="n">
        <f aca="false">E1580-D1580</f>
        <v>4</v>
      </c>
      <c r="K1580" s="14" t="n">
        <f aca="false">IF(J1580&lt;=0,1,0)</f>
        <v>0</v>
      </c>
      <c r="L1580" s="15" t="n">
        <f aca="false">IFERROR(G1580/F1580,0)</f>
        <v>1</v>
      </c>
      <c r="M1580" s="15" t="n">
        <f aca="false">IFERROR((I1580-H1580)/H1580,0)</f>
        <v>0.0305186077767995</v>
      </c>
      <c r="N1580" s="16" t="n">
        <f aca="false">G1580*I1580</f>
        <v>8004.78</v>
      </c>
    </row>
    <row r="1581" customFormat="false" ht="15" hidden="false" customHeight="true" outlineLevel="0" collapsed="false">
      <c r="A1581" s="4" t="s">
        <v>1757</v>
      </c>
      <c r="B1581" s="4" t="s">
        <v>91</v>
      </c>
      <c r="C1581" s="13" t="n">
        <v>45638</v>
      </c>
      <c r="D1581" s="13" t="n">
        <v>45656</v>
      </c>
      <c r="E1581" s="13" t="n">
        <v>45657</v>
      </c>
      <c r="F1581" s="4" t="n">
        <v>271</v>
      </c>
      <c r="G1581" s="4" t="n">
        <v>258</v>
      </c>
      <c r="H1581" s="4" t="n">
        <v>496.29</v>
      </c>
      <c r="I1581" s="4" t="n">
        <v>480.97</v>
      </c>
      <c r="J1581" s="14" t="n">
        <f aca="false">E1581-D1581</f>
        <v>1</v>
      </c>
      <c r="K1581" s="14" t="n">
        <f aca="false">IF(J1581&lt;=0,1,0)</f>
        <v>0</v>
      </c>
      <c r="L1581" s="15" t="n">
        <f aca="false">IFERROR(G1581/F1581,0)</f>
        <v>0.952029520295203</v>
      </c>
      <c r="M1581" s="15" t="n">
        <f aca="false">IFERROR((I1581-H1581)/H1581,0)</f>
        <v>-0.0308690483386729</v>
      </c>
      <c r="N1581" s="16" t="n">
        <f aca="false">G1581*I1581</f>
        <v>124090.26</v>
      </c>
    </row>
    <row r="1582" customFormat="false" ht="15" hidden="false" customHeight="true" outlineLevel="0" collapsed="false">
      <c r="A1582" s="4" t="s">
        <v>1758</v>
      </c>
      <c r="B1582" s="4" t="s">
        <v>99</v>
      </c>
      <c r="C1582" s="13" t="n">
        <v>45261</v>
      </c>
      <c r="D1582" s="13" t="n">
        <v>45268</v>
      </c>
      <c r="E1582" s="13" t="n">
        <v>45274</v>
      </c>
      <c r="F1582" s="4" t="n">
        <v>4310</v>
      </c>
      <c r="G1582" s="4" t="n">
        <v>3831</v>
      </c>
      <c r="H1582" s="4" t="n">
        <v>11.5</v>
      </c>
      <c r="I1582" s="4" t="n">
        <v>12.1</v>
      </c>
      <c r="J1582" s="14" t="n">
        <f aca="false">E1582-D1582</f>
        <v>6</v>
      </c>
      <c r="K1582" s="14" t="n">
        <f aca="false">IF(J1582&lt;=0,1,0)</f>
        <v>0</v>
      </c>
      <c r="L1582" s="15" t="n">
        <f aca="false">IFERROR(G1582/F1582,0)</f>
        <v>0.888863109048724</v>
      </c>
      <c r="M1582" s="15" t="n">
        <f aca="false">IFERROR((I1582-H1582)/H1582,0)</f>
        <v>0.0521739130434782</v>
      </c>
      <c r="N1582" s="16" t="n">
        <f aca="false">G1582*I1582</f>
        <v>46355.1</v>
      </c>
    </row>
    <row r="1583" customFormat="false" ht="15" hidden="false" customHeight="true" outlineLevel="0" collapsed="false">
      <c r="A1583" s="4" t="s">
        <v>1759</v>
      </c>
      <c r="B1583" s="4" t="s">
        <v>68</v>
      </c>
      <c r="C1583" s="13" t="n">
        <v>45045</v>
      </c>
      <c r="D1583" s="13" t="n">
        <v>45063</v>
      </c>
      <c r="E1583" s="13" t="n">
        <v>45064</v>
      </c>
      <c r="F1583" s="4" t="n">
        <v>202</v>
      </c>
      <c r="G1583" s="4" t="n">
        <v>180</v>
      </c>
      <c r="H1583" s="4" t="n">
        <v>1232.83</v>
      </c>
      <c r="I1583" s="4" t="n">
        <v>1240.84</v>
      </c>
      <c r="J1583" s="14" t="n">
        <f aca="false">E1583-D1583</f>
        <v>1</v>
      </c>
      <c r="K1583" s="14" t="n">
        <f aca="false">IF(J1583&lt;=0,1,0)</f>
        <v>0</v>
      </c>
      <c r="L1583" s="15" t="n">
        <f aca="false">IFERROR(G1583/F1583,0)</f>
        <v>0.891089108910891</v>
      </c>
      <c r="M1583" s="15" t="n">
        <f aca="false">IFERROR((I1583-H1583)/H1583,0)</f>
        <v>0.00649724617343834</v>
      </c>
      <c r="N1583" s="16" t="n">
        <f aca="false">G1583*I1583</f>
        <v>223351.2</v>
      </c>
    </row>
    <row r="1584" customFormat="false" ht="15" hidden="false" customHeight="true" outlineLevel="0" collapsed="false">
      <c r="A1584" s="4" t="s">
        <v>1760</v>
      </c>
      <c r="B1584" s="4" t="s">
        <v>55</v>
      </c>
      <c r="C1584" s="13" t="n">
        <v>45065</v>
      </c>
      <c r="D1584" s="13" t="n">
        <v>45085</v>
      </c>
      <c r="E1584" s="13" t="n">
        <v>45086</v>
      </c>
      <c r="F1584" s="4" t="n">
        <v>225</v>
      </c>
      <c r="G1584" s="4" t="n">
        <v>218</v>
      </c>
      <c r="H1584" s="4" t="n">
        <v>598.09</v>
      </c>
      <c r="I1584" s="4" t="n">
        <v>584.72</v>
      </c>
      <c r="J1584" s="14" t="n">
        <f aca="false">E1584-D1584</f>
        <v>1</v>
      </c>
      <c r="K1584" s="14" t="n">
        <f aca="false">IF(J1584&lt;=0,1,0)</f>
        <v>0</v>
      </c>
      <c r="L1584" s="15" t="n">
        <f aca="false">IFERROR(G1584/F1584,0)</f>
        <v>0.968888888888889</v>
      </c>
      <c r="M1584" s="15" t="n">
        <f aca="false">IFERROR((I1584-H1584)/H1584,0)</f>
        <v>-0.0223544951428715</v>
      </c>
      <c r="N1584" s="16" t="n">
        <f aca="false">G1584*I1584</f>
        <v>127468.96</v>
      </c>
    </row>
    <row r="1585" customFormat="false" ht="15" hidden="false" customHeight="true" outlineLevel="0" collapsed="false">
      <c r="A1585" s="4" t="s">
        <v>1761</v>
      </c>
      <c r="B1585" s="4" t="s">
        <v>74</v>
      </c>
      <c r="C1585" s="13" t="n">
        <v>45240</v>
      </c>
      <c r="D1585" s="13" t="n">
        <v>45246</v>
      </c>
      <c r="E1585" s="13" t="n">
        <v>45251</v>
      </c>
      <c r="F1585" s="4" t="n">
        <v>19</v>
      </c>
      <c r="G1585" s="4" t="n">
        <v>19</v>
      </c>
      <c r="H1585" s="4" t="n">
        <v>1294.62</v>
      </c>
      <c r="I1585" s="4" t="n">
        <v>1321.91</v>
      </c>
      <c r="J1585" s="14" t="n">
        <f aca="false">E1585-D1585</f>
        <v>5</v>
      </c>
      <c r="K1585" s="14" t="n">
        <f aca="false">IF(J1585&lt;=0,1,0)</f>
        <v>0</v>
      </c>
      <c r="L1585" s="15" t="n">
        <f aca="false">IFERROR(G1585/F1585,0)</f>
        <v>1</v>
      </c>
      <c r="M1585" s="15" t="n">
        <f aca="false">IFERROR((I1585-H1585)/H1585,0)</f>
        <v>0.0210795445767872</v>
      </c>
      <c r="N1585" s="16" t="n">
        <f aca="false">G1585*I1585</f>
        <v>25116.29</v>
      </c>
    </row>
    <row r="1586" customFormat="false" ht="15" hidden="false" customHeight="true" outlineLevel="0" collapsed="false">
      <c r="A1586" s="4" t="s">
        <v>1762</v>
      </c>
      <c r="B1586" s="4" t="s">
        <v>119</v>
      </c>
      <c r="C1586" s="13" t="n">
        <v>45461</v>
      </c>
      <c r="D1586" s="13" t="n">
        <v>45468</v>
      </c>
      <c r="E1586" s="13" t="n">
        <v>45473</v>
      </c>
      <c r="F1586" s="4" t="n">
        <v>4913</v>
      </c>
      <c r="G1586" s="4" t="n">
        <v>4834</v>
      </c>
      <c r="H1586" s="4" t="n">
        <v>50.92</v>
      </c>
      <c r="I1586" s="4" t="n">
        <v>47.77</v>
      </c>
      <c r="J1586" s="14" t="n">
        <f aca="false">E1586-D1586</f>
        <v>5</v>
      </c>
      <c r="K1586" s="14" t="n">
        <f aca="false">IF(J1586&lt;=0,1,0)</f>
        <v>0</v>
      </c>
      <c r="L1586" s="15" t="n">
        <f aca="false">IFERROR(G1586/F1586,0)</f>
        <v>0.983920211683289</v>
      </c>
      <c r="M1586" s="15" t="n">
        <f aca="false">IFERROR((I1586-H1586)/H1586,0)</f>
        <v>-0.0618617439120188</v>
      </c>
      <c r="N1586" s="16" t="n">
        <f aca="false">G1586*I1586</f>
        <v>230920.18</v>
      </c>
    </row>
    <row r="1587" customFormat="false" ht="15" hidden="false" customHeight="true" outlineLevel="0" collapsed="false">
      <c r="A1587" s="4" t="s">
        <v>1763</v>
      </c>
      <c r="B1587" s="4" t="s">
        <v>107</v>
      </c>
      <c r="C1587" s="13" t="n">
        <v>45159</v>
      </c>
      <c r="D1587" s="13" t="n">
        <v>45166</v>
      </c>
      <c r="E1587" s="13" t="n">
        <v>45171</v>
      </c>
      <c r="F1587" s="4" t="n">
        <v>2826</v>
      </c>
      <c r="G1587" s="4" t="n">
        <v>2826</v>
      </c>
      <c r="H1587" s="4" t="n">
        <v>40.41</v>
      </c>
      <c r="I1587" s="4" t="n">
        <v>40.04</v>
      </c>
      <c r="J1587" s="14" t="n">
        <f aca="false">E1587-D1587</f>
        <v>5</v>
      </c>
      <c r="K1587" s="14" t="n">
        <f aca="false">IF(J1587&lt;=0,1,0)</f>
        <v>0</v>
      </c>
      <c r="L1587" s="15" t="n">
        <f aca="false">IFERROR(G1587/F1587,0)</f>
        <v>1</v>
      </c>
      <c r="M1587" s="15" t="n">
        <f aca="false">IFERROR((I1587-H1587)/H1587,0)</f>
        <v>-0.00915614946795341</v>
      </c>
      <c r="N1587" s="16" t="n">
        <f aca="false">G1587*I1587</f>
        <v>113153.04</v>
      </c>
    </row>
    <row r="1588" customFormat="false" ht="15" hidden="false" customHeight="true" outlineLevel="0" collapsed="false">
      <c r="A1588" s="4" t="s">
        <v>1764</v>
      </c>
      <c r="B1588" s="4" t="s">
        <v>139</v>
      </c>
      <c r="C1588" s="13" t="n">
        <v>44968</v>
      </c>
      <c r="D1588" s="13" t="n">
        <v>44978</v>
      </c>
      <c r="E1588" s="13" t="n">
        <v>44975</v>
      </c>
      <c r="F1588" s="4" t="n">
        <v>1986</v>
      </c>
      <c r="G1588" s="4" t="n">
        <v>1759</v>
      </c>
      <c r="H1588" s="4" t="n">
        <v>207.64</v>
      </c>
      <c r="I1588" s="4" t="n">
        <v>211.99</v>
      </c>
      <c r="J1588" s="14" t="n">
        <f aca="false">E1588-D1588</f>
        <v>-3</v>
      </c>
      <c r="K1588" s="14" t="n">
        <f aca="false">IF(J1588&lt;=0,1,0)</f>
        <v>1</v>
      </c>
      <c r="L1588" s="15" t="n">
        <f aca="false">IFERROR(G1588/F1588,0)</f>
        <v>0.885699899295065</v>
      </c>
      <c r="M1588" s="15" t="n">
        <f aca="false">IFERROR((I1588-H1588)/H1588,0)</f>
        <v>0.0209497206703912</v>
      </c>
      <c r="N1588" s="16" t="n">
        <f aca="false">G1588*I1588</f>
        <v>372890.41</v>
      </c>
    </row>
    <row r="1589" customFormat="false" ht="15" hidden="false" customHeight="true" outlineLevel="0" collapsed="false">
      <c r="A1589" s="4" t="s">
        <v>1765</v>
      </c>
      <c r="B1589" s="4" t="s">
        <v>127</v>
      </c>
      <c r="C1589" s="13" t="n">
        <v>45601</v>
      </c>
      <c r="D1589" s="13" t="n">
        <v>45607</v>
      </c>
      <c r="E1589" s="13" t="n">
        <v>45608</v>
      </c>
      <c r="F1589" s="4" t="n">
        <v>1</v>
      </c>
      <c r="G1589" s="4" t="n">
        <v>1</v>
      </c>
      <c r="H1589" s="4" t="n">
        <v>1881</v>
      </c>
      <c r="I1589" s="4" t="n">
        <v>1737.74</v>
      </c>
      <c r="J1589" s="14" t="n">
        <f aca="false">E1589-D1589</f>
        <v>1</v>
      </c>
      <c r="K1589" s="14" t="n">
        <f aca="false">IF(J1589&lt;=0,1,0)</f>
        <v>0</v>
      </c>
      <c r="L1589" s="15" t="n">
        <f aca="false">IFERROR(G1589/F1589,0)</f>
        <v>1</v>
      </c>
      <c r="M1589" s="15" t="n">
        <f aca="false">IFERROR((I1589-H1589)/H1589,0)</f>
        <v>-0.0761616161616162</v>
      </c>
      <c r="N1589" s="16" t="n">
        <f aca="false">G1589*I1589</f>
        <v>1737.74</v>
      </c>
    </row>
    <row r="1590" customFormat="false" ht="15" hidden="false" customHeight="true" outlineLevel="0" collapsed="false">
      <c r="A1590" s="4" t="s">
        <v>1766</v>
      </c>
      <c r="B1590" s="4" t="s">
        <v>163</v>
      </c>
      <c r="C1590" s="13" t="n">
        <v>45285</v>
      </c>
      <c r="D1590" s="13" t="n">
        <v>45305</v>
      </c>
      <c r="E1590" s="13" t="n">
        <v>45303</v>
      </c>
      <c r="F1590" s="4" t="n">
        <v>474</v>
      </c>
      <c r="G1590" s="4" t="n">
        <v>474</v>
      </c>
      <c r="H1590" s="4" t="n">
        <v>482.79</v>
      </c>
      <c r="I1590" s="4" t="n">
        <v>488.58</v>
      </c>
      <c r="J1590" s="14" t="n">
        <f aca="false">E1590-D1590</f>
        <v>-2</v>
      </c>
      <c r="K1590" s="14" t="n">
        <f aca="false">IF(J1590&lt;=0,1,0)</f>
        <v>1</v>
      </c>
      <c r="L1590" s="15" t="n">
        <f aca="false">IFERROR(G1590/F1590,0)</f>
        <v>1</v>
      </c>
      <c r="M1590" s="15" t="n">
        <f aca="false">IFERROR((I1590-H1590)/H1590,0)</f>
        <v>0.011992791897098</v>
      </c>
      <c r="N1590" s="16" t="n">
        <f aca="false">G1590*I1590</f>
        <v>231586.92</v>
      </c>
    </row>
    <row r="1591" customFormat="false" ht="15" hidden="false" customHeight="true" outlineLevel="0" collapsed="false">
      <c r="A1591" s="4" t="s">
        <v>1767</v>
      </c>
      <c r="B1591" s="4" t="s">
        <v>50</v>
      </c>
      <c r="C1591" s="13" t="n">
        <v>45014</v>
      </c>
      <c r="D1591" s="13" t="n">
        <v>45033</v>
      </c>
      <c r="E1591" s="13" t="n">
        <v>45029</v>
      </c>
      <c r="F1591" s="4" t="n">
        <v>52</v>
      </c>
      <c r="G1591" s="4" t="n">
        <v>51</v>
      </c>
      <c r="H1591" s="4" t="n">
        <v>707.19</v>
      </c>
      <c r="I1591" s="4" t="n">
        <v>717.41</v>
      </c>
      <c r="J1591" s="14" t="n">
        <f aca="false">E1591-D1591</f>
        <v>-4</v>
      </c>
      <c r="K1591" s="14" t="n">
        <f aca="false">IF(J1591&lt;=0,1,0)</f>
        <v>1</v>
      </c>
      <c r="L1591" s="15" t="n">
        <f aca="false">IFERROR(G1591/F1591,0)</f>
        <v>0.980769230769231</v>
      </c>
      <c r="M1591" s="15" t="n">
        <f aca="false">IFERROR((I1591-H1591)/H1591,0)</f>
        <v>0.0144515618150708</v>
      </c>
      <c r="N1591" s="16" t="n">
        <f aca="false">G1591*I1591</f>
        <v>36587.91</v>
      </c>
    </row>
    <row r="1592" customFormat="false" ht="15" hidden="false" customHeight="true" outlineLevel="0" collapsed="false">
      <c r="A1592" s="4" t="s">
        <v>1768</v>
      </c>
      <c r="B1592" s="4" t="s">
        <v>101</v>
      </c>
      <c r="C1592" s="13" t="n">
        <v>45302</v>
      </c>
      <c r="D1592" s="13" t="n">
        <v>45319</v>
      </c>
      <c r="E1592" s="13" t="n">
        <v>45321</v>
      </c>
      <c r="F1592" s="4" t="n">
        <v>98</v>
      </c>
      <c r="G1592" s="4" t="n">
        <v>92</v>
      </c>
      <c r="H1592" s="4" t="n">
        <v>442.74</v>
      </c>
      <c r="I1592" s="4" t="n">
        <v>436.88</v>
      </c>
      <c r="J1592" s="14" t="n">
        <f aca="false">E1592-D1592</f>
        <v>2</v>
      </c>
      <c r="K1592" s="14" t="n">
        <f aca="false">IF(J1592&lt;=0,1,0)</f>
        <v>0</v>
      </c>
      <c r="L1592" s="15" t="n">
        <f aca="false">IFERROR(G1592/F1592,0)</f>
        <v>0.938775510204082</v>
      </c>
      <c r="M1592" s="15" t="n">
        <f aca="false">IFERROR((I1592-H1592)/H1592,0)</f>
        <v>-0.0132357591362877</v>
      </c>
      <c r="N1592" s="16" t="n">
        <f aca="false">G1592*I1592</f>
        <v>40192.96</v>
      </c>
    </row>
    <row r="1593" customFormat="false" ht="15" hidden="false" customHeight="true" outlineLevel="0" collapsed="false">
      <c r="A1593" s="4" t="s">
        <v>1769</v>
      </c>
      <c r="B1593" s="4" t="s">
        <v>123</v>
      </c>
      <c r="C1593" s="13" t="n">
        <v>45185</v>
      </c>
      <c r="D1593" s="13" t="n">
        <v>45199</v>
      </c>
      <c r="E1593" s="13" t="n">
        <v>45197</v>
      </c>
      <c r="F1593" s="4" t="n">
        <v>287</v>
      </c>
      <c r="G1593" s="4" t="n">
        <v>278</v>
      </c>
      <c r="H1593" s="4" t="n">
        <v>214.07</v>
      </c>
      <c r="I1593" s="4" t="n">
        <v>229.17</v>
      </c>
      <c r="J1593" s="14" t="n">
        <f aca="false">E1593-D1593</f>
        <v>-2</v>
      </c>
      <c r="K1593" s="14" t="n">
        <f aca="false">IF(J1593&lt;=0,1,0)</f>
        <v>1</v>
      </c>
      <c r="L1593" s="15" t="n">
        <f aca="false">IFERROR(G1593/F1593,0)</f>
        <v>0.968641114982578</v>
      </c>
      <c r="M1593" s="15" t="n">
        <f aca="false">IFERROR((I1593-H1593)/H1593,0)</f>
        <v>0.070537674592423</v>
      </c>
      <c r="N1593" s="16" t="n">
        <f aca="false">G1593*I1593</f>
        <v>63709.26</v>
      </c>
    </row>
    <row r="1594" customFormat="false" ht="15" hidden="false" customHeight="true" outlineLevel="0" collapsed="false">
      <c r="A1594" s="4" t="s">
        <v>1770</v>
      </c>
      <c r="B1594" s="4" t="s">
        <v>125</v>
      </c>
      <c r="C1594" s="13" t="n">
        <v>45160</v>
      </c>
      <c r="D1594" s="13" t="n">
        <v>45166</v>
      </c>
      <c r="E1594" s="13" t="n">
        <v>45174</v>
      </c>
      <c r="F1594" s="4" t="n">
        <v>10</v>
      </c>
      <c r="G1594" s="4" t="n">
        <v>8</v>
      </c>
      <c r="H1594" s="4" t="n">
        <v>729.32</v>
      </c>
      <c r="I1594" s="4" t="n">
        <v>752.59</v>
      </c>
      <c r="J1594" s="14" t="n">
        <f aca="false">E1594-D1594</f>
        <v>8</v>
      </c>
      <c r="K1594" s="14" t="n">
        <f aca="false">IF(J1594&lt;=0,1,0)</f>
        <v>0</v>
      </c>
      <c r="L1594" s="15" t="n">
        <f aca="false">IFERROR(G1594/F1594,0)</f>
        <v>0.8</v>
      </c>
      <c r="M1594" s="15" t="n">
        <f aca="false">IFERROR((I1594-H1594)/H1594,0)</f>
        <v>0.0319064333900071</v>
      </c>
      <c r="N1594" s="16" t="n">
        <f aca="false">G1594*I1594</f>
        <v>6020.72</v>
      </c>
    </row>
    <row r="1595" customFormat="false" ht="15" hidden="false" customHeight="true" outlineLevel="0" collapsed="false">
      <c r="A1595" s="4" t="s">
        <v>1771</v>
      </c>
      <c r="B1595" s="4" t="s">
        <v>125</v>
      </c>
      <c r="C1595" s="13" t="n">
        <v>45039</v>
      </c>
      <c r="D1595" s="13" t="n">
        <v>45046</v>
      </c>
      <c r="E1595" s="13" t="n">
        <v>45051</v>
      </c>
      <c r="F1595" s="4" t="n">
        <v>3</v>
      </c>
      <c r="G1595" s="4" t="n">
        <v>3</v>
      </c>
      <c r="H1595" s="4" t="n">
        <v>729.32</v>
      </c>
      <c r="I1595" s="4" t="n">
        <v>720.92</v>
      </c>
      <c r="J1595" s="14" t="n">
        <f aca="false">E1595-D1595</f>
        <v>5</v>
      </c>
      <c r="K1595" s="14" t="n">
        <f aca="false">IF(J1595&lt;=0,1,0)</f>
        <v>0</v>
      </c>
      <c r="L1595" s="15" t="n">
        <f aca="false">IFERROR(G1595/F1595,0)</f>
        <v>1</v>
      </c>
      <c r="M1595" s="15" t="n">
        <f aca="false">IFERROR((I1595-H1595)/H1595,0)</f>
        <v>-0.0115175780178798</v>
      </c>
      <c r="N1595" s="16" t="n">
        <f aca="false">G1595*I1595</f>
        <v>2162.76</v>
      </c>
    </row>
    <row r="1596" customFormat="false" ht="15" hidden="false" customHeight="true" outlineLevel="0" collapsed="false">
      <c r="A1596" s="4" t="s">
        <v>1772</v>
      </c>
      <c r="B1596" s="4" t="s">
        <v>145</v>
      </c>
      <c r="C1596" s="13" t="n">
        <v>44949</v>
      </c>
      <c r="D1596" s="13" t="n">
        <v>44961</v>
      </c>
      <c r="E1596" s="13" t="n">
        <v>44959</v>
      </c>
      <c r="F1596" s="4" t="n">
        <v>1060</v>
      </c>
      <c r="G1596" s="4" t="n">
        <v>1013</v>
      </c>
      <c r="H1596" s="4" t="n">
        <v>237.04</v>
      </c>
      <c r="I1596" s="4" t="n">
        <v>236.92</v>
      </c>
      <c r="J1596" s="14" t="n">
        <f aca="false">E1596-D1596</f>
        <v>-2</v>
      </c>
      <c r="K1596" s="14" t="n">
        <f aca="false">IF(J1596&lt;=0,1,0)</f>
        <v>1</v>
      </c>
      <c r="L1596" s="15" t="n">
        <f aca="false">IFERROR(G1596/F1596,0)</f>
        <v>0.955660377358491</v>
      </c>
      <c r="M1596" s="15" t="n">
        <f aca="false">IFERROR((I1596-H1596)/H1596,0)</f>
        <v>-0.00050624367195412</v>
      </c>
      <c r="N1596" s="16" t="n">
        <f aca="false">G1596*I1596</f>
        <v>239999.96</v>
      </c>
    </row>
    <row r="1597" customFormat="false" ht="15" hidden="false" customHeight="true" outlineLevel="0" collapsed="false">
      <c r="A1597" s="4" t="s">
        <v>1773</v>
      </c>
      <c r="B1597" s="4" t="s">
        <v>121</v>
      </c>
      <c r="C1597" s="13" t="n">
        <v>45557</v>
      </c>
      <c r="D1597" s="13" t="n">
        <v>45567</v>
      </c>
      <c r="E1597" s="13" t="n">
        <v>45566</v>
      </c>
      <c r="F1597" s="4" t="n">
        <v>713</v>
      </c>
      <c r="G1597" s="4" t="n">
        <v>647</v>
      </c>
      <c r="H1597" s="4" t="n">
        <v>206.07</v>
      </c>
      <c r="I1597" s="4" t="n">
        <v>233.43</v>
      </c>
      <c r="J1597" s="14" t="n">
        <f aca="false">E1597-D1597</f>
        <v>-1</v>
      </c>
      <c r="K1597" s="14" t="n">
        <f aca="false">IF(J1597&lt;=0,1,0)</f>
        <v>1</v>
      </c>
      <c r="L1597" s="15" t="n">
        <f aca="false">IFERROR(G1597/F1597,0)</f>
        <v>0.907433380084151</v>
      </c>
      <c r="M1597" s="15" t="n">
        <f aca="false">IFERROR((I1597-H1597)/H1597,0)</f>
        <v>0.132770417819188</v>
      </c>
      <c r="N1597" s="16" t="n">
        <f aca="false">G1597*I1597</f>
        <v>151029.21</v>
      </c>
    </row>
    <row r="1598" customFormat="false" ht="15" hidden="false" customHeight="true" outlineLevel="0" collapsed="false">
      <c r="A1598" s="4" t="s">
        <v>1774</v>
      </c>
      <c r="B1598" s="4" t="s">
        <v>32</v>
      </c>
      <c r="C1598" s="13" t="n">
        <v>45243</v>
      </c>
      <c r="D1598" s="13" t="n">
        <v>45251</v>
      </c>
      <c r="E1598" s="13" t="n">
        <v>45247</v>
      </c>
      <c r="F1598" s="4" t="n">
        <v>1765</v>
      </c>
      <c r="G1598" s="4" t="n">
        <v>1621</v>
      </c>
      <c r="H1598" s="4" t="n">
        <v>32.49</v>
      </c>
      <c r="I1598" s="4" t="n">
        <v>32.12</v>
      </c>
      <c r="J1598" s="14" t="n">
        <f aca="false">E1598-D1598</f>
        <v>-4</v>
      </c>
      <c r="K1598" s="14" t="n">
        <f aca="false">IF(J1598&lt;=0,1,0)</f>
        <v>1</v>
      </c>
      <c r="L1598" s="15" t="n">
        <f aca="false">IFERROR(G1598/F1598,0)</f>
        <v>0.918413597733711</v>
      </c>
      <c r="M1598" s="15" t="n">
        <f aca="false">IFERROR((I1598-H1598)/H1598,0)</f>
        <v>-0.0113881194213606</v>
      </c>
      <c r="N1598" s="16" t="n">
        <f aca="false">G1598*I1598</f>
        <v>52066.52</v>
      </c>
    </row>
    <row r="1599" customFormat="false" ht="15" hidden="false" customHeight="true" outlineLevel="0" collapsed="false">
      <c r="A1599" s="4" t="s">
        <v>1775</v>
      </c>
      <c r="B1599" s="4" t="s">
        <v>61</v>
      </c>
      <c r="C1599" s="13" t="n">
        <v>45089</v>
      </c>
      <c r="D1599" s="13" t="n">
        <v>45100</v>
      </c>
      <c r="E1599" s="13" t="n">
        <v>45112</v>
      </c>
      <c r="F1599" s="4" t="n">
        <v>1054</v>
      </c>
      <c r="G1599" s="4" t="n">
        <v>1054</v>
      </c>
      <c r="H1599" s="4" t="n">
        <v>107.41</v>
      </c>
      <c r="I1599" s="4" t="n">
        <v>106.86</v>
      </c>
      <c r="J1599" s="14" t="n">
        <f aca="false">E1599-D1599</f>
        <v>12</v>
      </c>
      <c r="K1599" s="14" t="n">
        <f aca="false">IF(J1599&lt;=0,1,0)</f>
        <v>0</v>
      </c>
      <c r="L1599" s="15" t="n">
        <f aca="false">IFERROR(G1599/F1599,0)</f>
        <v>1</v>
      </c>
      <c r="M1599" s="15" t="n">
        <f aca="false">IFERROR((I1599-H1599)/H1599,0)</f>
        <v>-0.00512056605530209</v>
      </c>
      <c r="N1599" s="16" t="n">
        <f aca="false">G1599*I1599</f>
        <v>112630.44</v>
      </c>
    </row>
    <row r="1600" customFormat="false" ht="15" hidden="false" customHeight="true" outlineLevel="0" collapsed="false">
      <c r="A1600" s="4" t="s">
        <v>1776</v>
      </c>
      <c r="B1600" s="4" t="s">
        <v>77</v>
      </c>
      <c r="C1600" s="13" t="n">
        <v>45038</v>
      </c>
      <c r="D1600" s="13" t="n">
        <v>45046</v>
      </c>
      <c r="E1600" s="13" t="n">
        <v>45059</v>
      </c>
      <c r="F1600" s="4" t="n">
        <v>2320</v>
      </c>
      <c r="G1600" s="4" t="n">
        <v>2313</v>
      </c>
      <c r="H1600" s="4" t="n">
        <v>36.83</v>
      </c>
      <c r="I1600" s="4" t="n">
        <v>36.02</v>
      </c>
      <c r="J1600" s="14" t="n">
        <f aca="false">E1600-D1600</f>
        <v>13</v>
      </c>
      <c r="K1600" s="14" t="n">
        <f aca="false">IF(J1600&lt;=0,1,0)</f>
        <v>0</v>
      </c>
      <c r="L1600" s="15" t="n">
        <f aca="false">IFERROR(G1600/F1600,0)</f>
        <v>0.99698275862069</v>
      </c>
      <c r="M1600" s="15" t="n">
        <f aca="false">IFERROR((I1600-H1600)/H1600,0)</f>
        <v>-0.0219929405376051</v>
      </c>
      <c r="N1600" s="16" t="n">
        <f aca="false">G1600*I1600</f>
        <v>83314.26</v>
      </c>
    </row>
    <row r="1601" customFormat="false" ht="15" hidden="false" customHeight="true" outlineLevel="0" collapsed="false">
      <c r="A1601" s="4" t="s">
        <v>1777</v>
      </c>
      <c r="B1601" s="4" t="s">
        <v>72</v>
      </c>
      <c r="C1601" s="13" t="n">
        <v>45237</v>
      </c>
      <c r="D1601" s="13" t="n">
        <v>45246</v>
      </c>
      <c r="E1601" s="13" t="n">
        <v>45248</v>
      </c>
      <c r="F1601" s="4" t="n">
        <v>757</v>
      </c>
      <c r="G1601" s="4" t="n">
        <v>750</v>
      </c>
      <c r="H1601" s="4" t="n">
        <v>34.53</v>
      </c>
      <c r="I1601" s="4" t="n">
        <v>35.39</v>
      </c>
      <c r="J1601" s="14" t="n">
        <f aca="false">E1601-D1601</f>
        <v>2</v>
      </c>
      <c r="K1601" s="14" t="n">
        <f aca="false">IF(J1601&lt;=0,1,0)</f>
        <v>0</v>
      </c>
      <c r="L1601" s="15" t="n">
        <f aca="false">IFERROR(G1601/F1601,0)</f>
        <v>0.990752972258917</v>
      </c>
      <c r="M1601" s="15" t="n">
        <f aca="false">IFERROR((I1601-H1601)/H1601,0)</f>
        <v>0.0249058789458442</v>
      </c>
      <c r="N1601" s="16" t="n">
        <f aca="false">G1601*I1601</f>
        <v>26542.5</v>
      </c>
    </row>
    <row r="1602" customFormat="false" ht="15" hidden="false" customHeight="true" outlineLevel="0" collapsed="false">
      <c r="A1602" s="4" t="s">
        <v>1778</v>
      </c>
      <c r="B1602" s="4" t="s">
        <v>68</v>
      </c>
      <c r="C1602" s="13" t="n">
        <v>45132</v>
      </c>
      <c r="D1602" s="13" t="n">
        <v>45150</v>
      </c>
      <c r="E1602" s="13" t="n">
        <v>45151</v>
      </c>
      <c r="F1602" s="4" t="n">
        <v>106</v>
      </c>
      <c r="G1602" s="4" t="n">
        <v>93</v>
      </c>
      <c r="H1602" s="4" t="n">
        <v>1232.83</v>
      </c>
      <c r="I1602" s="4" t="n">
        <v>1213.43</v>
      </c>
      <c r="J1602" s="14" t="n">
        <f aca="false">E1602-D1602</f>
        <v>1</v>
      </c>
      <c r="K1602" s="14" t="n">
        <f aca="false">IF(J1602&lt;=0,1,0)</f>
        <v>0</v>
      </c>
      <c r="L1602" s="15" t="n">
        <f aca="false">IFERROR(G1602/F1602,0)</f>
        <v>0.877358490566038</v>
      </c>
      <c r="M1602" s="15" t="n">
        <f aca="false">IFERROR((I1602-H1602)/H1602,0)</f>
        <v>-0.0157361517808618</v>
      </c>
      <c r="N1602" s="16" t="n">
        <f aca="false">G1602*I1602</f>
        <v>112848.99</v>
      </c>
    </row>
    <row r="1603" customFormat="false" ht="15" hidden="false" customHeight="true" outlineLevel="0" collapsed="false">
      <c r="A1603" s="4" t="s">
        <v>1779</v>
      </c>
      <c r="B1603" s="4" t="s">
        <v>72</v>
      </c>
      <c r="C1603" s="13" t="n">
        <v>45089</v>
      </c>
      <c r="D1603" s="13" t="n">
        <v>45095</v>
      </c>
      <c r="E1603" s="13" t="n">
        <v>45097</v>
      </c>
      <c r="F1603" s="4" t="n">
        <v>2765</v>
      </c>
      <c r="G1603" s="4" t="n">
        <v>2735</v>
      </c>
      <c r="H1603" s="4" t="n">
        <v>34.53</v>
      </c>
      <c r="I1603" s="4" t="n">
        <v>34.85</v>
      </c>
      <c r="J1603" s="14" t="n">
        <f aca="false">E1603-D1603</f>
        <v>2</v>
      </c>
      <c r="K1603" s="14" t="n">
        <f aca="false">IF(J1603&lt;=0,1,0)</f>
        <v>0</v>
      </c>
      <c r="L1603" s="15" t="n">
        <f aca="false">IFERROR(G1603/F1603,0)</f>
        <v>0.989150090415913</v>
      </c>
      <c r="M1603" s="15" t="n">
        <f aca="false">IFERROR((I1603-H1603)/H1603,0)</f>
        <v>0.0092673037938025</v>
      </c>
      <c r="N1603" s="16" t="n">
        <f aca="false">G1603*I1603</f>
        <v>95314.75</v>
      </c>
    </row>
    <row r="1604" customFormat="false" ht="15" hidden="false" customHeight="true" outlineLevel="0" collapsed="false">
      <c r="A1604" s="4" t="s">
        <v>1780</v>
      </c>
      <c r="B1604" s="4" t="s">
        <v>37</v>
      </c>
      <c r="C1604" s="13" t="n">
        <v>45567</v>
      </c>
      <c r="D1604" s="13" t="n">
        <v>45574</v>
      </c>
      <c r="E1604" s="13" t="n">
        <v>45572</v>
      </c>
      <c r="F1604" s="4" t="n">
        <v>841</v>
      </c>
      <c r="G1604" s="4" t="n">
        <v>836</v>
      </c>
      <c r="H1604" s="4" t="n">
        <v>22.26</v>
      </c>
      <c r="I1604" s="4" t="n">
        <v>21.33</v>
      </c>
      <c r="J1604" s="14" t="n">
        <f aca="false">E1604-D1604</f>
        <v>-2</v>
      </c>
      <c r="K1604" s="14" t="n">
        <f aca="false">IF(J1604&lt;=0,1,0)</f>
        <v>1</v>
      </c>
      <c r="L1604" s="15" t="n">
        <f aca="false">IFERROR(G1604/F1604,0)</f>
        <v>0.994054696789536</v>
      </c>
      <c r="M1604" s="15" t="n">
        <f aca="false">IFERROR((I1604-H1604)/H1604,0)</f>
        <v>-0.04177897574124</v>
      </c>
      <c r="N1604" s="16" t="n">
        <f aca="false">G1604*I1604</f>
        <v>17831.88</v>
      </c>
    </row>
    <row r="1605" customFormat="false" ht="15" hidden="false" customHeight="true" outlineLevel="0" collapsed="false">
      <c r="A1605" s="4" t="s">
        <v>1781</v>
      </c>
      <c r="B1605" s="4" t="s">
        <v>153</v>
      </c>
      <c r="C1605" s="13" t="n">
        <v>45455</v>
      </c>
      <c r="D1605" s="13" t="n">
        <v>45472</v>
      </c>
      <c r="E1605" s="13" t="n">
        <v>45479</v>
      </c>
      <c r="F1605" s="4" t="n">
        <v>310</v>
      </c>
      <c r="G1605" s="4" t="n">
        <v>278</v>
      </c>
      <c r="H1605" s="4" t="n">
        <v>1492.04</v>
      </c>
      <c r="I1605" s="4" t="n">
        <v>1561.79</v>
      </c>
      <c r="J1605" s="14" t="n">
        <f aca="false">E1605-D1605</f>
        <v>7</v>
      </c>
      <c r="K1605" s="14" t="n">
        <f aca="false">IF(J1605&lt;=0,1,0)</f>
        <v>0</v>
      </c>
      <c r="L1605" s="15" t="n">
        <f aca="false">IFERROR(G1605/F1605,0)</f>
        <v>0.896774193548387</v>
      </c>
      <c r="M1605" s="15" t="n">
        <f aca="false">IFERROR((I1605-H1605)/H1605,0)</f>
        <v>0.0467480764590762</v>
      </c>
      <c r="N1605" s="16" t="n">
        <f aca="false">G1605*I1605</f>
        <v>434177.62</v>
      </c>
    </row>
    <row r="1606" customFormat="false" ht="15" hidden="false" customHeight="true" outlineLevel="0" collapsed="false">
      <c r="A1606" s="4" t="s">
        <v>1782</v>
      </c>
      <c r="B1606" s="4" t="s">
        <v>113</v>
      </c>
      <c r="C1606" s="13" t="n">
        <v>45394</v>
      </c>
      <c r="D1606" s="13" t="n">
        <v>45406</v>
      </c>
      <c r="E1606" s="13" t="n">
        <v>45412</v>
      </c>
      <c r="F1606" s="4" t="n">
        <v>715</v>
      </c>
      <c r="G1606" s="4" t="n">
        <v>715</v>
      </c>
      <c r="H1606" s="4" t="n">
        <v>170.42</v>
      </c>
      <c r="I1606" s="4" t="n">
        <v>171.34</v>
      </c>
      <c r="J1606" s="14" t="n">
        <f aca="false">E1606-D1606</f>
        <v>6</v>
      </c>
      <c r="K1606" s="14" t="n">
        <f aca="false">IF(J1606&lt;=0,1,0)</f>
        <v>0</v>
      </c>
      <c r="L1606" s="15" t="n">
        <f aca="false">IFERROR(G1606/F1606,0)</f>
        <v>1</v>
      </c>
      <c r="M1606" s="15" t="n">
        <f aca="false">IFERROR((I1606-H1606)/H1606,0)</f>
        <v>0.00539842741462279</v>
      </c>
      <c r="N1606" s="16" t="n">
        <f aca="false">G1606*I1606</f>
        <v>122508.1</v>
      </c>
    </row>
    <row r="1607" customFormat="false" ht="15" hidden="false" customHeight="true" outlineLevel="0" collapsed="false">
      <c r="A1607" s="4" t="s">
        <v>1783</v>
      </c>
      <c r="B1607" s="4" t="s">
        <v>143</v>
      </c>
      <c r="C1607" s="13" t="n">
        <v>45502</v>
      </c>
      <c r="D1607" s="13" t="n">
        <v>45509</v>
      </c>
      <c r="E1607" s="13" t="n">
        <v>45522</v>
      </c>
      <c r="F1607" s="4" t="n">
        <v>1602</v>
      </c>
      <c r="G1607" s="4" t="n">
        <v>1472</v>
      </c>
      <c r="H1607" s="4" t="n">
        <v>20.6</v>
      </c>
      <c r="I1607" s="4" t="n">
        <v>21.64</v>
      </c>
      <c r="J1607" s="14" t="n">
        <f aca="false">E1607-D1607</f>
        <v>13</v>
      </c>
      <c r="K1607" s="14" t="n">
        <f aca="false">IF(J1607&lt;=0,1,0)</f>
        <v>0</v>
      </c>
      <c r="L1607" s="15" t="n">
        <f aca="false">IFERROR(G1607/F1607,0)</f>
        <v>0.918851435705368</v>
      </c>
      <c r="M1607" s="15" t="n">
        <f aca="false">IFERROR((I1607-H1607)/H1607,0)</f>
        <v>0.0504854368932038</v>
      </c>
      <c r="N1607" s="16" t="n">
        <f aca="false">G1607*I1607</f>
        <v>31854.08</v>
      </c>
    </row>
    <row r="1608" customFormat="false" ht="15" hidden="false" customHeight="true" outlineLevel="0" collapsed="false">
      <c r="A1608" s="4" t="s">
        <v>1784</v>
      </c>
      <c r="B1608" s="4" t="s">
        <v>68</v>
      </c>
      <c r="C1608" s="13" t="n">
        <v>45446</v>
      </c>
      <c r="D1608" s="13" t="n">
        <v>45463</v>
      </c>
      <c r="E1608" s="13" t="n">
        <v>45465</v>
      </c>
      <c r="F1608" s="4" t="n">
        <v>357</v>
      </c>
      <c r="G1608" s="4" t="n">
        <v>315</v>
      </c>
      <c r="H1608" s="4" t="n">
        <v>1232.83</v>
      </c>
      <c r="I1608" s="4" t="n">
        <v>1219.72</v>
      </c>
      <c r="J1608" s="14" t="n">
        <f aca="false">E1608-D1608</f>
        <v>2</v>
      </c>
      <c r="K1608" s="14" t="n">
        <f aca="false">IF(J1608&lt;=0,1,0)</f>
        <v>0</v>
      </c>
      <c r="L1608" s="15" t="n">
        <f aca="false">IFERROR(G1608/F1608,0)</f>
        <v>0.882352941176471</v>
      </c>
      <c r="M1608" s="15" t="n">
        <f aca="false">IFERROR((I1608-H1608)/H1608,0)</f>
        <v>-0.0106340695797473</v>
      </c>
      <c r="N1608" s="16" t="n">
        <f aca="false">G1608*I1608</f>
        <v>384211.8</v>
      </c>
    </row>
    <row r="1609" customFormat="false" ht="15" hidden="false" customHeight="true" outlineLevel="0" collapsed="false">
      <c r="A1609" s="4" t="s">
        <v>1785</v>
      </c>
      <c r="B1609" s="4" t="s">
        <v>113</v>
      </c>
      <c r="C1609" s="13" t="n">
        <v>45652</v>
      </c>
      <c r="D1609" s="13" t="n">
        <v>45662</v>
      </c>
      <c r="E1609" s="13" t="n">
        <v>45670</v>
      </c>
      <c r="F1609" s="4" t="n">
        <v>1642</v>
      </c>
      <c r="G1609" s="4" t="n">
        <v>1629</v>
      </c>
      <c r="H1609" s="4" t="n">
        <v>170.42</v>
      </c>
      <c r="I1609" s="4" t="n">
        <v>171.94</v>
      </c>
      <c r="J1609" s="14" t="n">
        <f aca="false">E1609-D1609</f>
        <v>8</v>
      </c>
      <c r="K1609" s="14" t="n">
        <f aca="false">IF(J1609&lt;=0,1,0)</f>
        <v>0</v>
      </c>
      <c r="L1609" s="15" t="n">
        <f aca="false">IFERROR(G1609/F1609,0)</f>
        <v>0.992082825822168</v>
      </c>
      <c r="M1609" s="15" t="n">
        <f aca="false">IFERROR((I1609-H1609)/H1609,0)</f>
        <v>0.00891914094589843</v>
      </c>
      <c r="N1609" s="16" t="n">
        <f aca="false">G1609*I1609</f>
        <v>280090.26</v>
      </c>
    </row>
    <row r="1610" customFormat="false" ht="15" hidden="false" customHeight="true" outlineLevel="0" collapsed="false">
      <c r="A1610" s="4" t="s">
        <v>1786</v>
      </c>
      <c r="B1610" s="4" t="s">
        <v>147</v>
      </c>
      <c r="C1610" s="13" t="n">
        <v>45431</v>
      </c>
      <c r="D1610" s="13" t="n">
        <v>45442</v>
      </c>
      <c r="E1610" s="13" t="n">
        <v>45444</v>
      </c>
      <c r="F1610" s="4" t="n">
        <v>226</v>
      </c>
      <c r="G1610" s="4" t="n">
        <v>226</v>
      </c>
      <c r="H1610" s="4" t="n">
        <v>203.3</v>
      </c>
      <c r="I1610" s="4" t="n">
        <v>208.52</v>
      </c>
      <c r="J1610" s="14" t="n">
        <f aca="false">E1610-D1610</f>
        <v>2</v>
      </c>
      <c r="K1610" s="14" t="n">
        <f aca="false">IF(J1610&lt;=0,1,0)</f>
        <v>0</v>
      </c>
      <c r="L1610" s="15" t="n">
        <f aca="false">IFERROR(G1610/F1610,0)</f>
        <v>1</v>
      </c>
      <c r="M1610" s="15" t="n">
        <f aca="false">IFERROR((I1610-H1610)/H1610,0)</f>
        <v>0.0256763403836694</v>
      </c>
      <c r="N1610" s="16" t="n">
        <f aca="false">G1610*I1610</f>
        <v>47125.52</v>
      </c>
    </row>
    <row r="1611" customFormat="false" ht="15" hidden="false" customHeight="true" outlineLevel="0" collapsed="false">
      <c r="A1611" s="4" t="s">
        <v>1787</v>
      </c>
      <c r="B1611" s="4" t="s">
        <v>143</v>
      </c>
      <c r="C1611" s="13" t="n">
        <v>45389</v>
      </c>
      <c r="D1611" s="13" t="n">
        <v>45398</v>
      </c>
      <c r="E1611" s="13" t="n">
        <v>45406</v>
      </c>
      <c r="F1611" s="4" t="n">
        <v>2590</v>
      </c>
      <c r="G1611" s="4" t="n">
        <v>2417</v>
      </c>
      <c r="H1611" s="4" t="n">
        <v>20.6</v>
      </c>
      <c r="I1611" s="4" t="n">
        <v>21.62</v>
      </c>
      <c r="J1611" s="14" t="n">
        <f aca="false">E1611-D1611</f>
        <v>8</v>
      </c>
      <c r="K1611" s="14" t="n">
        <f aca="false">IF(J1611&lt;=0,1,0)</f>
        <v>0</v>
      </c>
      <c r="L1611" s="15" t="n">
        <f aca="false">IFERROR(G1611/F1611,0)</f>
        <v>0.933204633204633</v>
      </c>
      <c r="M1611" s="15" t="n">
        <f aca="false">IFERROR((I1611-H1611)/H1611,0)</f>
        <v>0.0495145631067961</v>
      </c>
      <c r="N1611" s="16" t="n">
        <f aca="false">G1611*I1611</f>
        <v>52255.54</v>
      </c>
    </row>
    <row r="1612" customFormat="false" ht="15" hidden="false" customHeight="true" outlineLevel="0" collapsed="false">
      <c r="A1612" s="4" t="s">
        <v>1788</v>
      </c>
      <c r="B1612" s="4" t="s">
        <v>95</v>
      </c>
      <c r="C1612" s="13" t="n">
        <v>45607</v>
      </c>
      <c r="D1612" s="13" t="n">
        <v>45616</v>
      </c>
      <c r="E1612" s="13" t="n">
        <v>45618</v>
      </c>
      <c r="F1612" s="4" t="n">
        <v>2530</v>
      </c>
      <c r="G1612" s="4" t="n">
        <v>2497</v>
      </c>
      <c r="H1612" s="4" t="n">
        <v>20.39</v>
      </c>
      <c r="I1612" s="4" t="n">
        <v>21.58</v>
      </c>
      <c r="J1612" s="14" t="n">
        <f aca="false">E1612-D1612</f>
        <v>2</v>
      </c>
      <c r="K1612" s="14" t="n">
        <f aca="false">IF(J1612&lt;=0,1,0)</f>
        <v>0</v>
      </c>
      <c r="L1612" s="15" t="n">
        <f aca="false">IFERROR(G1612/F1612,0)</f>
        <v>0.98695652173913</v>
      </c>
      <c r="M1612" s="15" t="n">
        <f aca="false">IFERROR((I1612-H1612)/H1612,0)</f>
        <v>0.0583619421284943</v>
      </c>
      <c r="N1612" s="16" t="n">
        <f aca="false">G1612*I1612</f>
        <v>53885.26</v>
      </c>
    </row>
    <row r="1613" customFormat="false" ht="15" hidden="false" customHeight="true" outlineLevel="0" collapsed="false">
      <c r="A1613" s="4" t="s">
        <v>1789</v>
      </c>
      <c r="B1613" s="4" t="s">
        <v>129</v>
      </c>
      <c r="C1613" s="13" t="n">
        <v>45180</v>
      </c>
      <c r="D1613" s="13" t="n">
        <v>45197</v>
      </c>
      <c r="E1613" s="13" t="n">
        <v>45201</v>
      </c>
      <c r="F1613" s="4" t="n">
        <v>476</v>
      </c>
      <c r="G1613" s="4" t="n">
        <v>458</v>
      </c>
      <c r="H1613" s="4" t="n">
        <v>709.66</v>
      </c>
      <c r="I1613" s="4" t="n">
        <v>711.24</v>
      </c>
      <c r="J1613" s="14" t="n">
        <f aca="false">E1613-D1613</f>
        <v>4</v>
      </c>
      <c r="K1613" s="14" t="n">
        <f aca="false">IF(J1613&lt;=0,1,0)</f>
        <v>0</v>
      </c>
      <c r="L1613" s="15" t="n">
        <f aca="false">IFERROR(G1613/F1613,0)</f>
        <v>0.96218487394958</v>
      </c>
      <c r="M1613" s="15" t="n">
        <f aca="false">IFERROR((I1613-H1613)/H1613,0)</f>
        <v>0.0022264182848125</v>
      </c>
      <c r="N1613" s="16" t="n">
        <f aca="false">G1613*I1613</f>
        <v>325747.92</v>
      </c>
    </row>
    <row r="1614" customFormat="false" ht="15" hidden="false" customHeight="true" outlineLevel="0" collapsed="false">
      <c r="A1614" s="4" t="s">
        <v>1790</v>
      </c>
      <c r="B1614" s="4" t="s">
        <v>83</v>
      </c>
      <c r="C1614" s="13" t="n">
        <v>45022</v>
      </c>
      <c r="D1614" s="13" t="n">
        <v>45033</v>
      </c>
      <c r="E1614" s="13" t="n">
        <v>45032</v>
      </c>
      <c r="F1614" s="4" t="n">
        <v>377</v>
      </c>
      <c r="G1614" s="4" t="n">
        <v>365</v>
      </c>
      <c r="H1614" s="4" t="n">
        <v>101.36</v>
      </c>
      <c r="I1614" s="4" t="n">
        <v>99.86</v>
      </c>
      <c r="J1614" s="14" t="n">
        <f aca="false">E1614-D1614</f>
        <v>-1</v>
      </c>
      <c r="K1614" s="14" t="n">
        <f aca="false">IF(J1614&lt;=0,1,0)</f>
        <v>1</v>
      </c>
      <c r="L1614" s="15" t="n">
        <f aca="false">IFERROR(G1614/F1614,0)</f>
        <v>0.96816976127321</v>
      </c>
      <c r="M1614" s="15" t="n">
        <f aca="false">IFERROR((I1614-H1614)/H1614,0)</f>
        <v>-0.0147987371744278</v>
      </c>
      <c r="N1614" s="16" t="n">
        <f aca="false">G1614*I1614</f>
        <v>36448.9</v>
      </c>
    </row>
    <row r="1615" customFormat="false" ht="15" hidden="false" customHeight="true" outlineLevel="0" collapsed="false">
      <c r="A1615" s="4" t="s">
        <v>1791</v>
      </c>
      <c r="B1615" s="4" t="s">
        <v>127</v>
      </c>
      <c r="C1615" s="13" t="n">
        <v>44956</v>
      </c>
      <c r="D1615" s="13" t="n">
        <v>44963</v>
      </c>
      <c r="E1615" s="13" t="n">
        <v>44965</v>
      </c>
      <c r="F1615" s="4" t="n">
        <v>18</v>
      </c>
      <c r="G1615" s="4" t="n">
        <v>18</v>
      </c>
      <c r="H1615" s="4" t="n">
        <v>1881</v>
      </c>
      <c r="I1615" s="4" t="n">
        <v>1876.99</v>
      </c>
      <c r="J1615" s="14" t="n">
        <f aca="false">E1615-D1615</f>
        <v>2</v>
      </c>
      <c r="K1615" s="14" t="n">
        <f aca="false">IF(J1615&lt;=0,1,0)</f>
        <v>0</v>
      </c>
      <c r="L1615" s="15" t="n">
        <f aca="false">IFERROR(G1615/F1615,0)</f>
        <v>1</v>
      </c>
      <c r="M1615" s="15" t="n">
        <f aca="false">IFERROR((I1615-H1615)/H1615,0)</f>
        <v>-0.00213184476342371</v>
      </c>
      <c r="N1615" s="16" t="n">
        <f aca="false">G1615*I1615</f>
        <v>33785.82</v>
      </c>
    </row>
    <row r="1616" customFormat="false" ht="15" hidden="false" customHeight="true" outlineLevel="0" collapsed="false">
      <c r="A1616" s="4" t="s">
        <v>1792</v>
      </c>
      <c r="B1616" s="4" t="s">
        <v>41</v>
      </c>
      <c r="C1616" s="13" t="n">
        <v>45054</v>
      </c>
      <c r="D1616" s="13" t="n">
        <v>45063</v>
      </c>
      <c r="E1616" s="13" t="n">
        <v>45062</v>
      </c>
      <c r="F1616" s="4" t="n">
        <v>645</v>
      </c>
      <c r="G1616" s="4" t="n">
        <v>635</v>
      </c>
      <c r="H1616" s="4" t="n">
        <v>45.51</v>
      </c>
      <c r="I1616" s="4" t="n">
        <v>45.23</v>
      </c>
      <c r="J1616" s="14" t="n">
        <f aca="false">E1616-D1616</f>
        <v>-1</v>
      </c>
      <c r="K1616" s="14" t="n">
        <f aca="false">IF(J1616&lt;=0,1,0)</f>
        <v>1</v>
      </c>
      <c r="L1616" s="15" t="n">
        <f aca="false">IFERROR(G1616/F1616,0)</f>
        <v>0.984496124031008</v>
      </c>
      <c r="M1616" s="15" t="n">
        <f aca="false">IFERROR((I1616-H1616)/H1616,0)</f>
        <v>-0.00615249395737203</v>
      </c>
      <c r="N1616" s="16" t="n">
        <f aca="false">G1616*I1616</f>
        <v>28721.05</v>
      </c>
    </row>
    <row r="1617" customFormat="false" ht="15" hidden="false" customHeight="true" outlineLevel="0" collapsed="false">
      <c r="A1617" s="4" t="s">
        <v>1793</v>
      </c>
      <c r="B1617" s="4" t="s">
        <v>47</v>
      </c>
      <c r="C1617" s="13" t="n">
        <v>45151</v>
      </c>
      <c r="D1617" s="13" t="n">
        <v>45160</v>
      </c>
      <c r="E1617" s="13" t="n">
        <v>45165</v>
      </c>
      <c r="F1617" s="4" t="n">
        <v>858</v>
      </c>
      <c r="G1617" s="4" t="n">
        <v>846</v>
      </c>
      <c r="H1617" s="4" t="n">
        <v>228.68</v>
      </c>
      <c r="I1617" s="4" t="n">
        <v>230.34</v>
      </c>
      <c r="J1617" s="14" t="n">
        <f aca="false">E1617-D1617</f>
        <v>5</v>
      </c>
      <c r="K1617" s="14" t="n">
        <f aca="false">IF(J1617&lt;=0,1,0)</f>
        <v>0</v>
      </c>
      <c r="L1617" s="15" t="n">
        <f aca="false">IFERROR(G1617/F1617,0)</f>
        <v>0.986013986013986</v>
      </c>
      <c r="M1617" s="15" t="n">
        <f aca="false">IFERROR((I1617-H1617)/H1617,0)</f>
        <v>0.00725905195032358</v>
      </c>
      <c r="N1617" s="16" t="n">
        <f aca="false">G1617*I1617</f>
        <v>194867.64</v>
      </c>
    </row>
    <row r="1618" customFormat="false" ht="15" hidden="false" customHeight="true" outlineLevel="0" collapsed="false">
      <c r="A1618" s="4" t="s">
        <v>1794</v>
      </c>
      <c r="B1618" s="4" t="s">
        <v>107</v>
      </c>
      <c r="C1618" s="13" t="n">
        <v>45616</v>
      </c>
      <c r="D1618" s="13" t="n">
        <v>45625</v>
      </c>
      <c r="E1618" s="13" t="n">
        <v>45623</v>
      </c>
      <c r="F1618" s="4" t="n">
        <v>1906</v>
      </c>
      <c r="G1618" s="4" t="n">
        <v>1906</v>
      </c>
      <c r="H1618" s="4" t="n">
        <v>40.41</v>
      </c>
      <c r="I1618" s="4" t="n">
        <v>40.04</v>
      </c>
      <c r="J1618" s="14" t="n">
        <f aca="false">E1618-D1618</f>
        <v>-2</v>
      </c>
      <c r="K1618" s="14" t="n">
        <f aca="false">IF(J1618&lt;=0,1,0)</f>
        <v>1</v>
      </c>
      <c r="L1618" s="15" t="n">
        <f aca="false">IFERROR(G1618/F1618,0)</f>
        <v>1</v>
      </c>
      <c r="M1618" s="15" t="n">
        <f aca="false">IFERROR((I1618-H1618)/H1618,0)</f>
        <v>-0.00915614946795341</v>
      </c>
      <c r="N1618" s="16" t="n">
        <f aca="false">G1618*I1618</f>
        <v>76316.24</v>
      </c>
    </row>
    <row r="1619" customFormat="false" ht="15" hidden="false" customHeight="true" outlineLevel="0" collapsed="false">
      <c r="A1619" s="4" t="s">
        <v>1795</v>
      </c>
      <c r="B1619" s="4" t="s">
        <v>79</v>
      </c>
      <c r="C1619" s="13" t="n">
        <v>45415</v>
      </c>
      <c r="D1619" s="13" t="n">
        <v>45435</v>
      </c>
      <c r="E1619" s="13" t="n">
        <v>45439</v>
      </c>
      <c r="F1619" s="4" t="n">
        <v>429</v>
      </c>
      <c r="G1619" s="4" t="n">
        <v>420</v>
      </c>
      <c r="H1619" s="4" t="n">
        <v>821.48</v>
      </c>
      <c r="I1619" s="4" t="n">
        <v>868.73</v>
      </c>
      <c r="J1619" s="14" t="n">
        <f aca="false">E1619-D1619</f>
        <v>4</v>
      </c>
      <c r="K1619" s="14" t="n">
        <f aca="false">IF(J1619&lt;=0,1,0)</f>
        <v>0</v>
      </c>
      <c r="L1619" s="15" t="n">
        <f aca="false">IFERROR(G1619/F1619,0)</f>
        <v>0.979020979020979</v>
      </c>
      <c r="M1619" s="15" t="n">
        <f aca="false">IFERROR((I1619-H1619)/H1619,0)</f>
        <v>0.0575181379948386</v>
      </c>
      <c r="N1619" s="16" t="n">
        <f aca="false">G1619*I1619</f>
        <v>364866.6</v>
      </c>
    </row>
    <row r="1620" customFormat="false" ht="15" hidden="false" customHeight="true" outlineLevel="0" collapsed="false">
      <c r="A1620" s="4" t="s">
        <v>1796</v>
      </c>
      <c r="B1620" s="4" t="s">
        <v>99</v>
      </c>
      <c r="C1620" s="13" t="n">
        <v>44946</v>
      </c>
      <c r="D1620" s="13" t="n">
        <v>44954</v>
      </c>
      <c r="E1620" s="13" t="n">
        <v>44957</v>
      </c>
      <c r="F1620" s="4" t="n">
        <v>4387</v>
      </c>
      <c r="G1620" s="4" t="n">
        <v>4014</v>
      </c>
      <c r="H1620" s="4" t="n">
        <v>11.5</v>
      </c>
      <c r="I1620" s="4" t="n">
        <v>11.59</v>
      </c>
      <c r="J1620" s="14" t="n">
        <f aca="false">E1620-D1620</f>
        <v>3</v>
      </c>
      <c r="K1620" s="14" t="n">
        <f aca="false">IF(J1620&lt;=0,1,0)</f>
        <v>0</v>
      </c>
      <c r="L1620" s="15" t="n">
        <f aca="false">IFERROR(G1620/F1620,0)</f>
        <v>0.914976065648507</v>
      </c>
      <c r="M1620" s="15" t="n">
        <f aca="false">IFERROR((I1620-H1620)/H1620,0)</f>
        <v>0.00782608695652173</v>
      </c>
      <c r="N1620" s="16" t="n">
        <f aca="false">G1620*I1620</f>
        <v>46522.26</v>
      </c>
    </row>
    <row r="1621" customFormat="false" ht="15" hidden="false" customHeight="true" outlineLevel="0" collapsed="false">
      <c r="A1621" s="4" t="s">
        <v>1797</v>
      </c>
      <c r="B1621" s="4" t="s">
        <v>157</v>
      </c>
      <c r="C1621" s="13" t="n">
        <v>45585</v>
      </c>
      <c r="D1621" s="13" t="n">
        <v>45593</v>
      </c>
      <c r="E1621" s="13" t="n">
        <v>45597</v>
      </c>
      <c r="F1621" s="4" t="n">
        <v>4806</v>
      </c>
      <c r="G1621" s="4" t="n">
        <v>4738</v>
      </c>
      <c r="H1621" s="4" t="n">
        <v>13.1</v>
      </c>
      <c r="I1621" s="4" t="n">
        <v>13.9</v>
      </c>
      <c r="J1621" s="14" t="n">
        <f aca="false">E1621-D1621</f>
        <v>4</v>
      </c>
      <c r="K1621" s="14" t="n">
        <f aca="false">IF(J1621&lt;=0,1,0)</f>
        <v>0</v>
      </c>
      <c r="L1621" s="15" t="n">
        <f aca="false">IFERROR(G1621/F1621,0)</f>
        <v>0.985851019558885</v>
      </c>
      <c r="M1621" s="15" t="n">
        <f aca="false">IFERROR((I1621-H1621)/H1621,0)</f>
        <v>0.0610687022900764</v>
      </c>
      <c r="N1621" s="16" t="n">
        <f aca="false">G1621*I1621</f>
        <v>65858.2</v>
      </c>
    </row>
    <row r="1622" customFormat="false" ht="15" hidden="false" customHeight="true" outlineLevel="0" collapsed="false">
      <c r="A1622" s="4" t="s">
        <v>1798</v>
      </c>
      <c r="B1622" s="4" t="s">
        <v>121</v>
      </c>
      <c r="C1622" s="13" t="n">
        <v>45008</v>
      </c>
      <c r="D1622" s="13" t="n">
        <v>45019</v>
      </c>
      <c r="E1622" s="13" t="n">
        <v>45022</v>
      </c>
      <c r="F1622" s="4" t="n">
        <v>613</v>
      </c>
      <c r="G1622" s="4" t="n">
        <v>561</v>
      </c>
      <c r="H1622" s="4" t="n">
        <v>206.07</v>
      </c>
      <c r="I1622" s="4" t="n">
        <v>213.87</v>
      </c>
      <c r="J1622" s="14" t="n">
        <f aca="false">E1622-D1622</f>
        <v>3</v>
      </c>
      <c r="K1622" s="14" t="n">
        <f aca="false">IF(J1622&lt;=0,1,0)</f>
        <v>0</v>
      </c>
      <c r="L1622" s="15" t="n">
        <f aca="false">IFERROR(G1622/F1622,0)</f>
        <v>0.915171288743883</v>
      </c>
      <c r="M1622" s="15" t="n">
        <f aca="false">IFERROR((I1622-H1622)/H1622,0)</f>
        <v>0.0378512156063474</v>
      </c>
      <c r="N1622" s="16" t="n">
        <f aca="false">G1622*I1622</f>
        <v>119981.07</v>
      </c>
    </row>
    <row r="1623" customFormat="false" ht="15" hidden="false" customHeight="true" outlineLevel="0" collapsed="false">
      <c r="A1623" s="4" t="s">
        <v>1799</v>
      </c>
      <c r="B1623" s="4" t="s">
        <v>153</v>
      </c>
      <c r="C1623" s="13" t="n">
        <v>45486</v>
      </c>
      <c r="D1623" s="13" t="n">
        <v>45506</v>
      </c>
      <c r="E1623" s="13" t="n">
        <v>45512</v>
      </c>
      <c r="F1623" s="4" t="n">
        <v>65</v>
      </c>
      <c r="G1623" s="4" t="n">
        <v>63</v>
      </c>
      <c r="H1623" s="4" t="n">
        <v>1492.04</v>
      </c>
      <c r="I1623" s="4" t="n">
        <v>1574.48</v>
      </c>
      <c r="J1623" s="14" t="n">
        <f aca="false">E1623-D1623</f>
        <v>6</v>
      </c>
      <c r="K1623" s="14" t="n">
        <f aca="false">IF(J1623&lt;=0,1,0)</f>
        <v>0</v>
      </c>
      <c r="L1623" s="15" t="n">
        <f aca="false">IFERROR(G1623/F1623,0)</f>
        <v>0.969230769230769</v>
      </c>
      <c r="M1623" s="15" t="n">
        <f aca="false">IFERROR((I1623-H1623)/H1623,0)</f>
        <v>0.0552532103696952</v>
      </c>
      <c r="N1623" s="16" t="n">
        <f aca="false">G1623*I1623</f>
        <v>99192.24</v>
      </c>
    </row>
    <row r="1624" customFormat="false" ht="15" hidden="false" customHeight="true" outlineLevel="0" collapsed="false">
      <c r="A1624" s="4" t="s">
        <v>1800</v>
      </c>
      <c r="B1624" s="4" t="s">
        <v>107</v>
      </c>
      <c r="C1624" s="13" t="n">
        <v>45115</v>
      </c>
      <c r="D1624" s="13" t="n">
        <v>45124</v>
      </c>
      <c r="E1624" s="13" t="n">
        <v>45127</v>
      </c>
      <c r="F1624" s="4" t="n">
        <v>4700</v>
      </c>
      <c r="G1624" s="4" t="n">
        <v>4539</v>
      </c>
      <c r="H1624" s="4" t="n">
        <v>40.41</v>
      </c>
      <c r="I1624" s="4" t="n">
        <v>40.65</v>
      </c>
      <c r="J1624" s="14" t="n">
        <f aca="false">E1624-D1624</f>
        <v>3</v>
      </c>
      <c r="K1624" s="14" t="n">
        <f aca="false">IF(J1624&lt;=0,1,0)</f>
        <v>0</v>
      </c>
      <c r="L1624" s="15" t="n">
        <f aca="false">IFERROR(G1624/F1624,0)</f>
        <v>0.965744680851064</v>
      </c>
      <c r="M1624" s="15" t="n">
        <f aca="false">IFERROR((I1624-H1624)/H1624,0)</f>
        <v>0.00593912397921312</v>
      </c>
      <c r="N1624" s="16" t="n">
        <f aca="false">G1624*I1624</f>
        <v>184510.35</v>
      </c>
    </row>
    <row r="1625" customFormat="false" ht="15" hidden="false" customHeight="true" outlineLevel="0" collapsed="false">
      <c r="A1625" s="4" t="s">
        <v>1801</v>
      </c>
      <c r="B1625" s="4" t="s">
        <v>125</v>
      </c>
      <c r="C1625" s="13" t="n">
        <v>44951</v>
      </c>
      <c r="D1625" s="13" t="n">
        <v>44956</v>
      </c>
      <c r="E1625" s="13" t="n">
        <v>44958</v>
      </c>
      <c r="F1625" s="4" t="n">
        <v>11</v>
      </c>
      <c r="G1625" s="4" t="n">
        <v>10</v>
      </c>
      <c r="H1625" s="4" t="n">
        <v>729.32</v>
      </c>
      <c r="I1625" s="4" t="n">
        <v>721.76</v>
      </c>
      <c r="J1625" s="14" t="n">
        <f aca="false">E1625-D1625</f>
        <v>2</v>
      </c>
      <c r="K1625" s="14" t="n">
        <f aca="false">IF(J1625&lt;=0,1,0)</f>
        <v>0</v>
      </c>
      <c r="L1625" s="15" t="n">
        <f aca="false">IFERROR(G1625/F1625,0)</f>
        <v>0.909090909090909</v>
      </c>
      <c r="M1625" s="15" t="n">
        <f aca="false">IFERROR((I1625-H1625)/H1625,0)</f>
        <v>-0.0103658202160918</v>
      </c>
      <c r="N1625" s="16" t="n">
        <f aca="false">G1625*I1625</f>
        <v>7217.6</v>
      </c>
    </row>
    <row r="1626" customFormat="false" ht="15" hidden="false" customHeight="true" outlineLevel="0" collapsed="false">
      <c r="A1626" s="4" t="s">
        <v>1802</v>
      </c>
      <c r="B1626" s="4" t="s">
        <v>121</v>
      </c>
      <c r="C1626" s="13" t="n">
        <v>45509</v>
      </c>
      <c r="D1626" s="13" t="n">
        <v>45521</v>
      </c>
      <c r="E1626" s="13" t="n">
        <v>45525</v>
      </c>
      <c r="F1626" s="4" t="n">
        <v>1907</v>
      </c>
      <c r="G1626" s="4" t="n">
        <v>1775</v>
      </c>
      <c r="H1626" s="4" t="n">
        <v>206.07</v>
      </c>
      <c r="I1626" s="4" t="n">
        <v>227.14</v>
      </c>
      <c r="J1626" s="14" t="n">
        <f aca="false">E1626-D1626</f>
        <v>4</v>
      </c>
      <c r="K1626" s="14" t="n">
        <f aca="false">IF(J1626&lt;=0,1,0)</f>
        <v>0</v>
      </c>
      <c r="L1626" s="15" t="n">
        <f aca="false">IFERROR(G1626/F1626,0)</f>
        <v>0.930781331934976</v>
      </c>
      <c r="M1626" s="15" t="n">
        <f aca="false">IFERROR((I1626-H1626)/H1626,0)</f>
        <v>0.102246809336633</v>
      </c>
      <c r="N1626" s="16" t="n">
        <f aca="false">G1626*I1626</f>
        <v>403173.5</v>
      </c>
    </row>
    <row r="1627" customFormat="false" ht="15" hidden="false" customHeight="true" outlineLevel="0" collapsed="false">
      <c r="A1627" s="4" t="s">
        <v>1803</v>
      </c>
      <c r="B1627" s="4" t="s">
        <v>111</v>
      </c>
      <c r="C1627" s="13" t="n">
        <v>45026</v>
      </c>
      <c r="D1627" s="13" t="n">
        <v>45036</v>
      </c>
      <c r="E1627" s="13" t="n">
        <v>45033</v>
      </c>
      <c r="F1627" s="4" t="n">
        <v>1276</v>
      </c>
      <c r="G1627" s="4" t="n">
        <v>1264</v>
      </c>
      <c r="H1627" s="4" t="n">
        <v>148.08</v>
      </c>
      <c r="I1627" s="4" t="n">
        <v>147.77</v>
      </c>
      <c r="J1627" s="14" t="n">
        <f aca="false">E1627-D1627</f>
        <v>-3</v>
      </c>
      <c r="K1627" s="14" t="n">
        <f aca="false">IF(J1627&lt;=0,1,0)</f>
        <v>1</v>
      </c>
      <c r="L1627" s="15" t="n">
        <f aca="false">IFERROR(G1627/F1627,0)</f>
        <v>0.990595611285266</v>
      </c>
      <c r="M1627" s="15" t="n">
        <f aca="false">IFERROR((I1627-H1627)/H1627,0)</f>
        <v>-0.00209346299297678</v>
      </c>
      <c r="N1627" s="16" t="n">
        <f aca="false">G1627*I1627</f>
        <v>186781.28</v>
      </c>
    </row>
    <row r="1628" customFormat="false" ht="15" hidden="false" customHeight="true" outlineLevel="0" collapsed="false">
      <c r="A1628" s="4" t="s">
        <v>1804</v>
      </c>
      <c r="B1628" s="4" t="s">
        <v>107</v>
      </c>
      <c r="C1628" s="13" t="n">
        <v>45318</v>
      </c>
      <c r="D1628" s="13" t="n">
        <v>45327</v>
      </c>
      <c r="E1628" s="13" t="n">
        <v>45324</v>
      </c>
      <c r="F1628" s="4" t="n">
        <v>3874</v>
      </c>
      <c r="G1628" s="4" t="n">
        <v>3849</v>
      </c>
      <c r="H1628" s="4" t="n">
        <v>40.41</v>
      </c>
      <c r="I1628" s="4" t="n">
        <v>39.74</v>
      </c>
      <c r="J1628" s="14" t="n">
        <f aca="false">E1628-D1628</f>
        <v>-3</v>
      </c>
      <c r="K1628" s="14" t="n">
        <f aca="false">IF(J1628&lt;=0,1,0)</f>
        <v>1</v>
      </c>
      <c r="L1628" s="15" t="n">
        <f aca="false">IFERROR(G1628/F1628,0)</f>
        <v>0.993546721734641</v>
      </c>
      <c r="M1628" s="15" t="n">
        <f aca="false">IFERROR((I1628-H1628)/H1628,0)</f>
        <v>-0.0165800544419697</v>
      </c>
      <c r="N1628" s="16" t="n">
        <f aca="false">G1628*I1628</f>
        <v>152959.26</v>
      </c>
    </row>
    <row r="1629" customFormat="false" ht="15" hidden="false" customHeight="true" outlineLevel="0" collapsed="false">
      <c r="A1629" s="4" t="s">
        <v>1805</v>
      </c>
      <c r="B1629" s="4" t="s">
        <v>129</v>
      </c>
      <c r="C1629" s="13" t="n">
        <v>45500</v>
      </c>
      <c r="D1629" s="13" t="n">
        <v>45519</v>
      </c>
      <c r="E1629" s="13" t="n">
        <v>45522</v>
      </c>
      <c r="F1629" s="4" t="n">
        <v>400</v>
      </c>
      <c r="G1629" s="4" t="n">
        <v>391</v>
      </c>
      <c r="H1629" s="4" t="n">
        <v>709.66</v>
      </c>
      <c r="I1629" s="4" t="n">
        <v>725.63</v>
      </c>
      <c r="J1629" s="14" t="n">
        <f aca="false">E1629-D1629</f>
        <v>3</v>
      </c>
      <c r="K1629" s="14" t="n">
        <f aca="false">IF(J1629&lt;=0,1,0)</f>
        <v>0</v>
      </c>
      <c r="L1629" s="15" t="n">
        <f aca="false">IFERROR(G1629/F1629,0)</f>
        <v>0.9775</v>
      </c>
      <c r="M1629" s="15" t="n">
        <f aca="false">IFERROR((I1629-H1629)/H1629,0)</f>
        <v>0.0225037341825663</v>
      </c>
      <c r="N1629" s="16" t="n">
        <f aca="false">G1629*I1629</f>
        <v>283721.33</v>
      </c>
    </row>
    <row r="1630" customFormat="false" ht="15" hidden="false" customHeight="true" outlineLevel="0" collapsed="false">
      <c r="A1630" s="4" t="s">
        <v>1806</v>
      </c>
      <c r="B1630" s="4" t="s">
        <v>109</v>
      </c>
      <c r="C1630" s="13" t="n">
        <v>45243</v>
      </c>
      <c r="D1630" s="13" t="n">
        <v>45263</v>
      </c>
      <c r="E1630" s="13" t="n">
        <v>45266</v>
      </c>
      <c r="F1630" s="4" t="n">
        <v>246</v>
      </c>
      <c r="G1630" s="4" t="n">
        <v>241</v>
      </c>
      <c r="H1630" s="4" t="n">
        <v>858.02</v>
      </c>
      <c r="I1630" s="4" t="n">
        <v>896.44</v>
      </c>
      <c r="J1630" s="14" t="n">
        <f aca="false">E1630-D1630</f>
        <v>3</v>
      </c>
      <c r="K1630" s="14" t="n">
        <f aca="false">IF(J1630&lt;=0,1,0)</f>
        <v>0</v>
      </c>
      <c r="L1630" s="15" t="n">
        <f aca="false">IFERROR(G1630/F1630,0)</f>
        <v>0.979674796747967</v>
      </c>
      <c r="M1630" s="15" t="n">
        <f aca="false">IFERROR((I1630-H1630)/H1630,0)</f>
        <v>0.0447775110137294</v>
      </c>
      <c r="N1630" s="16" t="n">
        <f aca="false">G1630*I1630</f>
        <v>216042.04</v>
      </c>
    </row>
    <row r="1631" customFormat="false" ht="15" hidden="false" customHeight="true" outlineLevel="0" collapsed="false">
      <c r="A1631" s="4" t="s">
        <v>1807</v>
      </c>
      <c r="B1631" s="4" t="s">
        <v>95</v>
      </c>
      <c r="C1631" s="13" t="n">
        <v>45017</v>
      </c>
      <c r="D1631" s="13" t="n">
        <v>45026</v>
      </c>
      <c r="E1631" s="13" t="n">
        <v>45033</v>
      </c>
      <c r="F1631" s="4" t="n">
        <v>2037</v>
      </c>
      <c r="G1631" s="4" t="n">
        <v>2037</v>
      </c>
      <c r="H1631" s="4" t="n">
        <v>20.39</v>
      </c>
      <c r="I1631" s="4" t="n">
        <v>19.94</v>
      </c>
      <c r="J1631" s="14" t="n">
        <f aca="false">E1631-D1631</f>
        <v>7</v>
      </c>
      <c r="K1631" s="14" t="n">
        <f aca="false">IF(J1631&lt;=0,1,0)</f>
        <v>0</v>
      </c>
      <c r="L1631" s="15" t="n">
        <f aca="false">IFERROR(G1631/F1631,0)</f>
        <v>1</v>
      </c>
      <c r="M1631" s="15" t="n">
        <f aca="false">IFERROR((I1631-H1631)/H1631,0)</f>
        <v>-0.0220696419813634</v>
      </c>
      <c r="N1631" s="16" t="n">
        <f aca="false">G1631*I1631</f>
        <v>40617.78</v>
      </c>
    </row>
    <row r="1632" customFormat="false" ht="15" hidden="false" customHeight="true" outlineLevel="0" collapsed="false">
      <c r="A1632" s="4" t="s">
        <v>1808</v>
      </c>
      <c r="B1632" s="4" t="s">
        <v>55</v>
      </c>
      <c r="C1632" s="13" t="n">
        <v>44937</v>
      </c>
      <c r="D1632" s="13" t="n">
        <v>44955</v>
      </c>
      <c r="E1632" s="13" t="n">
        <v>44956</v>
      </c>
      <c r="F1632" s="4" t="n">
        <v>169</v>
      </c>
      <c r="G1632" s="4" t="n">
        <v>160</v>
      </c>
      <c r="H1632" s="4" t="n">
        <v>598.09</v>
      </c>
      <c r="I1632" s="4" t="n">
        <v>601.51</v>
      </c>
      <c r="J1632" s="14" t="n">
        <f aca="false">E1632-D1632</f>
        <v>1</v>
      </c>
      <c r="K1632" s="14" t="n">
        <f aca="false">IF(J1632&lt;=0,1,0)</f>
        <v>0</v>
      </c>
      <c r="L1632" s="15" t="n">
        <f aca="false">IFERROR(G1632/F1632,0)</f>
        <v>0.946745562130178</v>
      </c>
      <c r="M1632" s="15" t="n">
        <f aca="false">IFERROR((I1632-H1632)/H1632,0)</f>
        <v>0.00571820294604484</v>
      </c>
      <c r="N1632" s="16" t="n">
        <f aca="false">G1632*I1632</f>
        <v>96241.6</v>
      </c>
    </row>
    <row r="1633" customFormat="false" ht="15" hidden="false" customHeight="true" outlineLevel="0" collapsed="false">
      <c r="A1633" s="4" t="s">
        <v>1809</v>
      </c>
      <c r="B1633" s="4" t="s">
        <v>129</v>
      </c>
      <c r="C1633" s="13" t="n">
        <v>45263</v>
      </c>
      <c r="D1633" s="13" t="n">
        <v>45281</v>
      </c>
      <c r="E1633" s="13" t="n">
        <v>45285</v>
      </c>
      <c r="F1633" s="4" t="n">
        <v>81</v>
      </c>
      <c r="G1633" s="4" t="n">
        <v>79</v>
      </c>
      <c r="H1633" s="4" t="n">
        <v>709.66</v>
      </c>
      <c r="I1633" s="4" t="n">
        <v>728.53</v>
      </c>
      <c r="J1633" s="14" t="n">
        <f aca="false">E1633-D1633</f>
        <v>4</v>
      </c>
      <c r="K1633" s="14" t="n">
        <f aca="false">IF(J1633&lt;=0,1,0)</f>
        <v>0</v>
      </c>
      <c r="L1633" s="15" t="n">
        <f aca="false">IFERROR(G1633/F1633,0)</f>
        <v>0.975308641975309</v>
      </c>
      <c r="M1633" s="15" t="n">
        <f aca="false">IFERROR((I1633-H1633)/H1633,0)</f>
        <v>0.0265901981230448</v>
      </c>
      <c r="N1633" s="16" t="n">
        <f aca="false">G1633*I1633</f>
        <v>57553.87</v>
      </c>
    </row>
    <row r="1634" customFormat="false" ht="15" hidden="false" customHeight="true" outlineLevel="0" collapsed="false">
      <c r="A1634" s="4" t="s">
        <v>1810</v>
      </c>
      <c r="B1634" s="4" t="s">
        <v>151</v>
      </c>
      <c r="C1634" s="13" t="n">
        <v>45572</v>
      </c>
      <c r="D1634" s="13" t="n">
        <v>45579</v>
      </c>
      <c r="E1634" s="13" t="n">
        <v>45580</v>
      </c>
      <c r="F1634" s="4" t="n">
        <v>11</v>
      </c>
      <c r="G1634" s="4" t="n">
        <v>11</v>
      </c>
      <c r="H1634" s="4" t="n">
        <v>503.46</v>
      </c>
      <c r="I1634" s="4" t="n">
        <v>514.25</v>
      </c>
      <c r="J1634" s="14" t="n">
        <f aca="false">E1634-D1634</f>
        <v>1</v>
      </c>
      <c r="K1634" s="14" t="n">
        <f aca="false">IF(J1634&lt;=0,1,0)</f>
        <v>0</v>
      </c>
      <c r="L1634" s="15" t="n">
        <f aca="false">IFERROR(G1634/F1634,0)</f>
        <v>1</v>
      </c>
      <c r="M1634" s="15" t="n">
        <f aca="false">IFERROR((I1634-H1634)/H1634,0)</f>
        <v>0.0214316926866087</v>
      </c>
      <c r="N1634" s="16" t="n">
        <f aca="false">G1634*I1634</f>
        <v>5656.75</v>
      </c>
    </row>
    <row r="1635" customFormat="false" ht="15" hidden="false" customHeight="true" outlineLevel="0" collapsed="false">
      <c r="A1635" s="4" t="s">
        <v>1811</v>
      </c>
      <c r="B1635" s="4" t="s">
        <v>68</v>
      </c>
      <c r="C1635" s="13" t="n">
        <v>45651</v>
      </c>
      <c r="D1635" s="13" t="n">
        <v>45668</v>
      </c>
      <c r="E1635" s="13" t="n">
        <v>45670</v>
      </c>
      <c r="F1635" s="4" t="n">
        <v>84</v>
      </c>
      <c r="G1635" s="4" t="n">
        <v>77</v>
      </c>
      <c r="H1635" s="4" t="n">
        <v>1232.83</v>
      </c>
      <c r="I1635" s="4" t="n">
        <v>1234.99</v>
      </c>
      <c r="J1635" s="14" t="n">
        <f aca="false">E1635-D1635</f>
        <v>2</v>
      </c>
      <c r="K1635" s="14" t="n">
        <f aca="false">IF(J1635&lt;=0,1,0)</f>
        <v>0</v>
      </c>
      <c r="L1635" s="15" t="n">
        <f aca="false">IFERROR(G1635/F1635,0)</f>
        <v>0.916666666666667</v>
      </c>
      <c r="M1635" s="15" t="n">
        <f aca="false">IFERROR((I1635-H1635)/H1635,0)</f>
        <v>0.00175206638384861</v>
      </c>
      <c r="N1635" s="16" t="n">
        <f aca="false">G1635*I1635</f>
        <v>95094.23</v>
      </c>
    </row>
    <row r="1636" customFormat="false" ht="15" hidden="false" customHeight="true" outlineLevel="0" collapsed="false">
      <c r="A1636" s="4" t="s">
        <v>1812</v>
      </c>
      <c r="B1636" s="4" t="s">
        <v>163</v>
      </c>
      <c r="C1636" s="13" t="n">
        <v>45275</v>
      </c>
      <c r="D1636" s="13" t="n">
        <v>45295</v>
      </c>
      <c r="E1636" s="13" t="n">
        <v>45294</v>
      </c>
      <c r="F1636" s="4" t="n">
        <v>415</v>
      </c>
      <c r="G1636" s="4" t="n">
        <v>389</v>
      </c>
      <c r="H1636" s="4" t="n">
        <v>482.79</v>
      </c>
      <c r="I1636" s="4" t="n">
        <v>484.92</v>
      </c>
      <c r="J1636" s="14" t="n">
        <f aca="false">E1636-D1636</f>
        <v>-1</v>
      </c>
      <c r="K1636" s="14" t="n">
        <f aca="false">IF(J1636&lt;=0,1,0)</f>
        <v>1</v>
      </c>
      <c r="L1636" s="15" t="n">
        <f aca="false">IFERROR(G1636/F1636,0)</f>
        <v>0.937349397590361</v>
      </c>
      <c r="M1636" s="15" t="n">
        <f aca="false">IFERROR((I1636-H1636)/H1636,0)</f>
        <v>0.00441185608649723</v>
      </c>
      <c r="N1636" s="16" t="n">
        <f aca="false">G1636*I1636</f>
        <v>188633.88</v>
      </c>
    </row>
    <row r="1637" customFormat="false" ht="15" hidden="false" customHeight="true" outlineLevel="0" collapsed="false">
      <c r="A1637" s="4" t="s">
        <v>1813</v>
      </c>
      <c r="B1637" s="4" t="s">
        <v>87</v>
      </c>
      <c r="C1637" s="13" t="n">
        <v>45292</v>
      </c>
      <c r="D1637" s="13" t="n">
        <v>45303</v>
      </c>
      <c r="E1637" s="13" t="n">
        <v>45303</v>
      </c>
      <c r="F1637" s="4" t="n">
        <v>812</v>
      </c>
      <c r="G1637" s="4" t="n">
        <v>746</v>
      </c>
      <c r="H1637" s="4" t="n">
        <v>161.95</v>
      </c>
      <c r="I1637" s="4" t="n">
        <v>180.25</v>
      </c>
      <c r="J1637" s="14" t="n">
        <f aca="false">E1637-D1637</f>
        <v>0</v>
      </c>
      <c r="K1637" s="14" t="n">
        <f aca="false">IF(J1637&lt;=0,1,0)</f>
        <v>1</v>
      </c>
      <c r="L1637" s="15" t="n">
        <f aca="false">IFERROR(G1637/F1637,0)</f>
        <v>0.91871921182266</v>
      </c>
      <c r="M1637" s="15" t="n">
        <f aca="false">IFERROR((I1637-H1637)/H1637,0)</f>
        <v>0.112997838839148</v>
      </c>
      <c r="N1637" s="16" t="n">
        <f aca="false">G1637*I1637</f>
        <v>134466.5</v>
      </c>
    </row>
    <row r="1638" customFormat="false" ht="15" hidden="false" customHeight="true" outlineLevel="0" collapsed="false">
      <c r="A1638" s="4" t="s">
        <v>1814</v>
      </c>
      <c r="B1638" s="4" t="s">
        <v>72</v>
      </c>
      <c r="C1638" s="13" t="n">
        <v>45090</v>
      </c>
      <c r="D1638" s="13" t="n">
        <v>45099</v>
      </c>
      <c r="E1638" s="13" t="n">
        <v>45108</v>
      </c>
      <c r="F1638" s="4" t="n">
        <v>2327</v>
      </c>
      <c r="G1638" s="4" t="n">
        <v>2218</v>
      </c>
      <c r="H1638" s="4" t="n">
        <v>34.53</v>
      </c>
      <c r="I1638" s="4" t="n">
        <v>35.64</v>
      </c>
      <c r="J1638" s="14" t="n">
        <f aca="false">E1638-D1638</f>
        <v>9</v>
      </c>
      <c r="K1638" s="14" t="n">
        <f aca="false">IF(J1638&lt;=0,1,0)</f>
        <v>0</v>
      </c>
      <c r="L1638" s="15" t="n">
        <f aca="false">IFERROR(G1638/F1638,0)</f>
        <v>0.953158573270305</v>
      </c>
      <c r="M1638" s="15" t="n">
        <f aca="false">IFERROR((I1638-H1638)/H1638,0)</f>
        <v>0.0321459600347524</v>
      </c>
      <c r="N1638" s="16" t="n">
        <f aca="false">G1638*I1638</f>
        <v>79049.52</v>
      </c>
    </row>
    <row r="1639" customFormat="false" ht="15" hidden="false" customHeight="true" outlineLevel="0" collapsed="false">
      <c r="A1639" s="4" t="s">
        <v>1815</v>
      </c>
      <c r="B1639" s="4" t="s">
        <v>101</v>
      </c>
      <c r="C1639" s="13" t="n">
        <v>45600</v>
      </c>
      <c r="D1639" s="13" t="n">
        <v>45620</v>
      </c>
      <c r="E1639" s="13" t="n">
        <v>45622</v>
      </c>
      <c r="F1639" s="4" t="n">
        <v>430</v>
      </c>
      <c r="G1639" s="4" t="n">
        <v>414</v>
      </c>
      <c r="H1639" s="4" t="n">
        <v>442.74</v>
      </c>
      <c r="I1639" s="4" t="n">
        <v>451.26</v>
      </c>
      <c r="J1639" s="14" t="n">
        <f aca="false">E1639-D1639</f>
        <v>2</v>
      </c>
      <c r="K1639" s="14" t="n">
        <f aca="false">IF(J1639&lt;=0,1,0)</f>
        <v>0</v>
      </c>
      <c r="L1639" s="15" t="n">
        <f aca="false">IFERROR(G1639/F1639,0)</f>
        <v>0.962790697674419</v>
      </c>
      <c r="M1639" s="15" t="n">
        <f aca="false">IFERROR((I1639-H1639)/H1639,0)</f>
        <v>0.019243799972896</v>
      </c>
      <c r="N1639" s="16" t="n">
        <f aca="false">G1639*I1639</f>
        <v>186821.64</v>
      </c>
    </row>
    <row r="1640" customFormat="false" ht="15" hidden="false" customHeight="true" outlineLevel="0" collapsed="false">
      <c r="A1640" s="4" t="s">
        <v>1816</v>
      </c>
      <c r="B1640" s="4" t="s">
        <v>129</v>
      </c>
      <c r="C1640" s="13" t="n">
        <v>45383</v>
      </c>
      <c r="D1640" s="13" t="n">
        <v>45402</v>
      </c>
      <c r="E1640" s="13" t="n">
        <v>45402</v>
      </c>
      <c r="F1640" s="4" t="n">
        <v>88</v>
      </c>
      <c r="G1640" s="4" t="n">
        <v>86</v>
      </c>
      <c r="H1640" s="4" t="n">
        <v>709.66</v>
      </c>
      <c r="I1640" s="4" t="n">
        <v>716.07</v>
      </c>
      <c r="J1640" s="14" t="n">
        <f aca="false">E1640-D1640</f>
        <v>0</v>
      </c>
      <c r="K1640" s="14" t="n">
        <f aca="false">IF(J1640&lt;=0,1,0)</f>
        <v>1</v>
      </c>
      <c r="L1640" s="15" t="n">
        <f aca="false">IFERROR(G1640/F1640,0)</f>
        <v>0.977272727272727</v>
      </c>
      <c r="M1640" s="15" t="n">
        <f aca="false">IFERROR((I1640-H1640)/H1640,0)</f>
        <v>0.0090324944339544</v>
      </c>
      <c r="N1640" s="16" t="n">
        <f aca="false">G1640*I1640</f>
        <v>61582.02</v>
      </c>
    </row>
    <row r="1641" customFormat="false" ht="15" hidden="false" customHeight="true" outlineLevel="0" collapsed="false">
      <c r="A1641" s="4" t="s">
        <v>1817</v>
      </c>
      <c r="B1641" s="4" t="s">
        <v>103</v>
      </c>
      <c r="C1641" s="13" t="n">
        <v>45000</v>
      </c>
      <c r="D1641" s="13" t="n">
        <v>45019</v>
      </c>
      <c r="E1641" s="13" t="n">
        <v>45021</v>
      </c>
      <c r="F1641" s="4" t="n">
        <v>143</v>
      </c>
      <c r="G1641" s="4" t="n">
        <v>139</v>
      </c>
      <c r="H1641" s="4" t="n">
        <v>1400.22</v>
      </c>
      <c r="I1641" s="4" t="n">
        <v>1404.97</v>
      </c>
      <c r="J1641" s="14" t="n">
        <f aca="false">E1641-D1641</f>
        <v>2</v>
      </c>
      <c r="K1641" s="14" t="n">
        <f aca="false">IF(J1641&lt;=0,1,0)</f>
        <v>0</v>
      </c>
      <c r="L1641" s="15" t="n">
        <f aca="false">IFERROR(G1641/F1641,0)</f>
        <v>0.972027972027972</v>
      </c>
      <c r="M1641" s="15" t="n">
        <f aca="false">IFERROR((I1641-H1641)/H1641,0)</f>
        <v>0.00339232406336147</v>
      </c>
      <c r="N1641" s="16" t="n">
        <f aca="false">G1641*I1641</f>
        <v>195290.83</v>
      </c>
    </row>
    <row r="1642" customFormat="false" ht="15" hidden="false" customHeight="true" outlineLevel="0" collapsed="false">
      <c r="A1642" s="4" t="s">
        <v>1818</v>
      </c>
      <c r="B1642" s="4" t="s">
        <v>159</v>
      </c>
      <c r="C1642" s="13" t="n">
        <v>45168</v>
      </c>
      <c r="D1642" s="13" t="n">
        <v>45177</v>
      </c>
      <c r="E1642" s="13" t="n">
        <v>45178</v>
      </c>
      <c r="F1642" s="4" t="n">
        <v>1002</v>
      </c>
      <c r="G1642" s="4" t="n">
        <v>997</v>
      </c>
      <c r="H1642" s="4" t="n">
        <v>32.91</v>
      </c>
      <c r="I1642" s="4" t="n">
        <v>32.27</v>
      </c>
      <c r="J1642" s="14" t="n">
        <f aca="false">E1642-D1642</f>
        <v>1</v>
      </c>
      <c r="K1642" s="14" t="n">
        <f aca="false">IF(J1642&lt;=0,1,0)</f>
        <v>0</v>
      </c>
      <c r="L1642" s="15" t="n">
        <f aca="false">IFERROR(G1642/F1642,0)</f>
        <v>0.99500998003992</v>
      </c>
      <c r="M1642" s="15" t="n">
        <f aca="false">IFERROR((I1642-H1642)/H1642,0)</f>
        <v>-0.0194469766028561</v>
      </c>
      <c r="N1642" s="16" t="n">
        <f aca="false">G1642*I1642</f>
        <v>32173.19</v>
      </c>
    </row>
    <row r="1643" customFormat="false" ht="15" hidden="false" customHeight="true" outlineLevel="0" collapsed="false">
      <c r="A1643" s="4" t="s">
        <v>1819</v>
      </c>
      <c r="B1643" s="4" t="s">
        <v>119</v>
      </c>
      <c r="C1643" s="13" t="n">
        <v>45197</v>
      </c>
      <c r="D1643" s="13" t="n">
        <v>45203</v>
      </c>
      <c r="E1643" s="13" t="n">
        <v>45204</v>
      </c>
      <c r="F1643" s="4" t="n">
        <v>2100</v>
      </c>
      <c r="G1643" s="4" t="n">
        <v>2100</v>
      </c>
      <c r="H1643" s="4" t="n">
        <v>50.92</v>
      </c>
      <c r="I1643" s="4" t="n">
        <v>49.25</v>
      </c>
      <c r="J1643" s="14" t="n">
        <f aca="false">E1643-D1643</f>
        <v>1</v>
      </c>
      <c r="K1643" s="14" t="n">
        <f aca="false">IF(J1643&lt;=0,1,0)</f>
        <v>0</v>
      </c>
      <c r="L1643" s="15" t="n">
        <f aca="false">IFERROR(G1643/F1643,0)</f>
        <v>1</v>
      </c>
      <c r="M1643" s="15" t="n">
        <f aca="false">IFERROR((I1643-H1643)/H1643,0)</f>
        <v>-0.0327965435978005</v>
      </c>
      <c r="N1643" s="16" t="n">
        <f aca="false">G1643*I1643</f>
        <v>103425</v>
      </c>
    </row>
    <row r="1644" customFormat="false" ht="15" hidden="false" customHeight="true" outlineLevel="0" collapsed="false">
      <c r="A1644" s="4" t="s">
        <v>1820</v>
      </c>
      <c r="B1644" s="4" t="s">
        <v>123</v>
      </c>
      <c r="C1644" s="13" t="n">
        <v>45446</v>
      </c>
      <c r="D1644" s="13" t="n">
        <v>45459</v>
      </c>
      <c r="E1644" s="13" t="n">
        <v>45458</v>
      </c>
      <c r="F1644" s="4" t="n">
        <v>133</v>
      </c>
      <c r="G1644" s="4" t="n">
        <v>133</v>
      </c>
      <c r="H1644" s="4" t="n">
        <v>214.07</v>
      </c>
      <c r="I1644" s="4" t="n">
        <v>243.18</v>
      </c>
      <c r="J1644" s="14" t="n">
        <f aca="false">E1644-D1644</f>
        <v>-1</v>
      </c>
      <c r="K1644" s="14" t="n">
        <f aca="false">IF(J1644&lt;=0,1,0)</f>
        <v>1</v>
      </c>
      <c r="L1644" s="15" t="n">
        <f aca="false">IFERROR(G1644/F1644,0)</f>
        <v>1</v>
      </c>
      <c r="M1644" s="15" t="n">
        <f aca="false">IFERROR((I1644-H1644)/H1644,0)</f>
        <v>0.135983556780492</v>
      </c>
      <c r="N1644" s="16" t="n">
        <f aca="false">G1644*I1644</f>
        <v>32342.94</v>
      </c>
    </row>
    <row r="1645" customFormat="false" ht="15" hidden="false" customHeight="true" outlineLevel="0" collapsed="false">
      <c r="A1645" s="4" t="s">
        <v>1821</v>
      </c>
      <c r="B1645" s="4" t="s">
        <v>151</v>
      </c>
      <c r="C1645" s="13" t="n">
        <v>45119</v>
      </c>
      <c r="D1645" s="13" t="n">
        <v>45124</v>
      </c>
      <c r="E1645" s="13" t="n">
        <v>45128</v>
      </c>
      <c r="F1645" s="4" t="n">
        <v>12</v>
      </c>
      <c r="G1645" s="4" t="n">
        <v>12</v>
      </c>
      <c r="H1645" s="4" t="n">
        <v>503.46</v>
      </c>
      <c r="I1645" s="4" t="n">
        <v>507.6</v>
      </c>
      <c r="J1645" s="14" t="n">
        <f aca="false">E1645-D1645</f>
        <v>4</v>
      </c>
      <c r="K1645" s="14" t="n">
        <f aca="false">IF(J1645&lt;=0,1,0)</f>
        <v>0</v>
      </c>
      <c r="L1645" s="15" t="n">
        <f aca="false">IFERROR(G1645/F1645,0)</f>
        <v>1</v>
      </c>
      <c r="M1645" s="15" t="n">
        <f aca="false">IFERROR((I1645-H1645)/H1645,0)</f>
        <v>0.00822309617447274</v>
      </c>
      <c r="N1645" s="16" t="n">
        <f aca="false">G1645*I1645</f>
        <v>6091.2</v>
      </c>
    </row>
    <row r="1646" customFormat="false" ht="15" hidden="false" customHeight="true" outlineLevel="0" collapsed="false">
      <c r="A1646" s="4" t="s">
        <v>1822</v>
      </c>
      <c r="B1646" s="4" t="s">
        <v>143</v>
      </c>
      <c r="C1646" s="13" t="n">
        <v>45577</v>
      </c>
      <c r="D1646" s="13" t="n">
        <v>45586</v>
      </c>
      <c r="E1646" s="13" t="n">
        <v>45598</v>
      </c>
      <c r="F1646" s="4" t="n">
        <v>3423</v>
      </c>
      <c r="G1646" s="4" t="n">
        <v>3171</v>
      </c>
      <c r="H1646" s="4" t="n">
        <v>20.6</v>
      </c>
      <c r="I1646" s="4" t="n">
        <v>22.17</v>
      </c>
      <c r="J1646" s="14" t="n">
        <f aca="false">E1646-D1646</f>
        <v>12</v>
      </c>
      <c r="K1646" s="14" t="n">
        <f aca="false">IF(J1646&lt;=0,1,0)</f>
        <v>0</v>
      </c>
      <c r="L1646" s="15" t="n">
        <f aca="false">IFERROR(G1646/F1646,0)</f>
        <v>0.92638036809816</v>
      </c>
      <c r="M1646" s="15" t="n">
        <f aca="false">IFERROR((I1646-H1646)/H1646,0)</f>
        <v>0.0762135922330097</v>
      </c>
      <c r="N1646" s="16" t="n">
        <f aca="false">G1646*I1646</f>
        <v>70301.07</v>
      </c>
    </row>
    <row r="1647" customFormat="false" ht="15" hidden="false" customHeight="true" outlineLevel="0" collapsed="false">
      <c r="A1647" s="4" t="s">
        <v>1823</v>
      </c>
      <c r="B1647" s="4" t="s">
        <v>83</v>
      </c>
      <c r="C1647" s="13" t="n">
        <v>45595</v>
      </c>
      <c r="D1647" s="13" t="n">
        <v>45607</v>
      </c>
      <c r="E1647" s="13" t="n">
        <v>45604</v>
      </c>
      <c r="F1647" s="4" t="n">
        <v>370</v>
      </c>
      <c r="G1647" s="4" t="n">
        <v>370</v>
      </c>
      <c r="H1647" s="4" t="n">
        <v>101.36</v>
      </c>
      <c r="I1647" s="4" t="n">
        <v>107.64</v>
      </c>
      <c r="J1647" s="14" t="n">
        <f aca="false">E1647-D1647</f>
        <v>-3</v>
      </c>
      <c r="K1647" s="14" t="n">
        <f aca="false">IF(J1647&lt;=0,1,0)</f>
        <v>1</v>
      </c>
      <c r="L1647" s="15" t="n">
        <f aca="false">IFERROR(G1647/F1647,0)</f>
        <v>1</v>
      </c>
      <c r="M1647" s="15" t="n">
        <f aca="false">IFERROR((I1647-H1647)/H1647,0)</f>
        <v>0.0619573796369377</v>
      </c>
      <c r="N1647" s="16" t="n">
        <f aca="false">G1647*I1647</f>
        <v>39826.8</v>
      </c>
    </row>
    <row r="1648" customFormat="false" ht="15" hidden="false" customHeight="true" outlineLevel="0" collapsed="false">
      <c r="A1648" s="4" t="s">
        <v>1824</v>
      </c>
      <c r="B1648" s="4" t="s">
        <v>145</v>
      </c>
      <c r="C1648" s="13" t="n">
        <v>44956</v>
      </c>
      <c r="D1648" s="13" t="n">
        <v>44968</v>
      </c>
      <c r="E1648" s="13" t="n">
        <v>44962</v>
      </c>
      <c r="F1648" s="4" t="n">
        <v>1823</v>
      </c>
      <c r="G1648" s="4" t="n">
        <v>1669</v>
      </c>
      <c r="H1648" s="4" t="n">
        <v>237.04</v>
      </c>
      <c r="I1648" s="4" t="n">
        <v>237.75</v>
      </c>
      <c r="J1648" s="14" t="n">
        <f aca="false">E1648-D1648</f>
        <v>-6</v>
      </c>
      <c r="K1648" s="14" t="n">
        <f aca="false">IF(J1648&lt;=0,1,0)</f>
        <v>1</v>
      </c>
      <c r="L1648" s="15" t="n">
        <f aca="false">IFERROR(G1648/F1648,0)</f>
        <v>0.915523861766319</v>
      </c>
      <c r="M1648" s="15" t="n">
        <f aca="false">IFERROR((I1648-H1648)/H1648,0)</f>
        <v>0.0029952750590618</v>
      </c>
      <c r="N1648" s="16" t="n">
        <f aca="false">G1648*I1648</f>
        <v>396804.75</v>
      </c>
    </row>
    <row r="1649" customFormat="false" ht="15" hidden="false" customHeight="true" outlineLevel="0" collapsed="false">
      <c r="A1649" s="4" t="s">
        <v>1825</v>
      </c>
      <c r="B1649" s="4" t="s">
        <v>113</v>
      </c>
      <c r="C1649" s="13" t="n">
        <v>45379</v>
      </c>
      <c r="D1649" s="13" t="n">
        <v>45391</v>
      </c>
      <c r="E1649" s="13" t="n">
        <v>45391</v>
      </c>
      <c r="F1649" s="4" t="n">
        <v>1852</v>
      </c>
      <c r="G1649" s="4" t="n">
        <v>1852</v>
      </c>
      <c r="H1649" s="4" t="n">
        <v>170.42</v>
      </c>
      <c r="I1649" s="4" t="n">
        <v>169.33</v>
      </c>
      <c r="J1649" s="14" t="n">
        <f aca="false">E1649-D1649</f>
        <v>0</v>
      </c>
      <c r="K1649" s="14" t="n">
        <f aca="false">IF(J1649&lt;=0,1,0)</f>
        <v>1</v>
      </c>
      <c r="L1649" s="15" t="n">
        <f aca="false">IFERROR(G1649/F1649,0)</f>
        <v>1</v>
      </c>
      <c r="M1649" s="15" t="n">
        <f aca="false">IFERROR((I1649-H1649)/H1649,0)</f>
        <v>-0.00639596291515066</v>
      </c>
      <c r="N1649" s="16" t="n">
        <f aca="false">G1649*I1649</f>
        <v>313599.16</v>
      </c>
    </row>
    <row r="1650" customFormat="false" ht="15" hidden="false" customHeight="true" outlineLevel="0" collapsed="false">
      <c r="A1650" s="4" t="s">
        <v>1826</v>
      </c>
      <c r="B1650" s="4" t="s">
        <v>135</v>
      </c>
      <c r="C1650" s="13" t="n">
        <v>45026</v>
      </c>
      <c r="D1650" s="13" t="n">
        <v>45038</v>
      </c>
      <c r="E1650" s="13" t="n">
        <v>45040</v>
      </c>
      <c r="F1650" s="4" t="n">
        <v>54</v>
      </c>
      <c r="G1650" s="4" t="n">
        <v>54</v>
      </c>
      <c r="H1650" s="4" t="n">
        <v>328.06</v>
      </c>
      <c r="I1650" s="4" t="n">
        <v>329.99</v>
      </c>
      <c r="J1650" s="14" t="n">
        <f aca="false">E1650-D1650</f>
        <v>2</v>
      </c>
      <c r="K1650" s="14" t="n">
        <f aca="false">IF(J1650&lt;=0,1,0)</f>
        <v>0</v>
      </c>
      <c r="L1650" s="15" t="n">
        <f aca="false">IFERROR(G1650/F1650,0)</f>
        <v>1</v>
      </c>
      <c r="M1650" s="15" t="n">
        <f aca="false">IFERROR((I1650-H1650)/H1650,0)</f>
        <v>0.00588307017009086</v>
      </c>
      <c r="N1650" s="16" t="n">
        <f aca="false">G1650*I1650</f>
        <v>17819.46</v>
      </c>
    </row>
    <row r="1651" customFormat="false" ht="15" hidden="false" customHeight="true" outlineLevel="0" collapsed="false">
      <c r="A1651" s="4" t="s">
        <v>1827</v>
      </c>
      <c r="B1651" s="4" t="s">
        <v>125</v>
      </c>
      <c r="C1651" s="13" t="n">
        <v>45417</v>
      </c>
      <c r="D1651" s="13" t="n">
        <v>45422</v>
      </c>
      <c r="E1651" s="13" t="n">
        <v>45426</v>
      </c>
      <c r="F1651" s="4" t="n">
        <v>8</v>
      </c>
      <c r="G1651" s="4" t="n">
        <v>7</v>
      </c>
      <c r="H1651" s="4" t="n">
        <v>729.32</v>
      </c>
      <c r="I1651" s="4" t="n">
        <v>748.87</v>
      </c>
      <c r="J1651" s="14" t="n">
        <f aca="false">E1651-D1651</f>
        <v>4</v>
      </c>
      <c r="K1651" s="14" t="n">
        <f aca="false">IF(J1651&lt;=0,1,0)</f>
        <v>0</v>
      </c>
      <c r="L1651" s="15" t="n">
        <f aca="false">IFERROR(G1651/F1651,0)</f>
        <v>0.875</v>
      </c>
      <c r="M1651" s="15" t="n">
        <f aca="false">IFERROR((I1651-H1651)/H1651,0)</f>
        <v>0.0268057916963746</v>
      </c>
      <c r="N1651" s="16" t="n">
        <f aca="false">G1651*I1651</f>
        <v>5242.09</v>
      </c>
    </row>
    <row r="1652" customFormat="false" ht="15" hidden="false" customHeight="true" outlineLevel="0" collapsed="false">
      <c r="A1652" s="4" t="s">
        <v>1828</v>
      </c>
      <c r="B1652" s="4" t="s">
        <v>87</v>
      </c>
      <c r="C1652" s="13" t="n">
        <v>45018</v>
      </c>
      <c r="D1652" s="13" t="n">
        <v>45027</v>
      </c>
      <c r="E1652" s="13" t="n">
        <v>45025</v>
      </c>
      <c r="F1652" s="4" t="n">
        <v>426</v>
      </c>
      <c r="G1652" s="4" t="n">
        <v>393</v>
      </c>
      <c r="H1652" s="4" t="n">
        <v>161.95</v>
      </c>
      <c r="I1652" s="4" t="n">
        <v>165.06</v>
      </c>
      <c r="J1652" s="14" t="n">
        <f aca="false">E1652-D1652</f>
        <v>-2</v>
      </c>
      <c r="K1652" s="14" t="n">
        <f aca="false">IF(J1652&lt;=0,1,0)</f>
        <v>1</v>
      </c>
      <c r="L1652" s="15" t="n">
        <f aca="false">IFERROR(G1652/F1652,0)</f>
        <v>0.922535211267606</v>
      </c>
      <c r="M1652" s="15" t="n">
        <f aca="false">IFERROR((I1652-H1652)/H1652,0)</f>
        <v>0.0192034578573635</v>
      </c>
      <c r="N1652" s="16" t="n">
        <f aca="false">G1652*I1652</f>
        <v>64868.58</v>
      </c>
    </row>
    <row r="1653" customFormat="false" ht="15" hidden="false" customHeight="true" outlineLevel="0" collapsed="false">
      <c r="A1653" s="4" t="s">
        <v>1829</v>
      </c>
      <c r="B1653" s="4" t="s">
        <v>37</v>
      </c>
      <c r="C1653" s="13" t="n">
        <v>45263</v>
      </c>
      <c r="D1653" s="13" t="n">
        <v>45270</v>
      </c>
      <c r="E1653" s="13" t="n">
        <v>45272</v>
      </c>
      <c r="F1653" s="4" t="n">
        <v>4635</v>
      </c>
      <c r="G1653" s="4" t="n">
        <v>4601</v>
      </c>
      <c r="H1653" s="4" t="n">
        <v>22.26</v>
      </c>
      <c r="I1653" s="4" t="n">
        <v>21.54</v>
      </c>
      <c r="J1653" s="14" t="n">
        <f aca="false">E1653-D1653</f>
        <v>2</v>
      </c>
      <c r="K1653" s="14" t="n">
        <f aca="false">IF(J1653&lt;=0,1,0)</f>
        <v>0</v>
      </c>
      <c r="L1653" s="15" t="n">
        <f aca="false">IFERROR(G1653/F1653,0)</f>
        <v>0.992664509169364</v>
      </c>
      <c r="M1653" s="15" t="n">
        <f aca="false">IFERROR((I1653-H1653)/H1653,0)</f>
        <v>-0.0323450134770891</v>
      </c>
      <c r="N1653" s="16" t="n">
        <f aca="false">G1653*I1653</f>
        <v>99105.54</v>
      </c>
    </row>
    <row r="1654" customFormat="false" ht="15" hidden="false" customHeight="true" outlineLevel="0" collapsed="false">
      <c r="A1654" s="4" t="s">
        <v>1830</v>
      </c>
      <c r="B1654" s="4" t="s">
        <v>121</v>
      </c>
      <c r="C1654" s="13" t="n">
        <v>45631</v>
      </c>
      <c r="D1654" s="13" t="n">
        <v>45641</v>
      </c>
      <c r="E1654" s="13" t="n">
        <v>45645</v>
      </c>
      <c r="F1654" s="4" t="n">
        <v>251</v>
      </c>
      <c r="G1654" s="4" t="n">
        <v>231</v>
      </c>
      <c r="H1654" s="4" t="n">
        <v>206.07</v>
      </c>
      <c r="I1654" s="4" t="n">
        <v>233.87</v>
      </c>
      <c r="J1654" s="14" t="n">
        <f aca="false">E1654-D1654</f>
        <v>4</v>
      </c>
      <c r="K1654" s="14" t="n">
        <f aca="false">IF(J1654&lt;=0,1,0)</f>
        <v>0</v>
      </c>
      <c r="L1654" s="15" t="n">
        <f aca="false">IFERROR(G1654/F1654,0)</f>
        <v>0.920318725099602</v>
      </c>
      <c r="M1654" s="15" t="n">
        <f aca="false">IFERROR((I1654-H1654)/H1654,0)</f>
        <v>0.134905614596982</v>
      </c>
      <c r="N1654" s="16" t="n">
        <f aca="false">G1654*I1654</f>
        <v>54023.97</v>
      </c>
    </row>
    <row r="1655" customFormat="false" ht="15" hidden="false" customHeight="true" outlineLevel="0" collapsed="false">
      <c r="A1655" s="4" t="s">
        <v>1831</v>
      </c>
      <c r="B1655" s="4" t="s">
        <v>145</v>
      </c>
      <c r="C1655" s="13" t="n">
        <v>45449</v>
      </c>
      <c r="D1655" s="13" t="n">
        <v>45458</v>
      </c>
      <c r="E1655" s="13" t="n">
        <v>45462</v>
      </c>
      <c r="F1655" s="4" t="n">
        <v>1627</v>
      </c>
      <c r="G1655" s="4" t="n">
        <v>1530</v>
      </c>
      <c r="H1655" s="4" t="n">
        <v>237.04</v>
      </c>
      <c r="I1655" s="4" t="n">
        <v>262.86</v>
      </c>
      <c r="J1655" s="14" t="n">
        <f aca="false">E1655-D1655</f>
        <v>4</v>
      </c>
      <c r="K1655" s="14" t="n">
        <f aca="false">IF(J1655&lt;=0,1,0)</f>
        <v>0</v>
      </c>
      <c r="L1655" s="15" t="n">
        <f aca="false">IFERROR(G1655/F1655,0)</f>
        <v>0.940381069452981</v>
      </c>
      <c r="M1655" s="15" t="n">
        <f aca="false">IFERROR((I1655-H1655)/H1655,0)</f>
        <v>0.108926763415457</v>
      </c>
      <c r="N1655" s="16" t="n">
        <f aca="false">G1655*I1655</f>
        <v>402175.8</v>
      </c>
    </row>
    <row r="1656" customFormat="false" ht="15" hidden="false" customHeight="true" outlineLevel="0" collapsed="false">
      <c r="A1656" s="4" t="s">
        <v>1832</v>
      </c>
      <c r="B1656" s="4" t="s">
        <v>81</v>
      </c>
      <c r="C1656" s="13" t="n">
        <v>45482</v>
      </c>
      <c r="D1656" s="13" t="n">
        <v>45489</v>
      </c>
      <c r="E1656" s="13" t="n">
        <v>45497</v>
      </c>
      <c r="F1656" s="4" t="n">
        <v>15</v>
      </c>
      <c r="G1656" s="4" t="n">
        <v>14</v>
      </c>
      <c r="H1656" s="4" t="n">
        <v>697.63</v>
      </c>
      <c r="I1656" s="4" t="n">
        <v>687.89</v>
      </c>
      <c r="J1656" s="14" t="n">
        <f aca="false">E1656-D1656</f>
        <v>8</v>
      </c>
      <c r="K1656" s="14" t="n">
        <f aca="false">IF(J1656&lt;=0,1,0)</f>
        <v>0</v>
      </c>
      <c r="L1656" s="15" t="n">
        <f aca="false">IFERROR(G1656/F1656,0)</f>
        <v>0.933333333333333</v>
      </c>
      <c r="M1656" s="15" t="n">
        <f aca="false">IFERROR((I1656-H1656)/H1656,0)</f>
        <v>-0.0139615555523702</v>
      </c>
      <c r="N1656" s="16" t="n">
        <f aca="false">G1656*I1656</f>
        <v>9630.46</v>
      </c>
    </row>
    <row r="1657" customFormat="false" ht="15" hidden="false" customHeight="true" outlineLevel="0" collapsed="false">
      <c r="A1657" s="4" t="s">
        <v>1833</v>
      </c>
      <c r="B1657" s="4" t="s">
        <v>157</v>
      </c>
      <c r="C1657" s="13" t="n">
        <v>45512</v>
      </c>
      <c r="D1657" s="13" t="n">
        <v>45520</v>
      </c>
      <c r="E1657" s="13" t="n">
        <v>45521</v>
      </c>
      <c r="F1657" s="4" t="n">
        <v>2244</v>
      </c>
      <c r="G1657" s="4" t="n">
        <v>2087</v>
      </c>
      <c r="H1657" s="4" t="n">
        <v>13.1</v>
      </c>
      <c r="I1657" s="4" t="n">
        <v>13.53</v>
      </c>
      <c r="J1657" s="14" t="n">
        <f aca="false">E1657-D1657</f>
        <v>1</v>
      </c>
      <c r="K1657" s="14" t="n">
        <f aca="false">IF(J1657&lt;=0,1,0)</f>
        <v>0</v>
      </c>
      <c r="L1657" s="15" t="n">
        <f aca="false">IFERROR(G1657/F1657,0)</f>
        <v>0.930035650623886</v>
      </c>
      <c r="M1657" s="15" t="n">
        <f aca="false">IFERROR((I1657-H1657)/H1657,0)</f>
        <v>0.032824427480916</v>
      </c>
      <c r="N1657" s="16" t="n">
        <f aca="false">G1657*I1657</f>
        <v>28237.11</v>
      </c>
    </row>
    <row r="1658" customFormat="false" ht="15" hidden="false" customHeight="true" outlineLevel="0" collapsed="false">
      <c r="A1658" s="4" t="s">
        <v>1834</v>
      </c>
      <c r="B1658" s="4" t="s">
        <v>149</v>
      </c>
      <c r="C1658" s="13" t="n">
        <v>45086</v>
      </c>
      <c r="D1658" s="13" t="n">
        <v>45090</v>
      </c>
      <c r="E1658" s="13" t="n">
        <v>45095</v>
      </c>
      <c r="F1658" s="4" t="n">
        <v>19</v>
      </c>
      <c r="G1658" s="4" t="n">
        <v>19</v>
      </c>
      <c r="H1658" s="4" t="n">
        <v>1458.52</v>
      </c>
      <c r="I1658" s="4" t="n">
        <v>1483.78</v>
      </c>
      <c r="J1658" s="14" t="n">
        <f aca="false">E1658-D1658</f>
        <v>5</v>
      </c>
      <c r="K1658" s="14" t="n">
        <f aca="false">IF(J1658&lt;=0,1,0)</f>
        <v>0</v>
      </c>
      <c r="L1658" s="15" t="n">
        <f aca="false">IFERROR(G1658/F1658,0)</f>
        <v>1</v>
      </c>
      <c r="M1658" s="15" t="n">
        <f aca="false">IFERROR((I1658-H1658)/H1658,0)</f>
        <v>0.0173189260346104</v>
      </c>
      <c r="N1658" s="16" t="n">
        <f aca="false">G1658*I1658</f>
        <v>28191.82</v>
      </c>
    </row>
    <row r="1659" customFormat="false" ht="15" hidden="false" customHeight="true" outlineLevel="0" collapsed="false">
      <c r="A1659" s="4" t="s">
        <v>1835</v>
      </c>
      <c r="B1659" s="4" t="s">
        <v>109</v>
      </c>
      <c r="C1659" s="13" t="n">
        <v>45476</v>
      </c>
      <c r="D1659" s="13" t="n">
        <v>45495</v>
      </c>
      <c r="E1659" s="13" t="n">
        <v>45497</v>
      </c>
      <c r="F1659" s="4" t="n">
        <v>217</v>
      </c>
      <c r="G1659" s="4" t="n">
        <v>208</v>
      </c>
      <c r="H1659" s="4" t="n">
        <v>858.02</v>
      </c>
      <c r="I1659" s="4" t="n">
        <v>903.8</v>
      </c>
      <c r="J1659" s="14" t="n">
        <f aca="false">E1659-D1659</f>
        <v>2</v>
      </c>
      <c r="K1659" s="14" t="n">
        <f aca="false">IF(J1659&lt;=0,1,0)</f>
        <v>0</v>
      </c>
      <c r="L1659" s="15" t="n">
        <f aca="false">IFERROR(G1659/F1659,0)</f>
        <v>0.95852534562212</v>
      </c>
      <c r="M1659" s="15" t="n">
        <f aca="false">IFERROR((I1659-H1659)/H1659,0)</f>
        <v>0.053355399641034</v>
      </c>
      <c r="N1659" s="16" t="n">
        <f aca="false">G1659*I1659</f>
        <v>187990.4</v>
      </c>
    </row>
    <row r="1660" customFormat="false" ht="15" hidden="false" customHeight="true" outlineLevel="0" collapsed="false">
      <c r="A1660" s="4" t="s">
        <v>1836</v>
      </c>
      <c r="B1660" s="4" t="s">
        <v>163</v>
      </c>
      <c r="C1660" s="13" t="n">
        <v>45022</v>
      </c>
      <c r="D1660" s="13" t="n">
        <v>45040</v>
      </c>
      <c r="E1660" s="13" t="n">
        <v>45045</v>
      </c>
      <c r="F1660" s="4" t="n">
        <v>378</v>
      </c>
      <c r="G1660" s="4" t="n">
        <v>363</v>
      </c>
      <c r="H1660" s="4" t="n">
        <v>482.79</v>
      </c>
      <c r="I1660" s="4" t="n">
        <v>486.18</v>
      </c>
      <c r="J1660" s="14" t="n">
        <f aca="false">E1660-D1660</f>
        <v>5</v>
      </c>
      <c r="K1660" s="14" t="n">
        <f aca="false">IF(J1660&lt;=0,1,0)</f>
        <v>0</v>
      </c>
      <c r="L1660" s="15" t="n">
        <f aca="false">IFERROR(G1660/F1660,0)</f>
        <v>0.96031746031746</v>
      </c>
      <c r="M1660" s="15" t="n">
        <f aca="false">IFERROR((I1660-H1660)/H1660,0)</f>
        <v>0.00702168644752374</v>
      </c>
      <c r="N1660" s="16" t="n">
        <f aca="false">G1660*I1660</f>
        <v>176483.34</v>
      </c>
    </row>
    <row r="1661" customFormat="false" ht="15" hidden="false" customHeight="true" outlineLevel="0" collapsed="false">
      <c r="A1661" s="4" t="s">
        <v>1837</v>
      </c>
      <c r="B1661" s="4" t="s">
        <v>61</v>
      </c>
      <c r="C1661" s="13" t="n">
        <v>45602</v>
      </c>
      <c r="D1661" s="13" t="n">
        <v>45612</v>
      </c>
      <c r="E1661" s="13" t="n">
        <v>45616</v>
      </c>
      <c r="F1661" s="4" t="n">
        <v>1190</v>
      </c>
      <c r="G1661" s="4" t="n">
        <v>1190</v>
      </c>
      <c r="H1661" s="4" t="n">
        <v>107.41</v>
      </c>
      <c r="I1661" s="4" t="n">
        <v>109.29</v>
      </c>
      <c r="J1661" s="14" t="n">
        <f aca="false">E1661-D1661</f>
        <v>4</v>
      </c>
      <c r="K1661" s="14" t="n">
        <f aca="false">IF(J1661&lt;=0,1,0)</f>
        <v>0</v>
      </c>
      <c r="L1661" s="15" t="n">
        <f aca="false">IFERROR(G1661/F1661,0)</f>
        <v>1</v>
      </c>
      <c r="M1661" s="15" t="n">
        <f aca="false">IFERROR((I1661-H1661)/H1661,0)</f>
        <v>0.0175030257890328</v>
      </c>
      <c r="N1661" s="16" t="n">
        <f aca="false">G1661*I1661</f>
        <v>130055.1</v>
      </c>
    </row>
    <row r="1662" customFormat="false" ht="15" hidden="false" customHeight="true" outlineLevel="0" collapsed="false">
      <c r="A1662" s="4" t="s">
        <v>1838</v>
      </c>
      <c r="B1662" s="4" t="s">
        <v>99</v>
      </c>
      <c r="C1662" s="13" t="n">
        <v>45045</v>
      </c>
      <c r="D1662" s="13" t="n">
        <v>45051</v>
      </c>
      <c r="E1662" s="13" t="n">
        <v>45058</v>
      </c>
      <c r="F1662" s="4" t="n">
        <v>4163</v>
      </c>
      <c r="G1662" s="4" t="n">
        <v>3976</v>
      </c>
      <c r="H1662" s="4" t="n">
        <v>11.5</v>
      </c>
      <c r="I1662" s="4" t="n">
        <v>11.72</v>
      </c>
      <c r="J1662" s="14" t="n">
        <f aca="false">E1662-D1662</f>
        <v>7</v>
      </c>
      <c r="K1662" s="14" t="n">
        <f aca="false">IF(J1662&lt;=0,1,0)</f>
        <v>0</v>
      </c>
      <c r="L1662" s="15" t="n">
        <f aca="false">IFERROR(G1662/F1662,0)</f>
        <v>0.955080470814317</v>
      </c>
      <c r="M1662" s="15" t="n">
        <f aca="false">IFERROR((I1662-H1662)/H1662,0)</f>
        <v>0.0191304347826088</v>
      </c>
      <c r="N1662" s="16" t="n">
        <f aca="false">G1662*I1662</f>
        <v>46598.72</v>
      </c>
    </row>
    <row r="1663" customFormat="false" ht="15" hidden="false" customHeight="true" outlineLevel="0" collapsed="false">
      <c r="A1663" s="4" t="s">
        <v>1839</v>
      </c>
      <c r="B1663" s="4" t="s">
        <v>113</v>
      </c>
      <c r="C1663" s="13" t="n">
        <v>45430</v>
      </c>
      <c r="D1663" s="13" t="n">
        <v>45439</v>
      </c>
      <c r="E1663" s="13" t="n">
        <v>45444</v>
      </c>
      <c r="F1663" s="4" t="n">
        <v>1079</v>
      </c>
      <c r="G1663" s="4" t="n">
        <v>1055</v>
      </c>
      <c r="H1663" s="4" t="n">
        <v>170.42</v>
      </c>
      <c r="I1663" s="4" t="n">
        <v>171.76</v>
      </c>
      <c r="J1663" s="14" t="n">
        <f aca="false">E1663-D1663</f>
        <v>5</v>
      </c>
      <c r="K1663" s="14" t="n">
        <f aca="false">IF(J1663&lt;=0,1,0)</f>
        <v>0</v>
      </c>
      <c r="L1663" s="15" t="n">
        <f aca="false">IFERROR(G1663/F1663,0)</f>
        <v>0.97775718257646</v>
      </c>
      <c r="M1663" s="15" t="n">
        <f aca="false">IFERROR((I1663-H1663)/H1663,0)</f>
        <v>0.00786292688651569</v>
      </c>
      <c r="N1663" s="16" t="n">
        <f aca="false">G1663*I1663</f>
        <v>181206.8</v>
      </c>
    </row>
    <row r="1664" customFormat="false" ht="15" hidden="false" customHeight="true" outlineLevel="0" collapsed="false">
      <c r="A1664" s="4" t="s">
        <v>1840</v>
      </c>
      <c r="B1664" s="4" t="s">
        <v>143</v>
      </c>
      <c r="C1664" s="13" t="n">
        <v>45645</v>
      </c>
      <c r="D1664" s="13" t="n">
        <v>45653</v>
      </c>
      <c r="E1664" s="13" t="n">
        <v>45660</v>
      </c>
      <c r="F1664" s="4" t="n">
        <v>2748</v>
      </c>
      <c r="G1664" s="4" t="n">
        <v>2560</v>
      </c>
      <c r="H1664" s="4" t="n">
        <v>20.6</v>
      </c>
      <c r="I1664" s="4" t="n">
        <v>22.2</v>
      </c>
      <c r="J1664" s="14" t="n">
        <f aca="false">E1664-D1664</f>
        <v>7</v>
      </c>
      <c r="K1664" s="14" t="n">
        <f aca="false">IF(J1664&lt;=0,1,0)</f>
        <v>0</v>
      </c>
      <c r="L1664" s="15" t="n">
        <f aca="false">IFERROR(G1664/F1664,0)</f>
        <v>0.931586608442504</v>
      </c>
      <c r="M1664" s="15" t="n">
        <f aca="false">IFERROR((I1664-H1664)/H1664,0)</f>
        <v>0.0776699029126213</v>
      </c>
      <c r="N1664" s="16" t="n">
        <f aca="false">G1664*I1664</f>
        <v>56832</v>
      </c>
    </row>
    <row r="1665" customFormat="false" ht="15" hidden="false" customHeight="true" outlineLevel="0" collapsed="false">
      <c r="A1665" s="4" t="s">
        <v>1841</v>
      </c>
      <c r="B1665" s="4" t="s">
        <v>101</v>
      </c>
      <c r="C1665" s="13" t="n">
        <v>45338</v>
      </c>
      <c r="D1665" s="13" t="n">
        <v>45355</v>
      </c>
      <c r="E1665" s="13" t="n">
        <v>45355</v>
      </c>
      <c r="F1665" s="4" t="n">
        <v>156</v>
      </c>
      <c r="G1665" s="4" t="n">
        <v>154</v>
      </c>
      <c r="H1665" s="4" t="n">
        <v>442.74</v>
      </c>
      <c r="I1665" s="4" t="n">
        <v>451.87</v>
      </c>
      <c r="J1665" s="14" t="n">
        <f aca="false">E1665-D1665</f>
        <v>0</v>
      </c>
      <c r="K1665" s="14" t="n">
        <f aca="false">IF(J1665&lt;=0,1,0)</f>
        <v>1</v>
      </c>
      <c r="L1665" s="15" t="n">
        <f aca="false">IFERROR(G1665/F1665,0)</f>
        <v>0.987179487179487</v>
      </c>
      <c r="M1665" s="15" t="n">
        <f aca="false">IFERROR((I1665-H1665)/H1665,0)</f>
        <v>0.0206215837737724</v>
      </c>
      <c r="N1665" s="16" t="n">
        <f aca="false">G1665*I1665</f>
        <v>69587.98</v>
      </c>
    </row>
    <row r="1666" customFormat="false" ht="15" hidden="false" customHeight="true" outlineLevel="0" collapsed="false">
      <c r="A1666" s="4" t="s">
        <v>1842</v>
      </c>
      <c r="B1666" s="4" t="s">
        <v>135</v>
      </c>
      <c r="C1666" s="13" t="n">
        <v>44936</v>
      </c>
      <c r="D1666" s="13" t="n">
        <v>44948</v>
      </c>
      <c r="E1666" s="13" t="n">
        <v>44952</v>
      </c>
      <c r="F1666" s="4" t="n">
        <v>293</v>
      </c>
      <c r="G1666" s="4" t="n">
        <v>293</v>
      </c>
      <c r="H1666" s="4" t="n">
        <v>328.06</v>
      </c>
      <c r="I1666" s="4" t="n">
        <v>329.83</v>
      </c>
      <c r="J1666" s="14" t="n">
        <f aca="false">E1666-D1666</f>
        <v>4</v>
      </c>
      <c r="K1666" s="14" t="n">
        <f aca="false">IF(J1666&lt;=0,1,0)</f>
        <v>0</v>
      </c>
      <c r="L1666" s="15" t="n">
        <f aca="false">IFERROR(G1666/F1666,0)</f>
        <v>1</v>
      </c>
      <c r="M1666" s="15" t="n">
        <f aca="false">IFERROR((I1666-H1666)/H1666,0)</f>
        <v>0.00539535450832159</v>
      </c>
      <c r="N1666" s="16" t="n">
        <f aca="false">G1666*I1666</f>
        <v>96640.19</v>
      </c>
    </row>
    <row r="1667" customFormat="false" ht="15" hidden="false" customHeight="true" outlineLevel="0" collapsed="false">
      <c r="A1667" s="4" t="s">
        <v>1843</v>
      </c>
      <c r="B1667" s="4" t="s">
        <v>119</v>
      </c>
      <c r="C1667" s="13" t="n">
        <v>45392</v>
      </c>
      <c r="D1667" s="13" t="n">
        <v>45400</v>
      </c>
      <c r="E1667" s="13" t="n">
        <v>45403</v>
      </c>
      <c r="F1667" s="4" t="n">
        <v>3745</v>
      </c>
      <c r="G1667" s="4" t="n">
        <v>3684</v>
      </c>
      <c r="H1667" s="4" t="n">
        <v>50.92</v>
      </c>
      <c r="I1667" s="4" t="n">
        <v>47.76</v>
      </c>
      <c r="J1667" s="14" t="n">
        <f aca="false">E1667-D1667</f>
        <v>3</v>
      </c>
      <c r="K1667" s="14" t="n">
        <f aca="false">IF(J1667&lt;=0,1,0)</f>
        <v>0</v>
      </c>
      <c r="L1667" s="15" t="n">
        <f aca="false">IFERROR(G1667/F1667,0)</f>
        <v>0.983711615487316</v>
      </c>
      <c r="M1667" s="15" t="n">
        <f aca="false">IFERROR((I1667-H1667)/H1667,0)</f>
        <v>-0.0620581304006285</v>
      </c>
      <c r="N1667" s="16" t="n">
        <f aca="false">G1667*I1667</f>
        <v>175947.84</v>
      </c>
    </row>
    <row r="1668" customFormat="false" ht="15" hidden="false" customHeight="true" outlineLevel="0" collapsed="false">
      <c r="A1668" s="4" t="s">
        <v>1844</v>
      </c>
      <c r="B1668" s="4" t="s">
        <v>41</v>
      </c>
      <c r="C1668" s="13" t="n">
        <v>45167</v>
      </c>
      <c r="D1668" s="13" t="n">
        <v>45176</v>
      </c>
      <c r="E1668" s="13" t="n">
        <v>45178</v>
      </c>
      <c r="F1668" s="4" t="n">
        <v>2120</v>
      </c>
      <c r="G1668" s="4" t="n">
        <v>2090</v>
      </c>
      <c r="H1668" s="4" t="n">
        <v>45.51</v>
      </c>
      <c r="I1668" s="4" t="n">
        <v>44.17</v>
      </c>
      <c r="J1668" s="14" t="n">
        <f aca="false">E1668-D1668</f>
        <v>2</v>
      </c>
      <c r="K1668" s="14" t="n">
        <f aca="false">IF(J1668&lt;=0,1,0)</f>
        <v>0</v>
      </c>
      <c r="L1668" s="15" t="n">
        <f aca="false">IFERROR(G1668/F1668,0)</f>
        <v>0.985849056603774</v>
      </c>
      <c r="M1668" s="15" t="n">
        <f aca="false">IFERROR((I1668-H1668)/H1668,0)</f>
        <v>-0.029444078224566</v>
      </c>
      <c r="N1668" s="16" t="n">
        <f aca="false">G1668*I1668</f>
        <v>92315.3</v>
      </c>
    </row>
    <row r="1669" customFormat="false" ht="15" hidden="false" customHeight="true" outlineLevel="0" collapsed="false">
      <c r="A1669" s="4" t="s">
        <v>1845</v>
      </c>
      <c r="B1669" s="4" t="s">
        <v>145</v>
      </c>
      <c r="C1669" s="13" t="n">
        <v>45295</v>
      </c>
      <c r="D1669" s="13" t="n">
        <v>45307</v>
      </c>
      <c r="E1669" s="13" t="n">
        <v>45302</v>
      </c>
      <c r="F1669" s="4" t="n">
        <v>1792</v>
      </c>
      <c r="G1669" s="4" t="n">
        <v>1709</v>
      </c>
      <c r="H1669" s="4" t="n">
        <v>237.04</v>
      </c>
      <c r="I1669" s="4" t="n">
        <v>257.58</v>
      </c>
      <c r="J1669" s="14" t="n">
        <f aca="false">E1669-D1669</f>
        <v>-5</v>
      </c>
      <c r="K1669" s="14" t="n">
        <f aca="false">IF(J1669&lt;=0,1,0)</f>
        <v>1</v>
      </c>
      <c r="L1669" s="15" t="n">
        <f aca="false">IFERROR(G1669/F1669,0)</f>
        <v>0.953683035714286</v>
      </c>
      <c r="M1669" s="15" t="n">
        <f aca="false">IFERROR((I1669-H1669)/H1669,0)</f>
        <v>0.0866520418494769</v>
      </c>
      <c r="N1669" s="16" t="n">
        <f aca="false">G1669*I1669</f>
        <v>440204.22</v>
      </c>
    </row>
    <row r="1670" customFormat="false" ht="15" hidden="false" customHeight="true" outlineLevel="0" collapsed="false">
      <c r="A1670" s="4" t="s">
        <v>1846</v>
      </c>
      <c r="B1670" s="4" t="s">
        <v>91</v>
      </c>
      <c r="C1670" s="13" t="n">
        <v>45544</v>
      </c>
      <c r="D1670" s="13" t="n">
        <v>45562</v>
      </c>
      <c r="E1670" s="13" t="n">
        <v>45559</v>
      </c>
      <c r="F1670" s="4" t="n">
        <v>367</v>
      </c>
      <c r="G1670" s="4" t="n">
        <v>349</v>
      </c>
      <c r="H1670" s="4" t="n">
        <v>496.29</v>
      </c>
      <c r="I1670" s="4" t="n">
        <v>480.57</v>
      </c>
      <c r="J1670" s="14" t="n">
        <f aca="false">E1670-D1670</f>
        <v>-3</v>
      </c>
      <c r="K1670" s="14" t="n">
        <f aca="false">IF(J1670&lt;=0,1,0)</f>
        <v>1</v>
      </c>
      <c r="L1670" s="15" t="n">
        <f aca="false">IFERROR(G1670/F1670,0)</f>
        <v>0.950953678474115</v>
      </c>
      <c r="M1670" s="15" t="n">
        <f aca="false">IFERROR((I1670-H1670)/H1670,0)</f>
        <v>-0.0316750287130509</v>
      </c>
      <c r="N1670" s="16" t="n">
        <f aca="false">G1670*I1670</f>
        <v>167718.93</v>
      </c>
    </row>
    <row r="1671" customFormat="false" ht="15" hidden="false" customHeight="true" outlineLevel="0" collapsed="false">
      <c r="A1671" s="4" t="s">
        <v>1847</v>
      </c>
      <c r="B1671" s="4" t="s">
        <v>159</v>
      </c>
      <c r="C1671" s="13" t="n">
        <v>45357</v>
      </c>
      <c r="D1671" s="13" t="n">
        <v>45364</v>
      </c>
      <c r="E1671" s="13" t="n">
        <v>45365</v>
      </c>
      <c r="F1671" s="4" t="n">
        <v>1414</v>
      </c>
      <c r="G1671" s="4" t="n">
        <v>1361</v>
      </c>
      <c r="H1671" s="4" t="n">
        <v>32.91</v>
      </c>
      <c r="I1671" s="4" t="n">
        <v>33.06</v>
      </c>
      <c r="J1671" s="14" t="n">
        <f aca="false">E1671-D1671</f>
        <v>1</v>
      </c>
      <c r="K1671" s="14" t="n">
        <f aca="false">IF(J1671&lt;=0,1,0)</f>
        <v>0</v>
      </c>
      <c r="L1671" s="15" t="n">
        <f aca="false">IFERROR(G1671/F1671,0)</f>
        <v>0.962517680339463</v>
      </c>
      <c r="M1671" s="15" t="n">
        <f aca="false">IFERROR((I1671-H1671)/H1671,0)</f>
        <v>0.00455788514129461</v>
      </c>
      <c r="N1671" s="16" t="n">
        <f aca="false">G1671*I1671</f>
        <v>44994.66</v>
      </c>
    </row>
    <row r="1672" customFormat="false" ht="15" hidden="false" customHeight="true" outlineLevel="0" collapsed="false">
      <c r="A1672" s="4" t="s">
        <v>1848</v>
      </c>
      <c r="B1672" s="4" t="s">
        <v>87</v>
      </c>
      <c r="C1672" s="13" t="n">
        <v>45387</v>
      </c>
      <c r="D1672" s="13" t="n">
        <v>45398</v>
      </c>
      <c r="E1672" s="13" t="n">
        <v>45395</v>
      </c>
      <c r="F1672" s="4" t="n">
        <v>1783</v>
      </c>
      <c r="G1672" s="4" t="n">
        <v>1662</v>
      </c>
      <c r="H1672" s="4" t="n">
        <v>161.95</v>
      </c>
      <c r="I1672" s="4" t="n">
        <v>186.09</v>
      </c>
      <c r="J1672" s="14" t="n">
        <f aca="false">E1672-D1672</f>
        <v>-3</v>
      </c>
      <c r="K1672" s="14" t="n">
        <f aca="false">IF(J1672&lt;=0,1,0)</f>
        <v>1</v>
      </c>
      <c r="L1672" s="15" t="n">
        <f aca="false">IFERROR(G1672/F1672,0)</f>
        <v>0.932136848008974</v>
      </c>
      <c r="M1672" s="15" t="n">
        <f aca="false">IFERROR((I1672-H1672)/H1672,0)</f>
        <v>0.149058351343007</v>
      </c>
      <c r="N1672" s="16" t="n">
        <f aca="false">G1672*I1672</f>
        <v>309281.58</v>
      </c>
    </row>
    <row r="1673" customFormat="false" ht="15" hidden="false" customHeight="true" outlineLevel="0" collapsed="false">
      <c r="A1673" s="4" t="s">
        <v>1849</v>
      </c>
      <c r="B1673" s="4" t="s">
        <v>113</v>
      </c>
      <c r="C1673" s="13" t="n">
        <v>45437</v>
      </c>
      <c r="D1673" s="13" t="n">
        <v>45448</v>
      </c>
      <c r="E1673" s="13" t="n">
        <v>45449</v>
      </c>
      <c r="F1673" s="4" t="n">
        <v>671</v>
      </c>
      <c r="G1673" s="4" t="n">
        <v>629</v>
      </c>
      <c r="H1673" s="4" t="n">
        <v>170.42</v>
      </c>
      <c r="I1673" s="4" t="n">
        <v>171.5</v>
      </c>
      <c r="J1673" s="14" t="n">
        <f aca="false">E1673-D1673</f>
        <v>1</v>
      </c>
      <c r="K1673" s="14" t="n">
        <f aca="false">IF(J1673&lt;=0,1,0)</f>
        <v>0</v>
      </c>
      <c r="L1673" s="15" t="n">
        <f aca="false">IFERROR(G1673/F1673,0)</f>
        <v>0.937406855439642</v>
      </c>
      <c r="M1673" s="15" t="n">
        <f aca="false">IFERROR((I1673-H1673)/H1673,0)</f>
        <v>0.00633728435629628</v>
      </c>
      <c r="N1673" s="16" t="n">
        <f aca="false">G1673*I1673</f>
        <v>107873.5</v>
      </c>
    </row>
    <row r="1674" customFormat="false" ht="15" hidden="false" customHeight="true" outlineLevel="0" collapsed="false">
      <c r="A1674" s="4" t="s">
        <v>1850</v>
      </c>
      <c r="B1674" s="4" t="s">
        <v>111</v>
      </c>
      <c r="C1674" s="13" t="n">
        <v>44987</v>
      </c>
      <c r="D1674" s="13" t="n">
        <v>44997</v>
      </c>
      <c r="E1674" s="13" t="n">
        <v>45002</v>
      </c>
      <c r="F1674" s="4" t="n">
        <v>1266</v>
      </c>
      <c r="G1674" s="4" t="n">
        <v>1225</v>
      </c>
      <c r="H1674" s="4" t="n">
        <v>148.08</v>
      </c>
      <c r="I1674" s="4" t="n">
        <v>148.73</v>
      </c>
      <c r="J1674" s="14" t="n">
        <f aca="false">E1674-D1674</f>
        <v>5</v>
      </c>
      <c r="K1674" s="14" t="n">
        <f aca="false">IF(J1674&lt;=0,1,0)</f>
        <v>0</v>
      </c>
      <c r="L1674" s="15" t="n">
        <f aca="false">IFERROR(G1674/F1674,0)</f>
        <v>0.967614533965245</v>
      </c>
      <c r="M1674" s="15" t="n">
        <f aca="false">IFERROR((I1674-H1674)/H1674,0)</f>
        <v>0.0043895191788221</v>
      </c>
      <c r="N1674" s="16" t="n">
        <f aca="false">G1674*I1674</f>
        <v>182194.25</v>
      </c>
    </row>
    <row r="1675" customFormat="false" ht="15" hidden="false" customHeight="true" outlineLevel="0" collapsed="false">
      <c r="A1675" s="4" t="s">
        <v>1851</v>
      </c>
      <c r="B1675" s="4" t="s">
        <v>52</v>
      </c>
      <c r="C1675" s="13" t="n">
        <v>45394</v>
      </c>
      <c r="D1675" s="13" t="n">
        <v>45404</v>
      </c>
      <c r="E1675" s="13" t="n">
        <v>45407</v>
      </c>
      <c r="F1675" s="4" t="n">
        <v>842</v>
      </c>
      <c r="G1675" s="4" t="n">
        <v>701</v>
      </c>
      <c r="H1675" s="4" t="n">
        <v>170.24</v>
      </c>
      <c r="I1675" s="4" t="n">
        <v>180.17</v>
      </c>
      <c r="J1675" s="14" t="n">
        <f aca="false">E1675-D1675</f>
        <v>3</v>
      </c>
      <c r="K1675" s="14" t="n">
        <f aca="false">IF(J1675&lt;=0,1,0)</f>
        <v>0</v>
      </c>
      <c r="L1675" s="15" t="n">
        <f aca="false">IFERROR(G1675/F1675,0)</f>
        <v>0.832541567695962</v>
      </c>
      <c r="M1675" s="15" t="n">
        <f aca="false">IFERROR((I1675-H1675)/H1675,0)</f>
        <v>0.058329417293233</v>
      </c>
      <c r="N1675" s="16" t="n">
        <f aca="false">G1675*I1675</f>
        <v>126299.17</v>
      </c>
    </row>
    <row r="1676" customFormat="false" ht="15" hidden="false" customHeight="true" outlineLevel="0" collapsed="false">
      <c r="A1676" s="4" t="s">
        <v>1852</v>
      </c>
      <c r="B1676" s="4" t="s">
        <v>103</v>
      </c>
      <c r="C1676" s="13" t="n">
        <v>45556</v>
      </c>
      <c r="D1676" s="13" t="n">
        <v>45573</v>
      </c>
      <c r="E1676" s="13" t="n">
        <v>45574</v>
      </c>
      <c r="F1676" s="4" t="n">
        <v>68</v>
      </c>
      <c r="G1676" s="4" t="n">
        <v>67</v>
      </c>
      <c r="H1676" s="4" t="n">
        <v>1400.22</v>
      </c>
      <c r="I1676" s="4" t="n">
        <v>1450.51</v>
      </c>
      <c r="J1676" s="14" t="n">
        <f aca="false">E1676-D1676</f>
        <v>1</v>
      </c>
      <c r="K1676" s="14" t="n">
        <f aca="false">IF(J1676&lt;=0,1,0)</f>
        <v>0</v>
      </c>
      <c r="L1676" s="15" t="n">
        <f aca="false">IFERROR(G1676/F1676,0)</f>
        <v>0.985294117647059</v>
      </c>
      <c r="M1676" s="15" t="n">
        <f aca="false">IFERROR((I1676-H1676)/H1676,0)</f>
        <v>0.0359157846624102</v>
      </c>
      <c r="N1676" s="16" t="n">
        <f aca="false">G1676*I1676</f>
        <v>97184.17</v>
      </c>
    </row>
    <row r="1677" customFormat="false" ht="15" hidden="false" customHeight="true" outlineLevel="0" collapsed="false">
      <c r="A1677" s="4" t="s">
        <v>1853</v>
      </c>
      <c r="B1677" s="4" t="s">
        <v>127</v>
      </c>
      <c r="C1677" s="13" t="n">
        <v>45300</v>
      </c>
      <c r="D1677" s="13" t="n">
        <v>45304</v>
      </c>
      <c r="E1677" s="13" t="n">
        <v>45308</v>
      </c>
      <c r="F1677" s="4" t="n">
        <v>13</v>
      </c>
      <c r="G1677" s="4" t="n">
        <v>13</v>
      </c>
      <c r="H1677" s="4" t="n">
        <v>1881</v>
      </c>
      <c r="I1677" s="4" t="n">
        <v>1799.68</v>
      </c>
      <c r="J1677" s="14" t="n">
        <f aca="false">E1677-D1677</f>
        <v>4</v>
      </c>
      <c r="K1677" s="14" t="n">
        <f aca="false">IF(J1677&lt;=0,1,0)</f>
        <v>0</v>
      </c>
      <c r="L1677" s="15" t="n">
        <f aca="false">IFERROR(G1677/F1677,0)</f>
        <v>1</v>
      </c>
      <c r="M1677" s="15" t="n">
        <f aca="false">IFERROR((I1677-H1677)/H1677,0)</f>
        <v>-0.0432323232323232</v>
      </c>
      <c r="N1677" s="16" t="n">
        <f aca="false">G1677*I1677</f>
        <v>23395.84</v>
      </c>
    </row>
    <row r="1678" customFormat="false" ht="15" hidden="false" customHeight="true" outlineLevel="0" collapsed="false">
      <c r="A1678" s="4" t="s">
        <v>1854</v>
      </c>
      <c r="B1678" s="4" t="s">
        <v>52</v>
      </c>
      <c r="C1678" s="13" t="n">
        <v>45113</v>
      </c>
      <c r="D1678" s="13" t="n">
        <v>45123</v>
      </c>
      <c r="E1678" s="13" t="n">
        <v>45132</v>
      </c>
      <c r="F1678" s="4" t="n">
        <v>664</v>
      </c>
      <c r="G1678" s="4" t="n">
        <v>588</v>
      </c>
      <c r="H1678" s="4" t="n">
        <v>170.24</v>
      </c>
      <c r="I1678" s="4" t="n">
        <v>172.75</v>
      </c>
      <c r="J1678" s="14" t="n">
        <f aca="false">E1678-D1678</f>
        <v>9</v>
      </c>
      <c r="K1678" s="14" t="n">
        <f aca="false">IF(J1678&lt;=0,1,0)</f>
        <v>0</v>
      </c>
      <c r="L1678" s="15" t="n">
        <f aca="false">IFERROR(G1678/F1678,0)</f>
        <v>0.885542168674699</v>
      </c>
      <c r="M1678" s="15" t="n">
        <f aca="false">IFERROR((I1678-H1678)/H1678,0)</f>
        <v>0.0147438909774436</v>
      </c>
      <c r="N1678" s="16" t="n">
        <f aca="false">G1678*I1678</f>
        <v>101577</v>
      </c>
    </row>
    <row r="1679" customFormat="false" ht="15" hidden="false" customHeight="true" outlineLevel="0" collapsed="false">
      <c r="A1679" s="4" t="s">
        <v>1855</v>
      </c>
      <c r="B1679" s="4" t="s">
        <v>107</v>
      </c>
      <c r="C1679" s="13" t="n">
        <v>45186</v>
      </c>
      <c r="D1679" s="13" t="n">
        <v>45194</v>
      </c>
      <c r="E1679" s="13" t="n">
        <v>45197</v>
      </c>
      <c r="F1679" s="4" t="n">
        <v>3300</v>
      </c>
      <c r="G1679" s="4" t="n">
        <v>3300</v>
      </c>
      <c r="H1679" s="4" t="n">
        <v>40.41</v>
      </c>
      <c r="I1679" s="4" t="n">
        <v>40.8</v>
      </c>
      <c r="J1679" s="14" t="n">
        <f aca="false">E1679-D1679</f>
        <v>3</v>
      </c>
      <c r="K1679" s="14" t="n">
        <f aca="false">IF(J1679&lt;=0,1,0)</f>
        <v>0</v>
      </c>
      <c r="L1679" s="15" t="n">
        <f aca="false">IFERROR(G1679/F1679,0)</f>
        <v>1</v>
      </c>
      <c r="M1679" s="15" t="n">
        <f aca="false">IFERROR((I1679-H1679)/H1679,0)</f>
        <v>0.00965107646622125</v>
      </c>
      <c r="N1679" s="16" t="n">
        <f aca="false">G1679*I1679</f>
        <v>134640</v>
      </c>
    </row>
    <row r="1680" customFormat="false" ht="15" hidden="false" customHeight="true" outlineLevel="0" collapsed="false">
      <c r="A1680" s="4" t="s">
        <v>1856</v>
      </c>
      <c r="B1680" s="4" t="s">
        <v>139</v>
      </c>
      <c r="C1680" s="13" t="n">
        <v>45476</v>
      </c>
      <c r="D1680" s="13" t="n">
        <v>45487</v>
      </c>
      <c r="E1680" s="13" t="n">
        <v>45488</v>
      </c>
      <c r="F1680" s="4" t="n">
        <v>1537</v>
      </c>
      <c r="G1680" s="4" t="n">
        <v>1389</v>
      </c>
      <c r="H1680" s="4" t="n">
        <v>207.64</v>
      </c>
      <c r="I1680" s="4" t="n">
        <v>217.74</v>
      </c>
      <c r="J1680" s="14" t="n">
        <f aca="false">E1680-D1680</f>
        <v>1</v>
      </c>
      <c r="K1680" s="14" t="n">
        <f aca="false">IF(J1680&lt;=0,1,0)</f>
        <v>0</v>
      </c>
      <c r="L1680" s="15" t="n">
        <f aca="false">IFERROR(G1680/F1680,0)</f>
        <v>0.903708523096942</v>
      </c>
      <c r="M1680" s="15" t="n">
        <f aca="false">IFERROR((I1680-H1680)/H1680,0)</f>
        <v>0.0486418801772299</v>
      </c>
      <c r="N1680" s="16" t="n">
        <f aca="false">G1680*I1680</f>
        <v>302440.86</v>
      </c>
    </row>
    <row r="1681" customFormat="false" ht="15" hidden="false" customHeight="true" outlineLevel="0" collapsed="false">
      <c r="A1681" s="4" t="s">
        <v>1857</v>
      </c>
      <c r="B1681" s="4" t="s">
        <v>99</v>
      </c>
      <c r="C1681" s="13" t="n">
        <v>44984</v>
      </c>
      <c r="D1681" s="13" t="n">
        <v>44993</v>
      </c>
      <c r="E1681" s="13" t="n">
        <v>44996</v>
      </c>
      <c r="F1681" s="4" t="n">
        <v>953</v>
      </c>
      <c r="G1681" s="4" t="n">
        <v>921</v>
      </c>
      <c r="H1681" s="4" t="n">
        <v>11.5</v>
      </c>
      <c r="I1681" s="4" t="n">
        <v>11.56</v>
      </c>
      <c r="J1681" s="14" t="n">
        <f aca="false">E1681-D1681</f>
        <v>3</v>
      </c>
      <c r="K1681" s="14" t="n">
        <f aca="false">IF(J1681&lt;=0,1,0)</f>
        <v>0</v>
      </c>
      <c r="L1681" s="15" t="n">
        <f aca="false">IFERROR(G1681/F1681,0)</f>
        <v>0.966421825813221</v>
      </c>
      <c r="M1681" s="15" t="n">
        <f aca="false">IFERROR((I1681-H1681)/H1681,0)</f>
        <v>0.00521739130434787</v>
      </c>
      <c r="N1681" s="16" t="n">
        <f aca="false">G1681*I1681</f>
        <v>10646.76</v>
      </c>
    </row>
    <row r="1682" customFormat="false" ht="15" hidden="false" customHeight="true" outlineLevel="0" collapsed="false">
      <c r="A1682" s="4" t="s">
        <v>1858</v>
      </c>
      <c r="B1682" s="4" t="s">
        <v>61</v>
      </c>
      <c r="C1682" s="13" t="n">
        <v>45653</v>
      </c>
      <c r="D1682" s="13" t="n">
        <v>45663</v>
      </c>
      <c r="E1682" s="13" t="n">
        <v>45664</v>
      </c>
      <c r="F1682" s="4" t="n">
        <v>1278</v>
      </c>
      <c r="G1682" s="4" t="n">
        <v>1211</v>
      </c>
      <c r="H1682" s="4" t="n">
        <v>107.41</v>
      </c>
      <c r="I1682" s="4" t="n">
        <v>108.43</v>
      </c>
      <c r="J1682" s="14" t="n">
        <f aca="false">E1682-D1682</f>
        <v>1</v>
      </c>
      <c r="K1682" s="14" t="n">
        <f aca="false">IF(J1682&lt;=0,1,0)</f>
        <v>0</v>
      </c>
      <c r="L1682" s="15" t="n">
        <f aca="false">IFERROR(G1682/F1682,0)</f>
        <v>0.947574334898279</v>
      </c>
      <c r="M1682" s="15" t="n">
        <f aca="false">IFERROR((I1682-H1682)/H1682,0)</f>
        <v>0.00949632250256038</v>
      </c>
      <c r="N1682" s="16" t="n">
        <f aca="false">G1682*I1682</f>
        <v>131308.73</v>
      </c>
    </row>
    <row r="1683" customFormat="false" ht="15" hidden="false" customHeight="true" outlineLevel="0" collapsed="false">
      <c r="A1683" s="4" t="s">
        <v>1859</v>
      </c>
      <c r="B1683" s="4" t="s">
        <v>81</v>
      </c>
      <c r="C1683" s="13" t="n">
        <v>45088</v>
      </c>
      <c r="D1683" s="13" t="n">
        <v>45092</v>
      </c>
      <c r="E1683" s="13" t="n">
        <v>45097</v>
      </c>
      <c r="F1683" s="4" t="n">
        <v>13</v>
      </c>
      <c r="G1683" s="4" t="n">
        <v>13</v>
      </c>
      <c r="H1683" s="4" t="n">
        <v>697.63</v>
      </c>
      <c r="I1683" s="4" t="n">
        <v>697.67</v>
      </c>
      <c r="J1683" s="14" t="n">
        <f aca="false">E1683-D1683</f>
        <v>5</v>
      </c>
      <c r="K1683" s="14" t="n">
        <f aca="false">IF(J1683&lt;=0,1,0)</f>
        <v>0</v>
      </c>
      <c r="L1683" s="15" t="n">
        <f aca="false">IFERROR(G1683/F1683,0)</f>
        <v>1</v>
      </c>
      <c r="M1683" s="15" t="n">
        <f aca="false">IFERROR((I1683-H1683)/H1683,0)</f>
        <v>5.73369837879157E-005</v>
      </c>
      <c r="N1683" s="16" t="n">
        <f aca="false">G1683*I1683</f>
        <v>9069.71</v>
      </c>
    </row>
    <row r="1684" customFormat="false" ht="15" hidden="false" customHeight="true" outlineLevel="0" collapsed="false">
      <c r="A1684" s="4" t="s">
        <v>1860</v>
      </c>
      <c r="B1684" s="4" t="s">
        <v>119</v>
      </c>
      <c r="C1684" s="13" t="n">
        <v>45522</v>
      </c>
      <c r="D1684" s="13" t="n">
        <v>45531</v>
      </c>
      <c r="E1684" s="13" t="n">
        <v>45534</v>
      </c>
      <c r="F1684" s="4" t="n">
        <v>967</v>
      </c>
      <c r="G1684" s="4" t="n">
        <v>951</v>
      </c>
      <c r="H1684" s="4" t="n">
        <v>50.92</v>
      </c>
      <c r="I1684" s="4" t="n">
        <v>48.06</v>
      </c>
      <c r="J1684" s="14" t="n">
        <f aca="false">E1684-D1684</f>
        <v>3</v>
      </c>
      <c r="K1684" s="14" t="n">
        <f aca="false">IF(J1684&lt;=0,1,0)</f>
        <v>0</v>
      </c>
      <c r="L1684" s="15" t="n">
        <f aca="false">IFERROR(G1684/F1684,0)</f>
        <v>0.983453981385729</v>
      </c>
      <c r="M1684" s="15" t="n">
        <f aca="false">IFERROR((I1684-H1684)/H1684,0)</f>
        <v>-0.0561665357423409</v>
      </c>
      <c r="N1684" s="16" t="n">
        <f aca="false">G1684*I1684</f>
        <v>45705.06</v>
      </c>
    </row>
    <row r="1685" customFormat="false" ht="15" hidden="false" customHeight="true" outlineLevel="0" collapsed="false">
      <c r="A1685" s="4" t="s">
        <v>1861</v>
      </c>
      <c r="B1685" s="4" t="s">
        <v>145</v>
      </c>
      <c r="C1685" s="13" t="n">
        <v>45564</v>
      </c>
      <c r="D1685" s="13" t="n">
        <v>45576</v>
      </c>
      <c r="E1685" s="13" t="n">
        <v>45581</v>
      </c>
      <c r="F1685" s="4" t="n">
        <v>1349</v>
      </c>
      <c r="G1685" s="4" t="n">
        <v>1276</v>
      </c>
      <c r="H1685" s="4" t="n">
        <v>237.04</v>
      </c>
      <c r="I1685" s="4" t="n">
        <v>273.7</v>
      </c>
      <c r="J1685" s="14" t="n">
        <f aca="false">E1685-D1685</f>
        <v>5</v>
      </c>
      <c r="K1685" s="14" t="n">
        <f aca="false">IF(J1685&lt;=0,1,0)</f>
        <v>0</v>
      </c>
      <c r="L1685" s="15" t="n">
        <f aca="false">IFERROR(G1685/F1685,0)</f>
        <v>0.945885841363973</v>
      </c>
      <c r="M1685" s="15" t="n">
        <f aca="false">IFERROR((I1685-H1685)/H1685,0)</f>
        <v>0.154657441781978</v>
      </c>
      <c r="N1685" s="16" t="n">
        <f aca="false">G1685*I1685</f>
        <v>349241.2</v>
      </c>
    </row>
    <row r="1686" customFormat="false" ht="15" hidden="false" customHeight="true" outlineLevel="0" collapsed="false">
      <c r="A1686" s="4" t="s">
        <v>1862</v>
      </c>
      <c r="B1686" s="4" t="s">
        <v>127</v>
      </c>
      <c r="C1686" s="13" t="n">
        <v>45399</v>
      </c>
      <c r="D1686" s="13" t="n">
        <v>45404</v>
      </c>
      <c r="E1686" s="13" t="n">
        <v>45404</v>
      </c>
      <c r="F1686" s="4" t="n">
        <v>11</v>
      </c>
      <c r="G1686" s="4" t="n">
        <v>11</v>
      </c>
      <c r="H1686" s="4" t="n">
        <v>1881</v>
      </c>
      <c r="I1686" s="4" t="n">
        <v>1808.28</v>
      </c>
      <c r="J1686" s="14" t="n">
        <f aca="false">E1686-D1686</f>
        <v>0</v>
      </c>
      <c r="K1686" s="14" t="n">
        <f aca="false">IF(J1686&lt;=0,1,0)</f>
        <v>1</v>
      </c>
      <c r="L1686" s="15" t="n">
        <f aca="false">IFERROR(G1686/F1686,0)</f>
        <v>1</v>
      </c>
      <c r="M1686" s="15" t="n">
        <f aca="false">IFERROR((I1686-H1686)/H1686,0)</f>
        <v>-0.0386602870813397</v>
      </c>
      <c r="N1686" s="16" t="n">
        <f aca="false">G1686*I1686</f>
        <v>19891.08</v>
      </c>
    </row>
    <row r="1687" customFormat="false" ht="15" hidden="false" customHeight="true" outlineLevel="0" collapsed="false">
      <c r="A1687" s="4" t="s">
        <v>1863</v>
      </c>
      <c r="B1687" s="4" t="s">
        <v>157</v>
      </c>
      <c r="C1687" s="13" t="n">
        <v>45264</v>
      </c>
      <c r="D1687" s="13" t="n">
        <v>45273</v>
      </c>
      <c r="E1687" s="13" t="n">
        <v>45275</v>
      </c>
      <c r="F1687" s="4" t="n">
        <v>4330</v>
      </c>
      <c r="G1687" s="4" t="n">
        <v>4146</v>
      </c>
      <c r="H1687" s="4" t="n">
        <v>13.1</v>
      </c>
      <c r="I1687" s="4" t="n">
        <v>13.52</v>
      </c>
      <c r="J1687" s="14" t="n">
        <f aca="false">E1687-D1687</f>
        <v>2</v>
      </c>
      <c r="K1687" s="14" t="n">
        <f aca="false">IF(J1687&lt;=0,1,0)</f>
        <v>0</v>
      </c>
      <c r="L1687" s="15" t="n">
        <f aca="false">IFERROR(G1687/F1687,0)</f>
        <v>0.957505773672056</v>
      </c>
      <c r="M1687" s="15" t="n">
        <f aca="false">IFERROR((I1687-H1687)/H1687,0)</f>
        <v>0.0320610687022901</v>
      </c>
      <c r="N1687" s="16" t="n">
        <f aca="false">G1687*I1687</f>
        <v>56053.92</v>
      </c>
    </row>
    <row r="1688" customFormat="false" ht="15" hidden="false" customHeight="true" outlineLevel="0" collapsed="false">
      <c r="A1688" s="4" t="s">
        <v>1864</v>
      </c>
      <c r="B1688" s="4" t="s">
        <v>127</v>
      </c>
      <c r="C1688" s="13" t="n">
        <v>45610</v>
      </c>
      <c r="D1688" s="13" t="n">
        <v>45615</v>
      </c>
      <c r="E1688" s="13" t="n">
        <v>45618</v>
      </c>
      <c r="F1688" s="4" t="n">
        <v>14</v>
      </c>
      <c r="G1688" s="4" t="n">
        <v>14</v>
      </c>
      <c r="H1688" s="4" t="n">
        <v>1881</v>
      </c>
      <c r="I1688" s="4" t="n">
        <v>1760.56</v>
      </c>
      <c r="J1688" s="14" t="n">
        <f aca="false">E1688-D1688</f>
        <v>3</v>
      </c>
      <c r="K1688" s="14" t="n">
        <f aca="false">IF(J1688&lt;=0,1,0)</f>
        <v>0</v>
      </c>
      <c r="L1688" s="15" t="n">
        <f aca="false">IFERROR(G1688/F1688,0)</f>
        <v>1</v>
      </c>
      <c r="M1688" s="15" t="n">
        <f aca="false">IFERROR((I1688-H1688)/H1688,0)</f>
        <v>-0.0640297713981925</v>
      </c>
      <c r="N1688" s="16" t="n">
        <f aca="false">G1688*I1688</f>
        <v>24647.84</v>
      </c>
    </row>
    <row r="1689" customFormat="false" ht="15" hidden="false" customHeight="true" outlineLevel="0" collapsed="false">
      <c r="A1689" s="4" t="s">
        <v>1865</v>
      </c>
      <c r="B1689" s="4" t="s">
        <v>155</v>
      </c>
      <c r="C1689" s="13" t="n">
        <v>45244</v>
      </c>
      <c r="D1689" s="13" t="n">
        <v>45252</v>
      </c>
      <c r="E1689" s="13" t="n">
        <v>45248</v>
      </c>
      <c r="F1689" s="4" t="n">
        <v>2825</v>
      </c>
      <c r="G1689" s="4" t="n">
        <v>2668</v>
      </c>
      <c r="H1689" s="4" t="n">
        <v>24.04</v>
      </c>
      <c r="I1689" s="4" t="n">
        <v>23.54</v>
      </c>
      <c r="J1689" s="14" t="n">
        <f aca="false">E1689-D1689</f>
        <v>-4</v>
      </c>
      <c r="K1689" s="14" t="n">
        <f aca="false">IF(J1689&lt;=0,1,0)</f>
        <v>1</v>
      </c>
      <c r="L1689" s="15" t="n">
        <f aca="false">IFERROR(G1689/F1689,0)</f>
        <v>0.944424778761062</v>
      </c>
      <c r="M1689" s="15" t="n">
        <f aca="false">IFERROR((I1689-H1689)/H1689,0)</f>
        <v>-0.0207986688851914</v>
      </c>
      <c r="N1689" s="16" t="n">
        <f aca="false">G1689*I1689</f>
        <v>62804.72</v>
      </c>
    </row>
    <row r="1690" customFormat="false" ht="15" hidden="false" customHeight="true" outlineLevel="0" collapsed="false">
      <c r="A1690" s="4" t="s">
        <v>1866</v>
      </c>
      <c r="B1690" s="4" t="s">
        <v>103</v>
      </c>
      <c r="C1690" s="13" t="n">
        <v>45177</v>
      </c>
      <c r="D1690" s="13" t="n">
        <v>45194</v>
      </c>
      <c r="E1690" s="13" t="n">
        <v>45199</v>
      </c>
      <c r="F1690" s="4" t="n">
        <v>62</v>
      </c>
      <c r="G1690" s="4" t="n">
        <v>62</v>
      </c>
      <c r="H1690" s="4" t="n">
        <v>1400.22</v>
      </c>
      <c r="I1690" s="4" t="n">
        <v>1423.11</v>
      </c>
      <c r="J1690" s="14" t="n">
        <f aca="false">E1690-D1690</f>
        <v>5</v>
      </c>
      <c r="K1690" s="14" t="n">
        <f aca="false">IF(J1690&lt;=0,1,0)</f>
        <v>0</v>
      </c>
      <c r="L1690" s="15" t="n">
        <f aca="false">IFERROR(G1690/F1690,0)</f>
        <v>1</v>
      </c>
      <c r="M1690" s="15" t="n">
        <f aca="false">IFERROR((I1690-H1690)/H1690,0)</f>
        <v>0.0163474311179671</v>
      </c>
      <c r="N1690" s="16" t="n">
        <f aca="false">G1690*I1690</f>
        <v>88232.82</v>
      </c>
    </row>
    <row r="1691" customFormat="false" ht="15" hidden="false" customHeight="true" outlineLevel="0" collapsed="false">
      <c r="A1691" s="4" t="s">
        <v>1867</v>
      </c>
      <c r="B1691" s="4" t="s">
        <v>113</v>
      </c>
      <c r="C1691" s="13" t="n">
        <v>45342</v>
      </c>
      <c r="D1691" s="13" t="n">
        <v>45353</v>
      </c>
      <c r="E1691" s="13" t="n">
        <v>45358</v>
      </c>
      <c r="F1691" s="4" t="n">
        <v>503</v>
      </c>
      <c r="G1691" s="4" t="n">
        <v>487</v>
      </c>
      <c r="H1691" s="4" t="n">
        <v>170.42</v>
      </c>
      <c r="I1691" s="4" t="n">
        <v>170.66</v>
      </c>
      <c r="J1691" s="14" t="n">
        <f aca="false">E1691-D1691</f>
        <v>5</v>
      </c>
      <c r="K1691" s="14" t="n">
        <f aca="false">IF(J1691&lt;=0,1,0)</f>
        <v>0</v>
      </c>
      <c r="L1691" s="15" t="n">
        <f aca="false">IFERROR(G1691/F1691,0)</f>
        <v>0.968190854870775</v>
      </c>
      <c r="M1691" s="15" t="n">
        <f aca="false">IFERROR((I1691-H1691)/H1691,0)</f>
        <v>0.00140828541251032</v>
      </c>
      <c r="N1691" s="16" t="n">
        <f aca="false">G1691*I1691</f>
        <v>83111.42</v>
      </c>
    </row>
    <row r="1692" customFormat="false" ht="15" hidden="false" customHeight="true" outlineLevel="0" collapsed="false">
      <c r="A1692" s="4" t="s">
        <v>1868</v>
      </c>
      <c r="B1692" s="4" t="s">
        <v>55</v>
      </c>
      <c r="C1692" s="13" t="n">
        <v>45580</v>
      </c>
      <c r="D1692" s="13" t="n">
        <v>45600</v>
      </c>
      <c r="E1692" s="13" t="n">
        <v>45604</v>
      </c>
      <c r="F1692" s="4" t="n">
        <v>286</v>
      </c>
      <c r="G1692" s="4" t="n">
        <v>277</v>
      </c>
      <c r="H1692" s="4" t="n">
        <v>598.09</v>
      </c>
      <c r="I1692" s="4" t="n">
        <v>557.35</v>
      </c>
      <c r="J1692" s="14" t="n">
        <f aca="false">E1692-D1692</f>
        <v>4</v>
      </c>
      <c r="K1692" s="14" t="n">
        <f aca="false">IF(J1692&lt;=0,1,0)</f>
        <v>0</v>
      </c>
      <c r="L1692" s="15" t="n">
        <f aca="false">IFERROR(G1692/F1692,0)</f>
        <v>0.968531468531469</v>
      </c>
      <c r="M1692" s="15" t="n">
        <f aca="false">IFERROR((I1692-H1692)/H1692,0)</f>
        <v>-0.0681168386028859</v>
      </c>
      <c r="N1692" s="16" t="n">
        <f aca="false">G1692*I1692</f>
        <v>154385.95</v>
      </c>
    </row>
    <row r="1693" customFormat="false" ht="15" hidden="false" customHeight="true" outlineLevel="0" collapsed="false">
      <c r="A1693" s="4" t="s">
        <v>1869</v>
      </c>
      <c r="B1693" s="4" t="s">
        <v>133</v>
      </c>
      <c r="C1693" s="13" t="n">
        <v>45401</v>
      </c>
      <c r="D1693" s="13" t="n">
        <v>45410</v>
      </c>
      <c r="E1693" s="13" t="n">
        <v>45415</v>
      </c>
      <c r="F1693" s="4" t="n">
        <v>1775</v>
      </c>
      <c r="G1693" s="4" t="n">
        <v>1702</v>
      </c>
      <c r="H1693" s="4" t="n">
        <v>138.21</v>
      </c>
      <c r="I1693" s="4" t="n">
        <v>140.37</v>
      </c>
      <c r="J1693" s="14" t="n">
        <f aca="false">E1693-D1693</f>
        <v>5</v>
      </c>
      <c r="K1693" s="14" t="n">
        <f aca="false">IF(J1693&lt;=0,1,0)</f>
        <v>0</v>
      </c>
      <c r="L1693" s="15" t="n">
        <f aca="false">IFERROR(G1693/F1693,0)</f>
        <v>0.95887323943662</v>
      </c>
      <c r="M1693" s="15" t="n">
        <f aca="false">IFERROR((I1693-H1693)/H1693,0)</f>
        <v>0.0156283915780334</v>
      </c>
      <c r="N1693" s="16" t="n">
        <f aca="false">G1693*I1693</f>
        <v>238909.74</v>
      </c>
    </row>
    <row r="1694" customFormat="false" ht="15" hidden="false" customHeight="true" outlineLevel="0" collapsed="false">
      <c r="A1694" s="4" t="s">
        <v>1870</v>
      </c>
      <c r="B1694" s="4" t="s">
        <v>32</v>
      </c>
      <c r="C1694" s="13" t="n">
        <v>45174</v>
      </c>
      <c r="D1694" s="13" t="n">
        <v>45182</v>
      </c>
      <c r="E1694" s="13" t="n">
        <v>45182</v>
      </c>
      <c r="F1694" s="4" t="n">
        <v>2811</v>
      </c>
      <c r="G1694" s="4" t="n">
        <v>2549</v>
      </c>
      <c r="H1694" s="4" t="n">
        <v>32.49</v>
      </c>
      <c r="I1694" s="4" t="n">
        <v>32.38</v>
      </c>
      <c r="J1694" s="14" t="n">
        <f aca="false">E1694-D1694</f>
        <v>0</v>
      </c>
      <c r="K1694" s="14" t="n">
        <f aca="false">IF(J1694&lt;=0,1,0)</f>
        <v>1</v>
      </c>
      <c r="L1694" s="15" t="n">
        <f aca="false">IFERROR(G1694/F1694,0)</f>
        <v>0.906794734969762</v>
      </c>
      <c r="M1694" s="15" t="n">
        <f aca="false">IFERROR((I1694-H1694)/H1694,0)</f>
        <v>-0.0033856571252693</v>
      </c>
      <c r="N1694" s="16" t="n">
        <f aca="false">G1694*I1694</f>
        <v>82536.62</v>
      </c>
    </row>
    <row r="1695" customFormat="false" ht="15" hidden="false" customHeight="true" outlineLevel="0" collapsed="false">
      <c r="A1695" s="4" t="s">
        <v>1871</v>
      </c>
      <c r="B1695" s="4" t="s">
        <v>143</v>
      </c>
      <c r="C1695" s="13" t="n">
        <v>45364</v>
      </c>
      <c r="D1695" s="13" t="n">
        <v>45373</v>
      </c>
      <c r="E1695" s="13" t="n">
        <v>45392</v>
      </c>
      <c r="F1695" s="4" t="n">
        <v>4772</v>
      </c>
      <c r="G1695" s="4" t="n">
        <v>4443</v>
      </c>
      <c r="H1695" s="4" t="n">
        <v>20.6</v>
      </c>
      <c r="I1695" s="4" t="n">
        <v>21.45</v>
      </c>
      <c r="J1695" s="14" t="n">
        <f aca="false">E1695-D1695</f>
        <v>19</v>
      </c>
      <c r="K1695" s="14" t="n">
        <f aca="false">IF(J1695&lt;=0,1,0)</f>
        <v>0</v>
      </c>
      <c r="L1695" s="15" t="n">
        <f aca="false">IFERROR(G1695/F1695,0)</f>
        <v>0.93105616093881</v>
      </c>
      <c r="M1695" s="15" t="n">
        <f aca="false">IFERROR((I1695-H1695)/H1695,0)</f>
        <v>0.04126213592233</v>
      </c>
      <c r="N1695" s="16" t="n">
        <f aca="false">G1695*I1695</f>
        <v>95302.35</v>
      </c>
    </row>
    <row r="1696" customFormat="false" ht="15" hidden="false" customHeight="true" outlineLevel="0" collapsed="false">
      <c r="A1696" s="4" t="s">
        <v>1872</v>
      </c>
      <c r="B1696" s="4" t="s">
        <v>101</v>
      </c>
      <c r="C1696" s="13" t="n">
        <v>45406</v>
      </c>
      <c r="D1696" s="13" t="n">
        <v>45426</v>
      </c>
      <c r="E1696" s="13" t="n">
        <v>45428</v>
      </c>
      <c r="F1696" s="4" t="n">
        <v>416</v>
      </c>
      <c r="G1696" s="4" t="n">
        <v>400</v>
      </c>
      <c r="H1696" s="4" t="n">
        <v>442.74</v>
      </c>
      <c r="I1696" s="4" t="n">
        <v>443.5</v>
      </c>
      <c r="J1696" s="14" t="n">
        <f aca="false">E1696-D1696</f>
        <v>2</v>
      </c>
      <c r="K1696" s="14" t="n">
        <f aca="false">IF(J1696&lt;=0,1,0)</f>
        <v>0</v>
      </c>
      <c r="L1696" s="15" t="n">
        <f aca="false">IFERROR(G1696/F1696,0)</f>
        <v>0.961538461538462</v>
      </c>
      <c r="M1696" s="15" t="n">
        <f aca="false">IFERROR((I1696-H1696)/H1696,0)</f>
        <v>0.00171658309617381</v>
      </c>
      <c r="N1696" s="16" t="n">
        <f aca="false">G1696*I1696</f>
        <v>177400</v>
      </c>
    </row>
    <row r="1697" customFormat="false" ht="15" hidden="false" customHeight="true" outlineLevel="0" collapsed="false">
      <c r="A1697" s="4" t="s">
        <v>1873</v>
      </c>
      <c r="B1697" s="4" t="s">
        <v>43</v>
      </c>
      <c r="C1697" s="13" t="n">
        <v>44967</v>
      </c>
      <c r="D1697" s="13" t="n">
        <v>44986</v>
      </c>
      <c r="E1697" s="13" t="n">
        <v>44988</v>
      </c>
      <c r="F1697" s="4" t="n">
        <v>410</v>
      </c>
      <c r="G1697" s="4" t="n">
        <v>410</v>
      </c>
      <c r="H1697" s="4" t="n">
        <v>1321.6</v>
      </c>
      <c r="I1697" s="4" t="n">
        <v>1319.8</v>
      </c>
      <c r="J1697" s="14" t="n">
        <f aca="false">E1697-D1697</f>
        <v>2</v>
      </c>
      <c r="K1697" s="14" t="n">
        <f aca="false">IF(J1697&lt;=0,1,0)</f>
        <v>0</v>
      </c>
      <c r="L1697" s="15" t="n">
        <f aca="false">IFERROR(G1697/F1697,0)</f>
        <v>1</v>
      </c>
      <c r="M1697" s="15" t="n">
        <f aca="false">IFERROR((I1697-H1697)/H1697,0)</f>
        <v>-0.00136198547215493</v>
      </c>
      <c r="N1697" s="16" t="n">
        <f aca="false">G1697*I1697</f>
        <v>541118</v>
      </c>
    </row>
    <row r="1698" customFormat="false" ht="15" hidden="false" customHeight="true" outlineLevel="0" collapsed="false">
      <c r="A1698" s="4" t="s">
        <v>1874</v>
      </c>
      <c r="B1698" s="4" t="s">
        <v>119</v>
      </c>
      <c r="C1698" s="13" t="n">
        <v>44992</v>
      </c>
      <c r="D1698" s="13" t="n">
        <v>45000</v>
      </c>
      <c r="E1698" s="13" t="n">
        <v>45005</v>
      </c>
      <c r="F1698" s="4" t="n">
        <v>984</v>
      </c>
      <c r="G1698" s="4" t="n">
        <v>984</v>
      </c>
      <c r="H1698" s="4" t="n">
        <v>50.92</v>
      </c>
      <c r="I1698" s="4" t="n">
        <v>50.35</v>
      </c>
      <c r="J1698" s="14" t="n">
        <f aca="false">E1698-D1698</f>
        <v>5</v>
      </c>
      <c r="K1698" s="14" t="n">
        <f aca="false">IF(J1698&lt;=0,1,0)</f>
        <v>0</v>
      </c>
      <c r="L1698" s="15" t="n">
        <f aca="false">IFERROR(G1698/F1698,0)</f>
        <v>1</v>
      </c>
      <c r="M1698" s="15" t="n">
        <f aca="false">IFERROR((I1698-H1698)/H1698,0)</f>
        <v>-0.0111940298507463</v>
      </c>
      <c r="N1698" s="16" t="n">
        <f aca="false">G1698*I1698</f>
        <v>49544.4</v>
      </c>
    </row>
    <row r="1699" customFormat="false" ht="15" hidden="false" customHeight="true" outlineLevel="0" collapsed="false">
      <c r="A1699" s="4" t="s">
        <v>1875</v>
      </c>
      <c r="B1699" s="4" t="s">
        <v>125</v>
      </c>
      <c r="C1699" s="13" t="n">
        <v>45081</v>
      </c>
      <c r="D1699" s="13" t="n">
        <v>45086</v>
      </c>
      <c r="E1699" s="13" t="n">
        <v>45095</v>
      </c>
      <c r="F1699" s="4" t="n">
        <v>10</v>
      </c>
      <c r="G1699" s="4" t="n">
        <v>9</v>
      </c>
      <c r="H1699" s="4" t="n">
        <v>729.32</v>
      </c>
      <c r="I1699" s="4" t="n">
        <v>729.95</v>
      </c>
      <c r="J1699" s="14" t="n">
        <f aca="false">E1699-D1699</f>
        <v>9</v>
      </c>
      <c r="K1699" s="14" t="n">
        <f aca="false">IF(J1699&lt;=0,1,0)</f>
        <v>0</v>
      </c>
      <c r="L1699" s="15" t="n">
        <f aca="false">IFERROR(G1699/F1699,0)</f>
        <v>0.9</v>
      </c>
      <c r="M1699" s="15" t="n">
        <f aca="false">IFERROR((I1699-H1699)/H1699,0)</f>
        <v>0.000863818351340969</v>
      </c>
      <c r="N1699" s="16" t="n">
        <f aca="false">G1699*I1699</f>
        <v>6569.55</v>
      </c>
    </row>
    <row r="1700" customFormat="false" ht="15" hidden="false" customHeight="true" outlineLevel="0" collapsed="false">
      <c r="A1700" s="4" t="s">
        <v>1876</v>
      </c>
      <c r="B1700" s="4" t="s">
        <v>151</v>
      </c>
      <c r="C1700" s="13" t="n">
        <v>44954</v>
      </c>
      <c r="D1700" s="13" t="n">
        <v>44961</v>
      </c>
      <c r="E1700" s="13" t="n">
        <v>44963</v>
      </c>
      <c r="F1700" s="4" t="n">
        <v>12</v>
      </c>
      <c r="G1700" s="4" t="n">
        <v>12</v>
      </c>
      <c r="H1700" s="4" t="n">
        <v>503.46</v>
      </c>
      <c r="I1700" s="4" t="n">
        <v>504.94</v>
      </c>
      <c r="J1700" s="14" t="n">
        <f aca="false">E1700-D1700</f>
        <v>2</v>
      </c>
      <c r="K1700" s="14" t="n">
        <f aca="false">IF(J1700&lt;=0,1,0)</f>
        <v>0</v>
      </c>
      <c r="L1700" s="15" t="n">
        <f aca="false">IFERROR(G1700/F1700,0)</f>
        <v>1</v>
      </c>
      <c r="M1700" s="15" t="n">
        <f aca="false">IFERROR((I1700-H1700)/H1700,0)</f>
        <v>0.00293965756961828</v>
      </c>
      <c r="N1700" s="16" t="n">
        <f aca="false">G1700*I1700</f>
        <v>6059.28</v>
      </c>
    </row>
    <row r="1701" customFormat="false" ht="15" hidden="false" customHeight="true" outlineLevel="0" collapsed="false">
      <c r="A1701" s="4" t="s">
        <v>1877</v>
      </c>
      <c r="B1701" s="4" t="s">
        <v>61</v>
      </c>
      <c r="C1701" s="13" t="n">
        <v>45596</v>
      </c>
      <c r="D1701" s="13" t="n">
        <v>45606</v>
      </c>
      <c r="E1701" s="13" t="n">
        <v>45615</v>
      </c>
      <c r="F1701" s="4" t="n">
        <v>1408</v>
      </c>
      <c r="G1701" s="4" t="n">
        <v>1327</v>
      </c>
      <c r="H1701" s="4" t="n">
        <v>107.41</v>
      </c>
      <c r="I1701" s="4" t="n">
        <v>108.1</v>
      </c>
      <c r="J1701" s="14" t="n">
        <f aca="false">E1701-D1701</f>
        <v>9</v>
      </c>
      <c r="K1701" s="14" t="n">
        <f aca="false">IF(J1701&lt;=0,1,0)</f>
        <v>0</v>
      </c>
      <c r="L1701" s="15" t="n">
        <f aca="false">IFERROR(G1701/F1701,0)</f>
        <v>0.942471590909091</v>
      </c>
      <c r="M1701" s="15" t="n">
        <f aca="false">IFERROR((I1701-H1701)/H1701,0)</f>
        <v>0.00642398286937899</v>
      </c>
      <c r="N1701" s="16" t="n">
        <f aca="false">G1701*I1701</f>
        <v>143448.7</v>
      </c>
    </row>
    <row r="1702" customFormat="false" ht="15" hidden="false" customHeight="true" outlineLevel="0" collapsed="false">
      <c r="A1702" s="4" t="s">
        <v>1878</v>
      </c>
      <c r="B1702" s="4" t="s">
        <v>58</v>
      </c>
      <c r="C1702" s="13" t="n">
        <v>45024</v>
      </c>
      <c r="D1702" s="13" t="n">
        <v>45037</v>
      </c>
      <c r="E1702" s="13" t="n">
        <v>45037</v>
      </c>
      <c r="F1702" s="4" t="n">
        <v>22</v>
      </c>
      <c r="G1702" s="4" t="n">
        <v>22</v>
      </c>
      <c r="H1702" s="4" t="n">
        <v>135.68</v>
      </c>
      <c r="I1702" s="4" t="n">
        <v>136.83</v>
      </c>
      <c r="J1702" s="14" t="n">
        <f aca="false">E1702-D1702</f>
        <v>0</v>
      </c>
      <c r="K1702" s="14" t="n">
        <f aca="false">IF(J1702&lt;=0,1,0)</f>
        <v>1</v>
      </c>
      <c r="L1702" s="15" t="n">
        <f aca="false">IFERROR(G1702/F1702,0)</f>
        <v>1</v>
      </c>
      <c r="M1702" s="15" t="n">
        <f aca="false">IFERROR((I1702-H1702)/H1702,0)</f>
        <v>0.00847582547169815</v>
      </c>
      <c r="N1702" s="16" t="n">
        <f aca="false">G1702*I1702</f>
        <v>3010.26</v>
      </c>
    </row>
    <row r="1703" customFormat="false" ht="15" hidden="false" customHeight="true" outlineLevel="0" collapsed="false">
      <c r="A1703" s="4" t="s">
        <v>1879</v>
      </c>
      <c r="B1703" s="4" t="s">
        <v>123</v>
      </c>
      <c r="C1703" s="13" t="n">
        <v>45454</v>
      </c>
      <c r="D1703" s="13" t="n">
        <v>45465</v>
      </c>
      <c r="E1703" s="13" t="n">
        <v>45467</v>
      </c>
      <c r="F1703" s="4" t="n">
        <v>149</v>
      </c>
      <c r="G1703" s="4" t="n">
        <v>144</v>
      </c>
      <c r="H1703" s="4" t="n">
        <v>214.07</v>
      </c>
      <c r="I1703" s="4" t="n">
        <v>243.19</v>
      </c>
      <c r="J1703" s="14" t="n">
        <f aca="false">E1703-D1703</f>
        <v>2</v>
      </c>
      <c r="K1703" s="14" t="n">
        <f aca="false">IF(J1703&lt;=0,1,0)</f>
        <v>0</v>
      </c>
      <c r="L1703" s="15" t="n">
        <f aca="false">IFERROR(G1703/F1703,0)</f>
        <v>0.966442953020134</v>
      </c>
      <c r="M1703" s="15" t="n">
        <f aca="false">IFERROR((I1703-H1703)/H1703,0)</f>
        <v>0.136030270472275</v>
      </c>
      <c r="N1703" s="16" t="n">
        <f aca="false">G1703*I1703</f>
        <v>35019.36</v>
      </c>
    </row>
    <row r="1704" customFormat="false" ht="15" hidden="false" customHeight="true" outlineLevel="0" collapsed="false">
      <c r="A1704" s="4" t="s">
        <v>1880</v>
      </c>
      <c r="B1704" s="4" t="s">
        <v>32</v>
      </c>
      <c r="C1704" s="13" t="n">
        <v>45163</v>
      </c>
      <c r="D1704" s="13" t="n">
        <v>45169</v>
      </c>
      <c r="E1704" s="13" t="n">
        <v>45169</v>
      </c>
      <c r="F1704" s="4" t="n">
        <v>2922</v>
      </c>
      <c r="G1704" s="4" t="n">
        <v>2697</v>
      </c>
      <c r="H1704" s="4" t="n">
        <v>32.49</v>
      </c>
      <c r="I1704" s="4" t="n">
        <v>33.06</v>
      </c>
      <c r="J1704" s="14" t="n">
        <f aca="false">E1704-D1704</f>
        <v>0</v>
      </c>
      <c r="K1704" s="14" t="n">
        <f aca="false">IF(J1704&lt;=0,1,0)</f>
        <v>1</v>
      </c>
      <c r="L1704" s="15" t="n">
        <f aca="false">IFERROR(G1704/F1704,0)</f>
        <v>0.92299794661191</v>
      </c>
      <c r="M1704" s="15" t="n">
        <f aca="false">IFERROR((I1704-H1704)/H1704,0)</f>
        <v>0.0175438596491228</v>
      </c>
      <c r="N1704" s="16" t="n">
        <f aca="false">G1704*I1704</f>
        <v>89162.82</v>
      </c>
    </row>
    <row r="1705" customFormat="false" ht="15" hidden="false" customHeight="true" outlineLevel="0" collapsed="false">
      <c r="A1705" s="4" t="s">
        <v>1881</v>
      </c>
      <c r="B1705" s="4" t="s">
        <v>77</v>
      </c>
      <c r="C1705" s="13" t="n">
        <v>45609</v>
      </c>
      <c r="D1705" s="13" t="n">
        <v>45615</v>
      </c>
      <c r="E1705" s="13" t="n">
        <v>45628</v>
      </c>
      <c r="F1705" s="4" t="n">
        <v>4029</v>
      </c>
      <c r="G1705" s="4" t="n">
        <v>3912</v>
      </c>
      <c r="H1705" s="4" t="n">
        <v>36.83</v>
      </c>
      <c r="I1705" s="4" t="n">
        <v>34.02</v>
      </c>
      <c r="J1705" s="14" t="n">
        <f aca="false">E1705-D1705</f>
        <v>13</v>
      </c>
      <c r="K1705" s="14" t="n">
        <f aca="false">IF(J1705&lt;=0,1,0)</f>
        <v>0</v>
      </c>
      <c r="L1705" s="15" t="n">
        <f aca="false">IFERROR(G1705/F1705,0)</f>
        <v>0.97096053611318</v>
      </c>
      <c r="M1705" s="15" t="n">
        <f aca="false">IFERROR((I1705-H1705)/H1705,0)</f>
        <v>-0.0762964974205809</v>
      </c>
      <c r="N1705" s="16" t="n">
        <f aca="false">G1705*I1705</f>
        <v>133086.24</v>
      </c>
    </row>
    <row r="1706" customFormat="false" ht="15" hidden="false" customHeight="true" outlineLevel="0" collapsed="false">
      <c r="A1706" s="4" t="s">
        <v>1882</v>
      </c>
      <c r="B1706" s="4" t="s">
        <v>74</v>
      </c>
      <c r="C1706" s="13" t="n">
        <v>45344</v>
      </c>
      <c r="D1706" s="13" t="n">
        <v>45351</v>
      </c>
      <c r="E1706" s="13" t="n">
        <v>45347</v>
      </c>
      <c r="F1706" s="4" t="n">
        <v>17</v>
      </c>
      <c r="G1706" s="4" t="n">
        <v>17</v>
      </c>
      <c r="H1706" s="4" t="n">
        <v>1294.62</v>
      </c>
      <c r="I1706" s="4" t="n">
        <v>1331.37</v>
      </c>
      <c r="J1706" s="14" t="n">
        <f aca="false">E1706-D1706</f>
        <v>-4</v>
      </c>
      <c r="K1706" s="14" t="n">
        <f aca="false">IF(J1706&lt;=0,1,0)</f>
        <v>1</v>
      </c>
      <c r="L1706" s="15" t="n">
        <f aca="false">IFERROR(G1706/F1706,0)</f>
        <v>1</v>
      </c>
      <c r="M1706" s="15" t="n">
        <f aca="false">IFERROR((I1706-H1706)/H1706,0)</f>
        <v>0.0283867080687769</v>
      </c>
      <c r="N1706" s="16" t="n">
        <f aca="false">G1706*I1706</f>
        <v>22633.29</v>
      </c>
    </row>
    <row r="1707" customFormat="false" ht="15" hidden="false" customHeight="true" outlineLevel="0" collapsed="false">
      <c r="A1707" s="4" t="s">
        <v>1883</v>
      </c>
      <c r="B1707" s="4" t="s">
        <v>145</v>
      </c>
      <c r="C1707" s="13" t="n">
        <v>45379</v>
      </c>
      <c r="D1707" s="13" t="n">
        <v>45391</v>
      </c>
      <c r="E1707" s="13" t="n">
        <v>45392</v>
      </c>
      <c r="F1707" s="4" t="n">
        <v>272</v>
      </c>
      <c r="G1707" s="4" t="n">
        <v>253</v>
      </c>
      <c r="H1707" s="4" t="n">
        <v>237.04</v>
      </c>
      <c r="I1707" s="4" t="n">
        <v>265.88</v>
      </c>
      <c r="J1707" s="14" t="n">
        <f aca="false">E1707-D1707</f>
        <v>1</v>
      </c>
      <c r="K1707" s="14" t="n">
        <f aca="false">IF(J1707&lt;=0,1,0)</f>
        <v>0</v>
      </c>
      <c r="L1707" s="15" t="n">
        <f aca="false">IFERROR(G1707/F1707,0)</f>
        <v>0.930147058823529</v>
      </c>
      <c r="M1707" s="15" t="n">
        <f aca="false">IFERROR((I1707-H1707)/H1707,0)</f>
        <v>0.121667229159636</v>
      </c>
      <c r="N1707" s="16" t="n">
        <f aca="false">G1707*I1707</f>
        <v>67267.64</v>
      </c>
    </row>
    <row r="1708" customFormat="false" ht="15" hidden="false" customHeight="true" outlineLevel="0" collapsed="false">
      <c r="A1708" s="4" t="s">
        <v>1884</v>
      </c>
      <c r="B1708" s="4" t="s">
        <v>141</v>
      </c>
      <c r="C1708" s="13" t="n">
        <v>45030</v>
      </c>
      <c r="D1708" s="13" t="n">
        <v>45047</v>
      </c>
      <c r="E1708" s="13" t="n">
        <v>45054</v>
      </c>
      <c r="F1708" s="4" t="n">
        <v>124</v>
      </c>
      <c r="G1708" s="4" t="n">
        <v>121</v>
      </c>
      <c r="H1708" s="4" t="n">
        <v>1252.36</v>
      </c>
      <c r="I1708" s="4" t="n">
        <v>1250.31</v>
      </c>
      <c r="J1708" s="14" t="n">
        <f aca="false">E1708-D1708</f>
        <v>7</v>
      </c>
      <c r="K1708" s="14" t="n">
        <f aca="false">IF(J1708&lt;=0,1,0)</f>
        <v>0</v>
      </c>
      <c r="L1708" s="15" t="n">
        <f aca="false">IFERROR(G1708/F1708,0)</f>
        <v>0.975806451612903</v>
      </c>
      <c r="M1708" s="15" t="n">
        <f aca="false">IFERROR((I1708-H1708)/H1708,0)</f>
        <v>-0.00163690951483595</v>
      </c>
      <c r="N1708" s="16" t="n">
        <f aca="false">G1708*I1708</f>
        <v>151287.51</v>
      </c>
    </row>
    <row r="1709" customFormat="false" ht="15" hidden="false" customHeight="true" outlineLevel="0" collapsed="false">
      <c r="A1709" s="4" t="s">
        <v>1885</v>
      </c>
      <c r="B1709" s="4" t="s">
        <v>115</v>
      </c>
      <c r="C1709" s="13" t="n">
        <v>44987</v>
      </c>
      <c r="D1709" s="13" t="n">
        <v>45000</v>
      </c>
      <c r="E1709" s="13" t="n">
        <v>45006</v>
      </c>
      <c r="F1709" s="4" t="n">
        <v>208</v>
      </c>
      <c r="G1709" s="4" t="n">
        <v>196</v>
      </c>
      <c r="H1709" s="4" t="n">
        <v>115.53</v>
      </c>
      <c r="I1709" s="4" t="n">
        <v>116.45</v>
      </c>
      <c r="J1709" s="14" t="n">
        <f aca="false">E1709-D1709</f>
        <v>6</v>
      </c>
      <c r="K1709" s="14" t="n">
        <f aca="false">IF(J1709&lt;=0,1,0)</f>
        <v>0</v>
      </c>
      <c r="L1709" s="15" t="n">
        <f aca="false">IFERROR(G1709/F1709,0)</f>
        <v>0.942307692307692</v>
      </c>
      <c r="M1709" s="15" t="n">
        <f aca="false">IFERROR((I1709-H1709)/H1709,0)</f>
        <v>0.00796329957586776</v>
      </c>
      <c r="N1709" s="16" t="n">
        <f aca="false">G1709*I1709</f>
        <v>22824.2</v>
      </c>
    </row>
    <row r="1710" customFormat="false" ht="15" hidden="false" customHeight="true" outlineLevel="0" collapsed="false">
      <c r="A1710" s="4" t="s">
        <v>1886</v>
      </c>
      <c r="B1710" s="4" t="s">
        <v>32</v>
      </c>
      <c r="C1710" s="13" t="n">
        <v>45642</v>
      </c>
      <c r="D1710" s="13" t="n">
        <v>45650</v>
      </c>
      <c r="E1710" s="13" t="n">
        <v>45651</v>
      </c>
      <c r="F1710" s="4" t="n">
        <v>1172</v>
      </c>
      <c r="G1710" s="4" t="n">
        <v>1074</v>
      </c>
      <c r="H1710" s="4" t="n">
        <v>32.49</v>
      </c>
      <c r="I1710" s="4" t="n">
        <v>33.26</v>
      </c>
      <c r="J1710" s="14" t="n">
        <f aca="false">E1710-D1710</f>
        <v>1</v>
      </c>
      <c r="K1710" s="14" t="n">
        <f aca="false">IF(J1710&lt;=0,1,0)</f>
        <v>0</v>
      </c>
      <c r="L1710" s="15" t="n">
        <f aca="false">IFERROR(G1710/F1710,0)</f>
        <v>0.916382252559727</v>
      </c>
      <c r="M1710" s="15" t="n">
        <f aca="false">IFERROR((I1710-H1710)/H1710,0)</f>
        <v>0.0236995998768851</v>
      </c>
      <c r="N1710" s="16" t="n">
        <f aca="false">G1710*I1710</f>
        <v>35721.24</v>
      </c>
    </row>
    <row r="1711" customFormat="false" ht="15" hidden="false" customHeight="true" outlineLevel="0" collapsed="false">
      <c r="A1711" s="4" t="s">
        <v>1887</v>
      </c>
      <c r="B1711" s="4" t="s">
        <v>103</v>
      </c>
      <c r="C1711" s="13" t="n">
        <v>45089</v>
      </c>
      <c r="D1711" s="13" t="n">
        <v>45106</v>
      </c>
      <c r="E1711" s="13" t="n">
        <v>45111</v>
      </c>
      <c r="F1711" s="4" t="n">
        <v>317</v>
      </c>
      <c r="G1711" s="4" t="n">
        <v>310</v>
      </c>
      <c r="H1711" s="4" t="n">
        <v>1400.22</v>
      </c>
      <c r="I1711" s="4" t="n">
        <v>1403.55</v>
      </c>
      <c r="J1711" s="14" t="n">
        <f aca="false">E1711-D1711</f>
        <v>5</v>
      </c>
      <c r="K1711" s="14" t="n">
        <f aca="false">IF(J1711&lt;=0,1,0)</f>
        <v>0</v>
      </c>
      <c r="L1711" s="15" t="n">
        <f aca="false">IFERROR(G1711/F1711,0)</f>
        <v>0.977917981072555</v>
      </c>
      <c r="M1711" s="15" t="n">
        <f aca="false">IFERROR((I1711-H1711)/H1711,0)</f>
        <v>0.0023781977117881</v>
      </c>
      <c r="N1711" s="16" t="n">
        <f aca="false">G1711*I1711</f>
        <v>435100.5</v>
      </c>
    </row>
    <row r="1712" customFormat="false" ht="15" hidden="false" customHeight="true" outlineLevel="0" collapsed="false">
      <c r="A1712" s="4" t="s">
        <v>1888</v>
      </c>
      <c r="B1712" s="4" t="s">
        <v>153</v>
      </c>
      <c r="C1712" s="13" t="n">
        <v>44941</v>
      </c>
      <c r="D1712" s="13" t="n">
        <v>44958</v>
      </c>
      <c r="E1712" s="13" t="n">
        <v>44962</v>
      </c>
      <c r="F1712" s="4" t="n">
        <v>475</v>
      </c>
      <c r="G1712" s="4" t="n">
        <v>449</v>
      </c>
      <c r="H1712" s="4" t="n">
        <v>1492.04</v>
      </c>
      <c r="I1712" s="4" t="n">
        <v>1503.86</v>
      </c>
      <c r="J1712" s="14" t="n">
        <f aca="false">E1712-D1712</f>
        <v>4</v>
      </c>
      <c r="K1712" s="14" t="n">
        <f aca="false">IF(J1712&lt;=0,1,0)</f>
        <v>0</v>
      </c>
      <c r="L1712" s="15" t="n">
        <f aca="false">IFERROR(G1712/F1712,0)</f>
        <v>0.945263157894737</v>
      </c>
      <c r="M1712" s="15" t="n">
        <f aca="false">IFERROR((I1712-H1712)/H1712,0)</f>
        <v>0.00792203962360254</v>
      </c>
      <c r="N1712" s="16" t="n">
        <f aca="false">G1712*I1712</f>
        <v>675233.14</v>
      </c>
    </row>
    <row r="1713" customFormat="false" ht="15" hidden="false" customHeight="true" outlineLevel="0" collapsed="false">
      <c r="A1713" s="4" t="s">
        <v>1889</v>
      </c>
      <c r="B1713" s="4" t="s">
        <v>105</v>
      </c>
      <c r="C1713" s="13" t="n">
        <v>45196</v>
      </c>
      <c r="D1713" s="13" t="n">
        <v>45213</v>
      </c>
      <c r="E1713" s="13" t="n">
        <v>45215</v>
      </c>
      <c r="F1713" s="4" t="n">
        <v>388</v>
      </c>
      <c r="G1713" s="4" t="n">
        <v>375</v>
      </c>
      <c r="H1713" s="4" t="n">
        <v>685.84</v>
      </c>
      <c r="I1713" s="4" t="n">
        <v>695.83</v>
      </c>
      <c r="J1713" s="14" t="n">
        <f aca="false">E1713-D1713</f>
        <v>2</v>
      </c>
      <c r="K1713" s="14" t="n">
        <f aca="false">IF(J1713&lt;=0,1,0)</f>
        <v>0</v>
      </c>
      <c r="L1713" s="15" t="n">
        <f aca="false">IFERROR(G1713/F1713,0)</f>
        <v>0.966494845360825</v>
      </c>
      <c r="M1713" s="15" t="n">
        <f aca="false">IFERROR((I1713-H1713)/H1713,0)</f>
        <v>0.0145660795520821</v>
      </c>
      <c r="N1713" s="16" t="n">
        <f aca="false">G1713*I1713</f>
        <v>260936.25</v>
      </c>
    </row>
    <row r="1714" customFormat="false" ht="15" hidden="false" customHeight="true" outlineLevel="0" collapsed="false">
      <c r="A1714" s="4" t="s">
        <v>1890</v>
      </c>
      <c r="B1714" s="4" t="s">
        <v>47</v>
      </c>
      <c r="C1714" s="13" t="n">
        <v>45533</v>
      </c>
      <c r="D1714" s="13" t="n">
        <v>45544</v>
      </c>
      <c r="E1714" s="13" t="n">
        <v>45544</v>
      </c>
      <c r="F1714" s="4" t="n">
        <v>238</v>
      </c>
      <c r="G1714" s="4" t="n">
        <v>238</v>
      </c>
      <c r="H1714" s="4" t="n">
        <v>228.68</v>
      </c>
      <c r="I1714" s="4" t="n">
        <v>231.19</v>
      </c>
      <c r="J1714" s="14" t="n">
        <f aca="false">E1714-D1714</f>
        <v>0</v>
      </c>
      <c r="K1714" s="14" t="n">
        <f aca="false">IF(J1714&lt;=0,1,0)</f>
        <v>1</v>
      </c>
      <c r="L1714" s="15" t="n">
        <f aca="false">IFERROR(G1714/F1714,0)</f>
        <v>1</v>
      </c>
      <c r="M1714" s="15" t="n">
        <f aca="false">IFERROR((I1714-H1714)/H1714,0)</f>
        <v>0.0109760363827182</v>
      </c>
      <c r="N1714" s="16" t="n">
        <f aca="false">G1714*I1714</f>
        <v>55023.22</v>
      </c>
    </row>
    <row r="1715" customFormat="false" ht="15" hidden="false" customHeight="true" outlineLevel="0" collapsed="false">
      <c r="A1715" s="4" t="s">
        <v>1891</v>
      </c>
      <c r="B1715" s="4" t="s">
        <v>91</v>
      </c>
      <c r="C1715" s="13" t="n">
        <v>45510</v>
      </c>
      <c r="D1715" s="13" t="n">
        <v>45529</v>
      </c>
      <c r="E1715" s="13" t="n">
        <v>45529</v>
      </c>
      <c r="F1715" s="4" t="n">
        <v>106</v>
      </c>
      <c r="G1715" s="4" t="n">
        <v>103</v>
      </c>
      <c r="H1715" s="4" t="n">
        <v>496.29</v>
      </c>
      <c r="I1715" s="4" t="n">
        <v>480.44</v>
      </c>
      <c r="J1715" s="14" t="n">
        <f aca="false">E1715-D1715</f>
        <v>0</v>
      </c>
      <c r="K1715" s="14" t="n">
        <f aca="false">IF(J1715&lt;=0,1,0)</f>
        <v>1</v>
      </c>
      <c r="L1715" s="15" t="n">
        <f aca="false">IFERROR(G1715/F1715,0)</f>
        <v>0.971698113207547</v>
      </c>
      <c r="M1715" s="15" t="n">
        <f aca="false">IFERROR((I1715-H1715)/H1715,0)</f>
        <v>-0.0319369723347237</v>
      </c>
      <c r="N1715" s="16" t="n">
        <f aca="false">G1715*I1715</f>
        <v>49485.32</v>
      </c>
    </row>
    <row r="1716" customFormat="false" ht="15" hidden="false" customHeight="true" outlineLevel="0" collapsed="false">
      <c r="A1716" s="4" t="s">
        <v>1892</v>
      </c>
      <c r="B1716" s="4" t="s">
        <v>70</v>
      </c>
      <c r="C1716" s="13" t="n">
        <v>45322</v>
      </c>
      <c r="D1716" s="13" t="n">
        <v>45329</v>
      </c>
      <c r="E1716" s="13" t="n">
        <v>45331</v>
      </c>
      <c r="F1716" s="4" t="n">
        <v>2075</v>
      </c>
      <c r="G1716" s="4" t="n">
        <v>1947</v>
      </c>
      <c r="H1716" s="4" t="n">
        <v>35.88</v>
      </c>
      <c r="I1716" s="4" t="n">
        <v>37.16</v>
      </c>
      <c r="J1716" s="14" t="n">
        <f aca="false">E1716-D1716</f>
        <v>2</v>
      </c>
      <c r="K1716" s="14" t="n">
        <f aca="false">IF(J1716&lt;=0,1,0)</f>
        <v>0</v>
      </c>
      <c r="L1716" s="15" t="n">
        <f aca="false">IFERROR(G1716/F1716,0)</f>
        <v>0.938313253012048</v>
      </c>
      <c r="M1716" s="15" t="n">
        <f aca="false">IFERROR((I1716-H1716)/H1716,0)</f>
        <v>0.035674470457079</v>
      </c>
      <c r="N1716" s="16" t="n">
        <f aca="false">G1716*I1716</f>
        <v>72350.52</v>
      </c>
    </row>
    <row r="1717" customFormat="false" ht="15" hidden="false" customHeight="true" outlineLevel="0" collapsed="false">
      <c r="A1717" s="4" t="s">
        <v>1893</v>
      </c>
      <c r="B1717" s="4" t="s">
        <v>58</v>
      </c>
      <c r="C1717" s="13" t="n">
        <v>45357</v>
      </c>
      <c r="D1717" s="13" t="n">
        <v>45368</v>
      </c>
      <c r="E1717" s="13" t="n">
        <v>45367</v>
      </c>
      <c r="F1717" s="4" t="n">
        <v>134</v>
      </c>
      <c r="G1717" s="4" t="n">
        <v>134</v>
      </c>
      <c r="H1717" s="4" t="n">
        <v>135.68</v>
      </c>
      <c r="I1717" s="4" t="n">
        <v>140.59</v>
      </c>
      <c r="J1717" s="14" t="n">
        <f aca="false">E1717-D1717</f>
        <v>-1</v>
      </c>
      <c r="K1717" s="14" t="n">
        <f aca="false">IF(J1717&lt;=0,1,0)</f>
        <v>1</v>
      </c>
      <c r="L1717" s="15" t="n">
        <f aca="false">IFERROR(G1717/F1717,0)</f>
        <v>1</v>
      </c>
      <c r="M1717" s="15" t="n">
        <f aca="false">IFERROR((I1717-H1717)/H1717,0)</f>
        <v>0.0361880896226415</v>
      </c>
      <c r="N1717" s="16" t="n">
        <f aca="false">G1717*I1717</f>
        <v>18839.06</v>
      </c>
    </row>
    <row r="1718" customFormat="false" ht="15" hidden="false" customHeight="true" outlineLevel="0" collapsed="false">
      <c r="A1718" s="4" t="s">
        <v>1894</v>
      </c>
      <c r="B1718" s="4" t="s">
        <v>77</v>
      </c>
      <c r="C1718" s="13" t="n">
        <v>45491</v>
      </c>
      <c r="D1718" s="13" t="n">
        <v>45499</v>
      </c>
      <c r="E1718" s="13" t="n">
        <v>45509</v>
      </c>
      <c r="F1718" s="4" t="n">
        <v>3308</v>
      </c>
      <c r="G1718" s="4" t="n">
        <v>3215</v>
      </c>
      <c r="H1718" s="4" t="n">
        <v>36.83</v>
      </c>
      <c r="I1718" s="4" t="n">
        <v>35.23</v>
      </c>
      <c r="J1718" s="14" t="n">
        <f aca="false">E1718-D1718</f>
        <v>10</v>
      </c>
      <c r="K1718" s="14" t="n">
        <f aca="false">IF(J1718&lt;=0,1,0)</f>
        <v>0</v>
      </c>
      <c r="L1718" s="15" t="n">
        <f aca="false">IFERROR(G1718/F1718,0)</f>
        <v>0.971886336154776</v>
      </c>
      <c r="M1718" s="15" t="n">
        <f aca="false">IFERROR((I1718-H1718)/H1718,0)</f>
        <v>-0.0434428455063807</v>
      </c>
      <c r="N1718" s="16" t="n">
        <f aca="false">G1718*I1718</f>
        <v>113264.45</v>
      </c>
    </row>
    <row r="1719" customFormat="false" ht="15" hidden="false" customHeight="true" outlineLevel="0" collapsed="false">
      <c r="A1719" s="4" t="s">
        <v>1895</v>
      </c>
      <c r="B1719" s="4" t="s">
        <v>139</v>
      </c>
      <c r="C1719" s="13" t="n">
        <v>45030</v>
      </c>
      <c r="D1719" s="13" t="n">
        <v>45039</v>
      </c>
      <c r="E1719" s="13" t="n">
        <v>45035</v>
      </c>
      <c r="F1719" s="4" t="n">
        <v>1655</v>
      </c>
      <c r="G1719" s="4" t="n">
        <v>1475</v>
      </c>
      <c r="H1719" s="4" t="n">
        <v>207.64</v>
      </c>
      <c r="I1719" s="4" t="n">
        <v>209.03</v>
      </c>
      <c r="J1719" s="14" t="n">
        <f aca="false">E1719-D1719</f>
        <v>-4</v>
      </c>
      <c r="K1719" s="14" t="n">
        <f aca="false">IF(J1719&lt;=0,1,0)</f>
        <v>1</v>
      </c>
      <c r="L1719" s="15" t="n">
        <f aca="false">IFERROR(G1719/F1719,0)</f>
        <v>0.891238670694864</v>
      </c>
      <c r="M1719" s="15" t="n">
        <f aca="false">IFERROR((I1719-H1719)/H1719,0)</f>
        <v>0.00669427855904457</v>
      </c>
      <c r="N1719" s="16" t="n">
        <f aca="false">G1719*I1719</f>
        <v>308319.25</v>
      </c>
    </row>
    <row r="1720" customFormat="false" ht="15" hidden="false" customHeight="true" outlineLevel="0" collapsed="false">
      <c r="A1720" s="4" t="s">
        <v>1896</v>
      </c>
      <c r="B1720" s="4" t="s">
        <v>121</v>
      </c>
      <c r="C1720" s="13" t="n">
        <v>45653</v>
      </c>
      <c r="D1720" s="13" t="n">
        <v>45665</v>
      </c>
      <c r="E1720" s="13" t="n">
        <v>45666</v>
      </c>
      <c r="F1720" s="4" t="n">
        <v>648</v>
      </c>
      <c r="G1720" s="4" t="n">
        <v>587</v>
      </c>
      <c r="H1720" s="4" t="n">
        <v>206.07</v>
      </c>
      <c r="I1720" s="4" t="n">
        <v>233.27</v>
      </c>
      <c r="J1720" s="14" t="n">
        <f aca="false">E1720-D1720</f>
        <v>1</v>
      </c>
      <c r="K1720" s="14" t="n">
        <f aca="false">IF(J1720&lt;=0,1,0)</f>
        <v>0</v>
      </c>
      <c r="L1720" s="15" t="n">
        <f aca="false">IFERROR(G1720/F1720,0)</f>
        <v>0.905864197530864</v>
      </c>
      <c r="M1720" s="15" t="n">
        <f aca="false">IFERROR((I1720-H1720)/H1720,0)</f>
        <v>0.131993982627263</v>
      </c>
      <c r="N1720" s="16" t="n">
        <f aca="false">G1720*I1720</f>
        <v>136929.49</v>
      </c>
    </row>
    <row r="1721" customFormat="false" ht="15" hidden="false" customHeight="true" outlineLevel="0" collapsed="false">
      <c r="A1721" s="4" t="s">
        <v>1897</v>
      </c>
      <c r="B1721" s="4" t="s">
        <v>68</v>
      </c>
      <c r="C1721" s="13" t="n">
        <v>44927</v>
      </c>
      <c r="D1721" s="13" t="n">
        <v>44947</v>
      </c>
      <c r="E1721" s="13" t="n">
        <v>44941</v>
      </c>
      <c r="F1721" s="4" t="n">
        <v>324</v>
      </c>
      <c r="G1721" s="4" t="n">
        <v>301</v>
      </c>
      <c r="H1721" s="4" t="n">
        <v>1232.83</v>
      </c>
      <c r="I1721" s="4" t="n">
        <v>1230.24</v>
      </c>
      <c r="J1721" s="14" t="n">
        <f aca="false">E1721-D1721</f>
        <v>-6</v>
      </c>
      <c r="K1721" s="14" t="n">
        <f aca="false">IF(J1721&lt;=0,1,0)</f>
        <v>1</v>
      </c>
      <c r="L1721" s="15" t="n">
        <f aca="false">IFERROR(G1721/F1721,0)</f>
        <v>0.929012345679012</v>
      </c>
      <c r="M1721" s="15" t="n">
        <f aca="false">IFERROR((I1721-H1721)/H1721,0)</f>
        <v>-0.00210085737692944</v>
      </c>
      <c r="N1721" s="16" t="n">
        <f aca="false">G1721*I1721</f>
        <v>370302.24</v>
      </c>
    </row>
    <row r="1722" customFormat="false" ht="15" hidden="false" customHeight="true" outlineLevel="0" collapsed="false">
      <c r="A1722" s="4" t="s">
        <v>1898</v>
      </c>
      <c r="B1722" s="4" t="s">
        <v>105</v>
      </c>
      <c r="C1722" s="13" t="n">
        <v>45335</v>
      </c>
      <c r="D1722" s="13" t="n">
        <v>45354</v>
      </c>
      <c r="E1722" s="13" t="n">
        <v>45357</v>
      </c>
      <c r="F1722" s="4" t="n">
        <v>248</v>
      </c>
      <c r="G1722" s="4" t="n">
        <v>238</v>
      </c>
      <c r="H1722" s="4" t="n">
        <v>685.84</v>
      </c>
      <c r="I1722" s="4" t="n">
        <v>712.39</v>
      </c>
      <c r="J1722" s="14" t="n">
        <f aca="false">E1722-D1722</f>
        <v>3</v>
      </c>
      <c r="K1722" s="14" t="n">
        <f aca="false">IF(J1722&lt;=0,1,0)</f>
        <v>0</v>
      </c>
      <c r="L1722" s="15" t="n">
        <f aca="false">IFERROR(G1722/F1722,0)</f>
        <v>0.959677419354839</v>
      </c>
      <c r="M1722" s="15" t="n">
        <f aca="false">IFERROR((I1722-H1722)/H1722,0)</f>
        <v>0.0387116528636416</v>
      </c>
      <c r="N1722" s="16" t="n">
        <f aca="false">G1722*I1722</f>
        <v>169548.82</v>
      </c>
    </row>
    <row r="1723" customFormat="false" ht="15" hidden="false" customHeight="true" outlineLevel="0" collapsed="false">
      <c r="A1723" s="4" t="s">
        <v>1899</v>
      </c>
      <c r="B1723" s="4" t="s">
        <v>105</v>
      </c>
      <c r="C1723" s="13" t="n">
        <v>45554</v>
      </c>
      <c r="D1723" s="13" t="n">
        <v>45573</v>
      </c>
      <c r="E1723" s="13" t="n">
        <v>45574</v>
      </c>
      <c r="F1723" s="4" t="n">
        <v>485</v>
      </c>
      <c r="G1723" s="4" t="n">
        <v>462</v>
      </c>
      <c r="H1723" s="4" t="n">
        <v>685.84</v>
      </c>
      <c r="I1723" s="4" t="n">
        <v>709.68</v>
      </c>
      <c r="J1723" s="14" t="n">
        <f aca="false">E1723-D1723</f>
        <v>1</v>
      </c>
      <c r="K1723" s="14" t="n">
        <f aca="false">IF(J1723&lt;=0,1,0)</f>
        <v>0</v>
      </c>
      <c r="L1723" s="15" t="n">
        <f aca="false">IFERROR(G1723/F1723,0)</f>
        <v>0.952577319587629</v>
      </c>
      <c r="M1723" s="15" t="n">
        <f aca="false">IFERROR((I1723-H1723)/H1723,0)</f>
        <v>0.0347602939461098</v>
      </c>
      <c r="N1723" s="16" t="n">
        <f aca="false">G1723*I1723</f>
        <v>327872.16</v>
      </c>
    </row>
    <row r="1724" customFormat="false" ht="15" hidden="false" customHeight="true" outlineLevel="0" collapsed="false">
      <c r="A1724" s="4" t="s">
        <v>1900</v>
      </c>
      <c r="B1724" s="4" t="s">
        <v>113</v>
      </c>
      <c r="C1724" s="13" t="n">
        <v>44929</v>
      </c>
      <c r="D1724" s="13" t="n">
        <v>44941</v>
      </c>
      <c r="E1724" s="13" t="n">
        <v>44946</v>
      </c>
      <c r="F1724" s="4" t="n">
        <v>987</v>
      </c>
      <c r="G1724" s="4" t="n">
        <v>987</v>
      </c>
      <c r="H1724" s="4" t="n">
        <v>170.42</v>
      </c>
      <c r="I1724" s="4" t="n">
        <v>172.37</v>
      </c>
      <c r="J1724" s="14" t="n">
        <f aca="false">E1724-D1724</f>
        <v>5</v>
      </c>
      <c r="K1724" s="14" t="n">
        <f aca="false">IF(J1724&lt;=0,1,0)</f>
        <v>0</v>
      </c>
      <c r="L1724" s="15" t="n">
        <f aca="false">IFERROR(G1724/F1724,0)</f>
        <v>1</v>
      </c>
      <c r="M1724" s="15" t="n">
        <f aca="false">IFERROR((I1724-H1724)/H1724,0)</f>
        <v>0.011442318976646</v>
      </c>
      <c r="N1724" s="16" t="n">
        <f aca="false">G1724*I1724</f>
        <v>170129.19</v>
      </c>
    </row>
    <row r="1725" customFormat="false" ht="15" hidden="false" customHeight="true" outlineLevel="0" collapsed="false">
      <c r="A1725" s="4" t="s">
        <v>1901</v>
      </c>
      <c r="B1725" s="4" t="s">
        <v>95</v>
      </c>
      <c r="C1725" s="13" t="n">
        <v>45061</v>
      </c>
      <c r="D1725" s="13" t="n">
        <v>45067</v>
      </c>
      <c r="E1725" s="13" t="n">
        <v>45068</v>
      </c>
      <c r="F1725" s="4" t="n">
        <v>3203</v>
      </c>
      <c r="G1725" s="4" t="n">
        <v>3203</v>
      </c>
      <c r="H1725" s="4" t="n">
        <v>20.39</v>
      </c>
      <c r="I1725" s="4" t="n">
        <v>20.67</v>
      </c>
      <c r="J1725" s="14" t="n">
        <f aca="false">E1725-D1725</f>
        <v>1</v>
      </c>
      <c r="K1725" s="14" t="n">
        <f aca="false">IF(J1725&lt;=0,1,0)</f>
        <v>0</v>
      </c>
      <c r="L1725" s="15" t="n">
        <f aca="false">IFERROR(G1725/F1725,0)</f>
        <v>1</v>
      </c>
      <c r="M1725" s="15" t="n">
        <f aca="false">IFERROR((I1725-H1725)/H1725,0)</f>
        <v>0.0137322216772928</v>
      </c>
      <c r="N1725" s="16" t="n">
        <f aca="false">G1725*I1725</f>
        <v>66206.01</v>
      </c>
    </row>
    <row r="1726" customFormat="false" ht="15" hidden="false" customHeight="true" outlineLevel="0" collapsed="false">
      <c r="A1726" s="4" t="s">
        <v>1902</v>
      </c>
      <c r="B1726" s="4" t="s">
        <v>137</v>
      </c>
      <c r="C1726" s="13" t="n">
        <v>45168</v>
      </c>
      <c r="D1726" s="13" t="n">
        <v>45188</v>
      </c>
      <c r="E1726" s="13" t="n">
        <v>45188</v>
      </c>
      <c r="F1726" s="4" t="n">
        <v>366</v>
      </c>
      <c r="G1726" s="4" t="n">
        <v>331</v>
      </c>
      <c r="H1726" s="4" t="n">
        <v>1047.25</v>
      </c>
      <c r="I1726" s="4" t="n">
        <v>1065.21</v>
      </c>
      <c r="J1726" s="14" t="n">
        <f aca="false">E1726-D1726</f>
        <v>0</v>
      </c>
      <c r="K1726" s="14" t="n">
        <f aca="false">IF(J1726&lt;=0,1,0)</f>
        <v>1</v>
      </c>
      <c r="L1726" s="15" t="n">
        <f aca="false">IFERROR(G1726/F1726,0)</f>
        <v>0.904371584699454</v>
      </c>
      <c r="M1726" s="15" t="n">
        <f aca="false">IFERROR((I1726-H1726)/H1726,0)</f>
        <v>0.0171496777273813</v>
      </c>
      <c r="N1726" s="16" t="n">
        <f aca="false">G1726*I1726</f>
        <v>352584.51</v>
      </c>
    </row>
    <row r="1727" customFormat="false" ht="15" hidden="false" customHeight="true" outlineLevel="0" collapsed="false">
      <c r="A1727" s="4" t="s">
        <v>1903</v>
      </c>
      <c r="B1727" s="4" t="s">
        <v>32</v>
      </c>
      <c r="C1727" s="13" t="n">
        <v>45599</v>
      </c>
      <c r="D1727" s="13" t="n">
        <v>45606</v>
      </c>
      <c r="E1727" s="13" t="n">
        <v>45608</v>
      </c>
      <c r="F1727" s="4" t="n">
        <v>3463</v>
      </c>
      <c r="G1727" s="4" t="n">
        <v>3059</v>
      </c>
      <c r="H1727" s="4" t="n">
        <v>32.49</v>
      </c>
      <c r="I1727" s="4" t="n">
        <v>32.62</v>
      </c>
      <c r="J1727" s="14" t="n">
        <f aca="false">E1727-D1727</f>
        <v>2</v>
      </c>
      <c r="K1727" s="14" t="n">
        <f aca="false">IF(J1727&lt;=0,1,0)</f>
        <v>0</v>
      </c>
      <c r="L1727" s="15" t="n">
        <f aca="false">IFERROR(G1727/F1727,0)</f>
        <v>0.883338146116084</v>
      </c>
      <c r="M1727" s="15" t="n">
        <f aca="false">IFERROR((I1727-H1727)/H1727,0)</f>
        <v>0.00400123114804541</v>
      </c>
      <c r="N1727" s="16" t="n">
        <f aca="false">G1727*I1727</f>
        <v>99784.58</v>
      </c>
    </row>
    <row r="1728" customFormat="false" ht="15" hidden="false" customHeight="true" outlineLevel="0" collapsed="false">
      <c r="A1728" s="4" t="s">
        <v>1904</v>
      </c>
      <c r="B1728" s="4" t="s">
        <v>127</v>
      </c>
      <c r="C1728" s="13" t="n">
        <v>45543</v>
      </c>
      <c r="D1728" s="13" t="n">
        <v>45550</v>
      </c>
      <c r="E1728" s="13" t="n">
        <v>45556</v>
      </c>
      <c r="F1728" s="4" t="n">
        <v>1</v>
      </c>
      <c r="G1728" s="4" t="n">
        <v>1</v>
      </c>
      <c r="H1728" s="4" t="n">
        <v>1881</v>
      </c>
      <c r="I1728" s="4" t="n">
        <v>1790.83</v>
      </c>
      <c r="J1728" s="14" t="n">
        <f aca="false">E1728-D1728</f>
        <v>6</v>
      </c>
      <c r="K1728" s="14" t="n">
        <f aca="false">IF(J1728&lt;=0,1,0)</f>
        <v>0</v>
      </c>
      <c r="L1728" s="15" t="n">
        <f aca="false">IFERROR(G1728/F1728,0)</f>
        <v>1</v>
      </c>
      <c r="M1728" s="15" t="n">
        <f aca="false">IFERROR((I1728-H1728)/H1728,0)</f>
        <v>-0.0479372674109517</v>
      </c>
      <c r="N1728" s="16" t="n">
        <f aca="false">G1728*I1728</f>
        <v>1790.83</v>
      </c>
    </row>
    <row r="1729" customFormat="false" ht="15" hidden="false" customHeight="true" outlineLevel="0" collapsed="false">
      <c r="A1729" s="4" t="s">
        <v>1905</v>
      </c>
      <c r="B1729" s="4" t="s">
        <v>89</v>
      </c>
      <c r="C1729" s="13" t="n">
        <v>45269</v>
      </c>
      <c r="D1729" s="13" t="n">
        <v>45276</v>
      </c>
      <c r="E1729" s="13" t="n">
        <v>45277</v>
      </c>
      <c r="F1729" s="4" t="n">
        <v>7</v>
      </c>
      <c r="G1729" s="4" t="n">
        <v>7</v>
      </c>
      <c r="H1729" s="4" t="n">
        <v>1929.81</v>
      </c>
      <c r="I1729" s="4" t="n">
        <v>1940.75</v>
      </c>
      <c r="J1729" s="14" t="n">
        <f aca="false">E1729-D1729</f>
        <v>1</v>
      </c>
      <c r="K1729" s="14" t="n">
        <f aca="false">IF(J1729&lt;=0,1,0)</f>
        <v>0</v>
      </c>
      <c r="L1729" s="15" t="n">
        <f aca="false">IFERROR(G1729/F1729,0)</f>
        <v>1</v>
      </c>
      <c r="M1729" s="15" t="n">
        <f aca="false">IFERROR((I1729-H1729)/H1729,0)</f>
        <v>0.00566895186572774</v>
      </c>
      <c r="N1729" s="16" t="n">
        <f aca="false">G1729*I1729</f>
        <v>13585.25</v>
      </c>
    </row>
    <row r="1730" customFormat="false" ht="15" hidden="false" customHeight="true" outlineLevel="0" collapsed="false">
      <c r="A1730" s="4" t="s">
        <v>1906</v>
      </c>
      <c r="B1730" s="4" t="s">
        <v>95</v>
      </c>
      <c r="C1730" s="13" t="n">
        <v>44965</v>
      </c>
      <c r="D1730" s="13" t="n">
        <v>44971</v>
      </c>
      <c r="E1730" s="13" t="n">
        <v>44968</v>
      </c>
      <c r="F1730" s="4" t="n">
        <v>4528</v>
      </c>
      <c r="G1730" s="4" t="n">
        <v>4392</v>
      </c>
      <c r="H1730" s="4" t="n">
        <v>20.39</v>
      </c>
      <c r="I1730" s="4" t="n">
        <v>20.93</v>
      </c>
      <c r="J1730" s="14" t="n">
        <f aca="false">E1730-D1730</f>
        <v>-3</v>
      </c>
      <c r="K1730" s="14" t="n">
        <f aca="false">IF(J1730&lt;=0,1,0)</f>
        <v>1</v>
      </c>
      <c r="L1730" s="15" t="n">
        <f aca="false">IFERROR(G1730/F1730,0)</f>
        <v>0.969964664310954</v>
      </c>
      <c r="M1730" s="15" t="n">
        <f aca="false">IFERROR((I1730-H1730)/H1730,0)</f>
        <v>0.0264835703776361</v>
      </c>
      <c r="N1730" s="16" t="n">
        <f aca="false">G1730*I1730</f>
        <v>91924.56</v>
      </c>
    </row>
    <row r="1731" customFormat="false" ht="15" hidden="false" customHeight="true" outlineLevel="0" collapsed="false">
      <c r="A1731" s="4" t="s">
        <v>1907</v>
      </c>
      <c r="B1731" s="4" t="s">
        <v>131</v>
      </c>
      <c r="C1731" s="13" t="n">
        <v>45295</v>
      </c>
      <c r="D1731" s="13" t="n">
        <v>45305</v>
      </c>
      <c r="E1731" s="13" t="n">
        <v>45303</v>
      </c>
      <c r="F1731" s="4" t="n">
        <v>1656</v>
      </c>
      <c r="G1731" s="4" t="n">
        <v>1647</v>
      </c>
      <c r="H1731" s="4" t="n">
        <v>88.52</v>
      </c>
      <c r="I1731" s="4" t="n">
        <v>90.1</v>
      </c>
      <c r="J1731" s="14" t="n">
        <f aca="false">E1731-D1731</f>
        <v>-2</v>
      </c>
      <c r="K1731" s="14" t="n">
        <f aca="false">IF(J1731&lt;=0,1,0)</f>
        <v>1</v>
      </c>
      <c r="L1731" s="15" t="n">
        <f aca="false">IFERROR(G1731/F1731,0)</f>
        <v>0.994565217391304</v>
      </c>
      <c r="M1731" s="15" t="n">
        <f aca="false">IFERROR((I1731-H1731)/H1731,0)</f>
        <v>0.017849073655671</v>
      </c>
      <c r="N1731" s="16" t="n">
        <f aca="false">G1731*I1731</f>
        <v>148394.7</v>
      </c>
    </row>
    <row r="1732" customFormat="false" ht="15" hidden="false" customHeight="true" outlineLevel="0" collapsed="false">
      <c r="A1732" s="4" t="s">
        <v>1908</v>
      </c>
      <c r="B1732" s="4" t="s">
        <v>131</v>
      </c>
      <c r="C1732" s="13" t="n">
        <v>45228</v>
      </c>
      <c r="D1732" s="13" t="n">
        <v>45238</v>
      </c>
      <c r="E1732" s="13" t="n">
        <v>45232</v>
      </c>
      <c r="F1732" s="4" t="n">
        <v>1712</v>
      </c>
      <c r="G1732" s="4" t="n">
        <v>1664</v>
      </c>
      <c r="H1732" s="4" t="n">
        <v>88.52</v>
      </c>
      <c r="I1732" s="4" t="n">
        <v>88.94</v>
      </c>
      <c r="J1732" s="14" t="n">
        <f aca="false">E1732-D1732</f>
        <v>-6</v>
      </c>
      <c r="K1732" s="14" t="n">
        <f aca="false">IF(J1732&lt;=0,1,0)</f>
        <v>1</v>
      </c>
      <c r="L1732" s="15" t="n">
        <f aca="false">IFERROR(G1732/F1732,0)</f>
        <v>0.97196261682243</v>
      </c>
      <c r="M1732" s="15" t="n">
        <f aca="false">IFERROR((I1732-H1732)/H1732,0)</f>
        <v>0.00474469046543156</v>
      </c>
      <c r="N1732" s="16" t="n">
        <f aca="false">G1732*I1732</f>
        <v>147996.16</v>
      </c>
    </row>
    <row r="1733" customFormat="false" ht="15" hidden="false" customHeight="true" outlineLevel="0" collapsed="false">
      <c r="A1733" s="4" t="s">
        <v>1909</v>
      </c>
      <c r="B1733" s="4" t="s">
        <v>58</v>
      </c>
      <c r="C1733" s="13" t="n">
        <v>45184</v>
      </c>
      <c r="D1733" s="13" t="n">
        <v>45197</v>
      </c>
      <c r="E1733" s="13" t="n">
        <v>45196</v>
      </c>
      <c r="F1733" s="4" t="n">
        <v>299</v>
      </c>
      <c r="G1733" s="4" t="n">
        <v>284</v>
      </c>
      <c r="H1733" s="4" t="n">
        <v>135.68</v>
      </c>
      <c r="I1733" s="4" t="n">
        <v>138.37</v>
      </c>
      <c r="J1733" s="14" t="n">
        <f aca="false">E1733-D1733</f>
        <v>-1</v>
      </c>
      <c r="K1733" s="14" t="n">
        <f aca="false">IF(J1733&lt;=0,1,0)</f>
        <v>1</v>
      </c>
      <c r="L1733" s="15" t="n">
        <f aca="false">IFERROR(G1733/F1733,0)</f>
        <v>0.949832775919733</v>
      </c>
      <c r="M1733" s="15" t="n">
        <f aca="false">IFERROR((I1733-H1733)/H1733,0)</f>
        <v>0.0198260613207547</v>
      </c>
      <c r="N1733" s="16" t="n">
        <f aca="false">G1733*I1733</f>
        <v>39297.08</v>
      </c>
    </row>
    <row r="1734" customFormat="false" ht="15" hidden="false" customHeight="true" outlineLevel="0" collapsed="false">
      <c r="A1734" s="4" t="s">
        <v>1910</v>
      </c>
      <c r="B1734" s="4" t="s">
        <v>91</v>
      </c>
      <c r="C1734" s="13" t="n">
        <v>44935</v>
      </c>
      <c r="D1734" s="13" t="n">
        <v>44955</v>
      </c>
      <c r="E1734" s="13" t="n">
        <v>44956</v>
      </c>
      <c r="F1734" s="4" t="n">
        <v>169</v>
      </c>
      <c r="G1734" s="4" t="n">
        <v>164</v>
      </c>
      <c r="H1734" s="4" t="n">
        <v>496.29</v>
      </c>
      <c r="I1734" s="4" t="n">
        <v>497.41</v>
      </c>
      <c r="J1734" s="14" t="n">
        <f aca="false">E1734-D1734</f>
        <v>1</v>
      </c>
      <c r="K1734" s="14" t="n">
        <f aca="false">IF(J1734&lt;=0,1,0)</f>
        <v>0</v>
      </c>
      <c r="L1734" s="15" t="n">
        <f aca="false">IFERROR(G1734/F1734,0)</f>
        <v>0.970414201183432</v>
      </c>
      <c r="M1734" s="15" t="n">
        <f aca="false">IFERROR((I1734-H1734)/H1734,0)</f>
        <v>0.00225674504825808</v>
      </c>
      <c r="N1734" s="16" t="n">
        <f aca="false">G1734*I1734</f>
        <v>81575.24</v>
      </c>
    </row>
    <row r="1735" customFormat="false" ht="15" hidden="false" customHeight="true" outlineLevel="0" collapsed="false">
      <c r="A1735" s="4" t="s">
        <v>1911</v>
      </c>
      <c r="B1735" s="4" t="s">
        <v>83</v>
      </c>
      <c r="C1735" s="13" t="n">
        <v>45564</v>
      </c>
      <c r="D1735" s="13" t="n">
        <v>45576</v>
      </c>
      <c r="E1735" s="13" t="n">
        <v>45578</v>
      </c>
      <c r="F1735" s="4" t="n">
        <v>1511</v>
      </c>
      <c r="G1735" s="4" t="n">
        <v>1511</v>
      </c>
      <c r="H1735" s="4" t="n">
        <v>101.36</v>
      </c>
      <c r="I1735" s="4" t="n">
        <v>106.29</v>
      </c>
      <c r="J1735" s="14" t="n">
        <f aca="false">E1735-D1735</f>
        <v>2</v>
      </c>
      <c r="K1735" s="14" t="n">
        <f aca="false">IF(J1735&lt;=0,1,0)</f>
        <v>0</v>
      </c>
      <c r="L1735" s="15" t="n">
        <f aca="false">IFERROR(G1735/F1735,0)</f>
        <v>1</v>
      </c>
      <c r="M1735" s="15" t="n">
        <f aca="false">IFERROR((I1735-H1735)/H1735,0)</f>
        <v>0.0486385161799527</v>
      </c>
      <c r="N1735" s="16" t="n">
        <f aca="false">G1735*I1735</f>
        <v>160604.19</v>
      </c>
    </row>
    <row r="1736" customFormat="false" ht="15" hidden="false" customHeight="true" outlineLevel="0" collapsed="false">
      <c r="A1736" s="4" t="s">
        <v>1912</v>
      </c>
      <c r="B1736" s="4" t="s">
        <v>143</v>
      </c>
      <c r="C1736" s="13" t="n">
        <v>45619</v>
      </c>
      <c r="D1736" s="13" t="n">
        <v>45625</v>
      </c>
      <c r="E1736" s="13" t="n">
        <v>45642</v>
      </c>
      <c r="F1736" s="4" t="n">
        <v>3921</v>
      </c>
      <c r="G1736" s="4" t="n">
        <v>3710</v>
      </c>
      <c r="H1736" s="4" t="n">
        <v>20.6</v>
      </c>
      <c r="I1736" s="4" t="n">
        <v>22.43</v>
      </c>
      <c r="J1736" s="14" t="n">
        <f aca="false">E1736-D1736</f>
        <v>17</v>
      </c>
      <c r="K1736" s="14" t="n">
        <f aca="false">IF(J1736&lt;=0,1,0)</f>
        <v>0</v>
      </c>
      <c r="L1736" s="15" t="n">
        <f aca="false">IFERROR(G1736/F1736,0)</f>
        <v>0.946187197143586</v>
      </c>
      <c r="M1736" s="15" t="n">
        <f aca="false">IFERROR((I1736-H1736)/H1736,0)</f>
        <v>0.0888349514563106</v>
      </c>
      <c r="N1736" s="16" t="n">
        <f aca="false">G1736*I1736</f>
        <v>83215.3</v>
      </c>
    </row>
    <row r="1737" customFormat="false" ht="15" hidden="false" customHeight="true" outlineLevel="0" collapsed="false">
      <c r="A1737" s="4" t="s">
        <v>1913</v>
      </c>
      <c r="B1737" s="4" t="s">
        <v>37</v>
      </c>
      <c r="C1737" s="13" t="n">
        <v>45325</v>
      </c>
      <c r="D1737" s="13" t="n">
        <v>45332</v>
      </c>
      <c r="E1737" s="13" t="n">
        <v>45332</v>
      </c>
      <c r="F1737" s="4" t="n">
        <v>4733</v>
      </c>
      <c r="G1737" s="4" t="n">
        <v>4604</v>
      </c>
      <c r="H1737" s="4" t="n">
        <v>22.26</v>
      </c>
      <c r="I1737" s="4" t="n">
        <v>21.53</v>
      </c>
      <c r="J1737" s="14" t="n">
        <f aca="false">E1737-D1737</f>
        <v>0</v>
      </c>
      <c r="K1737" s="14" t="n">
        <f aca="false">IF(J1737&lt;=0,1,0)</f>
        <v>1</v>
      </c>
      <c r="L1737" s="15" t="n">
        <f aca="false">IFERROR(G1737/F1737,0)</f>
        <v>0.97274455947602</v>
      </c>
      <c r="M1737" s="15" t="n">
        <f aca="false">IFERROR((I1737-H1737)/H1737,0)</f>
        <v>-0.0327942497753819</v>
      </c>
      <c r="N1737" s="16" t="n">
        <f aca="false">G1737*I1737</f>
        <v>99124.12</v>
      </c>
    </row>
    <row r="1738" customFormat="false" ht="15" hidden="false" customHeight="true" outlineLevel="0" collapsed="false">
      <c r="A1738" s="4" t="s">
        <v>1914</v>
      </c>
      <c r="B1738" s="4" t="s">
        <v>127</v>
      </c>
      <c r="C1738" s="13" t="n">
        <v>45446</v>
      </c>
      <c r="D1738" s="13" t="n">
        <v>45450</v>
      </c>
      <c r="E1738" s="13" t="n">
        <v>45455</v>
      </c>
      <c r="F1738" s="4" t="n">
        <v>10</v>
      </c>
      <c r="G1738" s="4" t="n">
        <v>10</v>
      </c>
      <c r="H1738" s="4" t="n">
        <v>1881</v>
      </c>
      <c r="I1738" s="4" t="n">
        <v>1758.04</v>
      </c>
      <c r="J1738" s="14" t="n">
        <f aca="false">E1738-D1738</f>
        <v>5</v>
      </c>
      <c r="K1738" s="14" t="n">
        <f aca="false">IF(J1738&lt;=0,1,0)</f>
        <v>0</v>
      </c>
      <c r="L1738" s="15" t="n">
        <f aca="false">IFERROR(G1738/F1738,0)</f>
        <v>1</v>
      </c>
      <c r="M1738" s="15" t="n">
        <f aca="false">IFERROR((I1738-H1738)/H1738,0)</f>
        <v>-0.0653694843168528</v>
      </c>
      <c r="N1738" s="16" t="n">
        <f aca="false">G1738*I1738</f>
        <v>17580.4</v>
      </c>
    </row>
    <row r="1739" customFormat="false" ht="15" hidden="false" customHeight="true" outlineLevel="0" collapsed="false">
      <c r="A1739" s="4" t="s">
        <v>1915</v>
      </c>
      <c r="B1739" s="4" t="s">
        <v>83</v>
      </c>
      <c r="C1739" s="13" t="n">
        <v>45440</v>
      </c>
      <c r="D1739" s="13" t="n">
        <v>45449</v>
      </c>
      <c r="E1739" s="13" t="n">
        <v>45452</v>
      </c>
      <c r="F1739" s="4" t="n">
        <v>530</v>
      </c>
      <c r="G1739" s="4" t="n">
        <v>512</v>
      </c>
      <c r="H1739" s="4" t="n">
        <v>101.36</v>
      </c>
      <c r="I1739" s="4" t="n">
        <v>105.3</v>
      </c>
      <c r="J1739" s="14" t="n">
        <f aca="false">E1739-D1739</f>
        <v>3</v>
      </c>
      <c r="K1739" s="14" t="n">
        <f aca="false">IF(J1739&lt;=0,1,0)</f>
        <v>0</v>
      </c>
      <c r="L1739" s="15" t="n">
        <f aca="false">IFERROR(G1739/F1739,0)</f>
        <v>0.966037735849057</v>
      </c>
      <c r="M1739" s="15" t="n">
        <f aca="false">IFERROR((I1739-H1739)/H1739,0)</f>
        <v>0.0388713496448303</v>
      </c>
      <c r="N1739" s="16" t="n">
        <f aca="false">G1739*I1739</f>
        <v>53913.6</v>
      </c>
    </row>
    <row r="1740" customFormat="false" ht="15" hidden="false" customHeight="true" outlineLevel="0" collapsed="false">
      <c r="A1740" s="4" t="s">
        <v>1916</v>
      </c>
      <c r="B1740" s="4" t="s">
        <v>127</v>
      </c>
      <c r="C1740" s="13" t="n">
        <v>45516</v>
      </c>
      <c r="D1740" s="13" t="n">
        <v>45521</v>
      </c>
      <c r="E1740" s="13" t="n">
        <v>45529</v>
      </c>
      <c r="F1740" s="4" t="n">
        <v>10</v>
      </c>
      <c r="G1740" s="4" t="n">
        <v>10</v>
      </c>
      <c r="H1740" s="4" t="n">
        <v>1881</v>
      </c>
      <c r="I1740" s="4" t="n">
        <v>1780.95</v>
      </c>
      <c r="J1740" s="14" t="n">
        <f aca="false">E1740-D1740</f>
        <v>8</v>
      </c>
      <c r="K1740" s="14" t="n">
        <f aca="false">IF(J1740&lt;=0,1,0)</f>
        <v>0</v>
      </c>
      <c r="L1740" s="15" t="n">
        <f aca="false">IFERROR(G1740/F1740,0)</f>
        <v>1</v>
      </c>
      <c r="M1740" s="15" t="n">
        <f aca="false">IFERROR((I1740-H1740)/H1740,0)</f>
        <v>-0.0531897926634769</v>
      </c>
      <c r="N1740" s="16" t="n">
        <f aca="false">G1740*I1740</f>
        <v>17809.5</v>
      </c>
    </row>
    <row r="1741" customFormat="false" ht="15" hidden="false" customHeight="true" outlineLevel="0" collapsed="false">
      <c r="A1741" s="4" t="s">
        <v>1917</v>
      </c>
      <c r="B1741" s="4" t="s">
        <v>93</v>
      </c>
      <c r="C1741" s="13" t="n">
        <v>45466</v>
      </c>
      <c r="D1741" s="13" t="n">
        <v>45478</v>
      </c>
      <c r="E1741" s="13" t="n">
        <v>45482</v>
      </c>
      <c r="F1741" s="4" t="n">
        <v>1205</v>
      </c>
      <c r="G1741" s="4" t="n">
        <v>1172</v>
      </c>
      <c r="H1741" s="4" t="n">
        <v>174.25</v>
      </c>
      <c r="I1741" s="4" t="n">
        <v>185.77</v>
      </c>
      <c r="J1741" s="14" t="n">
        <f aca="false">E1741-D1741</f>
        <v>4</v>
      </c>
      <c r="K1741" s="14" t="n">
        <f aca="false">IF(J1741&lt;=0,1,0)</f>
        <v>0</v>
      </c>
      <c r="L1741" s="15" t="n">
        <f aca="false">IFERROR(G1741/F1741,0)</f>
        <v>0.972614107883817</v>
      </c>
      <c r="M1741" s="15" t="n">
        <f aca="false">IFERROR((I1741-H1741)/H1741,0)</f>
        <v>0.0661119081779054</v>
      </c>
      <c r="N1741" s="16" t="n">
        <f aca="false">G1741*I1741</f>
        <v>217722.44</v>
      </c>
    </row>
    <row r="1742" customFormat="false" ht="15" hidden="false" customHeight="true" outlineLevel="0" collapsed="false">
      <c r="A1742" s="4" t="s">
        <v>1918</v>
      </c>
      <c r="B1742" s="4" t="s">
        <v>123</v>
      </c>
      <c r="C1742" s="13" t="n">
        <v>45461</v>
      </c>
      <c r="D1742" s="13" t="n">
        <v>45472</v>
      </c>
      <c r="E1742" s="13" t="n">
        <v>45470</v>
      </c>
      <c r="F1742" s="4" t="n">
        <v>183</v>
      </c>
      <c r="G1742" s="4" t="n">
        <v>174</v>
      </c>
      <c r="H1742" s="4" t="n">
        <v>214.07</v>
      </c>
      <c r="I1742" s="4" t="n">
        <v>239.35</v>
      </c>
      <c r="J1742" s="14" t="n">
        <f aca="false">E1742-D1742</f>
        <v>-2</v>
      </c>
      <c r="K1742" s="14" t="n">
        <f aca="false">IF(J1742&lt;=0,1,0)</f>
        <v>1</v>
      </c>
      <c r="L1742" s="15" t="n">
        <f aca="false">IFERROR(G1742/F1742,0)</f>
        <v>0.950819672131148</v>
      </c>
      <c r="M1742" s="15" t="n">
        <f aca="false">IFERROR((I1742-H1742)/H1742,0)</f>
        <v>0.11809221282758</v>
      </c>
      <c r="N1742" s="16" t="n">
        <f aca="false">G1742*I1742</f>
        <v>41646.9</v>
      </c>
    </row>
    <row r="1743" customFormat="false" ht="15" hidden="false" customHeight="true" outlineLevel="0" collapsed="false">
      <c r="A1743" s="4" t="s">
        <v>1919</v>
      </c>
      <c r="B1743" s="4" t="s">
        <v>47</v>
      </c>
      <c r="C1743" s="13" t="n">
        <v>45639</v>
      </c>
      <c r="D1743" s="13" t="n">
        <v>45651</v>
      </c>
      <c r="E1743" s="13" t="n">
        <v>45648</v>
      </c>
      <c r="F1743" s="4" t="n">
        <v>210</v>
      </c>
      <c r="G1743" s="4" t="n">
        <v>203</v>
      </c>
      <c r="H1743" s="4" t="n">
        <v>228.68</v>
      </c>
      <c r="I1743" s="4" t="n">
        <v>228.13</v>
      </c>
      <c r="J1743" s="14" t="n">
        <f aca="false">E1743-D1743</f>
        <v>-3</v>
      </c>
      <c r="K1743" s="14" t="n">
        <f aca="false">IF(J1743&lt;=0,1,0)</f>
        <v>1</v>
      </c>
      <c r="L1743" s="15" t="n">
        <f aca="false">IFERROR(G1743/F1743,0)</f>
        <v>0.966666666666667</v>
      </c>
      <c r="M1743" s="15" t="n">
        <f aca="false">IFERROR((I1743-H1743)/H1743,0)</f>
        <v>-0.00240510757390245</v>
      </c>
      <c r="N1743" s="16" t="n">
        <f aca="false">G1743*I1743</f>
        <v>46310.39</v>
      </c>
    </row>
    <row r="1744" customFormat="false" ht="15" hidden="false" customHeight="true" outlineLevel="0" collapsed="false">
      <c r="A1744" s="4" t="s">
        <v>1920</v>
      </c>
      <c r="B1744" s="4" t="s">
        <v>127</v>
      </c>
      <c r="C1744" s="13" t="n">
        <v>45068</v>
      </c>
      <c r="D1744" s="13" t="n">
        <v>45074</v>
      </c>
      <c r="E1744" s="13" t="n">
        <v>45075</v>
      </c>
      <c r="F1744" s="4" t="n">
        <v>19</v>
      </c>
      <c r="G1744" s="4" t="n">
        <v>19</v>
      </c>
      <c r="H1744" s="4" t="n">
        <v>1881</v>
      </c>
      <c r="I1744" s="4" t="n">
        <v>1872.86</v>
      </c>
      <c r="J1744" s="14" t="n">
        <f aca="false">E1744-D1744</f>
        <v>1</v>
      </c>
      <c r="K1744" s="14" t="n">
        <f aca="false">IF(J1744&lt;=0,1,0)</f>
        <v>0</v>
      </c>
      <c r="L1744" s="15" t="n">
        <f aca="false">IFERROR(G1744/F1744,0)</f>
        <v>1</v>
      </c>
      <c r="M1744" s="15" t="n">
        <f aca="false">IFERROR((I1744-H1744)/H1744,0)</f>
        <v>-0.00432748538011701</v>
      </c>
      <c r="N1744" s="16" t="n">
        <f aca="false">G1744*I1744</f>
        <v>35584.34</v>
      </c>
    </row>
    <row r="1745" customFormat="false" ht="15" hidden="false" customHeight="true" outlineLevel="0" collapsed="false">
      <c r="A1745" s="4" t="s">
        <v>1921</v>
      </c>
      <c r="B1745" s="4" t="s">
        <v>74</v>
      </c>
      <c r="C1745" s="13" t="n">
        <v>45530</v>
      </c>
      <c r="D1745" s="13" t="n">
        <v>45535</v>
      </c>
      <c r="E1745" s="13" t="n">
        <v>45537</v>
      </c>
      <c r="F1745" s="4" t="n">
        <v>12</v>
      </c>
      <c r="G1745" s="4" t="n">
        <v>12</v>
      </c>
      <c r="H1745" s="4" t="n">
        <v>1294.62</v>
      </c>
      <c r="I1745" s="4" t="n">
        <v>1371.28</v>
      </c>
      <c r="J1745" s="14" t="n">
        <f aca="false">E1745-D1745</f>
        <v>2</v>
      </c>
      <c r="K1745" s="14" t="n">
        <f aca="false">IF(J1745&lt;=0,1,0)</f>
        <v>0</v>
      </c>
      <c r="L1745" s="15" t="n">
        <f aca="false">IFERROR(G1745/F1745,0)</f>
        <v>1</v>
      </c>
      <c r="M1745" s="15" t="n">
        <f aca="false">IFERROR((I1745-H1745)/H1745,0)</f>
        <v>0.0592142868177535</v>
      </c>
      <c r="N1745" s="16" t="n">
        <f aca="false">G1745*I1745</f>
        <v>16455.36</v>
      </c>
    </row>
    <row r="1746" customFormat="false" ht="15" hidden="false" customHeight="true" outlineLevel="0" collapsed="false">
      <c r="A1746" s="4" t="s">
        <v>1922</v>
      </c>
      <c r="B1746" s="4" t="s">
        <v>155</v>
      </c>
      <c r="C1746" s="13" t="n">
        <v>44934</v>
      </c>
      <c r="D1746" s="13" t="n">
        <v>44942</v>
      </c>
      <c r="E1746" s="13" t="n">
        <v>44942</v>
      </c>
      <c r="F1746" s="4" t="n">
        <v>3809</v>
      </c>
      <c r="G1746" s="4" t="n">
        <v>3666</v>
      </c>
      <c r="H1746" s="4" t="n">
        <v>24.04</v>
      </c>
      <c r="I1746" s="4" t="n">
        <v>24</v>
      </c>
      <c r="J1746" s="14" t="n">
        <f aca="false">E1746-D1746</f>
        <v>0</v>
      </c>
      <c r="K1746" s="14" t="n">
        <f aca="false">IF(J1746&lt;=0,1,0)</f>
        <v>1</v>
      </c>
      <c r="L1746" s="15" t="n">
        <f aca="false">IFERROR(G1746/F1746,0)</f>
        <v>0.962457337883959</v>
      </c>
      <c r="M1746" s="15" t="n">
        <f aca="false">IFERROR((I1746-H1746)/H1746,0)</f>
        <v>-0.00166389351081527</v>
      </c>
      <c r="N1746" s="16" t="n">
        <f aca="false">G1746*I1746</f>
        <v>87984</v>
      </c>
    </row>
    <row r="1747" customFormat="false" ht="15" hidden="false" customHeight="true" outlineLevel="0" collapsed="false">
      <c r="A1747" s="4" t="s">
        <v>1923</v>
      </c>
      <c r="B1747" s="4" t="s">
        <v>91</v>
      </c>
      <c r="C1747" s="13" t="n">
        <v>45486</v>
      </c>
      <c r="D1747" s="13" t="n">
        <v>45506</v>
      </c>
      <c r="E1747" s="13" t="n">
        <v>45506</v>
      </c>
      <c r="F1747" s="4" t="n">
        <v>154</v>
      </c>
      <c r="G1747" s="4" t="n">
        <v>154</v>
      </c>
      <c r="H1747" s="4" t="n">
        <v>496.29</v>
      </c>
      <c r="I1747" s="4" t="n">
        <v>474.11</v>
      </c>
      <c r="J1747" s="14" t="n">
        <f aca="false">E1747-D1747</f>
        <v>0</v>
      </c>
      <c r="K1747" s="14" t="n">
        <f aca="false">IF(J1747&lt;=0,1,0)</f>
        <v>1</v>
      </c>
      <c r="L1747" s="15" t="n">
        <f aca="false">IFERROR(G1747/F1747,0)</f>
        <v>1</v>
      </c>
      <c r="M1747" s="15" t="n">
        <f aca="false">IFERROR((I1747-H1747)/H1747,0)</f>
        <v>-0.0446916117592537</v>
      </c>
      <c r="N1747" s="16" t="n">
        <f aca="false">G1747*I1747</f>
        <v>73012.94</v>
      </c>
    </row>
    <row r="1748" customFormat="false" ht="15" hidden="false" customHeight="true" outlineLevel="0" collapsed="false">
      <c r="A1748" s="4" t="s">
        <v>1924</v>
      </c>
      <c r="B1748" s="4" t="s">
        <v>105</v>
      </c>
      <c r="C1748" s="13" t="n">
        <v>45520</v>
      </c>
      <c r="D1748" s="13" t="n">
        <v>45537</v>
      </c>
      <c r="E1748" s="13" t="n">
        <v>45539</v>
      </c>
      <c r="F1748" s="4" t="n">
        <v>177</v>
      </c>
      <c r="G1748" s="4" t="n">
        <v>173</v>
      </c>
      <c r="H1748" s="4" t="n">
        <v>685.84</v>
      </c>
      <c r="I1748" s="4" t="n">
        <v>727.32</v>
      </c>
      <c r="J1748" s="14" t="n">
        <f aca="false">E1748-D1748</f>
        <v>2</v>
      </c>
      <c r="K1748" s="14" t="n">
        <f aca="false">IF(J1748&lt;=0,1,0)</f>
        <v>0</v>
      </c>
      <c r="L1748" s="15" t="n">
        <f aca="false">IFERROR(G1748/F1748,0)</f>
        <v>0.977401129943503</v>
      </c>
      <c r="M1748" s="15" t="n">
        <f aca="false">IFERROR((I1748-H1748)/H1748,0)</f>
        <v>0.0604805785605973</v>
      </c>
      <c r="N1748" s="16" t="n">
        <f aca="false">G1748*I1748</f>
        <v>125826.36</v>
      </c>
    </row>
    <row r="1749" customFormat="false" ht="15" hidden="false" customHeight="true" outlineLevel="0" collapsed="false">
      <c r="A1749" s="4" t="s">
        <v>1925</v>
      </c>
      <c r="B1749" s="4" t="s">
        <v>79</v>
      </c>
      <c r="C1749" s="13" t="n">
        <v>45386</v>
      </c>
      <c r="D1749" s="13" t="n">
        <v>45404</v>
      </c>
      <c r="E1749" s="13" t="n">
        <v>45406</v>
      </c>
      <c r="F1749" s="4" t="n">
        <v>331</v>
      </c>
      <c r="G1749" s="4" t="n">
        <v>309</v>
      </c>
      <c r="H1749" s="4" t="n">
        <v>821.48</v>
      </c>
      <c r="I1749" s="4" t="n">
        <v>858.84</v>
      </c>
      <c r="J1749" s="14" t="n">
        <f aca="false">E1749-D1749</f>
        <v>2</v>
      </c>
      <c r="K1749" s="14" t="n">
        <f aca="false">IF(J1749&lt;=0,1,0)</f>
        <v>0</v>
      </c>
      <c r="L1749" s="15" t="n">
        <f aca="false">IFERROR(G1749/F1749,0)</f>
        <v>0.933534743202417</v>
      </c>
      <c r="M1749" s="15" t="n">
        <f aca="false">IFERROR((I1749-H1749)/H1749,0)</f>
        <v>0.0454788917563422</v>
      </c>
      <c r="N1749" s="16" t="n">
        <f aca="false">G1749*I1749</f>
        <v>265381.56</v>
      </c>
    </row>
    <row r="1750" customFormat="false" ht="15" hidden="false" customHeight="true" outlineLevel="0" collapsed="false">
      <c r="A1750" s="4" t="s">
        <v>1926</v>
      </c>
      <c r="B1750" s="4" t="s">
        <v>123</v>
      </c>
      <c r="C1750" s="13" t="n">
        <v>45278</v>
      </c>
      <c r="D1750" s="13" t="n">
        <v>45290</v>
      </c>
      <c r="E1750" s="13" t="n">
        <v>45289</v>
      </c>
      <c r="F1750" s="4" t="n">
        <v>260</v>
      </c>
      <c r="G1750" s="4" t="n">
        <v>253</v>
      </c>
      <c r="H1750" s="4" t="n">
        <v>214.07</v>
      </c>
      <c r="I1750" s="4" t="n">
        <v>234.75</v>
      </c>
      <c r="J1750" s="14" t="n">
        <f aca="false">E1750-D1750</f>
        <v>-1</v>
      </c>
      <c r="K1750" s="14" t="n">
        <f aca="false">IF(J1750&lt;=0,1,0)</f>
        <v>1</v>
      </c>
      <c r="L1750" s="15" t="n">
        <f aca="false">IFERROR(G1750/F1750,0)</f>
        <v>0.973076923076923</v>
      </c>
      <c r="M1750" s="15" t="n">
        <f aca="false">IFERROR((I1750-H1750)/H1750,0)</f>
        <v>0.0966039146073715</v>
      </c>
      <c r="N1750" s="16" t="n">
        <f aca="false">G1750*I1750</f>
        <v>59391.75</v>
      </c>
    </row>
    <row r="1751" customFormat="false" ht="15" hidden="false" customHeight="true" outlineLevel="0" collapsed="false">
      <c r="A1751" s="4" t="s">
        <v>1927</v>
      </c>
      <c r="B1751" s="4" t="s">
        <v>107</v>
      </c>
      <c r="C1751" s="13" t="n">
        <v>45100</v>
      </c>
      <c r="D1751" s="13" t="n">
        <v>45108</v>
      </c>
      <c r="E1751" s="13" t="n">
        <v>45110</v>
      </c>
      <c r="F1751" s="4" t="n">
        <v>2773</v>
      </c>
      <c r="G1751" s="4" t="n">
        <v>2773</v>
      </c>
      <c r="H1751" s="4" t="n">
        <v>40.41</v>
      </c>
      <c r="I1751" s="4" t="n">
        <v>41</v>
      </c>
      <c r="J1751" s="14" t="n">
        <f aca="false">E1751-D1751</f>
        <v>2</v>
      </c>
      <c r="K1751" s="14" t="n">
        <f aca="false">IF(J1751&lt;=0,1,0)</f>
        <v>0</v>
      </c>
      <c r="L1751" s="15" t="n">
        <f aca="false">IFERROR(G1751/F1751,0)</f>
        <v>1</v>
      </c>
      <c r="M1751" s="15" t="n">
        <f aca="false">IFERROR((I1751-H1751)/H1751,0)</f>
        <v>0.0146003464488989</v>
      </c>
      <c r="N1751" s="16" t="n">
        <f aca="false">G1751*I1751</f>
        <v>113693</v>
      </c>
    </row>
    <row r="1752" customFormat="false" ht="15" hidden="false" customHeight="true" outlineLevel="0" collapsed="false">
      <c r="A1752" s="4" t="s">
        <v>1928</v>
      </c>
      <c r="B1752" s="4" t="s">
        <v>32</v>
      </c>
      <c r="C1752" s="13" t="n">
        <v>44942</v>
      </c>
      <c r="D1752" s="13" t="n">
        <v>44951</v>
      </c>
      <c r="E1752" s="13" t="n">
        <v>44950</v>
      </c>
      <c r="F1752" s="4" t="n">
        <v>3211</v>
      </c>
      <c r="G1752" s="4" t="n">
        <v>2801</v>
      </c>
      <c r="H1752" s="4" t="n">
        <v>32.49</v>
      </c>
      <c r="I1752" s="4" t="n">
        <v>32.65</v>
      </c>
      <c r="J1752" s="14" t="n">
        <f aca="false">E1752-D1752</f>
        <v>-1</v>
      </c>
      <c r="K1752" s="14" t="n">
        <f aca="false">IF(J1752&lt;=0,1,0)</f>
        <v>1</v>
      </c>
      <c r="L1752" s="15" t="n">
        <f aca="false">IFERROR(G1752/F1752,0)</f>
        <v>0.872313920896917</v>
      </c>
      <c r="M1752" s="15" t="n">
        <f aca="false">IFERROR((I1752-H1752)/H1752,0)</f>
        <v>0.00492459218220981</v>
      </c>
      <c r="N1752" s="16" t="n">
        <f aca="false">G1752*I1752</f>
        <v>91452.65</v>
      </c>
    </row>
    <row r="1753" customFormat="false" ht="15" hidden="false" customHeight="true" outlineLevel="0" collapsed="false">
      <c r="A1753" s="4" t="s">
        <v>1929</v>
      </c>
      <c r="B1753" s="4" t="s">
        <v>143</v>
      </c>
      <c r="C1753" s="13" t="n">
        <v>45602</v>
      </c>
      <c r="D1753" s="13" t="n">
        <v>45608</v>
      </c>
      <c r="E1753" s="13" t="n">
        <v>45625</v>
      </c>
      <c r="F1753" s="4" t="n">
        <v>4072</v>
      </c>
      <c r="G1753" s="4" t="n">
        <v>3892</v>
      </c>
      <c r="H1753" s="4" t="n">
        <v>20.6</v>
      </c>
      <c r="I1753" s="4" t="n">
        <v>22.3</v>
      </c>
      <c r="J1753" s="14" t="n">
        <f aca="false">E1753-D1753</f>
        <v>17</v>
      </c>
      <c r="K1753" s="14" t="n">
        <f aca="false">IF(J1753&lt;=0,1,0)</f>
        <v>0</v>
      </c>
      <c r="L1753" s="15" t="n">
        <f aca="false">IFERROR(G1753/F1753,0)</f>
        <v>0.955795677799607</v>
      </c>
      <c r="M1753" s="15" t="n">
        <f aca="false">IFERROR((I1753-H1753)/H1753,0)</f>
        <v>0.0825242718446602</v>
      </c>
      <c r="N1753" s="16" t="n">
        <f aca="false">G1753*I1753</f>
        <v>86791.6</v>
      </c>
    </row>
    <row r="1754" customFormat="false" ht="15" hidden="false" customHeight="true" outlineLevel="0" collapsed="false">
      <c r="A1754" s="4" t="s">
        <v>1930</v>
      </c>
      <c r="B1754" s="4" t="s">
        <v>41</v>
      </c>
      <c r="C1754" s="13" t="n">
        <v>45033</v>
      </c>
      <c r="D1754" s="13" t="n">
        <v>45041</v>
      </c>
      <c r="E1754" s="13" t="n">
        <v>45042</v>
      </c>
      <c r="F1754" s="4" t="n">
        <v>904</v>
      </c>
      <c r="G1754" s="4" t="n">
        <v>879</v>
      </c>
      <c r="H1754" s="4" t="n">
        <v>45.51</v>
      </c>
      <c r="I1754" s="4" t="n">
        <v>45.5</v>
      </c>
      <c r="J1754" s="14" t="n">
        <f aca="false">E1754-D1754</f>
        <v>1</v>
      </c>
      <c r="K1754" s="14" t="n">
        <f aca="false">IF(J1754&lt;=0,1,0)</f>
        <v>0</v>
      </c>
      <c r="L1754" s="15" t="n">
        <f aca="false">IFERROR(G1754/F1754,0)</f>
        <v>0.972345132743363</v>
      </c>
      <c r="M1754" s="15" t="n">
        <f aca="false">IFERROR((I1754-H1754)/H1754,0)</f>
        <v>-0.000219731927048957</v>
      </c>
      <c r="N1754" s="16" t="n">
        <f aca="false">G1754*I1754</f>
        <v>39994.5</v>
      </c>
    </row>
    <row r="1755" customFormat="false" ht="15" hidden="false" customHeight="true" outlineLevel="0" collapsed="false">
      <c r="A1755" s="4" t="s">
        <v>1931</v>
      </c>
      <c r="B1755" s="4" t="s">
        <v>113</v>
      </c>
      <c r="C1755" s="13" t="n">
        <v>45585</v>
      </c>
      <c r="D1755" s="13" t="n">
        <v>45596</v>
      </c>
      <c r="E1755" s="13" t="n">
        <v>45601</v>
      </c>
      <c r="F1755" s="4" t="n">
        <v>207</v>
      </c>
      <c r="G1755" s="4" t="n">
        <v>207</v>
      </c>
      <c r="H1755" s="4" t="n">
        <v>170.42</v>
      </c>
      <c r="I1755" s="4" t="n">
        <v>176.26</v>
      </c>
      <c r="J1755" s="14" t="n">
        <f aca="false">E1755-D1755</f>
        <v>5</v>
      </c>
      <c r="K1755" s="14" t="n">
        <f aca="false">IF(J1755&lt;=0,1,0)</f>
        <v>0</v>
      </c>
      <c r="L1755" s="15" t="n">
        <f aca="false">IFERROR(G1755/F1755,0)</f>
        <v>1</v>
      </c>
      <c r="M1755" s="15" t="n">
        <f aca="false">IFERROR((I1755-H1755)/H1755,0)</f>
        <v>0.0342682783710832</v>
      </c>
      <c r="N1755" s="16" t="n">
        <f aca="false">G1755*I1755</f>
        <v>36485.82</v>
      </c>
    </row>
    <row r="1756" customFormat="false" ht="15" hidden="false" customHeight="true" outlineLevel="0" collapsed="false">
      <c r="A1756" s="4" t="s">
        <v>1932</v>
      </c>
      <c r="B1756" s="4" t="s">
        <v>37</v>
      </c>
      <c r="C1756" s="13" t="n">
        <v>45137</v>
      </c>
      <c r="D1756" s="13" t="n">
        <v>45143</v>
      </c>
      <c r="E1756" s="13" t="n">
        <v>45148</v>
      </c>
      <c r="F1756" s="4" t="n">
        <v>3255</v>
      </c>
      <c r="G1756" s="4" t="n">
        <v>3255</v>
      </c>
      <c r="H1756" s="4" t="n">
        <v>22.26</v>
      </c>
      <c r="I1756" s="4" t="n">
        <v>21.57</v>
      </c>
      <c r="J1756" s="14" t="n">
        <f aca="false">E1756-D1756</f>
        <v>5</v>
      </c>
      <c r="K1756" s="14" t="n">
        <f aca="false">IF(J1756&lt;=0,1,0)</f>
        <v>0</v>
      </c>
      <c r="L1756" s="15" t="n">
        <f aca="false">IFERROR(G1756/F1756,0)</f>
        <v>1</v>
      </c>
      <c r="M1756" s="15" t="n">
        <f aca="false">IFERROR((I1756-H1756)/H1756,0)</f>
        <v>-0.0309973045822103</v>
      </c>
      <c r="N1756" s="16" t="n">
        <f aca="false">G1756*I1756</f>
        <v>70210.35</v>
      </c>
    </row>
    <row r="1757" customFormat="false" ht="15" hidden="false" customHeight="true" outlineLevel="0" collapsed="false">
      <c r="A1757" s="4" t="s">
        <v>1933</v>
      </c>
      <c r="B1757" s="4" t="s">
        <v>72</v>
      </c>
      <c r="C1757" s="13" t="n">
        <v>45317</v>
      </c>
      <c r="D1757" s="13" t="n">
        <v>45325</v>
      </c>
      <c r="E1757" s="13" t="n">
        <v>45331</v>
      </c>
      <c r="F1757" s="4" t="n">
        <v>749</v>
      </c>
      <c r="G1757" s="4" t="n">
        <v>736</v>
      </c>
      <c r="H1757" s="4" t="n">
        <v>34.53</v>
      </c>
      <c r="I1757" s="4" t="n">
        <v>35.84</v>
      </c>
      <c r="J1757" s="14" t="n">
        <f aca="false">E1757-D1757</f>
        <v>6</v>
      </c>
      <c r="K1757" s="14" t="n">
        <f aca="false">IF(J1757&lt;=0,1,0)</f>
        <v>0</v>
      </c>
      <c r="L1757" s="15" t="n">
        <f aca="false">IFERROR(G1757/F1757,0)</f>
        <v>0.9826435246996</v>
      </c>
      <c r="M1757" s="15" t="n">
        <f aca="false">IFERROR((I1757-H1757)/H1757,0)</f>
        <v>0.037938024905879</v>
      </c>
      <c r="N1757" s="16" t="n">
        <f aca="false">G1757*I1757</f>
        <v>26378.24</v>
      </c>
    </row>
    <row r="1758" customFormat="false" ht="15" hidden="false" customHeight="true" outlineLevel="0" collapsed="false">
      <c r="A1758" s="4" t="s">
        <v>1934</v>
      </c>
      <c r="B1758" s="4" t="s">
        <v>133</v>
      </c>
      <c r="C1758" s="13" t="n">
        <v>44944</v>
      </c>
      <c r="D1758" s="13" t="n">
        <v>44954</v>
      </c>
      <c r="E1758" s="13" t="n">
        <v>44958</v>
      </c>
      <c r="F1758" s="4" t="n">
        <v>1800</v>
      </c>
      <c r="G1758" s="4" t="n">
        <v>1698</v>
      </c>
      <c r="H1758" s="4" t="n">
        <v>138.21</v>
      </c>
      <c r="I1758" s="4" t="n">
        <v>140.53</v>
      </c>
      <c r="J1758" s="14" t="n">
        <f aca="false">E1758-D1758</f>
        <v>4</v>
      </c>
      <c r="K1758" s="14" t="n">
        <f aca="false">IF(J1758&lt;=0,1,0)</f>
        <v>0</v>
      </c>
      <c r="L1758" s="15" t="n">
        <f aca="false">IFERROR(G1758/F1758,0)</f>
        <v>0.943333333333333</v>
      </c>
      <c r="M1758" s="15" t="n">
        <f aca="false">IFERROR((I1758-H1758)/H1758,0)</f>
        <v>0.0167860502134433</v>
      </c>
      <c r="N1758" s="16" t="n">
        <f aca="false">G1758*I1758</f>
        <v>238619.94</v>
      </c>
    </row>
    <row r="1759" customFormat="false" ht="15" hidden="false" customHeight="true" outlineLevel="0" collapsed="false">
      <c r="A1759" s="4" t="s">
        <v>1935</v>
      </c>
      <c r="B1759" s="4" t="s">
        <v>83</v>
      </c>
      <c r="C1759" s="13" t="n">
        <v>45654</v>
      </c>
      <c r="D1759" s="13" t="n">
        <v>45664</v>
      </c>
      <c r="E1759" s="13" t="n">
        <v>45662</v>
      </c>
      <c r="F1759" s="4" t="n">
        <v>1042</v>
      </c>
      <c r="G1759" s="4" t="n">
        <v>1010</v>
      </c>
      <c r="H1759" s="4" t="n">
        <v>101.36</v>
      </c>
      <c r="I1759" s="4" t="n">
        <v>107.29</v>
      </c>
      <c r="J1759" s="14" t="n">
        <f aca="false">E1759-D1759</f>
        <v>-2</v>
      </c>
      <c r="K1759" s="14" t="n">
        <f aca="false">IF(J1759&lt;=0,1,0)</f>
        <v>1</v>
      </c>
      <c r="L1759" s="15" t="n">
        <f aca="false">IFERROR(G1759/F1759,0)</f>
        <v>0.969289827255278</v>
      </c>
      <c r="M1759" s="15" t="n">
        <f aca="false">IFERROR((I1759-H1759)/H1759,0)</f>
        <v>0.0585043409629046</v>
      </c>
      <c r="N1759" s="16" t="n">
        <f aca="false">G1759*I1759</f>
        <v>108362.9</v>
      </c>
    </row>
    <row r="1760" customFormat="false" ht="15" hidden="false" customHeight="true" outlineLevel="0" collapsed="false">
      <c r="A1760" s="4" t="s">
        <v>1936</v>
      </c>
      <c r="B1760" s="4" t="s">
        <v>119</v>
      </c>
      <c r="C1760" s="13" t="n">
        <v>45568</v>
      </c>
      <c r="D1760" s="13" t="n">
        <v>45576</v>
      </c>
      <c r="E1760" s="13" t="n">
        <v>45577</v>
      </c>
      <c r="F1760" s="4" t="n">
        <v>3413</v>
      </c>
      <c r="G1760" s="4" t="n">
        <v>3413</v>
      </c>
      <c r="H1760" s="4" t="n">
        <v>50.92</v>
      </c>
      <c r="I1760" s="4" t="n">
        <v>46.53</v>
      </c>
      <c r="J1760" s="14" t="n">
        <f aca="false">E1760-D1760</f>
        <v>1</v>
      </c>
      <c r="K1760" s="14" t="n">
        <f aca="false">IF(J1760&lt;=0,1,0)</f>
        <v>0</v>
      </c>
      <c r="L1760" s="15" t="n">
        <f aca="false">IFERROR(G1760/F1760,0)</f>
        <v>1</v>
      </c>
      <c r="M1760" s="15" t="n">
        <f aca="false">IFERROR((I1760-H1760)/H1760,0)</f>
        <v>-0.0862136684996072</v>
      </c>
      <c r="N1760" s="16" t="n">
        <f aca="false">G1760*I1760</f>
        <v>158806.89</v>
      </c>
    </row>
    <row r="1761" customFormat="false" ht="15" hidden="false" customHeight="true" outlineLevel="0" collapsed="false">
      <c r="A1761" s="4" t="s">
        <v>1937</v>
      </c>
      <c r="B1761" s="4" t="s">
        <v>135</v>
      </c>
      <c r="C1761" s="13" t="n">
        <v>45619</v>
      </c>
      <c r="D1761" s="13" t="n">
        <v>45632</v>
      </c>
      <c r="E1761" s="13" t="n">
        <v>45634</v>
      </c>
      <c r="F1761" s="4" t="n">
        <v>36</v>
      </c>
      <c r="G1761" s="4" t="n">
        <v>36</v>
      </c>
      <c r="H1761" s="4" t="n">
        <v>328.06</v>
      </c>
      <c r="I1761" s="4" t="n">
        <v>325.34</v>
      </c>
      <c r="J1761" s="14" t="n">
        <f aca="false">E1761-D1761</f>
        <v>2</v>
      </c>
      <c r="K1761" s="14" t="n">
        <f aca="false">IF(J1761&lt;=0,1,0)</f>
        <v>0</v>
      </c>
      <c r="L1761" s="15" t="n">
        <f aca="false">IFERROR(G1761/F1761,0)</f>
        <v>1</v>
      </c>
      <c r="M1761" s="15" t="n">
        <f aca="false">IFERROR((I1761-H1761)/H1761,0)</f>
        <v>-0.00829116625007629</v>
      </c>
      <c r="N1761" s="16" t="n">
        <f aca="false">G1761*I1761</f>
        <v>11712.24</v>
      </c>
    </row>
    <row r="1762" customFormat="false" ht="15" hidden="false" customHeight="true" outlineLevel="0" collapsed="false">
      <c r="A1762" s="4" t="s">
        <v>1938</v>
      </c>
      <c r="B1762" s="4" t="s">
        <v>87</v>
      </c>
      <c r="C1762" s="13" t="n">
        <v>45109</v>
      </c>
      <c r="D1762" s="13" t="n">
        <v>45121</v>
      </c>
      <c r="E1762" s="13" t="n">
        <v>45121</v>
      </c>
      <c r="F1762" s="4" t="n">
        <v>1921</v>
      </c>
      <c r="G1762" s="4" t="n">
        <v>1773</v>
      </c>
      <c r="H1762" s="4" t="n">
        <v>161.95</v>
      </c>
      <c r="I1762" s="4" t="n">
        <v>170.25</v>
      </c>
      <c r="J1762" s="14" t="n">
        <f aca="false">E1762-D1762</f>
        <v>0</v>
      </c>
      <c r="K1762" s="14" t="n">
        <f aca="false">IF(J1762&lt;=0,1,0)</f>
        <v>1</v>
      </c>
      <c r="L1762" s="15" t="n">
        <f aca="false">IFERROR(G1762/F1762,0)</f>
        <v>0.922956793336804</v>
      </c>
      <c r="M1762" s="15" t="n">
        <f aca="false">IFERROR((I1762-H1762)/H1762,0)</f>
        <v>0.0512503859215808</v>
      </c>
      <c r="N1762" s="16" t="n">
        <f aca="false">G1762*I1762</f>
        <v>301853.25</v>
      </c>
    </row>
    <row r="1763" customFormat="false" ht="15" hidden="false" customHeight="true" outlineLevel="0" collapsed="false">
      <c r="A1763" s="4" t="s">
        <v>1939</v>
      </c>
      <c r="B1763" s="4" t="s">
        <v>159</v>
      </c>
      <c r="C1763" s="13" t="n">
        <v>45629</v>
      </c>
      <c r="D1763" s="13" t="n">
        <v>45636</v>
      </c>
      <c r="E1763" s="13" t="n">
        <v>45638</v>
      </c>
      <c r="F1763" s="4" t="n">
        <v>1829</v>
      </c>
      <c r="G1763" s="4" t="n">
        <v>1728</v>
      </c>
      <c r="H1763" s="4" t="n">
        <v>32.91</v>
      </c>
      <c r="I1763" s="4" t="n">
        <v>33.34</v>
      </c>
      <c r="J1763" s="14" t="n">
        <f aca="false">E1763-D1763</f>
        <v>2</v>
      </c>
      <c r="K1763" s="14" t="n">
        <f aca="false">IF(J1763&lt;=0,1,0)</f>
        <v>0</v>
      </c>
      <c r="L1763" s="15" t="n">
        <f aca="false">IFERROR(G1763/F1763,0)</f>
        <v>0.944778567523237</v>
      </c>
      <c r="M1763" s="15" t="n">
        <f aca="false">IFERROR((I1763-H1763)/H1763,0)</f>
        <v>0.0130659374050443</v>
      </c>
      <c r="N1763" s="16" t="n">
        <f aca="false">G1763*I1763</f>
        <v>57611.52</v>
      </c>
    </row>
    <row r="1764" customFormat="false" ht="15" hidden="false" customHeight="true" outlineLevel="0" collapsed="false">
      <c r="A1764" s="4" t="s">
        <v>1940</v>
      </c>
      <c r="B1764" s="4" t="s">
        <v>117</v>
      </c>
      <c r="C1764" s="13" t="n">
        <v>45335</v>
      </c>
      <c r="D1764" s="13" t="n">
        <v>45347</v>
      </c>
      <c r="E1764" s="13" t="n">
        <v>45358</v>
      </c>
      <c r="F1764" s="4" t="n">
        <v>247</v>
      </c>
      <c r="G1764" s="4" t="n">
        <v>244</v>
      </c>
      <c r="H1764" s="4" t="n">
        <v>396.01</v>
      </c>
      <c r="I1764" s="4" t="n">
        <v>386.71</v>
      </c>
      <c r="J1764" s="14" t="n">
        <f aca="false">E1764-D1764</f>
        <v>11</v>
      </c>
      <c r="K1764" s="14" t="n">
        <f aca="false">IF(J1764&lt;=0,1,0)</f>
        <v>0</v>
      </c>
      <c r="L1764" s="15" t="n">
        <f aca="false">IFERROR(G1764/F1764,0)</f>
        <v>0.987854251012146</v>
      </c>
      <c r="M1764" s="15" t="n">
        <f aca="false">IFERROR((I1764-H1764)/H1764,0)</f>
        <v>-0.0234842554480948</v>
      </c>
      <c r="N1764" s="16" t="n">
        <f aca="false">G1764*I1764</f>
        <v>94357.24</v>
      </c>
    </row>
    <row r="1765" customFormat="false" ht="15" hidden="false" customHeight="true" outlineLevel="0" collapsed="false">
      <c r="A1765" s="4" t="s">
        <v>1941</v>
      </c>
      <c r="B1765" s="4" t="s">
        <v>125</v>
      </c>
      <c r="C1765" s="13" t="n">
        <v>45474</v>
      </c>
      <c r="D1765" s="13" t="n">
        <v>45479</v>
      </c>
      <c r="E1765" s="13" t="n">
        <v>45488</v>
      </c>
      <c r="F1765" s="4" t="n">
        <v>14</v>
      </c>
      <c r="G1765" s="4" t="n">
        <v>12</v>
      </c>
      <c r="H1765" s="4" t="n">
        <v>729.32</v>
      </c>
      <c r="I1765" s="4" t="n">
        <v>740.16</v>
      </c>
      <c r="J1765" s="14" t="n">
        <f aca="false">E1765-D1765</f>
        <v>9</v>
      </c>
      <c r="K1765" s="14" t="n">
        <f aca="false">IF(J1765&lt;=0,1,0)</f>
        <v>0</v>
      </c>
      <c r="L1765" s="15" t="n">
        <f aca="false">IFERROR(G1765/F1765,0)</f>
        <v>0.857142857142857</v>
      </c>
      <c r="M1765" s="15" t="n">
        <f aca="false">IFERROR((I1765-H1765)/H1765,0)</f>
        <v>0.0148631602040256</v>
      </c>
      <c r="N1765" s="16" t="n">
        <f aca="false">G1765*I1765</f>
        <v>8881.92</v>
      </c>
    </row>
    <row r="1766" customFormat="false" ht="15" hidden="false" customHeight="true" outlineLevel="0" collapsed="false">
      <c r="A1766" s="4" t="s">
        <v>1942</v>
      </c>
      <c r="B1766" s="4" t="s">
        <v>52</v>
      </c>
      <c r="C1766" s="13" t="n">
        <v>44973</v>
      </c>
      <c r="D1766" s="13" t="n">
        <v>44982</v>
      </c>
      <c r="E1766" s="13" t="n">
        <v>44990</v>
      </c>
      <c r="F1766" s="4" t="n">
        <v>1451</v>
      </c>
      <c r="G1766" s="4" t="n">
        <v>1278</v>
      </c>
      <c r="H1766" s="4" t="n">
        <v>170.24</v>
      </c>
      <c r="I1766" s="4" t="n">
        <v>172.7</v>
      </c>
      <c r="J1766" s="14" t="n">
        <f aca="false">E1766-D1766</f>
        <v>8</v>
      </c>
      <c r="K1766" s="14" t="n">
        <f aca="false">IF(J1766&lt;=0,1,0)</f>
        <v>0</v>
      </c>
      <c r="L1766" s="15" t="n">
        <f aca="false">IFERROR(G1766/F1766,0)</f>
        <v>0.880771881461061</v>
      </c>
      <c r="M1766" s="15" t="n">
        <f aca="false">IFERROR((I1766-H1766)/H1766,0)</f>
        <v>0.0144501879699247</v>
      </c>
      <c r="N1766" s="16" t="n">
        <f aca="false">G1766*I1766</f>
        <v>220710.6</v>
      </c>
    </row>
    <row r="1767" customFormat="false" ht="15" hidden="false" customHeight="true" outlineLevel="0" collapsed="false">
      <c r="A1767" s="4" t="s">
        <v>1943</v>
      </c>
      <c r="B1767" s="4" t="s">
        <v>68</v>
      </c>
      <c r="C1767" s="13" t="n">
        <v>45500</v>
      </c>
      <c r="D1767" s="13" t="n">
        <v>45519</v>
      </c>
      <c r="E1767" s="13" t="n">
        <v>45518</v>
      </c>
      <c r="F1767" s="4" t="n">
        <v>91</v>
      </c>
      <c r="G1767" s="4" t="n">
        <v>84</v>
      </c>
      <c r="H1767" s="4" t="n">
        <v>1232.83</v>
      </c>
      <c r="I1767" s="4" t="n">
        <v>1249.9</v>
      </c>
      <c r="J1767" s="14" t="n">
        <f aca="false">E1767-D1767</f>
        <v>-1</v>
      </c>
      <c r="K1767" s="14" t="n">
        <f aca="false">IF(J1767&lt;=0,1,0)</f>
        <v>1</v>
      </c>
      <c r="L1767" s="15" t="n">
        <f aca="false">IFERROR(G1767/F1767,0)</f>
        <v>0.923076923076923</v>
      </c>
      <c r="M1767" s="15" t="n">
        <f aca="false">IFERROR((I1767-H1767)/H1767,0)</f>
        <v>0.0138461912834699</v>
      </c>
      <c r="N1767" s="16" t="n">
        <f aca="false">G1767*I1767</f>
        <v>104991.6</v>
      </c>
    </row>
    <row r="1768" customFormat="false" ht="15" hidden="false" customHeight="true" outlineLevel="0" collapsed="false">
      <c r="A1768" s="4" t="s">
        <v>1944</v>
      </c>
      <c r="B1768" s="4" t="s">
        <v>105</v>
      </c>
      <c r="C1768" s="13" t="n">
        <v>44932</v>
      </c>
      <c r="D1768" s="13" t="n">
        <v>44950</v>
      </c>
      <c r="E1768" s="13" t="n">
        <v>44952</v>
      </c>
      <c r="F1768" s="4" t="n">
        <v>218</v>
      </c>
      <c r="G1768" s="4" t="n">
        <v>212</v>
      </c>
      <c r="H1768" s="4" t="n">
        <v>685.84</v>
      </c>
      <c r="I1768" s="4" t="n">
        <v>693.83</v>
      </c>
      <c r="J1768" s="14" t="n">
        <f aca="false">E1768-D1768</f>
        <v>2</v>
      </c>
      <c r="K1768" s="14" t="n">
        <f aca="false">IF(J1768&lt;=0,1,0)</f>
        <v>0</v>
      </c>
      <c r="L1768" s="15" t="n">
        <f aca="false">IFERROR(G1768/F1768,0)</f>
        <v>0.972477064220184</v>
      </c>
      <c r="M1768" s="15" t="n">
        <f aca="false">IFERROR((I1768-H1768)/H1768,0)</f>
        <v>0.0116499475096232</v>
      </c>
      <c r="N1768" s="16" t="n">
        <f aca="false">G1768*I1768</f>
        <v>147091.96</v>
      </c>
    </row>
    <row r="1769" customFormat="false" ht="15" hidden="false" customHeight="true" outlineLevel="0" collapsed="false">
      <c r="A1769" s="4" t="s">
        <v>1945</v>
      </c>
      <c r="B1769" s="4" t="s">
        <v>149</v>
      </c>
      <c r="C1769" s="13" t="n">
        <v>45120</v>
      </c>
      <c r="D1769" s="13" t="n">
        <v>45125</v>
      </c>
      <c r="E1769" s="13" t="n">
        <v>45130</v>
      </c>
      <c r="F1769" s="4" t="n">
        <v>14</v>
      </c>
      <c r="G1769" s="4" t="n">
        <v>14</v>
      </c>
      <c r="H1769" s="4" t="n">
        <v>1458.52</v>
      </c>
      <c r="I1769" s="4" t="n">
        <v>1452.56</v>
      </c>
      <c r="J1769" s="14" t="n">
        <f aca="false">E1769-D1769</f>
        <v>5</v>
      </c>
      <c r="K1769" s="14" t="n">
        <f aca="false">IF(J1769&lt;=0,1,0)</f>
        <v>0</v>
      </c>
      <c r="L1769" s="15" t="n">
        <f aca="false">IFERROR(G1769/F1769,0)</f>
        <v>1</v>
      </c>
      <c r="M1769" s="15" t="n">
        <f aca="false">IFERROR((I1769-H1769)/H1769,0)</f>
        <v>-0.00408633409209338</v>
      </c>
      <c r="N1769" s="16" t="n">
        <f aca="false">G1769*I1769</f>
        <v>20335.84</v>
      </c>
    </row>
    <row r="1770" customFormat="false" ht="15" hidden="false" customHeight="true" outlineLevel="0" collapsed="false">
      <c r="A1770" s="4" t="s">
        <v>1946</v>
      </c>
      <c r="B1770" s="4" t="s">
        <v>125</v>
      </c>
      <c r="C1770" s="13" t="n">
        <v>45065</v>
      </c>
      <c r="D1770" s="13" t="n">
        <v>45071</v>
      </c>
      <c r="E1770" s="13" t="n">
        <v>45074</v>
      </c>
      <c r="F1770" s="4" t="n">
        <v>11</v>
      </c>
      <c r="G1770" s="4" t="n">
        <v>10</v>
      </c>
      <c r="H1770" s="4" t="n">
        <v>729.32</v>
      </c>
      <c r="I1770" s="4" t="n">
        <v>733.79</v>
      </c>
      <c r="J1770" s="14" t="n">
        <f aca="false">E1770-D1770</f>
        <v>3</v>
      </c>
      <c r="K1770" s="14" t="n">
        <f aca="false">IF(J1770&lt;=0,1,0)</f>
        <v>0</v>
      </c>
      <c r="L1770" s="15" t="n">
        <f aca="false">IFERROR(G1770/F1770,0)</f>
        <v>0.909090909090909</v>
      </c>
      <c r="M1770" s="15" t="n">
        <f aca="false">IFERROR((I1770-H1770)/H1770,0)</f>
        <v>0.00612899687380013</v>
      </c>
      <c r="N1770" s="16" t="n">
        <f aca="false">G1770*I1770</f>
        <v>7337.9</v>
      </c>
    </row>
    <row r="1771" customFormat="false" ht="15" hidden="false" customHeight="true" outlineLevel="0" collapsed="false">
      <c r="A1771" s="4" t="s">
        <v>1947</v>
      </c>
      <c r="B1771" s="4" t="s">
        <v>65</v>
      </c>
      <c r="C1771" s="13" t="n">
        <v>45067</v>
      </c>
      <c r="D1771" s="13" t="n">
        <v>45087</v>
      </c>
      <c r="E1771" s="13" t="n">
        <v>45084</v>
      </c>
      <c r="F1771" s="4" t="n">
        <v>114</v>
      </c>
      <c r="G1771" s="4" t="n">
        <v>114</v>
      </c>
      <c r="H1771" s="4" t="n">
        <v>1365.59</v>
      </c>
      <c r="I1771" s="4" t="n">
        <v>1366.86</v>
      </c>
      <c r="J1771" s="14" t="n">
        <f aca="false">E1771-D1771</f>
        <v>-3</v>
      </c>
      <c r="K1771" s="14" t="n">
        <f aca="false">IF(J1771&lt;=0,1,0)</f>
        <v>1</v>
      </c>
      <c r="L1771" s="15" t="n">
        <f aca="false">IFERROR(G1771/F1771,0)</f>
        <v>1</v>
      </c>
      <c r="M1771" s="15" t="n">
        <f aca="false">IFERROR((I1771-H1771)/H1771,0)</f>
        <v>0.000930000951969465</v>
      </c>
      <c r="N1771" s="16" t="n">
        <f aca="false">G1771*I1771</f>
        <v>155822.04</v>
      </c>
    </row>
    <row r="1772" customFormat="false" ht="15" hidden="false" customHeight="true" outlineLevel="0" collapsed="false">
      <c r="A1772" s="4" t="s">
        <v>1948</v>
      </c>
      <c r="B1772" s="4" t="s">
        <v>43</v>
      </c>
      <c r="C1772" s="13" t="n">
        <v>45472</v>
      </c>
      <c r="D1772" s="13" t="n">
        <v>45492</v>
      </c>
      <c r="E1772" s="13" t="n">
        <v>45494</v>
      </c>
      <c r="F1772" s="4" t="n">
        <v>364</v>
      </c>
      <c r="G1772" s="4" t="n">
        <v>350</v>
      </c>
      <c r="H1772" s="4" t="n">
        <v>1321.6</v>
      </c>
      <c r="I1772" s="4" t="n">
        <v>1328.15</v>
      </c>
      <c r="J1772" s="14" t="n">
        <f aca="false">E1772-D1772</f>
        <v>2</v>
      </c>
      <c r="K1772" s="14" t="n">
        <f aca="false">IF(J1772&lt;=0,1,0)</f>
        <v>0</v>
      </c>
      <c r="L1772" s="15" t="n">
        <f aca="false">IFERROR(G1772/F1772,0)</f>
        <v>0.961538461538462</v>
      </c>
      <c r="M1772" s="15" t="n">
        <f aca="false">IFERROR((I1772-H1772)/H1772,0)</f>
        <v>0.00495611380145292</v>
      </c>
      <c r="N1772" s="16" t="n">
        <f aca="false">G1772*I1772</f>
        <v>464852.5</v>
      </c>
    </row>
    <row r="1773" customFormat="false" ht="15" hidden="false" customHeight="true" outlineLevel="0" collapsed="false">
      <c r="A1773" s="4" t="s">
        <v>1949</v>
      </c>
      <c r="B1773" s="4" t="s">
        <v>99</v>
      </c>
      <c r="C1773" s="13" t="n">
        <v>45198</v>
      </c>
      <c r="D1773" s="13" t="n">
        <v>45207</v>
      </c>
      <c r="E1773" s="13" t="n">
        <v>45215</v>
      </c>
      <c r="F1773" s="4" t="n">
        <v>1622</v>
      </c>
      <c r="G1773" s="4" t="n">
        <v>1500</v>
      </c>
      <c r="H1773" s="4" t="n">
        <v>11.5</v>
      </c>
      <c r="I1773" s="4" t="n">
        <v>12.12</v>
      </c>
      <c r="J1773" s="14" t="n">
        <f aca="false">E1773-D1773</f>
        <v>8</v>
      </c>
      <c r="K1773" s="14" t="n">
        <f aca="false">IF(J1773&lt;=0,1,0)</f>
        <v>0</v>
      </c>
      <c r="L1773" s="15" t="n">
        <f aca="false">IFERROR(G1773/F1773,0)</f>
        <v>0.92478421701603</v>
      </c>
      <c r="M1773" s="15" t="n">
        <f aca="false">IFERROR((I1773-H1773)/H1773,0)</f>
        <v>0.0539130434782608</v>
      </c>
      <c r="N1773" s="16" t="n">
        <f aca="false">G1773*I1773</f>
        <v>18180</v>
      </c>
    </row>
    <row r="1774" customFormat="false" ht="15" hidden="false" customHeight="true" outlineLevel="0" collapsed="false">
      <c r="A1774" s="4" t="s">
        <v>1950</v>
      </c>
      <c r="B1774" s="4" t="s">
        <v>115</v>
      </c>
      <c r="C1774" s="13" t="n">
        <v>44940</v>
      </c>
      <c r="D1774" s="13" t="n">
        <v>44953</v>
      </c>
      <c r="E1774" s="13" t="n">
        <v>44962</v>
      </c>
      <c r="F1774" s="4" t="n">
        <v>253</v>
      </c>
      <c r="G1774" s="4" t="n">
        <v>226</v>
      </c>
      <c r="H1774" s="4" t="n">
        <v>115.53</v>
      </c>
      <c r="I1774" s="4" t="n">
        <v>115.19</v>
      </c>
      <c r="J1774" s="14" t="n">
        <f aca="false">E1774-D1774</f>
        <v>9</v>
      </c>
      <c r="K1774" s="14" t="n">
        <f aca="false">IF(J1774&lt;=0,1,0)</f>
        <v>0</v>
      </c>
      <c r="L1774" s="15" t="n">
        <f aca="false">IFERROR(G1774/F1774,0)</f>
        <v>0.893280632411067</v>
      </c>
      <c r="M1774" s="15" t="n">
        <f aca="false">IFERROR((I1774-H1774)/H1774,0)</f>
        <v>-0.00294295853890767</v>
      </c>
      <c r="N1774" s="16" t="n">
        <f aca="false">G1774*I1774</f>
        <v>26032.94</v>
      </c>
    </row>
    <row r="1775" customFormat="false" ht="15" hidden="false" customHeight="true" outlineLevel="0" collapsed="false">
      <c r="A1775" s="4" t="s">
        <v>1951</v>
      </c>
      <c r="B1775" s="4" t="s">
        <v>97</v>
      </c>
      <c r="C1775" s="13" t="n">
        <v>45050</v>
      </c>
      <c r="D1775" s="13" t="n">
        <v>45061</v>
      </c>
      <c r="E1775" s="13" t="n">
        <v>45065</v>
      </c>
      <c r="F1775" s="4" t="n">
        <v>1995</v>
      </c>
      <c r="G1775" s="4" t="n">
        <v>1995</v>
      </c>
      <c r="H1775" s="4" t="n">
        <v>123.04</v>
      </c>
      <c r="I1775" s="4" t="n">
        <v>124.55</v>
      </c>
      <c r="J1775" s="14" t="n">
        <f aca="false">E1775-D1775</f>
        <v>4</v>
      </c>
      <c r="K1775" s="14" t="n">
        <f aca="false">IF(J1775&lt;=0,1,0)</f>
        <v>0</v>
      </c>
      <c r="L1775" s="15" t="n">
        <f aca="false">IFERROR(G1775/F1775,0)</f>
        <v>1</v>
      </c>
      <c r="M1775" s="15" t="n">
        <f aca="false">IFERROR((I1775-H1775)/H1775,0)</f>
        <v>0.0122724317295188</v>
      </c>
      <c r="N1775" s="16" t="n">
        <f aca="false">G1775*I1775</f>
        <v>248477.25</v>
      </c>
    </row>
    <row r="1776" customFormat="false" ht="15" hidden="false" customHeight="true" outlineLevel="0" collapsed="false">
      <c r="A1776" s="4" t="s">
        <v>1952</v>
      </c>
      <c r="B1776" s="4" t="s">
        <v>111</v>
      </c>
      <c r="C1776" s="13" t="n">
        <v>45474</v>
      </c>
      <c r="D1776" s="13" t="n">
        <v>45486</v>
      </c>
      <c r="E1776" s="13" t="n">
        <v>45494</v>
      </c>
      <c r="F1776" s="4" t="n">
        <v>1740</v>
      </c>
      <c r="G1776" s="4" t="n">
        <v>1669</v>
      </c>
      <c r="H1776" s="4" t="n">
        <v>148.08</v>
      </c>
      <c r="I1776" s="4" t="n">
        <v>148.56</v>
      </c>
      <c r="J1776" s="14" t="n">
        <f aca="false">E1776-D1776</f>
        <v>8</v>
      </c>
      <c r="K1776" s="14" t="n">
        <f aca="false">IF(J1776&lt;=0,1,0)</f>
        <v>0</v>
      </c>
      <c r="L1776" s="15" t="n">
        <f aca="false">IFERROR(G1776/F1776,0)</f>
        <v>0.959195402298851</v>
      </c>
      <c r="M1776" s="15" t="n">
        <f aca="false">IFERROR((I1776-H1776)/H1776,0)</f>
        <v>0.00324149108589944</v>
      </c>
      <c r="N1776" s="16" t="n">
        <f aca="false">G1776*I1776</f>
        <v>247946.64</v>
      </c>
    </row>
    <row r="1777" customFormat="false" ht="15" hidden="false" customHeight="true" outlineLevel="0" collapsed="false">
      <c r="A1777" s="4" t="s">
        <v>1953</v>
      </c>
      <c r="B1777" s="4" t="s">
        <v>58</v>
      </c>
      <c r="C1777" s="13" t="n">
        <v>45009</v>
      </c>
      <c r="D1777" s="13" t="n">
        <v>45023</v>
      </c>
      <c r="E1777" s="13" t="n">
        <v>45023</v>
      </c>
      <c r="F1777" s="4" t="n">
        <v>39</v>
      </c>
      <c r="G1777" s="4" t="n">
        <v>38</v>
      </c>
      <c r="H1777" s="4" t="n">
        <v>135.68</v>
      </c>
      <c r="I1777" s="4" t="n">
        <v>136.72</v>
      </c>
      <c r="J1777" s="14" t="n">
        <f aca="false">E1777-D1777</f>
        <v>0</v>
      </c>
      <c r="K1777" s="14" t="n">
        <f aca="false">IF(J1777&lt;=0,1,0)</f>
        <v>1</v>
      </c>
      <c r="L1777" s="15" t="n">
        <f aca="false">IFERROR(G1777/F1777,0)</f>
        <v>0.974358974358974</v>
      </c>
      <c r="M1777" s="15" t="n">
        <f aca="false">IFERROR((I1777-H1777)/H1777,0)</f>
        <v>0.00766509433962258</v>
      </c>
      <c r="N1777" s="16" t="n">
        <f aca="false">G1777*I1777</f>
        <v>5195.36</v>
      </c>
    </row>
    <row r="1778" customFormat="false" ht="15" hidden="false" customHeight="true" outlineLevel="0" collapsed="false">
      <c r="A1778" s="4" t="s">
        <v>1954</v>
      </c>
      <c r="B1778" s="4" t="s">
        <v>87</v>
      </c>
      <c r="C1778" s="13" t="n">
        <v>45110</v>
      </c>
      <c r="D1778" s="13" t="n">
        <v>45120</v>
      </c>
      <c r="E1778" s="13" t="n">
        <v>45122</v>
      </c>
      <c r="F1778" s="4" t="n">
        <v>1289</v>
      </c>
      <c r="G1778" s="4" t="n">
        <v>1204</v>
      </c>
      <c r="H1778" s="4" t="n">
        <v>161.95</v>
      </c>
      <c r="I1778" s="4" t="n">
        <v>171.88</v>
      </c>
      <c r="J1778" s="14" t="n">
        <f aca="false">E1778-D1778</f>
        <v>2</v>
      </c>
      <c r="K1778" s="14" t="n">
        <f aca="false">IF(J1778&lt;=0,1,0)</f>
        <v>0</v>
      </c>
      <c r="L1778" s="15" t="n">
        <f aca="false">IFERROR(G1778/F1778,0)</f>
        <v>0.934057408844065</v>
      </c>
      <c r="M1778" s="15" t="n">
        <f aca="false">IFERROR((I1778-H1778)/H1778,0)</f>
        <v>0.0613152207471442</v>
      </c>
      <c r="N1778" s="16" t="n">
        <f aca="false">G1778*I1778</f>
        <v>206943.52</v>
      </c>
    </row>
    <row r="1779" customFormat="false" ht="15" hidden="false" customHeight="true" outlineLevel="0" collapsed="false">
      <c r="A1779" s="4" t="s">
        <v>1955</v>
      </c>
      <c r="B1779" s="4" t="s">
        <v>133</v>
      </c>
      <c r="C1779" s="13" t="n">
        <v>45067</v>
      </c>
      <c r="D1779" s="13" t="n">
        <v>45077</v>
      </c>
      <c r="E1779" s="13" t="n">
        <v>45082</v>
      </c>
      <c r="F1779" s="4" t="n">
        <v>1666</v>
      </c>
      <c r="G1779" s="4" t="n">
        <v>1519</v>
      </c>
      <c r="H1779" s="4" t="n">
        <v>138.21</v>
      </c>
      <c r="I1779" s="4" t="n">
        <v>141.34</v>
      </c>
      <c r="J1779" s="14" t="n">
        <f aca="false">E1779-D1779</f>
        <v>5</v>
      </c>
      <c r="K1779" s="14" t="n">
        <f aca="false">IF(J1779&lt;=0,1,0)</f>
        <v>0</v>
      </c>
      <c r="L1779" s="15" t="n">
        <f aca="false">IFERROR(G1779/F1779,0)</f>
        <v>0.911764705882353</v>
      </c>
      <c r="M1779" s="15" t="n">
        <f aca="false">IFERROR((I1779-H1779)/H1779,0)</f>
        <v>0.0226466970552058</v>
      </c>
      <c r="N1779" s="16" t="n">
        <f aca="false">G1779*I1779</f>
        <v>214695.46</v>
      </c>
    </row>
    <row r="1780" customFormat="false" ht="15" hidden="false" customHeight="true" outlineLevel="0" collapsed="false">
      <c r="A1780" s="4" t="s">
        <v>1956</v>
      </c>
      <c r="B1780" s="4" t="s">
        <v>111</v>
      </c>
      <c r="C1780" s="13" t="n">
        <v>45557</v>
      </c>
      <c r="D1780" s="13" t="n">
        <v>45569</v>
      </c>
      <c r="E1780" s="13" t="n">
        <v>45569</v>
      </c>
      <c r="F1780" s="4" t="n">
        <v>982</v>
      </c>
      <c r="G1780" s="4" t="n">
        <v>921</v>
      </c>
      <c r="H1780" s="4" t="n">
        <v>148.08</v>
      </c>
      <c r="I1780" s="4" t="n">
        <v>150.49</v>
      </c>
      <c r="J1780" s="14" t="n">
        <f aca="false">E1780-D1780</f>
        <v>0</v>
      </c>
      <c r="K1780" s="14" t="n">
        <f aca="false">IF(J1780&lt;=0,1,0)</f>
        <v>1</v>
      </c>
      <c r="L1780" s="15" t="n">
        <f aca="false">IFERROR(G1780/F1780,0)</f>
        <v>0.937881873727088</v>
      </c>
      <c r="M1780" s="15" t="n">
        <f aca="false">IFERROR((I1780-H1780)/H1780,0)</f>
        <v>0.0162749864937871</v>
      </c>
      <c r="N1780" s="16" t="n">
        <f aca="false">G1780*I1780</f>
        <v>138601.29</v>
      </c>
    </row>
    <row r="1781" customFormat="false" ht="15" hidden="false" customHeight="true" outlineLevel="0" collapsed="false">
      <c r="A1781" s="4" t="s">
        <v>1957</v>
      </c>
      <c r="B1781" s="4" t="s">
        <v>105</v>
      </c>
      <c r="C1781" s="13" t="n">
        <v>44953</v>
      </c>
      <c r="D1781" s="13" t="n">
        <v>44973</v>
      </c>
      <c r="E1781" s="13" t="n">
        <v>44974</v>
      </c>
      <c r="F1781" s="4" t="n">
        <v>347</v>
      </c>
      <c r="G1781" s="4" t="n">
        <v>333</v>
      </c>
      <c r="H1781" s="4" t="n">
        <v>685.84</v>
      </c>
      <c r="I1781" s="4" t="n">
        <v>682.21</v>
      </c>
      <c r="J1781" s="14" t="n">
        <f aca="false">E1781-D1781</f>
        <v>1</v>
      </c>
      <c r="K1781" s="14" t="n">
        <f aca="false">IF(J1781&lt;=0,1,0)</f>
        <v>0</v>
      </c>
      <c r="L1781" s="15" t="n">
        <f aca="false">IFERROR(G1781/F1781,0)</f>
        <v>0.959654178674352</v>
      </c>
      <c r="M1781" s="15" t="n">
        <f aca="false">IFERROR((I1781-H1781)/H1781,0)</f>
        <v>-0.00529277965706287</v>
      </c>
      <c r="N1781" s="16" t="n">
        <f aca="false">G1781*I1781</f>
        <v>227175.93</v>
      </c>
    </row>
    <row r="1782" customFormat="false" ht="15" hidden="false" customHeight="true" outlineLevel="0" collapsed="false">
      <c r="A1782" s="4" t="s">
        <v>1958</v>
      </c>
      <c r="B1782" s="4" t="s">
        <v>111</v>
      </c>
      <c r="C1782" s="13" t="n">
        <v>44991</v>
      </c>
      <c r="D1782" s="13" t="n">
        <v>45001</v>
      </c>
      <c r="E1782" s="13" t="n">
        <v>45006</v>
      </c>
      <c r="F1782" s="4" t="n">
        <v>1725</v>
      </c>
      <c r="G1782" s="4" t="n">
        <v>1725</v>
      </c>
      <c r="H1782" s="4" t="n">
        <v>148.08</v>
      </c>
      <c r="I1782" s="4" t="n">
        <v>150.17</v>
      </c>
      <c r="J1782" s="14" t="n">
        <f aca="false">E1782-D1782</f>
        <v>5</v>
      </c>
      <c r="K1782" s="14" t="n">
        <f aca="false">IF(J1782&lt;=0,1,0)</f>
        <v>0</v>
      </c>
      <c r="L1782" s="15" t="n">
        <f aca="false">IFERROR(G1782/F1782,0)</f>
        <v>1</v>
      </c>
      <c r="M1782" s="15" t="n">
        <f aca="false">IFERROR((I1782-H1782)/H1782,0)</f>
        <v>0.0141139924365206</v>
      </c>
      <c r="N1782" s="16" t="n">
        <f aca="false">G1782*I1782</f>
        <v>259043.25</v>
      </c>
    </row>
    <row r="1783" customFormat="false" ht="15" hidden="false" customHeight="true" outlineLevel="0" collapsed="false">
      <c r="A1783" s="4" t="s">
        <v>1959</v>
      </c>
      <c r="B1783" s="4" t="s">
        <v>68</v>
      </c>
      <c r="C1783" s="13" t="n">
        <v>45358</v>
      </c>
      <c r="D1783" s="13" t="n">
        <v>45375</v>
      </c>
      <c r="E1783" s="13" t="n">
        <v>45373</v>
      </c>
      <c r="F1783" s="4" t="n">
        <v>190</v>
      </c>
      <c r="G1783" s="4" t="n">
        <v>170</v>
      </c>
      <c r="H1783" s="4" t="n">
        <v>1232.83</v>
      </c>
      <c r="I1783" s="4" t="n">
        <v>1250.7</v>
      </c>
      <c r="J1783" s="14" t="n">
        <f aca="false">E1783-D1783</f>
        <v>-2</v>
      </c>
      <c r="K1783" s="14" t="n">
        <f aca="false">IF(J1783&lt;=0,1,0)</f>
        <v>1</v>
      </c>
      <c r="L1783" s="15" t="n">
        <f aca="false">IFERROR(G1783/F1783,0)</f>
        <v>0.894736842105263</v>
      </c>
      <c r="M1783" s="15" t="n">
        <f aca="false">IFERROR((I1783-H1783)/H1783,0)</f>
        <v>0.0144951047589693</v>
      </c>
      <c r="N1783" s="16" t="n">
        <f aca="false">G1783*I1783</f>
        <v>212619</v>
      </c>
    </row>
    <row r="1784" customFormat="false" ht="15" hidden="false" customHeight="true" outlineLevel="0" collapsed="false">
      <c r="A1784" s="4" t="s">
        <v>1960</v>
      </c>
      <c r="B1784" s="4" t="s">
        <v>115</v>
      </c>
      <c r="C1784" s="13" t="n">
        <v>45245</v>
      </c>
      <c r="D1784" s="13" t="n">
        <v>45257</v>
      </c>
      <c r="E1784" s="13" t="n">
        <v>45263</v>
      </c>
      <c r="F1784" s="4" t="n">
        <v>289</v>
      </c>
      <c r="G1784" s="4" t="n">
        <v>255</v>
      </c>
      <c r="H1784" s="4" t="n">
        <v>115.53</v>
      </c>
      <c r="I1784" s="4" t="n">
        <v>119.91</v>
      </c>
      <c r="J1784" s="14" t="n">
        <f aca="false">E1784-D1784</f>
        <v>6</v>
      </c>
      <c r="K1784" s="14" t="n">
        <f aca="false">IF(J1784&lt;=0,1,0)</f>
        <v>0</v>
      </c>
      <c r="L1784" s="15" t="n">
        <f aca="false">IFERROR(G1784/F1784,0)</f>
        <v>0.882352941176471</v>
      </c>
      <c r="M1784" s="15" t="n">
        <f aca="false">IFERROR((I1784-H1784)/H1784,0)</f>
        <v>0.0379122305894572</v>
      </c>
      <c r="N1784" s="16" t="n">
        <f aca="false">G1784*I1784</f>
        <v>30577.05</v>
      </c>
    </row>
    <row r="1785" customFormat="false" ht="15" hidden="false" customHeight="true" outlineLevel="0" collapsed="false">
      <c r="A1785" s="4" t="s">
        <v>1961</v>
      </c>
      <c r="B1785" s="4" t="s">
        <v>63</v>
      </c>
      <c r="C1785" s="13" t="n">
        <v>45604</v>
      </c>
      <c r="D1785" s="13" t="n">
        <v>45614</v>
      </c>
      <c r="E1785" s="13" t="n">
        <v>45620</v>
      </c>
      <c r="F1785" s="4" t="n">
        <v>958</v>
      </c>
      <c r="G1785" s="4" t="n">
        <v>890</v>
      </c>
      <c r="H1785" s="4" t="n">
        <v>239.8</v>
      </c>
      <c r="I1785" s="4" t="n">
        <v>262.83</v>
      </c>
      <c r="J1785" s="14" t="n">
        <f aca="false">E1785-D1785</f>
        <v>6</v>
      </c>
      <c r="K1785" s="14" t="n">
        <f aca="false">IF(J1785&lt;=0,1,0)</f>
        <v>0</v>
      </c>
      <c r="L1785" s="15" t="n">
        <f aca="false">IFERROR(G1785/F1785,0)</f>
        <v>0.92901878914405</v>
      </c>
      <c r="M1785" s="15" t="n">
        <f aca="false">IFERROR((I1785-H1785)/H1785,0)</f>
        <v>0.0960383653044202</v>
      </c>
      <c r="N1785" s="16" t="n">
        <f aca="false">G1785*I1785</f>
        <v>233918.7</v>
      </c>
    </row>
    <row r="1786" customFormat="false" ht="15" hidden="false" customHeight="true" outlineLevel="0" collapsed="false">
      <c r="A1786" s="4" t="s">
        <v>1962</v>
      </c>
      <c r="B1786" s="4" t="s">
        <v>77</v>
      </c>
      <c r="C1786" s="13" t="n">
        <v>45078</v>
      </c>
      <c r="D1786" s="13" t="n">
        <v>45084</v>
      </c>
      <c r="E1786" s="13" t="n">
        <v>45095</v>
      </c>
      <c r="F1786" s="4" t="n">
        <v>1077</v>
      </c>
      <c r="G1786" s="4" t="n">
        <v>1052</v>
      </c>
      <c r="H1786" s="4" t="n">
        <v>36.83</v>
      </c>
      <c r="I1786" s="4" t="n">
        <v>36.88</v>
      </c>
      <c r="J1786" s="14" t="n">
        <f aca="false">E1786-D1786</f>
        <v>11</v>
      </c>
      <c r="K1786" s="14" t="n">
        <f aca="false">IF(J1786&lt;=0,1,0)</f>
        <v>0</v>
      </c>
      <c r="L1786" s="15" t="n">
        <f aca="false">IFERROR(G1786/F1786,0)</f>
        <v>0.976787372330548</v>
      </c>
      <c r="M1786" s="15" t="n">
        <f aca="false">IFERROR((I1786-H1786)/H1786,0)</f>
        <v>0.00135758892207451</v>
      </c>
      <c r="N1786" s="16" t="n">
        <f aca="false">G1786*I1786</f>
        <v>38797.76</v>
      </c>
    </row>
    <row r="1787" customFormat="false" ht="15" hidden="false" customHeight="true" outlineLevel="0" collapsed="false">
      <c r="A1787" s="4" t="s">
        <v>1963</v>
      </c>
      <c r="B1787" s="4" t="s">
        <v>151</v>
      </c>
      <c r="C1787" s="13" t="n">
        <v>45632</v>
      </c>
      <c r="D1787" s="13" t="n">
        <v>45637</v>
      </c>
      <c r="E1787" s="13" t="n">
        <v>45638</v>
      </c>
      <c r="F1787" s="4" t="n">
        <v>4</v>
      </c>
      <c r="G1787" s="4" t="n">
        <v>4</v>
      </c>
      <c r="H1787" s="4" t="n">
        <v>503.46</v>
      </c>
      <c r="I1787" s="4" t="n">
        <v>517.71</v>
      </c>
      <c r="J1787" s="14" t="n">
        <f aca="false">E1787-D1787</f>
        <v>1</v>
      </c>
      <c r="K1787" s="14" t="n">
        <f aca="false">IF(J1787&lt;=0,1,0)</f>
        <v>0</v>
      </c>
      <c r="L1787" s="15" t="n">
        <f aca="false">IFERROR(G1787/F1787,0)</f>
        <v>1</v>
      </c>
      <c r="M1787" s="15" t="n">
        <f aca="false">IFERROR((I1787-H1787)/H1787,0)</f>
        <v>0.0283041353831487</v>
      </c>
      <c r="N1787" s="16" t="n">
        <f aca="false">G1787*I1787</f>
        <v>2070.84</v>
      </c>
    </row>
    <row r="1788" customFormat="false" ht="15" hidden="false" customHeight="true" outlineLevel="0" collapsed="false">
      <c r="A1788" s="4" t="s">
        <v>1964</v>
      </c>
      <c r="B1788" s="4" t="s">
        <v>65</v>
      </c>
      <c r="C1788" s="13" t="n">
        <v>45622</v>
      </c>
      <c r="D1788" s="13" t="n">
        <v>45642</v>
      </c>
      <c r="E1788" s="13" t="n">
        <v>45640</v>
      </c>
      <c r="F1788" s="4" t="n">
        <v>263</v>
      </c>
      <c r="G1788" s="4" t="n">
        <v>263</v>
      </c>
      <c r="H1788" s="4" t="n">
        <v>1365.59</v>
      </c>
      <c r="I1788" s="4" t="n">
        <v>1383.89</v>
      </c>
      <c r="J1788" s="14" t="n">
        <f aca="false">E1788-D1788</f>
        <v>-2</v>
      </c>
      <c r="K1788" s="14" t="n">
        <f aca="false">IF(J1788&lt;=0,1,0)</f>
        <v>1</v>
      </c>
      <c r="L1788" s="15" t="n">
        <f aca="false">IFERROR(G1788/F1788,0)</f>
        <v>1</v>
      </c>
      <c r="M1788" s="15" t="n">
        <f aca="false">IFERROR((I1788-H1788)/H1788,0)</f>
        <v>0.0134008011189304</v>
      </c>
      <c r="N1788" s="16" t="n">
        <f aca="false">G1788*I1788</f>
        <v>363963.07</v>
      </c>
    </row>
    <row r="1789" customFormat="false" ht="15" hidden="false" customHeight="true" outlineLevel="0" collapsed="false">
      <c r="A1789" s="4" t="s">
        <v>1965</v>
      </c>
      <c r="B1789" s="4" t="s">
        <v>159</v>
      </c>
      <c r="C1789" s="13" t="n">
        <v>45191</v>
      </c>
      <c r="D1789" s="13" t="n">
        <v>45199</v>
      </c>
      <c r="E1789" s="13" t="n">
        <v>45200</v>
      </c>
      <c r="F1789" s="4" t="n">
        <v>3658</v>
      </c>
      <c r="G1789" s="4" t="n">
        <v>3611</v>
      </c>
      <c r="H1789" s="4" t="n">
        <v>32.91</v>
      </c>
      <c r="I1789" s="4" t="n">
        <v>33.24</v>
      </c>
      <c r="J1789" s="14" t="n">
        <f aca="false">E1789-D1789</f>
        <v>1</v>
      </c>
      <c r="K1789" s="14" t="n">
        <f aca="false">IF(J1789&lt;=0,1,0)</f>
        <v>0</v>
      </c>
      <c r="L1789" s="15" t="n">
        <f aca="false">IFERROR(G1789/F1789,0)</f>
        <v>0.987151448879169</v>
      </c>
      <c r="M1789" s="15" t="n">
        <f aca="false">IFERROR((I1789-H1789)/H1789,0)</f>
        <v>0.0100273473108479</v>
      </c>
      <c r="N1789" s="16" t="n">
        <f aca="false">G1789*I1789</f>
        <v>120029.64</v>
      </c>
    </row>
    <row r="1790" customFormat="false" ht="15" hidden="false" customHeight="true" outlineLevel="0" collapsed="false">
      <c r="A1790" s="4" t="s">
        <v>1966</v>
      </c>
      <c r="B1790" s="4" t="s">
        <v>163</v>
      </c>
      <c r="C1790" s="13" t="n">
        <v>44931</v>
      </c>
      <c r="D1790" s="13" t="n">
        <v>44949</v>
      </c>
      <c r="E1790" s="13" t="n">
        <v>44949</v>
      </c>
      <c r="F1790" s="4" t="n">
        <v>226</v>
      </c>
      <c r="G1790" s="4" t="n">
        <v>220</v>
      </c>
      <c r="H1790" s="4" t="n">
        <v>482.79</v>
      </c>
      <c r="I1790" s="4" t="n">
        <v>484.99</v>
      </c>
      <c r="J1790" s="14" t="n">
        <f aca="false">E1790-D1790</f>
        <v>0</v>
      </c>
      <c r="K1790" s="14" t="n">
        <f aca="false">IF(J1790&lt;=0,1,0)</f>
        <v>1</v>
      </c>
      <c r="L1790" s="15" t="n">
        <f aca="false">IFERROR(G1790/F1790,0)</f>
        <v>0.973451327433628</v>
      </c>
      <c r="M1790" s="15" t="n">
        <f aca="false">IFERROR((I1790-H1790)/H1790,0)</f>
        <v>0.0045568466621098</v>
      </c>
      <c r="N1790" s="16" t="n">
        <f aca="false">G1790*I1790</f>
        <v>106697.8</v>
      </c>
    </row>
    <row r="1791" customFormat="false" ht="15" hidden="false" customHeight="true" outlineLevel="0" collapsed="false">
      <c r="A1791" s="4" t="s">
        <v>1967</v>
      </c>
      <c r="B1791" s="4" t="s">
        <v>99</v>
      </c>
      <c r="C1791" s="13" t="n">
        <v>45073</v>
      </c>
      <c r="D1791" s="13" t="n">
        <v>45081</v>
      </c>
      <c r="E1791" s="13" t="n">
        <v>45082</v>
      </c>
      <c r="F1791" s="4" t="n">
        <v>897</v>
      </c>
      <c r="G1791" s="4" t="n">
        <v>824</v>
      </c>
      <c r="H1791" s="4" t="n">
        <v>11.5</v>
      </c>
      <c r="I1791" s="4" t="n">
        <v>11.8</v>
      </c>
      <c r="J1791" s="14" t="n">
        <f aca="false">E1791-D1791</f>
        <v>1</v>
      </c>
      <c r="K1791" s="14" t="n">
        <f aca="false">IF(J1791&lt;=0,1,0)</f>
        <v>0</v>
      </c>
      <c r="L1791" s="15" t="n">
        <f aca="false">IFERROR(G1791/F1791,0)</f>
        <v>0.918617614269788</v>
      </c>
      <c r="M1791" s="15" t="n">
        <f aca="false">IFERROR((I1791-H1791)/H1791,0)</f>
        <v>0.0260869565217392</v>
      </c>
      <c r="N1791" s="16" t="n">
        <f aca="false">G1791*I1791</f>
        <v>9723.2</v>
      </c>
    </row>
    <row r="1792" customFormat="false" ht="15" hidden="false" customHeight="true" outlineLevel="0" collapsed="false">
      <c r="A1792" s="4" t="s">
        <v>1968</v>
      </c>
      <c r="B1792" s="4" t="s">
        <v>107</v>
      </c>
      <c r="C1792" s="13" t="n">
        <v>45321</v>
      </c>
      <c r="D1792" s="13" t="n">
        <v>45328</v>
      </c>
      <c r="E1792" s="13" t="n">
        <v>45335</v>
      </c>
      <c r="F1792" s="4" t="n">
        <v>2312</v>
      </c>
      <c r="G1792" s="4" t="n">
        <v>2312</v>
      </c>
      <c r="H1792" s="4" t="n">
        <v>40.41</v>
      </c>
      <c r="I1792" s="4" t="n">
        <v>40.15</v>
      </c>
      <c r="J1792" s="14" t="n">
        <f aca="false">E1792-D1792</f>
        <v>7</v>
      </c>
      <c r="K1792" s="14" t="n">
        <f aca="false">IF(J1792&lt;=0,1,0)</f>
        <v>0</v>
      </c>
      <c r="L1792" s="15" t="n">
        <f aca="false">IFERROR(G1792/F1792,0)</f>
        <v>1</v>
      </c>
      <c r="M1792" s="15" t="n">
        <f aca="false">IFERROR((I1792-H1792)/H1792,0)</f>
        <v>-0.00643405097748077</v>
      </c>
      <c r="N1792" s="16" t="n">
        <f aca="false">G1792*I1792</f>
        <v>92826.8</v>
      </c>
    </row>
    <row r="1793" customFormat="false" ht="15" hidden="false" customHeight="true" outlineLevel="0" collapsed="false">
      <c r="A1793" s="4" t="s">
        <v>1969</v>
      </c>
      <c r="B1793" s="4" t="s">
        <v>151</v>
      </c>
      <c r="C1793" s="13" t="n">
        <v>45645</v>
      </c>
      <c r="D1793" s="13" t="n">
        <v>45649</v>
      </c>
      <c r="E1793" s="13" t="n">
        <v>45650</v>
      </c>
      <c r="F1793" s="4" t="n">
        <v>9</v>
      </c>
      <c r="G1793" s="4" t="n">
        <v>9</v>
      </c>
      <c r="H1793" s="4" t="n">
        <v>503.46</v>
      </c>
      <c r="I1793" s="4" t="n">
        <v>521.93</v>
      </c>
      <c r="J1793" s="14" t="n">
        <f aca="false">E1793-D1793</f>
        <v>1</v>
      </c>
      <c r="K1793" s="14" t="n">
        <f aca="false">IF(J1793&lt;=0,1,0)</f>
        <v>0</v>
      </c>
      <c r="L1793" s="15" t="n">
        <f aca="false">IFERROR(G1793/F1793,0)</f>
        <v>1</v>
      </c>
      <c r="M1793" s="15" t="n">
        <f aca="false">IFERROR((I1793-H1793)/H1793,0)</f>
        <v>0.0366861319667898</v>
      </c>
      <c r="N1793" s="16" t="n">
        <f aca="false">G1793*I1793</f>
        <v>4697.37</v>
      </c>
    </row>
    <row r="1794" customFormat="false" ht="15" hidden="false" customHeight="true" outlineLevel="0" collapsed="false">
      <c r="A1794" s="4" t="s">
        <v>1970</v>
      </c>
      <c r="B1794" s="4" t="s">
        <v>121</v>
      </c>
      <c r="C1794" s="13" t="n">
        <v>45352</v>
      </c>
      <c r="D1794" s="13" t="n">
        <v>45364</v>
      </c>
      <c r="E1794" s="13" t="n">
        <v>45366</v>
      </c>
      <c r="F1794" s="4" t="n">
        <v>694</v>
      </c>
      <c r="G1794" s="4" t="n">
        <v>629</v>
      </c>
      <c r="H1794" s="4" t="n">
        <v>206.07</v>
      </c>
      <c r="I1794" s="4" t="n">
        <v>224.3</v>
      </c>
      <c r="J1794" s="14" t="n">
        <f aca="false">E1794-D1794</f>
        <v>2</v>
      </c>
      <c r="K1794" s="14" t="n">
        <f aca="false">IF(J1794&lt;=0,1,0)</f>
        <v>0</v>
      </c>
      <c r="L1794" s="15" t="n">
        <f aca="false">IFERROR(G1794/F1794,0)</f>
        <v>0.906340057636888</v>
      </c>
      <c r="M1794" s="15" t="n">
        <f aca="false">IFERROR((I1794-H1794)/H1794,0)</f>
        <v>0.0884650846799632</v>
      </c>
      <c r="N1794" s="16" t="n">
        <f aca="false">G1794*I1794</f>
        <v>141084.7</v>
      </c>
    </row>
    <row r="1795" customFormat="false" ht="15" hidden="false" customHeight="true" outlineLevel="0" collapsed="false">
      <c r="A1795" s="4" t="s">
        <v>1971</v>
      </c>
      <c r="B1795" s="4" t="s">
        <v>113</v>
      </c>
      <c r="C1795" s="13" t="n">
        <v>45079</v>
      </c>
      <c r="D1795" s="13" t="n">
        <v>45089</v>
      </c>
      <c r="E1795" s="13" t="n">
        <v>45086</v>
      </c>
      <c r="F1795" s="4" t="n">
        <v>1026</v>
      </c>
      <c r="G1795" s="4" t="n">
        <v>1003</v>
      </c>
      <c r="H1795" s="4" t="n">
        <v>170.42</v>
      </c>
      <c r="I1795" s="4" t="n">
        <v>171.1</v>
      </c>
      <c r="J1795" s="14" t="n">
        <f aca="false">E1795-D1795</f>
        <v>-3</v>
      </c>
      <c r="K1795" s="14" t="n">
        <f aca="false">IF(J1795&lt;=0,1,0)</f>
        <v>1</v>
      </c>
      <c r="L1795" s="15" t="n">
        <f aca="false">IFERROR(G1795/F1795,0)</f>
        <v>0.977582846003899</v>
      </c>
      <c r="M1795" s="15" t="n">
        <f aca="false">IFERROR((I1795-H1795)/H1795,0)</f>
        <v>0.00399014200211247</v>
      </c>
      <c r="N1795" s="16" t="n">
        <f aca="false">G1795*I1795</f>
        <v>171613.3</v>
      </c>
    </row>
    <row r="1796" customFormat="false" ht="15" hidden="false" customHeight="true" outlineLevel="0" collapsed="false">
      <c r="A1796" s="4" t="s">
        <v>1972</v>
      </c>
      <c r="B1796" s="4" t="s">
        <v>127</v>
      </c>
      <c r="C1796" s="13" t="n">
        <v>45088</v>
      </c>
      <c r="D1796" s="13" t="n">
        <v>45093</v>
      </c>
      <c r="E1796" s="13" t="n">
        <v>45097</v>
      </c>
      <c r="F1796" s="4" t="n">
        <v>8</v>
      </c>
      <c r="G1796" s="4" t="n">
        <v>8</v>
      </c>
      <c r="H1796" s="4" t="n">
        <v>1881</v>
      </c>
      <c r="I1796" s="4" t="n">
        <v>1872.59</v>
      </c>
      <c r="J1796" s="14" t="n">
        <f aca="false">E1796-D1796</f>
        <v>4</v>
      </c>
      <c r="K1796" s="14" t="n">
        <f aca="false">IF(J1796&lt;=0,1,0)</f>
        <v>0</v>
      </c>
      <c r="L1796" s="15" t="n">
        <f aca="false">IFERROR(G1796/F1796,0)</f>
        <v>1</v>
      </c>
      <c r="M1796" s="15" t="n">
        <f aca="false">IFERROR((I1796-H1796)/H1796,0)</f>
        <v>-0.00447102604997346</v>
      </c>
      <c r="N1796" s="16" t="n">
        <f aca="false">G1796*I1796</f>
        <v>14980.72</v>
      </c>
    </row>
    <row r="1797" customFormat="false" ht="15" hidden="false" customHeight="true" outlineLevel="0" collapsed="false">
      <c r="A1797" s="4" t="s">
        <v>1973</v>
      </c>
      <c r="B1797" s="4" t="s">
        <v>127</v>
      </c>
      <c r="C1797" s="13" t="n">
        <v>45398</v>
      </c>
      <c r="D1797" s="13" t="n">
        <v>45404</v>
      </c>
      <c r="E1797" s="13" t="n">
        <v>45405</v>
      </c>
      <c r="F1797" s="4" t="n">
        <v>6</v>
      </c>
      <c r="G1797" s="4" t="n">
        <v>6</v>
      </c>
      <c r="H1797" s="4" t="n">
        <v>1881</v>
      </c>
      <c r="I1797" s="4" t="n">
        <v>1784.56</v>
      </c>
      <c r="J1797" s="14" t="n">
        <f aca="false">E1797-D1797</f>
        <v>1</v>
      </c>
      <c r="K1797" s="14" t="n">
        <f aca="false">IF(J1797&lt;=0,1,0)</f>
        <v>0</v>
      </c>
      <c r="L1797" s="15" t="n">
        <f aca="false">IFERROR(G1797/F1797,0)</f>
        <v>1</v>
      </c>
      <c r="M1797" s="15" t="n">
        <f aca="false">IFERROR((I1797-H1797)/H1797,0)</f>
        <v>-0.051270600744285</v>
      </c>
      <c r="N1797" s="16" t="n">
        <f aca="false">G1797*I1797</f>
        <v>10707.36</v>
      </c>
    </row>
    <row r="1798" customFormat="false" ht="15" hidden="false" customHeight="true" outlineLevel="0" collapsed="false">
      <c r="A1798" s="4" t="s">
        <v>1974</v>
      </c>
      <c r="B1798" s="4" t="s">
        <v>89</v>
      </c>
      <c r="C1798" s="13" t="n">
        <v>45051</v>
      </c>
      <c r="D1798" s="13" t="n">
        <v>45056</v>
      </c>
      <c r="E1798" s="13" t="n">
        <v>45055</v>
      </c>
      <c r="F1798" s="4" t="n">
        <v>19</v>
      </c>
      <c r="G1798" s="4" t="n">
        <v>17</v>
      </c>
      <c r="H1798" s="4" t="n">
        <v>1929.81</v>
      </c>
      <c r="I1798" s="4" t="n">
        <v>1902.49</v>
      </c>
      <c r="J1798" s="14" t="n">
        <f aca="false">E1798-D1798</f>
        <v>-1</v>
      </c>
      <c r="K1798" s="14" t="n">
        <f aca="false">IF(J1798&lt;=0,1,0)</f>
        <v>1</v>
      </c>
      <c r="L1798" s="15" t="n">
        <f aca="false">IFERROR(G1798/F1798,0)</f>
        <v>0.894736842105263</v>
      </c>
      <c r="M1798" s="15" t="n">
        <f aca="false">IFERROR((I1798-H1798)/H1798,0)</f>
        <v>-0.0141568340924754</v>
      </c>
      <c r="N1798" s="16" t="n">
        <f aca="false">G1798*I1798</f>
        <v>32342.33</v>
      </c>
    </row>
    <row r="1799" customFormat="false" ht="15" hidden="false" customHeight="true" outlineLevel="0" collapsed="false">
      <c r="A1799" s="4" t="s">
        <v>1975</v>
      </c>
      <c r="B1799" s="4" t="s">
        <v>121</v>
      </c>
      <c r="C1799" s="13" t="n">
        <v>45240</v>
      </c>
      <c r="D1799" s="13" t="n">
        <v>45251</v>
      </c>
      <c r="E1799" s="13" t="n">
        <v>45253</v>
      </c>
      <c r="F1799" s="4" t="n">
        <v>1700</v>
      </c>
      <c r="G1799" s="4" t="n">
        <v>1493</v>
      </c>
      <c r="H1799" s="4" t="n">
        <v>206.07</v>
      </c>
      <c r="I1799" s="4" t="n">
        <v>224.25</v>
      </c>
      <c r="J1799" s="14" t="n">
        <f aca="false">E1799-D1799</f>
        <v>2</v>
      </c>
      <c r="K1799" s="14" t="n">
        <f aca="false">IF(J1799&lt;=0,1,0)</f>
        <v>0</v>
      </c>
      <c r="L1799" s="15" t="n">
        <f aca="false">IFERROR(G1799/F1799,0)</f>
        <v>0.878235294117647</v>
      </c>
      <c r="M1799" s="15" t="n">
        <f aca="false">IFERROR((I1799-H1799)/H1799,0)</f>
        <v>0.0882224486824866</v>
      </c>
      <c r="N1799" s="16" t="n">
        <f aca="false">G1799*I1799</f>
        <v>334805.25</v>
      </c>
    </row>
    <row r="1800" customFormat="false" ht="15" hidden="false" customHeight="true" outlineLevel="0" collapsed="false">
      <c r="A1800" s="4" t="s">
        <v>1976</v>
      </c>
      <c r="B1800" s="4" t="s">
        <v>93</v>
      </c>
      <c r="C1800" s="13" t="n">
        <v>45265</v>
      </c>
      <c r="D1800" s="13" t="n">
        <v>45277</v>
      </c>
      <c r="E1800" s="13" t="n">
        <v>45278</v>
      </c>
      <c r="F1800" s="4" t="n">
        <v>898</v>
      </c>
      <c r="G1800" s="4" t="n">
        <v>898</v>
      </c>
      <c r="H1800" s="4" t="n">
        <v>174.25</v>
      </c>
      <c r="I1800" s="4" t="n">
        <v>179.21</v>
      </c>
      <c r="J1800" s="14" t="n">
        <f aca="false">E1800-D1800</f>
        <v>1</v>
      </c>
      <c r="K1800" s="14" t="n">
        <f aca="false">IF(J1800&lt;=0,1,0)</f>
        <v>0</v>
      </c>
      <c r="L1800" s="15" t="n">
        <f aca="false">IFERROR(G1800/F1800,0)</f>
        <v>1</v>
      </c>
      <c r="M1800" s="15" t="n">
        <f aca="false">IFERROR((I1800-H1800)/H1800,0)</f>
        <v>0.0284648493543759</v>
      </c>
      <c r="N1800" s="16" t="n">
        <f aca="false">G1800*I1800</f>
        <v>160930.58</v>
      </c>
    </row>
    <row r="1801" customFormat="false" ht="15" hidden="false" customHeight="true" outlineLevel="0" collapsed="false">
      <c r="A1801" s="4" t="s">
        <v>1977</v>
      </c>
      <c r="B1801" s="4" t="s">
        <v>83</v>
      </c>
      <c r="C1801" s="13" t="n">
        <v>45306</v>
      </c>
      <c r="D1801" s="13" t="n">
        <v>45318</v>
      </c>
      <c r="E1801" s="13" t="n">
        <v>45319</v>
      </c>
      <c r="F1801" s="4" t="n">
        <v>449</v>
      </c>
      <c r="G1801" s="4" t="n">
        <v>440</v>
      </c>
      <c r="H1801" s="4" t="n">
        <v>101.36</v>
      </c>
      <c r="I1801" s="4" t="n">
        <v>103.85</v>
      </c>
      <c r="J1801" s="14" t="n">
        <f aca="false">E1801-D1801</f>
        <v>1</v>
      </c>
      <c r="K1801" s="14" t="n">
        <f aca="false">IF(J1801&lt;=0,1,0)</f>
        <v>0</v>
      </c>
      <c r="L1801" s="15" t="n">
        <f aca="false">IFERROR(G1801/F1801,0)</f>
        <v>0.979955456570156</v>
      </c>
      <c r="M1801" s="15" t="n">
        <f aca="false">IFERROR((I1801-H1801)/H1801,0)</f>
        <v>0.0245659037095501</v>
      </c>
      <c r="N1801" s="16" t="n">
        <f aca="false">G1801*I1801</f>
        <v>45694</v>
      </c>
    </row>
    <row r="1802" customFormat="false" ht="15" hidden="false" customHeight="true" outlineLevel="0" collapsed="false">
      <c r="A1802" s="4" t="s">
        <v>1978</v>
      </c>
      <c r="B1802" s="4" t="s">
        <v>93</v>
      </c>
      <c r="C1802" s="13" t="n">
        <v>45297</v>
      </c>
      <c r="D1802" s="13" t="n">
        <v>45309</v>
      </c>
      <c r="E1802" s="13" t="n">
        <v>45311</v>
      </c>
      <c r="F1802" s="4" t="n">
        <v>1958</v>
      </c>
      <c r="G1802" s="4" t="n">
        <v>1952</v>
      </c>
      <c r="H1802" s="4" t="n">
        <v>174.25</v>
      </c>
      <c r="I1802" s="4" t="n">
        <v>182.65</v>
      </c>
      <c r="J1802" s="14" t="n">
        <f aca="false">E1802-D1802</f>
        <v>2</v>
      </c>
      <c r="K1802" s="14" t="n">
        <f aca="false">IF(J1802&lt;=0,1,0)</f>
        <v>0</v>
      </c>
      <c r="L1802" s="15" t="n">
        <f aca="false">IFERROR(G1802/F1802,0)</f>
        <v>0.996935648621042</v>
      </c>
      <c r="M1802" s="15" t="n">
        <f aca="false">IFERROR((I1802-H1802)/H1802,0)</f>
        <v>0.048206599713056</v>
      </c>
      <c r="N1802" s="16" t="n">
        <f aca="false">G1802*I1802</f>
        <v>356532.8</v>
      </c>
    </row>
    <row r="1803" customFormat="false" ht="15" hidden="false" customHeight="true" outlineLevel="0" collapsed="false">
      <c r="A1803" s="4" t="s">
        <v>1979</v>
      </c>
      <c r="B1803" s="4" t="s">
        <v>37</v>
      </c>
      <c r="C1803" s="13" t="n">
        <v>45393</v>
      </c>
      <c r="D1803" s="13" t="n">
        <v>45401</v>
      </c>
      <c r="E1803" s="13" t="n">
        <v>45398</v>
      </c>
      <c r="F1803" s="4" t="n">
        <v>1530</v>
      </c>
      <c r="G1803" s="4" t="n">
        <v>1530</v>
      </c>
      <c r="H1803" s="4" t="n">
        <v>22.26</v>
      </c>
      <c r="I1803" s="4" t="n">
        <v>21.47</v>
      </c>
      <c r="J1803" s="14" t="n">
        <f aca="false">E1803-D1803</f>
        <v>-3</v>
      </c>
      <c r="K1803" s="14" t="n">
        <f aca="false">IF(J1803&lt;=0,1,0)</f>
        <v>1</v>
      </c>
      <c r="L1803" s="15" t="n">
        <f aca="false">IFERROR(G1803/F1803,0)</f>
        <v>1</v>
      </c>
      <c r="M1803" s="15" t="n">
        <f aca="false">IFERROR((I1803-H1803)/H1803,0)</f>
        <v>-0.0354896675651394</v>
      </c>
      <c r="N1803" s="16" t="n">
        <f aca="false">G1803*I1803</f>
        <v>32849.1</v>
      </c>
    </row>
    <row r="1804" customFormat="false" ht="15" hidden="false" customHeight="true" outlineLevel="0" collapsed="false">
      <c r="A1804" s="4" t="s">
        <v>1980</v>
      </c>
      <c r="B1804" s="4" t="s">
        <v>129</v>
      </c>
      <c r="C1804" s="13" t="n">
        <v>45117</v>
      </c>
      <c r="D1804" s="13" t="n">
        <v>45137</v>
      </c>
      <c r="E1804" s="13" t="n">
        <v>45136</v>
      </c>
      <c r="F1804" s="4" t="n">
        <v>130</v>
      </c>
      <c r="G1804" s="4" t="n">
        <v>127</v>
      </c>
      <c r="H1804" s="4" t="n">
        <v>709.66</v>
      </c>
      <c r="I1804" s="4" t="n">
        <v>710.11</v>
      </c>
      <c r="J1804" s="14" t="n">
        <f aca="false">E1804-D1804</f>
        <v>-1</v>
      </c>
      <c r="K1804" s="14" t="n">
        <f aca="false">IF(J1804&lt;=0,1,0)</f>
        <v>1</v>
      </c>
      <c r="L1804" s="15" t="n">
        <f aca="false">IFERROR(G1804/F1804,0)</f>
        <v>0.976923076923077</v>
      </c>
      <c r="M1804" s="15" t="n">
        <f aca="false">IFERROR((I1804-H1804)/H1804,0)</f>
        <v>0.000634106473522596</v>
      </c>
      <c r="N1804" s="16" t="n">
        <f aca="false">G1804*I1804</f>
        <v>90183.97</v>
      </c>
    </row>
    <row r="1805" customFormat="false" ht="15" hidden="false" customHeight="true" outlineLevel="0" collapsed="false">
      <c r="A1805" s="4" t="s">
        <v>1981</v>
      </c>
      <c r="B1805" s="4" t="s">
        <v>127</v>
      </c>
      <c r="C1805" s="13" t="n">
        <v>45294</v>
      </c>
      <c r="D1805" s="13" t="n">
        <v>45301</v>
      </c>
      <c r="E1805" s="13" t="n">
        <v>45303</v>
      </c>
      <c r="F1805" s="4" t="n">
        <v>14</v>
      </c>
      <c r="G1805" s="4" t="n">
        <v>14</v>
      </c>
      <c r="H1805" s="4" t="n">
        <v>1881</v>
      </c>
      <c r="I1805" s="4" t="n">
        <v>1797.17</v>
      </c>
      <c r="J1805" s="14" t="n">
        <f aca="false">E1805-D1805</f>
        <v>2</v>
      </c>
      <c r="K1805" s="14" t="n">
        <f aca="false">IF(J1805&lt;=0,1,0)</f>
        <v>0</v>
      </c>
      <c r="L1805" s="15" t="n">
        <f aca="false">IFERROR(G1805/F1805,0)</f>
        <v>1</v>
      </c>
      <c r="M1805" s="15" t="n">
        <f aca="false">IFERROR((I1805-H1805)/H1805,0)</f>
        <v>-0.0445667198298777</v>
      </c>
      <c r="N1805" s="16" t="n">
        <f aca="false">G1805*I1805</f>
        <v>25160.38</v>
      </c>
    </row>
    <row r="1806" customFormat="false" ht="15" hidden="false" customHeight="true" outlineLevel="0" collapsed="false">
      <c r="A1806" s="4" t="s">
        <v>1982</v>
      </c>
      <c r="B1806" s="4" t="s">
        <v>103</v>
      </c>
      <c r="C1806" s="13" t="n">
        <v>45038</v>
      </c>
      <c r="D1806" s="13" t="n">
        <v>45057</v>
      </c>
      <c r="E1806" s="13" t="n">
        <v>45058</v>
      </c>
      <c r="F1806" s="4" t="n">
        <v>267</v>
      </c>
      <c r="G1806" s="4" t="n">
        <v>267</v>
      </c>
      <c r="H1806" s="4" t="n">
        <v>1400.22</v>
      </c>
      <c r="I1806" s="4" t="n">
        <v>1399.79</v>
      </c>
      <c r="J1806" s="14" t="n">
        <f aca="false">E1806-D1806</f>
        <v>1</v>
      </c>
      <c r="K1806" s="14" t="n">
        <f aca="false">IF(J1806&lt;=0,1,0)</f>
        <v>0</v>
      </c>
      <c r="L1806" s="15" t="n">
        <f aca="false">IFERROR(G1806/F1806,0)</f>
        <v>1</v>
      </c>
      <c r="M1806" s="15" t="n">
        <f aca="false">IFERROR((I1806-H1806)/H1806,0)</f>
        <v>-0.000307094599420137</v>
      </c>
      <c r="N1806" s="16" t="n">
        <f aca="false">G1806*I1806</f>
        <v>373743.93</v>
      </c>
    </row>
    <row r="1807" customFormat="false" ht="15" hidden="false" customHeight="true" outlineLevel="0" collapsed="false">
      <c r="A1807" s="4" t="s">
        <v>1983</v>
      </c>
      <c r="B1807" s="4" t="s">
        <v>129</v>
      </c>
      <c r="C1807" s="13" t="n">
        <v>45399</v>
      </c>
      <c r="D1807" s="13" t="n">
        <v>45419</v>
      </c>
      <c r="E1807" s="13" t="n">
        <v>45422</v>
      </c>
      <c r="F1807" s="4" t="n">
        <v>371</v>
      </c>
      <c r="G1807" s="4" t="n">
        <v>366</v>
      </c>
      <c r="H1807" s="4" t="n">
        <v>709.66</v>
      </c>
      <c r="I1807" s="4" t="n">
        <v>715.85</v>
      </c>
      <c r="J1807" s="14" t="n">
        <f aca="false">E1807-D1807</f>
        <v>3</v>
      </c>
      <c r="K1807" s="14" t="n">
        <f aca="false">IF(J1807&lt;=0,1,0)</f>
        <v>0</v>
      </c>
      <c r="L1807" s="15" t="n">
        <f aca="false">IFERROR(G1807/F1807,0)</f>
        <v>0.986522911051213</v>
      </c>
      <c r="M1807" s="15" t="n">
        <f aca="false">IFERROR((I1807-H1807)/H1807,0)</f>
        <v>0.00872248682467668</v>
      </c>
      <c r="N1807" s="16" t="n">
        <f aca="false">G1807*I1807</f>
        <v>262001.1</v>
      </c>
    </row>
    <row r="1808" customFormat="false" ht="15" hidden="false" customHeight="true" outlineLevel="0" collapsed="false">
      <c r="A1808" s="4" t="s">
        <v>1984</v>
      </c>
      <c r="B1808" s="4" t="s">
        <v>58</v>
      </c>
      <c r="C1808" s="13" t="n">
        <v>45035</v>
      </c>
      <c r="D1808" s="13" t="n">
        <v>45046</v>
      </c>
      <c r="E1808" s="13" t="n">
        <v>45045</v>
      </c>
      <c r="F1808" s="4" t="n">
        <v>235</v>
      </c>
      <c r="G1808" s="4" t="n">
        <v>226</v>
      </c>
      <c r="H1808" s="4" t="n">
        <v>135.68</v>
      </c>
      <c r="I1808" s="4" t="n">
        <v>135.83</v>
      </c>
      <c r="J1808" s="14" t="n">
        <f aca="false">E1808-D1808</f>
        <v>-1</v>
      </c>
      <c r="K1808" s="14" t="n">
        <f aca="false">IF(J1808&lt;=0,1,0)</f>
        <v>1</v>
      </c>
      <c r="L1808" s="15" t="n">
        <f aca="false">IFERROR(G1808/F1808,0)</f>
        <v>0.961702127659574</v>
      </c>
      <c r="M1808" s="15" t="n">
        <f aca="false">IFERROR((I1808-H1808)/H1808,0)</f>
        <v>0.00110554245283023</v>
      </c>
      <c r="N1808" s="16" t="n">
        <f aca="false">G1808*I1808</f>
        <v>30697.58</v>
      </c>
    </row>
    <row r="1809" customFormat="false" ht="15" hidden="false" customHeight="true" outlineLevel="0" collapsed="false">
      <c r="A1809" s="4" t="s">
        <v>1985</v>
      </c>
      <c r="B1809" s="4" t="s">
        <v>89</v>
      </c>
      <c r="C1809" s="13" t="n">
        <v>45477</v>
      </c>
      <c r="D1809" s="13" t="n">
        <v>45483</v>
      </c>
      <c r="E1809" s="13" t="n">
        <v>45486</v>
      </c>
      <c r="F1809" s="4" t="n">
        <v>18</v>
      </c>
      <c r="G1809" s="4" t="n">
        <v>16</v>
      </c>
      <c r="H1809" s="4" t="n">
        <v>1929.81</v>
      </c>
      <c r="I1809" s="4" t="n">
        <v>1918.46</v>
      </c>
      <c r="J1809" s="14" t="n">
        <f aca="false">E1809-D1809</f>
        <v>3</v>
      </c>
      <c r="K1809" s="14" t="n">
        <f aca="false">IF(J1809&lt;=0,1,0)</f>
        <v>0</v>
      </c>
      <c r="L1809" s="15" t="n">
        <f aca="false">IFERROR(G1809/F1809,0)</f>
        <v>0.888888888888889</v>
      </c>
      <c r="M1809" s="15" t="n">
        <f aca="false">IFERROR((I1809-H1809)/H1809,0)</f>
        <v>-0.00588140801426042</v>
      </c>
      <c r="N1809" s="16" t="n">
        <f aca="false">G1809*I1809</f>
        <v>30695.36</v>
      </c>
    </row>
    <row r="1810" customFormat="false" ht="15" hidden="false" customHeight="true" outlineLevel="0" collapsed="false">
      <c r="A1810" s="4" t="s">
        <v>1986</v>
      </c>
      <c r="B1810" s="4" t="s">
        <v>91</v>
      </c>
      <c r="C1810" s="13" t="n">
        <v>44994</v>
      </c>
      <c r="D1810" s="13" t="n">
        <v>45013</v>
      </c>
      <c r="E1810" s="13" t="n">
        <v>45007</v>
      </c>
      <c r="F1810" s="4" t="n">
        <v>77</v>
      </c>
      <c r="G1810" s="4" t="n">
        <v>76</v>
      </c>
      <c r="H1810" s="4" t="n">
        <v>496.29</v>
      </c>
      <c r="I1810" s="4" t="n">
        <v>499.38</v>
      </c>
      <c r="J1810" s="14" t="n">
        <f aca="false">E1810-D1810</f>
        <v>-6</v>
      </c>
      <c r="K1810" s="14" t="n">
        <f aca="false">IF(J1810&lt;=0,1,0)</f>
        <v>1</v>
      </c>
      <c r="L1810" s="15" t="n">
        <f aca="false">IFERROR(G1810/F1810,0)</f>
        <v>0.987012987012987</v>
      </c>
      <c r="M1810" s="15" t="n">
        <f aca="false">IFERROR((I1810-H1810)/H1810,0)</f>
        <v>0.0062261983920691</v>
      </c>
      <c r="N1810" s="16" t="n">
        <f aca="false">G1810*I1810</f>
        <v>37952.88</v>
      </c>
    </row>
    <row r="1811" customFormat="false" ht="15" hidden="false" customHeight="true" outlineLevel="0" collapsed="false">
      <c r="A1811" s="4" t="s">
        <v>1987</v>
      </c>
      <c r="B1811" s="4" t="s">
        <v>91</v>
      </c>
      <c r="C1811" s="13" t="n">
        <v>45214</v>
      </c>
      <c r="D1811" s="13" t="n">
        <v>45234</v>
      </c>
      <c r="E1811" s="13" t="n">
        <v>45235</v>
      </c>
      <c r="F1811" s="4" t="n">
        <v>136</v>
      </c>
      <c r="G1811" s="4" t="n">
        <v>135</v>
      </c>
      <c r="H1811" s="4" t="n">
        <v>496.29</v>
      </c>
      <c r="I1811" s="4" t="n">
        <v>483.24</v>
      </c>
      <c r="J1811" s="14" t="n">
        <f aca="false">E1811-D1811</f>
        <v>1</v>
      </c>
      <c r="K1811" s="14" t="n">
        <f aca="false">IF(J1811&lt;=0,1,0)</f>
        <v>0</v>
      </c>
      <c r="L1811" s="15" t="n">
        <f aca="false">IFERROR(G1811/F1811,0)</f>
        <v>0.992647058823529</v>
      </c>
      <c r="M1811" s="15" t="n">
        <f aca="false">IFERROR((I1811-H1811)/H1811,0)</f>
        <v>-0.0262951097140785</v>
      </c>
      <c r="N1811" s="16" t="n">
        <f aca="false">G1811*I1811</f>
        <v>65237.4</v>
      </c>
    </row>
    <row r="1812" customFormat="false" ht="15" hidden="false" customHeight="true" outlineLevel="0" collapsed="false">
      <c r="A1812" s="4" t="s">
        <v>1988</v>
      </c>
      <c r="B1812" s="4" t="s">
        <v>91</v>
      </c>
      <c r="C1812" s="13" t="n">
        <v>45399</v>
      </c>
      <c r="D1812" s="13" t="n">
        <v>45418</v>
      </c>
      <c r="E1812" s="13" t="n">
        <v>45418</v>
      </c>
      <c r="F1812" s="4" t="n">
        <v>225</v>
      </c>
      <c r="G1812" s="4" t="n">
        <v>218</v>
      </c>
      <c r="H1812" s="4" t="n">
        <v>496.29</v>
      </c>
      <c r="I1812" s="4" t="n">
        <v>484.19</v>
      </c>
      <c r="J1812" s="14" t="n">
        <f aca="false">E1812-D1812</f>
        <v>0</v>
      </c>
      <c r="K1812" s="14" t="n">
        <f aca="false">IF(J1812&lt;=0,1,0)</f>
        <v>1</v>
      </c>
      <c r="L1812" s="15" t="n">
        <f aca="false">IFERROR(G1812/F1812,0)</f>
        <v>0.968888888888889</v>
      </c>
      <c r="M1812" s="15" t="n">
        <f aca="false">IFERROR((I1812-H1812)/H1812,0)</f>
        <v>-0.024380906324931</v>
      </c>
      <c r="N1812" s="16" t="n">
        <f aca="false">G1812*I1812</f>
        <v>105553.42</v>
      </c>
    </row>
    <row r="1813" customFormat="false" ht="15" hidden="false" customHeight="true" outlineLevel="0" collapsed="false">
      <c r="A1813" s="4" t="s">
        <v>1989</v>
      </c>
      <c r="B1813" s="4" t="s">
        <v>58</v>
      </c>
      <c r="C1813" s="13" t="n">
        <v>45176</v>
      </c>
      <c r="D1813" s="13" t="n">
        <v>45187</v>
      </c>
      <c r="E1813" s="13" t="n">
        <v>45183</v>
      </c>
      <c r="F1813" s="4" t="n">
        <v>170</v>
      </c>
      <c r="G1813" s="4" t="n">
        <v>167</v>
      </c>
      <c r="H1813" s="4" t="n">
        <v>135.68</v>
      </c>
      <c r="I1813" s="4" t="n">
        <v>138.25</v>
      </c>
      <c r="J1813" s="14" t="n">
        <f aca="false">E1813-D1813</f>
        <v>-4</v>
      </c>
      <c r="K1813" s="14" t="n">
        <f aca="false">IF(J1813&lt;=0,1,0)</f>
        <v>1</v>
      </c>
      <c r="L1813" s="15" t="n">
        <f aca="false">IFERROR(G1813/F1813,0)</f>
        <v>0.982352941176471</v>
      </c>
      <c r="M1813" s="15" t="n">
        <f aca="false">IFERROR((I1813-H1813)/H1813,0)</f>
        <v>0.0189416273584905</v>
      </c>
      <c r="N1813" s="16" t="n">
        <f aca="false">G1813*I1813</f>
        <v>23087.75</v>
      </c>
    </row>
    <row r="1814" customFormat="false" ht="15" hidden="false" customHeight="true" outlineLevel="0" collapsed="false">
      <c r="A1814" s="4" t="s">
        <v>1990</v>
      </c>
      <c r="B1814" s="4" t="s">
        <v>50</v>
      </c>
      <c r="C1814" s="13" t="n">
        <v>45094</v>
      </c>
      <c r="D1814" s="13" t="n">
        <v>45112</v>
      </c>
      <c r="E1814" s="13" t="n">
        <v>45108</v>
      </c>
      <c r="F1814" s="4" t="n">
        <v>351</v>
      </c>
      <c r="G1814" s="4" t="n">
        <v>345</v>
      </c>
      <c r="H1814" s="4" t="n">
        <v>707.19</v>
      </c>
      <c r="I1814" s="4" t="n">
        <v>734.22</v>
      </c>
      <c r="J1814" s="14" t="n">
        <f aca="false">E1814-D1814</f>
        <v>-4</v>
      </c>
      <c r="K1814" s="14" t="n">
        <f aca="false">IF(J1814&lt;=0,1,0)</f>
        <v>1</v>
      </c>
      <c r="L1814" s="15" t="n">
        <f aca="false">IFERROR(G1814/F1814,0)</f>
        <v>0.982905982905983</v>
      </c>
      <c r="M1814" s="15" t="n">
        <f aca="false">IFERROR((I1814-H1814)/H1814,0)</f>
        <v>0.0382216943112883</v>
      </c>
      <c r="N1814" s="16" t="n">
        <f aca="false">G1814*I1814</f>
        <v>253305.9</v>
      </c>
    </row>
    <row r="1815" customFormat="false" ht="15" hidden="false" customHeight="true" outlineLevel="0" collapsed="false">
      <c r="A1815" s="4" t="s">
        <v>1991</v>
      </c>
      <c r="B1815" s="4" t="s">
        <v>155</v>
      </c>
      <c r="C1815" s="13" t="n">
        <v>45241</v>
      </c>
      <c r="D1815" s="13" t="n">
        <v>45250</v>
      </c>
      <c r="E1815" s="13" t="n">
        <v>45249</v>
      </c>
      <c r="F1815" s="4" t="n">
        <v>3904</v>
      </c>
      <c r="G1815" s="4" t="n">
        <v>3753</v>
      </c>
      <c r="H1815" s="4" t="n">
        <v>24.04</v>
      </c>
      <c r="I1815" s="4" t="n">
        <v>23.46</v>
      </c>
      <c r="J1815" s="14" t="n">
        <f aca="false">E1815-D1815</f>
        <v>-1</v>
      </c>
      <c r="K1815" s="14" t="n">
        <f aca="false">IF(J1815&lt;=0,1,0)</f>
        <v>1</v>
      </c>
      <c r="L1815" s="15" t="n">
        <f aca="false">IFERROR(G1815/F1815,0)</f>
        <v>0.961321721311475</v>
      </c>
      <c r="M1815" s="15" t="n">
        <f aca="false">IFERROR((I1815-H1815)/H1815,0)</f>
        <v>-0.0241264559068219</v>
      </c>
      <c r="N1815" s="16" t="n">
        <f aca="false">G1815*I1815</f>
        <v>88045.38</v>
      </c>
    </row>
    <row r="1816" customFormat="false" ht="15" hidden="false" customHeight="true" outlineLevel="0" collapsed="false">
      <c r="A1816" s="4" t="s">
        <v>1992</v>
      </c>
      <c r="B1816" s="4" t="s">
        <v>99</v>
      </c>
      <c r="C1816" s="13" t="n">
        <v>45567</v>
      </c>
      <c r="D1816" s="13" t="n">
        <v>45576</v>
      </c>
      <c r="E1816" s="13" t="n">
        <v>45580</v>
      </c>
      <c r="F1816" s="4" t="n">
        <v>4641</v>
      </c>
      <c r="G1816" s="4" t="n">
        <v>4223</v>
      </c>
      <c r="H1816" s="4" t="n">
        <v>11.5</v>
      </c>
      <c r="I1816" s="4" t="n">
        <v>12.93</v>
      </c>
      <c r="J1816" s="14" t="n">
        <f aca="false">E1816-D1816</f>
        <v>4</v>
      </c>
      <c r="K1816" s="14" t="n">
        <f aca="false">IF(J1816&lt;=0,1,0)</f>
        <v>0</v>
      </c>
      <c r="L1816" s="15" t="n">
        <f aca="false">IFERROR(G1816/F1816,0)</f>
        <v>0.909933204050851</v>
      </c>
      <c r="M1816" s="15" t="n">
        <f aca="false">IFERROR((I1816-H1816)/H1816,0)</f>
        <v>0.124347826086956</v>
      </c>
      <c r="N1816" s="16" t="n">
        <f aca="false">G1816*I1816</f>
        <v>54603.39</v>
      </c>
    </row>
    <row r="1817" customFormat="false" ht="15" hidden="false" customHeight="true" outlineLevel="0" collapsed="false">
      <c r="A1817" s="4" t="s">
        <v>1993</v>
      </c>
      <c r="B1817" s="4" t="s">
        <v>155</v>
      </c>
      <c r="C1817" s="13" t="n">
        <v>45219</v>
      </c>
      <c r="D1817" s="13" t="n">
        <v>45228</v>
      </c>
      <c r="E1817" s="13" t="n">
        <v>45225</v>
      </c>
      <c r="F1817" s="4" t="n">
        <v>3742</v>
      </c>
      <c r="G1817" s="4" t="n">
        <v>3658</v>
      </c>
      <c r="H1817" s="4" t="n">
        <v>24.04</v>
      </c>
      <c r="I1817" s="4" t="n">
        <v>23.54</v>
      </c>
      <c r="J1817" s="14" t="n">
        <f aca="false">E1817-D1817</f>
        <v>-3</v>
      </c>
      <c r="K1817" s="14" t="n">
        <f aca="false">IF(J1817&lt;=0,1,0)</f>
        <v>1</v>
      </c>
      <c r="L1817" s="15" t="n">
        <f aca="false">IFERROR(G1817/F1817,0)</f>
        <v>0.977552111170497</v>
      </c>
      <c r="M1817" s="15" t="n">
        <f aca="false">IFERROR((I1817-H1817)/H1817,0)</f>
        <v>-0.0207986688851914</v>
      </c>
      <c r="N1817" s="16" t="n">
        <f aca="false">G1817*I1817</f>
        <v>86109.32</v>
      </c>
    </row>
    <row r="1818" customFormat="false" ht="15" hidden="false" customHeight="true" outlineLevel="0" collapsed="false">
      <c r="A1818" s="4" t="s">
        <v>1994</v>
      </c>
      <c r="B1818" s="4" t="s">
        <v>68</v>
      </c>
      <c r="C1818" s="13" t="n">
        <v>45398</v>
      </c>
      <c r="D1818" s="13" t="n">
        <v>45417</v>
      </c>
      <c r="E1818" s="13" t="n">
        <v>45419</v>
      </c>
      <c r="F1818" s="4" t="n">
        <v>459</v>
      </c>
      <c r="G1818" s="4" t="n">
        <v>410</v>
      </c>
      <c r="H1818" s="4" t="n">
        <v>1232.83</v>
      </c>
      <c r="I1818" s="4" t="n">
        <v>1231.81</v>
      </c>
      <c r="J1818" s="14" t="n">
        <f aca="false">E1818-D1818</f>
        <v>2</v>
      </c>
      <c r="K1818" s="14" t="n">
        <f aca="false">IF(J1818&lt;=0,1,0)</f>
        <v>0</v>
      </c>
      <c r="L1818" s="15" t="n">
        <f aca="false">IFERROR(G1818/F1818,0)</f>
        <v>0.893246187363834</v>
      </c>
      <c r="M1818" s="15" t="n">
        <f aca="false">IFERROR((I1818-H1818)/H1818,0)</f>
        <v>-0.000827364681261798</v>
      </c>
      <c r="N1818" s="16" t="n">
        <f aca="false">G1818*I1818</f>
        <v>505042.1</v>
      </c>
    </row>
    <row r="1819" customFormat="false" ht="15" hidden="false" customHeight="true" outlineLevel="0" collapsed="false">
      <c r="A1819" s="4" t="s">
        <v>1995</v>
      </c>
      <c r="B1819" s="4" t="s">
        <v>87</v>
      </c>
      <c r="C1819" s="13" t="n">
        <v>45510</v>
      </c>
      <c r="D1819" s="13" t="n">
        <v>45521</v>
      </c>
      <c r="E1819" s="13" t="n">
        <v>45525</v>
      </c>
      <c r="F1819" s="4" t="n">
        <v>1978</v>
      </c>
      <c r="G1819" s="4" t="n">
        <v>1908</v>
      </c>
      <c r="H1819" s="4" t="n">
        <v>161.95</v>
      </c>
      <c r="I1819" s="4" t="n">
        <v>191.87</v>
      </c>
      <c r="J1819" s="14" t="n">
        <f aca="false">E1819-D1819</f>
        <v>4</v>
      </c>
      <c r="K1819" s="14" t="n">
        <f aca="false">IF(J1819&lt;=0,1,0)</f>
        <v>0</v>
      </c>
      <c r="L1819" s="15" t="n">
        <f aca="false">IFERROR(G1819/F1819,0)</f>
        <v>0.964610717896866</v>
      </c>
      <c r="M1819" s="15" t="n">
        <f aca="false">IFERROR((I1819-H1819)/H1819,0)</f>
        <v>0.184748379129361</v>
      </c>
      <c r="N1819" s="16" t="n">
        <f aca="false">G1819*I1819</f>
        <v>366087.96</v>
      </c>
    </row>
    <row r="1820" customFormat="false" ht="15" hidden="false" customHeight="true" outlineLevel="0" collapsed="false">
      <c r="A1820" s="4" t="s">
        <v>1996</v>
      </c>
      <c r="B1820" s="4" t="s">
        <v>135</v>
      </c>
      <c r="C1820" s="13" t="n">
        <v>45102</v>
      </c>
      <c r="D1820" s="13" t="n">
        <v>45116</v>
      </c>
      <c r="E1820" s="13" t="n">
        <v>45121</v>
      </c>
      <c r="F1820" s="4" t="n">
        <v>38</v>
      </c>
      <c r="G1820" s="4" t="n">
        <v>38</v>
      </c>
      <c r="H1820" s="4" t="n">
        <v>328.06</v>
      </c>
      <c r="I1820" s="4" t="n">
        <v>330</v>
      </c>
      <c r="J1820" s="14" t="n">
        <f aca="false">E1820-D1820</f>
        <v>5</v>
      </c>
      <c r="K1820" s="14" t="n">
        <f aca="false">IF(J1820&lt;=0,1,0)</f>
        <v>0</v>
      </c>
      <c r="L1820" s="15" t="n">
        <f aca="false">IFERROR(G1820/F1820,0)</f>
        <v>1</v>
      </c>
      <c r="M1820" s="15" t="n">
        <f aca="false">IFERROR((I1820-H1820)/H1820,0)</f>
        <v>0.00591355239895141</v>
      </c>
      <c r="N1820" s="16" t="n">
        <f aca="false">G1820*I1820</f>
        <v>12540</v>
      </c>
    </row>
    <row r="1821" customFormat="false" ht="15" hidden="false" customHeight="true" outlineLevel="0" collapsed="false">
      <c r="A1821" s="4" t="s">
        <v>1997</v>
      </c>
      <c r="B1821" s="4" t="s">
        <v>109</v>
      </c>
      <c r="C1821" s="13" t="n">
        <v>45132</v>
      </c>
      <c r="D1821" s="13" t="n">
        <v>45152</v>
      </c>
      <c r="E1821" s="13" t="n">
        <v>45148</v>
      </c>
      <c r="F1821" s="4" t="n">
        <v>244</v>
      </c>
      <c r="G1821" s="4" t="n">
        <v>241</v>
      </c>
      <c r="H1821" s="4" t="n">
        <v>858.02</v>
      </c>
      <c r="I1821" s="4" t="n">
        <v>892.13</v>
      </c>
      <c r="J1821" s="14" t="n">
        <f aca="false">E1821-D1821</f>
        <v>-4</v>
      </c>
      <c r="K1821" s="14" t="n">
        <f aca="false">IF(J1821&lt;=0,1,0)</f>
        <v>1</v>
      </c>
      <c r="L1821" s="15" t="n">
        <f aca="false">IFERROR(G1821/F1821,0)</f>
        <v>0.987704918032787</v>
      </c>
      <c r="M1821" s="15" t="n">
        <f aca="false">IFERROR((I1821-H1821)/H1821,0)</f>
        <v>0.0397543180811636</v>
      </c>
      <c r="N1821" s="16" t="n">
        <f aca="false">G1821*I1821</f>
        <v>215003.33</v>
      </c>
    </row>
    <row r="1822" customFormat="false" ht="15" hidden="false" customHeight="true" outlineLevel="0" collapsed="false">
      <c r="A1822" s="4" t="s">
        <v>1998</v>
      </c>
      <c r="B1822" s="4" t="s">
        <v>111</v>
      </c>
      <c r="C1822" s="13" t="n">
        <v>45020</v>
      </c>
      <c r="D1822" s="13" t="n">
        <v>45031</v>
      </c>
      <c r="E1822" s="13" t="n">
        <v>45034</v>
      </c>
      <c r="F1822" s="4" t="n">
        <v>1440</v>
      </c>
      <c r="G1822" s="4" t="n">
        <v>1327</v>
      </c>
      <c r="H1822" s="4" t="n">
        <v>148.08</v>
      </c>
      <c r="I1822" s="4" t="n">
        <v>147.83</v>
      </c>
      <c r="J1822" s="14" t="n">
        <f aca="false">E1822-D1822</f>
        <v>3</v>
      </c>
      <c r="K1822" s="14" t="n">
        <f aca="false">IF(J1822&lt;=0,1,0)</f>
        <v>0</v>
      </c>
      <c r="L1822" s="15" t="n">
        <f aca="false">IFERROR(G1822/F1822,0)</f>
        <v>0.921527777777778</v>
      </c>
      <c r="M1822" s="15" t="n">
        <f aca="false">IFERROR((I1822-H1822)/H1822,0)</f>
        <v>-0.00168827660723933</v>
      </c>
      <c r="N1822" s="16" t="n">
        <f aca="false">G1822*I1822</f>
        <v>196170.41</v>
      </c>
    </row>
    <row r="1823" customFormat="false" ht="15" hidden="false" customHeight="true" outlineLevel="0" collapsed="false">
      <c r="A1823" s="4" t="s">
        <v>1999</v>
      </c>
      <c r="B1823" s="4" t="s">
        <v>89</v>
      </c>
      <c r="C1823" s="13" t="n">
        <v>45561</v>
      </c>
      <c r="D1823" s="13" t="n">
        <v>45567</v>
      </c>
      <c r="E1823" s="13" t="n">
        <v>45571</v>
      </c>
      <c r="F1823" s="4" t="n">
        <v>11</v>
      </c>
      <c r="G1823" s="4" t="n">
        <v>10</v>
      </c>
      <c r="H1823" s="4" t="n">
        <v>1929.81</v>
      </c>
      <c r="I1823" s="4" t="n">
        <v>1933.38</v>
      </c>
      <c r="J1823" s="14" t="n">
        <f aca="false">E1823-D1823</f>
        <v>4</v>
      </c>
      <c r="K1823" s="14" t="n">
        <f aca="false">IF(J1823&lt;=0,1,0)</f>
        <v>0</v>
      </c>
      <c r="L1823" s="15" t="n">
        <f aca="false">IFERROR(G1823/F1823,0)</f>
        <v>0.909090909090909</v>
      </c>
      <c r="M1823" s="15" t="n">
        <f aca="false">IFERROR((I1823-H1823)/H1823,0)</f>
        <v>0.00184992304941946</v>
      </c>
      <c r="N1823" s="16" t="n">
        <f aca="false">G1823*I1823</f>
        <v>19333.8</v>
      </c>
    </row>
    <row r="1824" customFormat="false" ht="15" hidden="false" customHeight="true" outlineLevel="0" collapsed="false">
      <c r="A1824" s="4" t="s">
        <v>2000</v>
      </c>
      <c r="B1824" s="4" t="s">
        <v>157</v>
      </c>
      <c r="C1824" s="13" t="n">
        <v>45317</v>
      </c>
      <c r="D1824" s="13" t="n">
        <v>45323</v>
      </c>
      <c r="E1824" s="13" t="n">
        <v>45323</v>
      </c>
      <c r="F1824" s="4" t="n">
        <v>3311</v>
      </c>
      <c r="G1824" s="4" t="n">
        <v>3099</v>
      </c>
      <c r="H1824" s="4" t="n">
        <v>13.1</v>
      </c>
      <c r="I1824" s="4" t="n">
        <v>13.48</v>
      </c>
      <c r="J1824" s="14" t="n">
        <f aca="false">E1824-D1824</f>
        <v>0</v>
      </c>
      <c r="K1824" s="14" t="n">
        <f aca="false">IF(J1824&lt;=0,1,0)</f>
        <v>1</v>
      </c>
      <c r="L1824" s="15" t="n">
        <f aca="false">IFERROR(G1824/F1824,0)</f>
        <v>0.935971005738448</v>
      </c>
      <c r="M1824" s="15" t="n">
        <f aca="false">IFERROR((I1824-H1824)/H1824,0)</f>
        <v>0.0290076335877863</v>
      </c>
      <c r="N1824" s="16" t="n">
        <f aca="false">G1824*I1824</f>
        <v>41774.52</v>
      </c>
    </row>
    <row r="1825" customFormat="false" ht="15" hidden="false" customHeight="true" outlineLevel="0" collapsed="false">
      <c r="A1825" s="4" t="s">
        <v>2001</v>
      </c>
      <c r="B1825" s="4" t="s">
        <v>74</v>
      </c>
      <c r="C1825" s="13" t="n">
        <v>44985</v>
      </c>
      <c r="D1825" s="13" t="n">
        <v>44992</v>
      </c>
      <c r="E1825" s="13" t="n">
        <v>44993</v>
      </c>
      <c r="F1825" s="4" t="n">
        <v>9</v>
      </c>
      <c r="G1825" s="4" t="n">
        <v>9</v>
      </c>
      <c r="H1825" s="4" t="n">
        <v>1294.62</v>
      </c>
      <c r="I1825" s="4" t="n">
        <v>1280.98</v>
      </c>
      <c r="J1825" s="14" t="n">
        <f aca="false">E1825-D1825</f>
        <v>1</v>
      </c>
      <c r="K1825" s="14" t="n">
        <f aca="false">IF(J1825&lt;=0,1,0)</f>
        <v>0</v>
      </c>
      <c r="L1825" s="15" t="n">
        <f aca="false">IFERROR(G1825/F1825,0)</f>
        <v>1</v>
      </c>
      <c r="M1825" s="15" t="n">
        <f aca="false">IFERROR((I1825-H1825)/H1825,0)</f>
        <v>-0.0105359101512412</v>
      </c>
      <c r="N1825" s="16" t="n">
        <f aca="false">G1825*I1825</f>
        <v>11528.82</v>
      </c>
    </row>
    <row r="1826" customFormat="false" ht="15" hidden="false" customHeight="true" outlineLevel="0" collapsed="false">
      <c r="A1826" s="4" t="s">
        <v>2002</v>
      </c>
      <c r="B1826" s="4" t="s">
        <v>131</v>
      </c>
      <c r="C1826" s="13" t="n">
        <v>45113</v>
      </c>
      <c r="D1826" s="13" t="n">
        <v>45122</v>
      </c>
      <c r="E1826" s="13" t="n">
        <v>45122</v>
      </c>
      <c r="F1826" s="4" t="n">
        <v>1732</v>
      </c>
      <c r="G1826" s="4" t="n">
        <v>1684</v>
      </c>
      <c r="H1826" s="4" t="n">
        <v>88.52</v>
      </c>
      <c r="I1826" s="4" t="n">
        <v>90.02</v>
      </c>
      <c r="J1826" s="14" t="n">
        <f aca="false">E1826-D1826</f>
        <v>0</v>
      </c>
      <c r="K1826" s="14" t="n">
        <f aca="false">IF(J1826&lt;=0,1,0)</f>
        <v>1</v>
      </c>
      <c r="L1826" s="15" t="n">
        <f aca="false">IFERROR(G1826/F1826,0)</f>
        <v>0.972286374133949</v>
      </c>
      <c r="M1826" s="15" t="n">
        <f aca="false">IFERROR((I1826-H1826)/H1826,0)</f>
        <v>0.0169453230908269</v>
      </c>
      <c r="N1826" s="16" t="n">
        <f aca="false">G1826*I1826</f>
        <v>151593.68</v>
      </c>
    </row>
    <row r="1827" customFormat="false" ht="15" hidden="false" customHeight="true" outlineLevel="0" collapsed="false">
      <c r="A1827" s="4" t="s">
        <v>2003</v>
      </c>
      <c r="B1827" s="4" t="s">
        <v>99</v>
      </c>
      <c r="C1827" s="13" t="n">
        <v>45037</v>
      </c>
      <c r="D1827" s="13" t="n">
        <v>45046</v>
      </c>
      <c r="E1827" s="13" t="n">
        <v>45047</v>
      </c>
      <c r="F1827" s="4" t="n">
        <v>4387</v>
      </c>
      <c r="G1827" s="4" t="n">
        <v>3999</v>
      </c>
      <c r="H1827" s="4" t="n">
        <v>11.5</v>
      </c>
      <c r="I1827" s="4" t="n">
        <v>11.79</v>
      </c>
      <c r="J1827" s="14" t="n">
        <f aca="false">E1827-D1827</f>
        <v>1</v>
      </c>
      <c r="K1827" s="14" t="n">
        <f aca="false">IF(J1827&lt;=0,1,0)</f>
        <v>0</v>
      </c>
      <c r="L1827" s="15" t="n">
        <f aca="false">IFERROR(G1827/F1827,0)</f>
        <v>0.911556872578072</v>
      </c>
      <c r="M1827" s="15" t="n">
        <f aca="false">IFERROR((I1827-H1827)/H1827,0)</f>
        <v>0.0252173913043478</v>
      </c>
      <c r="N1827" s="16" t="n">
        <f aca="false">G1827*I1827</f>
        <v>47148.21</v>
      </c>
    </row>
    <row r="1828" customFormat="false" ht="15" hidden="false" customHeight="true" outlineLevel="0" collapsed="false">
      <c r="A1828" s="4" t="s">
        <v>2004</v>
      </c>
      <c r="B1828" s="4" t="s">
        <v>47</v>
      </c>
      <c r="C1828" s="13" t="n">
        <v>45627</v>
      </c>
      <c r="D1828" s="13" t="n">
        <v>45639</v>
      </c>
      <c r="E1828" s="13" t="n">
        <v>45640</v>
      </c>
      <c r="F1828" s="4" t="n">
        <v>490</v>
      </c>
      <c r="G1828" s="4" t="n">
        <v>481</v>
      </c>
      <c r="H1828" s="4" t="n">
        <v>228.68</v>
      </c>
      <c r="I1828" s="4" t="n">
        <v>231.48</v>
      </c>
      <c r="J1828" s="14" t="n">
        <f aca="false">E1828-D1828</f>
        <v>1</v>
      </c>
      <c r="K1828" s="14" t="n">
        <f aca="false">IF(J1828&lt;=0,1,0)</f>
        <v>0</v>
      </c>
      <c r="L1828" s="15" t="n">
        <f aca="false">IFERROR(G1828/F1828,0)</f>
        <v>0.981632653061225</v>
      </c>
      <c r="M1828" s="15" t="n">
        <f aca="false">IFERROR((I1828-H1828)/H1828,0)</f>
        <v>0.0122441840125939</v>
      </c>
      <c r="N1828" s="16" t="n">
        <f aca="false">G1828*I1828</f>
        <v>111341.88</v>
      </c>
    </row>
    <row r="1829" customFormat="false" ht="15" hidden="false" customHeight="true" outlineLevel="0" collapsed="false">
      <c r="A1829" s="4" t="s">
        <v>2005</v>
      </c>
      <c r="B1829" s="4" t="s">
        <v>91</v>
      </c>
      <c r="C1829" s="13" t="n">
        <v>45012</v>
      </c>
      <c r="D1829" s="13" t="n">
        <v>45030</v>
      </c>
      <c r="E1829" s="13" t="n">
        <v>45031</v>
      </c>
      <c r="F1829" s="4" t="n">
        <v>384</v>
      </c>
      <c r="G1829" s="4" t="n">
        <v>377</v>
      </c>
      <c r="H1829" s="4" t="n">
        <v>496.29</v>
      </c>
      <c r="I1829" s="4" t="n">
        <v>491.84</v>
      </c>
      <c r="J1829" s="14" t="n">
        <f aca="false">E1829-D1829</f>
        <v>1</v>
      </c>
      <c r="K1829" s="14" t="n">
        <f aca="false">IF(J1829&lt;=0,1,0)</f>
        <v>0</v>
      </c>
      <c r="L1829" s="15" t="n">
        <f aca="false">IFERROR(G1829/F1829,0)</f>
        <v>0.981770833333333</v>
      </c>
      <c r="M1829" s="15" t="n">
        <f aca="false">IFERROR((I1829-H1829)/H1829,0)</f>
        <v>-0.00896653166495405</v>
      </c>
      <c r="N1829" s="16" t="n">
        <f aca="false">G1829*I1829</f>
        <v>185423.68</v>
      </c>
    </row>
    <row r="1830" customFormat="false" ht="15" hidden="false" customHeight="true" outlineLevel="0" collapsed="false">
      <c r="A1830" s="4" t="s">
        <v>2006</v>
      </c>
      <c r="B1830" s="4" t="s">
        <v>81</v>
      </c>
      <c r="C1830" s="13" t="n">
        <v>45204</v>
      </c>
      <c r="D1830" s="13" t="n">
        <v>45210</v>
      </c>
      <c r="E1830" s="13" t="n">
        <v>45213</v>
      </c>
      <c r="F1830" s="4" t="n">
        <v>4</v>
      </c>
      <c r="G1830" s="4" t="n">
        <v>4</v>
      </c>
      <c r="H1830" s="4" t="n">
        <v>697.63</v>
      </c>
      <c r="I1830" s="4" t="n">
        <v>699.63</v>
      </c>
      <c r="J1830" s="14" t="n">
        <f aca="false">E1830-D1830</f>
        <v>3</v>
      </c>
      <c r="K1830" s="14" t="n">
        <f aca="false">IF(J1830&lt;=0,1,0)</f>
        <v>0</v>
      </c>
      <c r="L1830" s="15" t="n">
        <f aca="false">IFERROR(G1830/F1830,0)</f>
        <v>1</v>
      </c>
      <c r="M1830" s="15" t="n">
        <f aca="false">IFERROR((I1830-H1830)/H1830,0)</f>
        <v>0.00286684918939839</v>
      </c>
      <c r="N1830" s="16" t="n">
        <f aca="false">G1830*I1830</f>
        <v>2798.52</v>
      </c>
    </row>
    <row r="1831" customFormat="false" ht="15" hidden="false" customHeight="true" outlineLevel="0" collapsed="false">
      <c r="A1831" s="4" t="s">
        <v>2007</v>
      </c>
      <c r="B1831" s="4" t="s">
        <v>93</v>
      </c>
      <c r="C1831" s="13" t="n">
        <v>45423</v>
      </c>
      <c r="D1831" s="13" t="n">
        <v>45435</v>
      </c>
      <c r="E1831" s="13" t="n">
        <v>45439</v>
      </c>
      <c r="F1831" s="4" t="n">
        <v>828</v>
      </c>
      <c r="G1831" s="4" t="n">
        <v>825</v>
      </c>
      <c r="H1831" s="4" t="n">
        <v>174.25</v>
      </c>
      <c r="I1831" s="4" t="n">
        <v>185.27</v>
      </c>
      <c r="J1831" s="14" t="n">
        <f aca="false">E1831-D1831</f>
        <v>4</v>
      </c>
      <c r="K1831" s="14" t="n">
        <f aca="false">IF(J1831&lt;=0,1,0)</f>
        <v>0</v>
      </c>
      <c r="L1831" s="15" t="n">
        <f aca="false">IFERROR(G1831/F1831,0)</f>
        <v>0.996376811594203</v>
      </c>
      <c r="M1831" s="15" t="n">
        <f aca="false">IFERROR((I1831-H1831)/H1831,0)</f>
        <v>0.0632424677187949</v>
      </c>
      <c r="N1831" s="16" t="n">
        <f aca="false">G1831*I1831</f>
        <v>152847.75</v>
      </c>
    </row>
    <row r="1832" customFormat="false" ht="15" hidden="false" customHeight="true" outlineLevel="0" collapsed="false">
      <c r="A1832" s="4" t="s">
        <v>2008</v>
      </c>
      <c r="B1832" s="4" t="s">
        <v>83</v>
      </c>
      <c r="C1832" s="13" t="n">
        <v>44999</v>
      </c>
      <c r="D1832" s="13" t="n">
        <v>45010</v>
      </c>
      <c r="E1832" s="13" t="n">
        <v>45015</v>
      </c>
      <c r="F1832" s="4" t="n">
        <v>1555</v>
      </c>
      <c r="G1832" s="4" t="n">
        <v>1543</v>
      </c>
      <c r="H1832" s="4" t="n">
        <v>101.36</v>
      </c>
      <c r="I1832" s="4" t="n">
        <v>102.46</v>
      </c>
      <c r="J1832" s="14" t="n">
        <f aca="false">E1832-D1832</f>
        <v>5</v>
      </c>
      <c r="K1832" s="14" t="n">
        <f aca="false">IF(J1832&lt;=0,1,0)</f>
        <v>0</v>
      </c>
      <c r="L1832" s="15" t="n">
        <f aca="false">IFERROR(G1832/F1832,0)</f>
        <v>0.992282958199357</v>
      </c>
      <c r="M1832" s="15" t="n">
        <f aca="false">IFERROR((I1832-H1832)/H1832,0)</f>
        <v>0.010852407261247</v>
      </c>
      <c r="N1832" s="16" t="n">
        <f aca="false">G1832*I1832</f>
        <v>158095.78</v>
      </c>
    </row>
    <row r="1833" customFormat="false" ht="15" hidden="false" customHeight="true" outlineLevel="0" collapsed="false">
      <c r="A1833" s="4" t="s">
        <v>2009</v>
      </c>
      <c r="B1833" s="4" t="s">
        <v>70</v>
      </c>
      <c r="C1833" s="13" t="n">
        <v>44932</v>
      </c>
      <c r="D1833" s="13" t="n">
        <v>44938</v>
      </c>
      <c r="E1833" s="13" t="n">
        <v>44943</v>
      </c>
      <c r="F1833" s="4" t="n">
        <v>1318</v>
      </c>
      <c r="G1833" s="4" t="n">
        <v>1175</v>
      </c>
      <c r="H1833" s="4" t="n">
        <v>35.88</v>
      </c>
      <c r="I1833" s="4" t="n">
        <v>36.02</v>
      </c>
      <c r="J1833" s="14" t="n">
        <f aca="false">E1833-D1833</f>
        <v>5</v>
      </c>
      <c r="K1833" s="14" t="n">
        <f aca="false">IF(J1833&lt;=0,1,0)</f>
        <v>0</v>
      </c>
      <c r="L1833" s="15" t="n">
        <f aca="false">IFERROR(G1833/F1833,0)</f>
        <v>0.891502276176024</v>
      </c>
      <c r="M1833" s="15" t="n">
        <f aca="false">IFERROR((I1833-H1833)/H1833,0)</f>
        <v>0.00390189520624305</v>
      </c>
      <c r="N1833" s="16" t="n">
        <f aca="false">G1833*I1833</f>
        <v>42323.5</v>
      </c>
    </row>
    <row r="1834" customFormat="false" ht="15" hidden="false" customHeight="true" outlineLevel="0" collapsed="false">
      <c r="A1834" s="4" t="s">
        <v>2010</v>
      </c>
      <c r="B1834" s="4" t="s">
        <v>121</v>
      </c>
      <c r="C1834" s="13" t="n">
        <v>45604</v>
      </c>
      <c r="D1834" s="13" t="n">
        <v>45614</v>
      </c>
      <c r="E1834" s="13" t="n">
        <v>45615</v>
      </c>
      <c r="F1834" s="4" t="n">
        <v>766</v>
      </c>
      <c r="G1834" s="4" t="n">
        <v>711</v>
      </c>
      <c r="H1834" s="4" t="n">
        <v>206.07</v>
      </c>
      <c r="I1834" s="4" t="n">
        <v>233.2</v>
      </c>
      <c r="J1834" s="14" t="n">
        <f aca="false">E1834-D1834</f>
        <v>1</v>
      </c>
      <c r="K1834" s="14" t="n">
        <f aca="false">IF(J1834&lt;=0,1,0)</f>
        <v>0</v>
      </c>
      <c r="L1834" s="15" t="n">
        <f aca="false">IFERROR(G1834/F1834,0)</f>
        <v>0.928198433420366</v>
      </c>
      <c r="M1834" s="15" t="n">
        <f aca="false">IFERROR((I1834-H1834)/H1834,0)</f>
        <v>0.131654292230795</v>
      </c>
      <c r="N1834" s="16" t="n">
        <f aca="false">G1834*I1834</f>
        <v>165805.2</v>
      </c>
    </row>
    <row r="1835" customFormat="false" ht="15" hidden="false" customHeight="true" outlineLevel="0" collapsed="false">
      <c r="A1835" s="4" t="s">
        <v>2011</v>
      </c>
      <c r="B1835" s="4" t="s">
        <v>163</v>
      </c>
      <c r="C1835" s="13" t="n">
        <v>45451</v>
      </c>
      <c r="D1835" s="13" t="n">
        <v>45471</v>
      </c>
      <c r="E1835" s="13" t="n">
        <v>45473</v>
      </c>
      <c r="F1835" s="4" t="n">
        <v>114</v>
      </c>
      <c r="G1835" s="4" t="n">
        <v>110</v>
      </c>
      <c r="H1835" s="4" t="n">
        <v>482.79</v>
      </c>
      <c r="I1835" s="4" t="n">
        <v>502.9</v>
      </c>
      <c r="J1835" s="14" t="n">
        <f aca="false">E1835-D1835</f>
        <v>2</v>
      </c>
      <c r="K1835" s="14" t="n">
        <f aca="false">IF(J1835&lt;=0,1,0)</f>
        <v>0</v>
      </c>
      <c r="L1835" s="15" t="n">
        <f aca="false">IFERROR(G1835/F1835,0)</f>
        <v>0.964912280701754</v>
      </c>
      <c r="M1835" s="15" t="n">
        <f aca="false">IFERROR((I1835-H1835)/H1835,0)</f>
        <v>0.0416537210795583</v>
      </c>
      <c r="N1835" s="16" t="n">
        <f aca="false">G1835*I1835</f>
        <v>55319</v>
      </c>
    </row>
    <row r="1836" customFormat="false" ht="15" hidden="false" customHeight="true" outlineLevel="0" collapsed="false">
      <c r="A1836" s="4" t="s">
        <v>2012</v>
      </c>
      <c r="B1836" s="4" t="s">
        <v>93</v>
      </c>
      <c r="C1836" s="13" t="n">
        <v>45467</v>
      </c>
      <c r="D1836" s="13" t="n">
        <v>45479</v>
      </c>
      <c r="E1836" s="13" t="n">
        <v>45485</v>
      </c>
      <c r="F1836" s="4" t="n">
        <v>1084</v>
      </c>
      <c r="G1836" s="4" t="n">
        <v>1060</v>
      </c>
      <c r="H1836" s="4" t="n">
        <v>174.25</v>
      </c>
      <c r="I1836" s="4" t="n">
        <v>183.84</v>
      </c>
      <c r="J1836" s="14" t="n">
        <f aca="false">E1836-D1836</f>
        <v>6</v>
      </c>
      <c r="K1836" s="14" t="n">
        <f aca="false">IF(J1836&lt;=0,1,0)</f>
        <v>0</v>
      </c>
      <c r="L1836" s="15" t="n">
        <f aca="false">IFERROR(G1836/F1836,0)</f>
        <v>0.977859778597786</v>
      </c>
      <c r="M1836" s="15" t="n">
        <f aca="false">IFERROR((I1836-H1836)/H1836,0)</f>
        <v>0.0550358680057389</v>
      </c>
      <c r="N1836" s="16" t="n">
        <f aca="false">G1836*I1836</f>
        <v>194870.4</v>
      </c>
    </row>
    <row r="1837" customFormat="false" ht="15" hidden="false" customHeight="true" outlineLevel="0" collapsed="false">
      <c r="A1837" s="4" t="s">
        <v>2013</v>
      </c>
      <c r="B1837" s="4" t="s">
        <v>32</v>
      </c>
      <c r="C1837" s="13" t="n">
        <v>45506</v>
      </c>
      <c r="D1837" s="13" t="n">
        <v>45512</v>
      </c>
      <c r="E1837" s="13" t="n">
        <v>45511</v>
      </c>
      <c r="F1837" s="4" t="n">
        <v>3810</v>
      </c>
      <c r="G1837" s="4" t="n">
        <v>3368</v>
      </c>
      <c r="H1837" s="4" t="n">
        <v>32.49</v>
      </c>
      <c r="I1837" s="4" t="n">
        <v>33.02</v>
      </c>
      <c r="J1837" s="14" t="n">
        <f aca="false">E1837-D1837</f>
        <v>-1</v>
      </c>
      <c r="K1837" s="14" t="n">
        <f aca="false">IF(J1837&lt;=0,1,0)</f>
        <v>1</v>
      </c>
      <c r="L1837" s="15" t="n">
        <f aca="false">IFERROR(G1837/F1837,0)</f>
        <v>0.883989501312336</v>
      </c>
      <c r="M1837" s="15" t="n">
        <f aca="false">IFERROR((I1837-H1837)/H1837,0)</f>
        <v>0.0163127116035704</v>
      </c>
      <c r="N1837" s="16" t="n">
        <f aca="false">G1837*I1837</f>
        <v>111211.36</v>
      </c>
    </row>
    <row r="1838" customFormat="false" ht="15" hidden="false" customHeight="true" outlineLevel="0" collapsed="false">
      <c r="A1838" s="4" t="s">
        <v>2014</v>
      </c>
      <c r="B1838" s="4" t="s">
        <v>135</v>
      </c>
      <c r="C1838" s="13" t="n">
        <v>45536</v>
      </c>
      <c r="D1838" s="13" t="n">
        <v>45547</v>
      </c>
      <c r="E1838" s="13" t="n">
        <v>45548</v>
      </c>
      <c r="F1838" s="4" t="n">
        <v>257</v>
      </c>
      <c r="G1838" s="4" t="n">
        <v>252</v>
      </c>
      <c r="H1838" s="4" t="n">
        <v>328.06</v>
      </c>
      <c r="I1838" s="4" t="n">
        <v>320.48</v>
      </c>
      <c r="J1838" s="14" t="n">
        <f aca="false">E1838-D1838</f>
        <v>1</v>
      </c>
      <c r="K1838" s="14" t="n">
        <f aca="false">IF(J1838&lt;=0,1,0)</f>
        <v>0</v>
      </c>
      <c r="L1838" s="15" t="n">
        <f aca="false">IFERROR(G1838/F1838,0)</f>
        <v>0.980544747081712</v>
      </c>
      <c r="M1838" s="15" t="n">
        <f aca="false">IFERROR((I1838-H1838)/H1838,0)</f>
        <v>-0.0231055294763153</v>
      </c>
      <c r="N1838" s="16" t="n">
        <f aca="false">G1838*I1838</f>
        <v>80760.96</v>
      </c>
    </row>
    <row r="1839" customFormat="false" ht="15" hidden="false" customHeight="true" outlineLevel="0" collapsed="false">
      <c r="A1839" s="4" t="s">
        <v>2015</v>
      </c>
      <c r="B1839" s="4" t="s">
        <v>111</v>
      </c>
      <c r="C1839" s="13" t="n">
        <v>44959</v>
      </c>
      <c r="D1839" s="13" t="n">
        <v>44970</v>
      </c>
      <c r="E1839" s="13" t="n">
        <v>44974</v>
      </c>
      <c r="F1839" s="4" t="n">
        <v>1910</v>
      </c>
      <c r="G1839" s="4" t="n">
        <v>1772</v>
      </c>
      <c r="H1839" s="4" t="n">
        <v>148.08</v>
      </c>
      <c r="I1839" s="4" t="n">
        <v>146.52</v>
      </c>
      <c r="J1839" s="14" t="n">
        <f aca="false">E1839-D1839</f>
        <v>4</v>
      </c>
      <c r="K1839" s="14" t="n">
        <f aca="false">IF(J1839&lt;=0,1,0)</f>
        <v>0</v>
      </c>
      <c r="L1839" s="15" t="n">
        <f aca="false">IFERROR(G1839/F1839,0)</f>
        <v>0.927748691099476</v>
      </c>
      <c r="M1839" s="15" t="n">
        <f aca="false">IFERROR((I1839-H1839)/H1839,0)</f>
        <v>-0.0105348460291734</v>
      </c>
      <c r="N1839" s="16" t="n">
        <f aca="false">G1839*I1839</f>
        <v>259633.44</v>
      </c>
    </row>
    <row r="1840" customFormat="false" ht="15" hidden="false" customHeight="true" outlineLevel="0" collapsed="false">
      <c r="A1840" s="4" t="s">
        <v>2016</v>
      </c>
      <c r="B1840" s="4" t="s">
        <v>99</v>
      </c>
      <c r="C1840" s="13" t="n">
        <v>44975</v>
      </c>
      <c r="D1840" s="13" t="n">
        <v>44984</v>
      </c>
      <c r="E1840" s="13" t="n">
        <v>44984</v>
      </c>
      <c r="F1840" s="4" t="n">
        <v>4272</v>
      </c>
      <c r="G1840" s="4" t="n">
        <v>3880</v>
      </c>
      <c r="H1840" s="4" t="n">
        <v>11.5</v>
      </c>
      <c r="I1840" s="4" t="n">
        <v>11.67</v>
      </c>
      <c r="J1840" s="14" t="n">
        <f aca="false">E1840-D1840</f>
        <v>0</v>
      </c>
      <c r="K1840" s="14" t="n">
        <f aca="false">IF(J1840&lt;=0,1,0)</f>
        <v>1</v>
      </c>
      <c r="L1840" s="15" t="n">
        <f aca="false">IFERROR(G1840/F1840,0)</f>
        <v>0.908239700374532</v>
      </c>
      <c r="M1840" s="15" t="n">
        <f aca="false">IFERROR((I1840-H1840)/H1840,0)</f>
        <v>0.0147826086956522</v>
      </c>
      <c r="N1840" s="16" t="n">
        <f aca="false">G1840*I1840</f>
        <v>45279.6</v>
      </c>
    </row>
    <row r="1841" customFormat="false" ht="15" hidden="false" customHeight="true" outlineLevel="0" collapsed="false">
      <c r="A1841" s="4" t="s">
        <v>2017</v>
      </c>
      <c r="B1841" s="4" t="s">
        <v>37</v>
      </c>
      <c r="C1841" s="13" t="n">
        <v>45536</v>
      </c>
      <c r="D1841" s="13" t="n">
        <v>45545</v>
      </c>
      <c r="E1841" s="13" t="n">
        <v>45547</v>
      </c>
      <c r="F1841" s="4" t="n">
        <v>4639</v>
      </c>
      <c r="G1841" s="4" t="n">
        <v>4581</v>
      </c>
      <c r="H1841" s="4" t="n">
        <v>22.26</v>
      </c>
      <c r="I1841" s="4" t="n">
        <v>21.08</v>
      </c>
      <c r="J1841" s="14" t="n">
        <f aca="false">E1841-D1841</f>
        <v>2</v>
      </c>
      <c r="K1841" s="14" t="n">
        <f aca="false">IF(J1841&lt;=0,1,0)</f>
        <v>0</v>
      </c>
      <c r="L1841" s="15" t="n">
        <f aca="false">IFERROR(G1841/F1841,0)</f>
        <v>0.987497305453762</v>
      </c>
      <c r="M1841" s="15" t="n">
        <f aca="false">IFERROR((I1841-H1841)/H1841,0)</f>
        <v>-0.0530098831985626</v>
      </c>
      <c r="N1841" s="16" t="n">
        <f aca="false">G1841*I1841</f>
        <v>96567.48</v>
      </c>
    </row>
    <row r="1842" customFormat="false" ht="15" hidden="false" customHeight="true" outlineLevel="0" collapsed="false">
      <c r="A1842" s="4" t="s">
        <v>2018</v>
      </c>
      <c r="B1842" s="4" t="s">
        <v>149</v>
      </c>
      <c r="C1842" s="13" t="n">
        <v>45124</v>
      </c>
      <c r="D1842" s="13" t="n">
        <v>45130</v>
      </c>
      <c r="E1842" s="13" t="n">
        <v>45134</v>
      </c>
      <c r="F1842" s="4" t="n">
        <v>9</v>
      </c>
      <c r="G1842" s="4" t="n">
        <v>9</v>
      </c>
      <c r="H1842" s="4" t="n">
        <v>1458.52</v>
      </c>
      <c r="I1842" s="4" t="n">
        <v>1451.57</v>
      </c>
      <c r="J1842" s="14" t="n">
        <f aca="false">E1842-D1842</f>
        <v>4</v>
      </c>
      <c r="K1842" s="14" t="n">
        <f aca="false">IF(J1842&lt;=0,1,0)</f>
        <v>0</v>
      </c>
      <c r="L1842" s="15" t="n">
        <f aca="false">IFERROR(G1842/F1842,0)</f>
        <v>1</v>
      </c>
      <c r="M1842" s="15" t="n">
        <f aca="false">IFERROR((I1842-H1842)/H1842,0)</f>
        <v>-0.00476510435235722</v>
      </c>
      <c r="N1842" s="16" t="n">
        <f aca="false">G1842*I1842</f>
        <v>13064.13</v>
      </c>
    </row>
    <row r="1843" customFormat="false" ht="15" hidden="false" customHeight="true" outlineLevel="0" collapsed="false">
      <c r="A1843" s="4" t="s">
        <v>2019</v>
      </c>
      <c r="B1843" s="4" t="s">
        <v>99</v>
      </c>
      <c r="C1843" s="13" t="n">
        <v>45061</v>
      </c>
      <c r="D1843" s="13" t="n">
        <v>45070</v>
      </c>
      <c r="E1843" s="13" t="n">
        <v>45074</v>
      </c>
      <c r="F1843" s="4" t="n">
        <v>4106</v>
      </c>
      <c r="G1843" s="4" t="n">
        <v>3820</v>
      </c>
      <c r="H1843" s="4" t="n">
        <v>11.5</v>
      </c>
      <c r="I1843" s="4" t="n">
        <v>11.67</v>
      </c>
      <c r="J1843" s="14" t="n">
        <f aca="false">E1843-D1843</f>
        <v>4</v>
      </c>
      <c r="K1843" s="14" t="n">
        <f aca="false">IF(J1843&lt;=0,1,0)</f>
        <v>0</v>
      </c>
      <c r="L1843" s="15" t="n">
        <f aca="false">IFERROR(G1843/F1843,0)</f>
        <v>0.930345835362884</v>
      </c>
      <c r="M1843" s="15" t="n">
        <f aca="false">IFERROR((I1843-H1843)/H1843,0)</f>
        <v>0.0147826086956522</v>
      </c>
      <c r="N1843" s="16" t="n">
        <f aca="false">G1843*I1843</f>
        <v>44579.4</v>
      </c>
    </row>
    <row r="1844" customFormat="false" ht="15" hidden="false" customHeight="true" outlineLevel="0" collapsed="false">
      <c r="A1844" s="4" t="s">
        <v>2020</v>
      </c>
      <c r="B1844" s="4" t="s">
        <v>101</v>
      </c>
      <c r="C1844" s="13" t="n">
        <v>45394</v>
      </c>
      <c r="D1844" s="13" t="n">
        <v>45413</v>
      </c>
      <c r="E1844" s="13" t="n">
        <v>45415</v>
      </c>
      <c r="F1844" s="4" t="n">
        <v>362</v>
      </c>
      <c r="G1844" s="4" t="n">
        <v>349</v>
      </c>
      <c r="H1844" s="4" t="n">
        <v>442.74</v>
      </c>
      <c r="I1844" s="4" t="n">
        <v>441.66</v>
      </c>
      <c r="J1844" s="14" t="n">
        <f aca="false">E1844-D1844</f>
        <v>2</v>
      </c>
      <c r="K1844" s="14" t="n">
        <f aca="false">IF(J1844&lt;=0,1,0)</f>
        <v>0</v>
      </c>
      <c r="L1844" s="15" t="n">
        <f aca="false">IFERROR(G1844/F1844,0)</f>
        <v>0.964088397790055</v>
      </c>
      <c r="M1844" s="15" t="n">
        <f aca="false">IFERROR((I1844-H1844)/H1844,0)</f>
        <v>-0.00243935492614172</v>
      </c>
      <c r="N1844" s="16" t="n">
        <f aca="false">G1844*I1844</f>
        <v>154139.34</v>
      </c>
    </row>
    <row r="1845" customFormat="false" ht="15" hidden="false" customHeight="true" outlineLevel="0" collapsed="false">
      <c r="A1845" s="4" t="s">
        <v>2021</v>
      </c>
      <c r="B1845" s="4" t="s">
        <v>141</v>
      </c>
      <c r="C1845" s="13" t="n">
        <v>45265</v>
      </c>
      <c r="D1845" s="13" t="n">
        <v>45284</v>
      </c>
      <c r="E1845" s="13" t="n">
        <v>45286</v>
      </c>
      <c r="F1845" s="4" t="n">
        <v>130</v>
      </c>
      <c r="G1845" s="4" t="n">
        <v>130</v>
      </c>
      <c r="H1845" s="4" t="n">
        <v>1252.36</v>
      </c>
      <c r="I1845" s="4" t="n">
        <v>1215.2</v>
      </c>
      <c r="J1845" s="14" t="n">
        <f aca="false">E1845-D1845</f>
        <v>2</v>
      </c>
      <c r="K1845" s="14" t="n">
        <f aca="false">IF(J1845&lt;=0,1,0)</f>
        <v>0</v>
      </c>
      <c r="L1845" s="15" t="n">
        <f aca="false">IFERROR(G1845/F1845,0)</f>
        <v>1</v>
      </c>
      <c r="M1845" s="15" t="n">
        <f aca="false">IFERROR((I1845-H1845)/H1845,0)</f>
        <v>-0.0296719793030757</v>
      </c>
      <c r="N1845" s="16" t="n">
        <f aca="false">G1845*I1845</f>
        <v>157976</v>
      </c>
    </row>
    <row r="1846" customFormat="false" ht="15" hidden="false" customHeight="true" outlineLevel="0" collapsed="false">
      <c r="A1846" s="4" t="s">
        <v>2022</v>
      </c>
      <c r="B1846" s="4" t="s">
        <v>109</v>
      </c>
      <c r="C1846" s="13" t="n">
        <v>45430</v>
      </c>
      <c r="D1846" s="13" t="n">
        <v>45447</v>
      </c>
      <c r="E1846" s="13" t="n">
        <v>45445</v>
      </c>
      <c r="F1846" s="4" t="n">
        <v>86</v>
      </c>
      <c r="G1846" s="4" t="n">
        <v>86</v>
      </c>
      <c r="H1846" s="4" t="n">
        <v>858.02</v>
      </c>
      <c r="I1846" s="4" t="n">
        <v>893.48</v>
      </c>
      <c r="J1846" s="14" t="n">
        <f aca="false">E1846-D1846</f>
        <v>-2</v>
      </c>
      <c r="K1846" s="14" t="n">
        <f aca="false">IF(J1846&lt;=0,1,0)</f>
        <v>1</v>
      </c>
      <c r="L1846" s="15" t="n">
        <f aca="false">IFERROR(G1846/F1846,0)</f>
        <v>1</v>
      </c>
      <c r="M1846" s="15" t="n">
        <f aca="false">IFERROR((I1846-H1846)/H1846,0)</f>
        <v>0.041327707978835</v>
      </c>
      <c r="N1846" s="16" t="n">
        <f aca="false">G1846*I1846</f>
        <v>76839.28</v>
      </c>
    </row>
    <row r="1847" customFormat="false" ht="15" hidden="false" customHeight="true" outlineLevel="0" collapsed="false">
      <c r="A1847" s="4" t="s">
        <v>2023</v>
      </c>
      <c r="B1847" s="4" t="s">
        <v>135</v>
      </c>
      <c r="C1847" s="13" t="n">
        <v>45459</v>
      </c>
      <c r="D1847" s="13" t="n">
        <v>45472</v>
      </c>
      <c r="E1847" s="13" t="n">
        <v>45472</v>
      </c>
      <c r="F1847" s="4" t="n">
        <v>94</v>
      </c>
      <c r="G1847" s="4" t="n">
        <v>91</v>
      </c>
      <c r="H1847" s="4" t="n">
        <v>328.06</v>
      </c>
      <c r="I1847" s="4" t="n">
        <v>321.74</v>
      </c>
      <c r="J1847" s="14" t="n">
        <f aca="false">E1847-D1847</f>
        <v>0</v>
      </c>
      <c r="K1847" s="14" t="n">
        <f aca="false">IF(J1847&lt;=0,1,0)</f>
        <v>1</v>
      </c>
      <c r="L1847" s="15" t="n">
        <f aca="false">IFERROR(G1847/F1847,0)</f>
        <v>0.968085106382979</v>
      </c>
      <c r="M1847" s="15" t="n">
        <f aca="false">IFERROR((I1847-H1847)/H1847,0)</f>
        <v>-0.0192647686398829</v>
      </c>
      <c r="N1847" s="16" t="n">
        <f aca="false">G1847*I1847</f>
        <v>29278.34</v>
      </c>
    </row>
    <row r="1848" customFormat="false" ht="15" hidden="false" customHeight="true" outlineLevel="0" collapsed="false">
      <c r="A1848" s="4" t="s">
        <v>2024</v>
      </c>
      <c r="B1848" s="4" t="s">
        <v>68</v>
      </c>
      <c r="C1848" s="13" t="n">
        <v>44983</v>
      </c>
      <c r="D1848" s="13" t="n">
        <v>45001</v>
      </c>
      <c r="E1848" s="13" t="n">
        <v>45002</v>
      </c>
      <c r="F1848" s="4" t="n">
        <v>495</v>
      </c>
      <c r="G1848" s="4" t="n">
        <v>449</v>
      </c>
      <c r="H1848" s="4" t="n">
        <v>1232.83</v>
      </c>
      <c r="I1848" s="4" t="n">
        <v>1251.7</v>
      </c>
      <c r="J1848" s="14" t="n">
        <f aca="false">E1848-D1848</f>
        <v>1</v>
      </c>
      <c r="K1848" s="14" t="n">
        <f aca="false">IF(J1848&lt;=0,1,0)</f>
        <v>0</v>
      </c>
      <c r="L1848" s="15" t="n">
        <f aca="false">IFERROR(G1848/F1848,0)</f>
        <v>0.907070707070707</v>
      </c>
      <c r="M1848" s="15" t="n">
        <f aca="false">IFERROR((I1848-H1848)/H1848,0)</f>
        <v>0.0153062466033436</v>
      </c>
      <c r="N1848" s="16" t="n">
        <f aca="false">G1848*I1848</f>
        <v>562013.3</v>
      </c>
    </row>
    <row r="1849" customFormat="false" ht="15" hidden="false" customHeight="true" outlineLevel="0" collapsed="false">
      <c r="A1849" s="4" t="s">
        <v>2025</v>
      </c>
      <c r="B1849" s="4" t="s">
        <v>74</v>
      </c>
      <c r="C1849" s="13" t="n">
        <v>45560</v>
      </c>
      <c r="D1849" s="13" t="n">
        <v>45564</v>
      </c>
      <c r="E1849" s="13" t="n">
        <v>45564</v>
      </c>
      <c r="F1849" s="4" t="n">
        <v>7</v>
      </c>
      <c r="G1849" s="4" t="n">
        <v>7</v>
      </c>
      <c r="H1849" s="4" t="n">
        <v>1294.62</v>
      </c>
      <c r="I1849" s="4" t="n">
        <v>1362.74</v>
      </c>
      <c r="J1849" s="14" t="n">
        <f aca="false">E1849-D1849</f>
        <v>0</v>
      </c>
      <c r="K1849" s="14" t="n">
        <f aca="false">IF(J1849&lt;=0,1,0)</f>
        <v>1</v>
      </c>
      <c r="L1849" s="15" t="n">
        <f aca="false">IFERROR(G1849/F1849,0)</f>
        <v>1</v>
      </c>
      <c r="M1849" s="15" t="n">
        <f aca="false">IFERROR((I1849-H1849)/H1849,0)</f>
        <v>0.0526177565617711</v>
      </c>
      <c r="N1849" s="16" t="n">
        <f aca="false">G1849*I1849</f>
        <v>9539.18</v>
      </c>
    </row>
    <row r="1850" customFormat="false" ht="15" hidden="false" customHeight="true" outlineLevel="0" collapsed="false">
      <c r="A1850" s="4" t="s">
        <v>2026</v>
      </c>
      <c r="B1850" s="4" t="s">
        <v>163</v>
      </c>
      <c r="C1850" s="13" t="n">
        <v>44946</v>
      </c>
      <c r="D1850" s="13" t="n">
        <v>44966</v>
      </c>
      <c r="E1850" s="13" t="n">
        <v>44957</v>
      </c>
      <c r="F1850" s="4" t="n">
        <v>439</v>
      </c>
      <c r="G1850" s="4" t="n">
        <v>439</v>
      </c>
      <c r="H1850" s="4" t="n">
        <v>482.79</v>
      </c>
      <c r="I1850" s="4" t="n">
        <v>481.89</v>
      </c>
      <c r="J1850" s="14" t="n">
        <f aca="false">E1850-D1850</f>
        <v>-9</v>
      </c>
      <c r="K1850" s="14" t="n">
        <f aca="false">IF(J1850&lt;=0,1,0)</f>
        <v>1</v>
      </c>
      <c r="L1850" s="15" t="n">
        <f aca="false">IFERROR(G1850/F1850,0)</f>
        <v>1</v>
      </c>
      <c r="M1850" s="15" t="n">
        <f aca="false">IFERROR((I1850-H1850)/H1850,0)</f>
        <v>-0.00186416454359045</v>
      </c>
      <c r="N1850" s="16" t="n">
        <f aca="false">G1850*I1850</f>
        <v>211549.71</v>
      </c>
    </row>
    <row r="1851" customFormat="false" ht="15" hidden="false" customHeight="true" outlineLevel="0" collapsed="false">
      <c r="A1851" s="4" t="s">
        <v>2027</v>
      </c>
      <c r="B1851" s="4" t="s">
        <v>77</v>
      </c>
      <c r="C1851" s="13" t="n">
        <v>45344</v>
      </c>
      <c r="D1851" s="13" t="n">
        <v>45351</v>
      </c>
      <c r="E1851" s="13" t="n">
        <v>45365</v>
      </c>
      <c r="F1851" s="4" t="n">
        <v>926</v>
      </c>
      <c r="G1851" s="4" t="n">
        <v>900</v>
      </c>
      <c r="H1851" s="4" t="n">
        <v>36.83</v>
      </c>
      <c r="I1851" s="4" t="n">
        <v>35.53</v>
      </c>
      <c r="J1851" s="14" t="n">
        <f aca="false">E1851-D1851</f>
        <v>14</v>
      </c>
      <c r="K1851" s="14" t="n">
        <f aca="false">IF(J1851&lt;=0,1,0)</f>
        <v>0</v>
      </c>
      <c r="L1851" s="15" t="n">
        <f aca="false">IFERROR(G1851/F1851,0)</f>
        <v>0.971922246220302</v>
      </c>
      <c r="M1851" s="15" t="n">
        <f aca="false">IFERROR((I1851-H1851)/H1851,0)</f>
        <v>-0.0352973119739342</v>
      </c>
      <c r="N1851" s="16" t="n">
        <f aca="false">G1851*I1851</f>
        <v>31977</v>
      </c>
    </row>
    <row r="1852" customFormat="false" ht="15" hidden="false" customHeight="true" outlineLevel="0" collapsed="false">
      <c r="A1852" s="4" t="s">
        <v>2028</v>
      </c>
      <c r="B1852" s="4" t="s">
        <v>52</v>
      </c>
      <c r="C1852" s="13" t="n">
        <v>45371</v>
      </c>
      <c r="D1852" s="13" t="n">
        <v>45380</v>
      </c>
      <c r="E1852" s="13" t="n">
        <v>45385</v>
      </c>
      <c r="F1852" s="4" t="n">
        <v>689</v>
      </c>
      <c r="G1852" s="4" t="n">
        <v>612</v>
      </c>
      <c r="H1852" s="4" t="n">
        <v>170.24</v>
      </c>
      <c r="I1852" s="4" t="n">
        <v>176.29</v>
      </c>
      <c r="J1852" s="14" t="n">
        <f aca="false">E1852-D1852</f>
        <v>5</v>
      </c>
      <c r="K1852" s="14" t="n">
        <f aca="false">IF(J1852&lt;=0,1,0)</f>
        <v>0</v>
      </c>
      <c r="L1852" s="15" t="n">
        <f aca="false">IFERROR(G1852/F1852,0)</f>
        <v>0.888243831640058</v>
      </c>
      <c r="M1852" s="15" t="n">
        <f aca="false">IFERROR((I1852-H1852)/H1852,0)</f>
        <v>0.0355380639097743</v>
      </c>
      <c r="N1852" s="16" t="n">
        <f aca="false">G1852*I1852</f>
        <v>107889.48</v>
      </c>
    </row>
    <row r="1853" customFormat="false" ht="15" hidden="false" customHeight="true" outlineLevel="0" collapsed="false">
      <c r="A1853" s="4" t="s">
        <v>2029</v>
      </c>
      <c r="B1853" s="4" t="s">
        <v>127</v>
      </c>
      <c r="C1853" s="13" t="n">
        <v>45252</v>
      </c>
      <c r="D1853" s="13" t="n">
        <v>45256</v>
      </c>
      <c r="E1853" s="13" t="n">
        <v>45257</v>
      </c>
      <c r="F1853" s="4" t="n">
        <v>15</v>
      </c>
      <c r="G1853" s="4" t="n">
        <v>15</v>
      </c>
      <c r="H1853" s="4" t="n">
        <v>1881</v>
      </c>
      <c r="I1853" s="4" t="n">
        <v>1818.82</v>
      </c>
      <c r="J1853" s="14" t="n">
        <f aca="false">E1853-D1853</f>
        <v>1</v>
      </c>
      <c r="K1853" s="14" t="n">
        <f aca="false">IF(J1853&lt;=0,1,0)</f>
        <v>0</v>
      </c>
      <c r="L1853" s="15" t="n">
        <f aca="false">IFERROR(G1853/F1853,0)</f>
        <v>1</v>
      </c>
      <c r="M1853" s="15" t="n">
        <f aca="false">IFERROR((I1853-H1853)/H1853,0)</f>
        <v>-0.033056884635832</v>
      </c>
      <c r="N1853" s="16" t="n">
        <f aca="false">G1853*I1853</f>
        <v>27282.3</v>
      </c>
    </row>
    <row r="1854" customFormat="false" ht="15" hidden="false" customHeight="true" outlineLevel="0" collapsed="false">
      <c r="A1854" s="4" t="s">
        <v>2030</v>
      </c>
      <c r="B1854" s="4" t="s">
        <v>113</v>
      </c>
      <c r="C1854" s="13" t="n">
        <v>45405</v>
      </c>
      <c r="D1854" s="13" t="n">
        <v>45417</v>
      </c>
      <c r="E1854" s="13" t="n">
        <v>45419</v>
      </c>
      <c r="F1854" s="4" t="n">
        <v>930</v>
      </c>
      <c r="G1854" s="4" t="n">
        <v>917</v>
      </c>
      <c r="H1854" s="4" t="n">
        <v>170.42</v>
      </c>
      <c r="I1854" s="4" t="n">
        <v>174.7</v>
      </c>
      <c r="J1854" s="14" t="n">
        <f aca="false">E1854-D1854</f>
        <v>2</v>
      </c>
      <c r="K1854" s="14" t="n">
        <f aca="false">IF(J1854&lt;=0,1,0)</f>
        <v>0</v>
      </c>
      <c r="L1854" s="15" t="n">
        <f aca="false">IFERROR(G1854/F1854,0)</f>
        <v>0.986021505376344</v>
      </c>
      <c r="M1854" s="15" t="n">
        <f aca="false">IFERROR((I1854-H1854)/H1854,0)</f>
        <v>0.0251144231897665</v>
      </c>
      <c r="N1854" s="16" t="n">
        <f aca="false">G1854*I1854</f>
        <v>160199.9</v>
      </c>
    </row>
    <row r="1855" customFormat="false" ht="15" hidden="false" customHeight="true" outlineLevel="0" collapsed="false">
      <c r="A1855" s="4" t="s">
        <v>2031</v>
      </c>
      <c r="B1855" s="4" t="s">
        <v>97</v>
      </c>
      <c r="C1855" s="13" t="n">
        <v>45116</v>
      </c>
      <c r="D1855" s="13" t="n">
        <v>45127</v>
      </c>
      <c r="E1855" s="13" t="n">
        <v>45134</v>
      </c>
      <c r="F1855" s="4" t="n">
        <v>1055</v>
      </c>
      <c r="G1855" s="4" t="n">
        <v>1033</v>
      </c>
      <c r="H1855" s="4" t="n">
        <v>123.04</v>
      </c>
      <c r="I1855" s="4" t="n">
        <v>123.98</v>
      </c>
      <c r="J1855" s="14" t="n">
        <f aca="false">E1855-D1855</f>
        <v>7</v>
      </c>
      <c r="K1855" s="14" t="n">
        <f aca="false">IF(J1855&lt;=0,1,0)</f>
        <v>0</v>
      </c>
      <c r="L1855" s="15" t="n">
        <f aca="false">IFERROR(G1855/F1855,0)</f>
        <v>0.97914691943128</v>
      </c>
      <c r="M1855" s="15" t="n">
        <f aca="false">IFERROR((I1855-H1855)/H1855,0)</f>
        <v>0.00763979193758126</v>
      </c>
      <c r="N1855" s="16" t="n">
        <f aca="false">G1855*I1855</f>
        <v>128071.34</v>
      </c>
    </row>
    <row r="1856" customFormat="false" ht="15" hidden="false" customHeight="true" outlineLevel="0" collapsed="false">
      <c r="A1856" s="4" t="s">
        <v>2032</v>
      </c>
      <c r="B1856" s="4" t="s">
        <v>115</v>
      </c>
      <c r="C1856" s="13" t="n">
        <v>45232</v>
      </c>
      <c r="D1856" s="13" t="n">
        <v>45245</v>
      </c>
      <c r="E1856" s="13" t="n">
        <v>45251</v>
      </c>
      <c r="F1856" s="4" t="n">
        <v>243</v>
      </c>
      <c r="G1856" s="4" t="n">
        <v>219</v>
      </c>
      <c r="H1856" s="4" t="n">
        <v>115.53</v>
      </c>
      <c r="I1856" s="4" t="n">
        <v>121.93</v>
      </c>
      <c r="J1856" s="14" t="n">
        <f aca="false">E1856-D1856</f>
        <v>6</v>
      </c>
      <c r="K1856" s="14" t="n">
        <f aca="false">IF(J1856&lt;=0,1,0)</f>
        <v>0</v>
      </c>
      <c r="L1856" s="15" t="n">
        <f aca="false">IFERROR(G1856/F1856,0)</f>
        <v>0.901234567901235</v>
      </c>
      <c r="M1856" s="15" t="n">
        <f aca="false">IFERROR((I1856-H1856)/H1856,0)</f>
        <v>0.0553968666147322</v>
      </c>
      <c r="N1856" s="16" t="n">
        <f aca="false">G1856*I1856</f>
        <v>26702.67</v>
      </c>
    </row>
    <row r="1857" customFormat="false" ht="15" hidden="false" customHeight="true" outlineLevel="0" collapsed="false">
      <c r="A1857" s="4" t="s">
        <v>2033</v>
      </c>
      <c r="B1857" s="4" t="s">
        <v>93</v>
      </c>
      <c r="C1857" s="13" t="n">
        <v>44929</v>
      </c>
      <c r="D1857" s="13" t="n">
        <v>44939</v>
      </c>
      <c r="E1857" s="13" t="n">
        <v>44938</v>
      </c>
      <c r="F1857" s="4" t="n">
        <v>236</v>
      </c>
      <c r="G1857" s="4" t="n">
        <v>236</v>
      </c>
      <c r="H1857" s="4" t="n">
        <v>174.25</v>
      </c>
      <c r="I1857" s="4" t="n">
        <v>171.67</v>
      </c>
      <c r="J1857" s="14" t="n">
        <f aca="false">E1857-D1857</f>
        <v>-1</v>
      </c>
      <c r="K1857" s="14" t="n">
        <f aca="false">IF(J1857&lt;=0,1,0)</f>
        <v>1</v>
      </c>
      <c r="L1857" s="15" t="n">
        <f aca="false">IFERROR(G1857/F1857,0)</f>
        <v>1</v>
      </c>
      <c r="M1857" s="15" t="n">
        <f aca="false">IFERROR((I1857-H1857)/H1857,0)</f>
        <v>-0.0148063127690101</v>
      </c>
      <c r="N1857" s="16" t="n">
        <f aca="false">G1857*I1857</f>
        <v>40514.12</v>
      </c>
    </row>
    <row r="1858" customFormat="false" ht="15" hidden="false" customHeight="true" outlineLevel="0" collapsed="false">
      <c r="A1858" s="4" t="s">
        <v>2034</v>
      </c>
      <c r="B1858" s="4" t="s">
        <v>107</v>
      </c>
      <c r="C1858" s="13" t="n">
        <v>45033</v>
      </c>
      <c r="D1858" s="13" t="n">
        <v>45039</v>
      </c>
      <c r="E1858" s="13" t="n">
        <v>45047</v>
      </c>
      <c r="F1858" s="4" t="n">
        <v>2197</v>
      </c>
      <c r="G1858" s="4" t="n">
        <v>2157</v>
      </c>
      <c r="H1858" s="4" t="n">
        <v>40.41</v>
      </c>
      <c r="I1858" s="4" t="n">
        <v>40.58</v>
      </c>
      <c r="J1858" s="14" t="n">
        <f aca="false">E1858-D1858</f>
        <v>8</v>
      </c>
      <c r="K1858" s="14" t="n">
        <f aca="false">IF(J1858&lt;=0,1,0)</f>
        <v>0</v>
      </c>
      <c r="L1858" s="15" t="n">
        <f aca="false">IFERROR(G1858/F1858,0)</f>
        <v>0.98179335457442</v>
      </c>
      <c r="M1858" s="15" t="n">
        <f aca="false">IFERROR((I1858-H1858)/H1858,0)</f>
        <v>0.00420687948527596</v>
      </c>
      <c r="N1858" s="16" t="n">
        <f aca="false">G1858*I1858</f>
        <v>87531.06</v>
      </c>
    </row>
    <row r="1859" customFormat="false" ht="15" hidden="false" customHeight="true" outlineLevel="0" collapsed="false">
      <c r="A1859" s="4" t="s">
        <v>2035</v>
      </c>
      <c r="B1859" s="4" t="s">
        <v>95</v>
      </c>
      <c r="C1859" s="13" t="n">
        <v>45526</v>
      </c>
      <c r="D1859" s="13" t="n">
        <v>45532</v>
      </c>
      <c r="E1859" s="13" t="n">
        <v>45531</v>
      </c>
      <c r="F1859" s="4" t="n">
        <v>2699</v>
      </c>
      <c r="G1859" s="4" t="n">
        <v>2699</v>
      </c>
      <c r="H1859" s="4" t="n">
        <v>20.39</v>
      </c>
      <c r="I1859" s="4" t="n">
        <v>21.11</v>
      </c>
      <c r="J1859" s="14" t="n">
        <f aca="false">E1859-D1859</f>
        <v>-1</v>
      </c>
      <c r="K1859" s="14" t="n">
        <f aca="false">IF(J1859&lt;=0,1,0)</f>
        <v>1</v>
      </c>
      <c r="L1859" s="15" t="n">
        <f aca="false">IFERROR(G1859/F1859,0)</f>
        <v>1</v>
      </c>
      <c r="M1859" s="15" t="n">
        <f aca="false">IFERROR((I1859-H1859)/H1859,0)</f>
        <v>0.0353114271701814</v>
      </c>
      <c r="N1859" s="16" t="n">
        <f aca="false">G1859*I1859</f>
        <v>56975.89</v>
      </c>
    </row>
    <row r="1860" customFormat="false" ht="15" hidden="false" customHeight="true" outlineLevel="0" collapsed="false">
      <c r="A1860" s="4" t="s">
        <v>2036</v>
      </c>
      <c r="B1860" s="4" t="s">
        <v>81</v>
      </c>
      <c r="C1860" s="13" t="n">
        <v>44977</v>
      </c>
      <c r="D1860" s="13" t="n">
        <v>44983</v>
      </c>
      <c r="E1860" s="13" t="n">
        <v>44982</v>
      </c>
      <c r="F1860" s="4" t="n">
        <v>10</v>
      </c>
      <c r="G1860" s="4" t="n">
        <v>10</v>
      </c>
      <c r="H1860" s="4" t="n">
        <v>697.63</v>
      </c>
      <c r="I1860" s="4" t="n">
        <v>690.44</v>
      </c>
      <c r="J1860" s="14" t="n">
        <f aca="false">E1860-D1860</f>
        <v>-1</v>
      </c>
      <c r="K1860" s="14" t="n">
        <f aca="false">IF(J1860&lt;=0,1,0)</f>
        <v>1</v>
      </c>
      <c r="L1860" s="15" t="n">
        <f aca="false">IFERROR(G1860/F1860,0)</f>
        <v>1</v>
      </c>
      <c r="M1860" s="15" t="n">
        <f aca="false">IFERROR((I1860-H1860)/H1860,0)</f>
        <v>-0.0103063228358871</v>
      </c>
      <c r="N1860" s="16" t="n">
        <f aca="false">G1860*I1860</f>
        <v>6904.4</v>
      </c>
    </row>
    <row r="1861" customFormat="false" ht="15" hidden="false" customHeight="true" outlineLevel="0" collapsed="false">
      <c r="A1861" s="4" t="s">
        <v>2037</v>
      </c>
      <c r="B1861" s="4" t="s">
        <v>70</v>
      </c>
      <c r="C1861" s="13" t="n">
        <v>44943</v>
      </c>
      <c r="D1861" s="13" t="n">
        <v>44949</v>
      </c>
      <c r="E1861" s="13" t="n">
        <v>44954</v>
      </c>
      <c r="F1861" s="4" t="n">
        <v>4020</v>
      </c>
      <c r="G1861" s="4" t="n">
        <v>3637</v>
      </c>
      <c r="H1861" s="4" t="n">
        <v>35.88</v>
      </c>
      <c r="I1861" s="4" t="n">
        <v>36.53</v>
      </c>
      <c r="J1861" s="14" t="n">
        <f aca="false">E1861-D1861</f>
        <v>5</v>
      </c>
      <c r="K1861" s="14" t="n">
        <f aca="false">IF(J1861&lt;=0,1,0)</f>
        <v>0</v>
      </c>
      <c r="L1861" s="15" t="n">
        <f aca="false">IFERROR(G1861/F1861,0)</f>
        <v>0.904726368159204</v>
      </c>
      <c r="M1861" s="15" t="n">
        <f aca="false">IFERROR((I1861-H1861)/H1861,0)</f>
        <v>0.0181159420289855</v>
      </c>
      <c r="N1861" s="16" t="n">
        <f aca="false">G1861*I1861</f>
        <v>132859.61</v>
      </c>
    </row>
    <row r="1862" customFormat="false" ht="15" hidden="false" customHeight="true" outlineLevel="0" collapsed="false">
      <c r="A1862" s="4" t="s">
        <v>2038</v>
      </c>
      <c r="B1862" s="4" t="s">
        <v>85</v>
      </c>
      <c r="C1862" s="13" t="n">
        <v>45236</v>
      </c>
      <c r="D1862" s="13" t="n">
        <v>45245</v>
      </c>
      <c r="E1862" s="13" t="n">
        <v>45246</v>
      </c>
      <c r="F1862" s="4" t="n">
        <v>383</v>
      </c>
      <c r="G1862" s="4" t="n">
        <v>350</v>
      </c>
      <c r="H1862" s="4" t="n">
        <v>241.88</v>
      </c>
      <c r="I1862" s="4" t="n">
        <v>242.18</v>
      </c>
      <c r="J1862" s="14" t="n">
        <f aca="false">E1862-D1862</f>
        <v>1</v>
      </c>
      <c r="K1862" s="14" t="n">
        <f aca="false">IF(J1862&lt;=0,1,0)</f>
        <v>0</v>
      </c>
      <c r="L1862" s="15" t="n">
        <f aca="false">IFERROR(G1862/F1862,0)</f>
        <v>0.913838120104439</v>
      </c>
      <c r="M1862" s="15" t="n">
        <f aca="false">IFERROR((I1862-H1862)/H1862,0)</f>
        <v>0.00124028443856462</v>
      </c>
      <c r="N1862" s="16" t="n">
        <f aca="false">G1862*I1862</f>
        <v>84763</v>
      </c>
    </row>
    <row r="1863" customFormat="false" ht="15" hidden="false" customHeight="true" outlineLevel="0" collapsed="false">
      <c r="A1863" s="4" t="s">
        <v>2039</v>
      </c>
      <c r="B1863" s="4" t="s">
        <v>141</v>
      </c>
      <c r="C1863" s="13" t="n">
        <v>45188</v>
      </c>
      <c r="D1863" s="13" t="n">
        <v>45207</v>
      </c>
      <c r="E1863" s="13" t="n">
        <v>45208</v>
      </c>
      <c r="F1863" s="4" t="n">
        <v>102</v>
      </c>
      <c r="G1863" s="4" t="n">
        <v>100</v>
      </c>
      <c r="H1863" s="4" t="n">
        <v>1252.36</v>
      </c>
      <c r="I1863" s="4" t="n">
        <v>1230.12</v>
      </c>
      <c r="J1863" s="14" t="n">
        <f aca="false">E1863-D1863</f>
        <v>1</v>
      </c>
      <c r="K1863" s="14" t="n">
        <f aca="false">IF(J1863&lt;=0,1,0)</f>
        <v>0</v>
      </c>
      <c r="L1863" s="15" t="n">
        <f aca="false">IFERROR(G1863/F1863,0)</f>
        <v>0.980392156862745</v>
      </c>
      <c r="M1863" s="15" t="n">
        <f aca="false">IFERROR((I1863-H1863)/H1863,0)</f>
        <v>-0.0177584720048548</v>
      </c>
      <c r="N1863" s="16" t="n">
        <f aca="false">G1863*I1863</f>
        <v>123012</v>
      </c>
    </row>
    <row r="1864" customFormat="false" ht="15" hidden="false" customHeight="true" outlineLevel="0" collapsed="false">
      <c r="A1864" s="4" t="s">
        <v>2040</v>
      </c>
      <c r="B1864" s="4" t="s">
        <v>61</v>
      </c>
      <c r="C1864" s="13" t="n">
        <v>45596</v>
      </c>
      <c r="D1864" s="13" t="n">
        <v>45606</v>
      </c>
      <c r="E1864" s="13" t="n">
        <v>45609</v>
      </c>
      <c r="F1864" s="4" t="n">
        <v>253</v>
      </c>
      <c r="G1864" s="4" t="n">
        <v>250</v>
      </c>
      <c r="H1864" s="4" t="n">
        <v>107.41</v>
      </c>
      <c r="I1864" s="4" t="n">
        <v>107.53</v>
      </c>
      <c r="J1864" s="14" t="n">
        <f aca="false">E1864-D1864</f>
        <v>3</v>
      </c>
      <c r="K1864" s="14" t="n">
        <f aca="false">IF(J1864&lt;=0,1,0)</f>
        <v>0</v>
      </c>
      <c r="L1864" s="15" t="n">
        <f aca="false">IFERROR(G1864/F1864,0)</f>
        <v>0.988142292490119</v>
      </c>
      <c r="M1864" s="15" t="n">
        <f aca="false">IFERROR((I1864-H1864)/H1864,0)</f>
        <v>0.00111721441206596</v>
      </c>
      <c r="N1864" s="16" t="n">
        <f aca="false">G1864*I1864</f>
        <v>26882.5</v>
      </c>
    </row>
    <row r="1865" customFormat="false" ht="15" hidden="false" customHeight="true" outlineLevel="0" collapsed="false">
      <c r="A1865" s="4" t="s">
        <v>2041</v>
      </c>
      <c r="B1865" s="4" t="s">
        <v>105</v>
      </c>
      <c r="C1865" s="13" t="n">
        <v>45578</v>
      </c>
      <c r="D1865" s="13" t="n">
        <v>45597</v>
      </c>
      <c r="E1865" s="13" t="n">
        <v>45597</v>
      </c>
      <c r="F1865" s="4" t="n">
        <v>219</v>
      </c>
      <c r="G1865" s="4" t="n">
        <v>207</v>
      </c>
      <c r="H1865" s="4" t="n">
        <v>685.84</v>
      </c>
      <c r="I1865" s="4" t="n">
        <v>727.31</v>
      </c>
      <c r="J1865" s="14" t="n">
        <f aca="false">E1865-D1865</f>
        <v>0</v>
      </c>
      <c r="K1865" s="14" t="n">
        <f aca="false">IF(J1865&lt;=0,1,0)</f>
        <v>1</v>
      </c>
      <c r="L1865" s="15" t="n">
        <f aca="false">IFERROR(G1865/F1865,0)</f>
        <v>0.945205479452055</v>
      </c>
      <c r="M1865" s="15" t="n">
        <f aca="false">IFERROR((I1865-H1865)/H1865,0)</f>
        <v>0.0604659979003848</v>
      </c>
      <c r="N1865" s="16" t="n">
        <f aca="false">G1865*I1865</f>
        <v>150553.17</v>
      </c>
    </row>
    <row r="1866" customFormat="false" ht="15" hidden="false" customHeight="true" outlineLevel="0" collapsed="false">
      <c r="A1866" s="4" t="s">
        <v>2042</v>
      </c>
      <c r="B1866" s="4" t="s">
        <v>68</v>
      </c>
      <c r="C1866" s="13" t="n">
        <v>45422</v>
      </c>
      <c r="D1866" s="13" t="n">
        <v>45439</v>
      </c>
      <c r="E1866" s="13" t="n">
        <v>45438</v>
      </c>
      <c r="F1866" s="4" t="n">
        <v>93</v>
      </c>
      <c r="G1866" s="4" t="n">
        <v>86</v>
      </c>
      <c r="H1866" s="4" t="n">
        <v>1232.83</v>
      </c>
      <c r="I1866" s="4" t="n">
        <v>1225.06</v>
      </c>
      <c r="J1866" s="14" t="n">
        <f aca="false">E1866-D1866</f>
        <v>-1</v>
      </c>
      <c r="K1866" s="14" t="n">
        <f aca="false">IF(J1866&lt;=0,1,0)</f>
        <v>1</v>
      </c>
      <c r="L1866" s="15" t="n">
        <f aca="false">IFERROR(G1866/F1866,0)</f>
        <v>0.924731182795699</v>
      </c>
      <c r="M1866" s="15" t="n">
        <f aca="false">IFERROR((I1866-H1866)/H1866,0)</f>
        <v>-0.0063025721307885</v>
      </c>
      <c r="N1866" s="16" t="n">
        <f aca="false">G1866*I1866</f>
        <v>105355.16</v>
      </c>
    </row>
    <row r="1867" customFormat="false" ht="15" hidden="false" customHeight="true" outlineLevel="0" collapsed="false">
      <c r="A1867" s="4" t="s">
        <v>2043</v>
      </c>
      <c r="B1867" s="4" t="s">
        <v>47</v>
      </c>
      <c r="C1867" s="13" t="n">
        <v>45233</v>
      </c>
      <c r="D1867" s="13" t="n">
        <v>45243</v>
      </c>
      <c r="E1867" s="13" t="n">
        <v>45239</v>
      </c>
      <c r="F1867" s="4" t="n">
        <v>561</v>
      </c>
      <c r="G1867" s="4" t="n">
        <v>550</v>
      </c>
      <c r="H1867" s="4" t="n">
        <v>228.68</v>
      </c>
      <c r="I1867" s="4" t="n">
        <v>229.89</v>
      </c>
      <c r="J1867" s="14" t="n">
        <f aca="false">E1867-D1867</f>
        <v>-4</v>
      </c>
      <c r="K1867" s="14" t="n">
        <f aca="false">IF(J1867&lt;=0,1,0)</f>
        <v>1</v>
      </c>
      <c r="L1867" s="15" t="n">
        <f aca="false">IFERROR(G1867/F1867,0)</f>
        <v>0.980392156862745</v>
      </c>
      <c r="M1867" s="15" t="n">
        <f aca="false">IFERROR((I1867-H1867)/H1867,0)</f>
        <v>0.00529123666258518</v>
      </c>
      <c r="N1867" s="16" t="n">
        <f aca="false">G1867*I1867</f>
        <v>126439.5</v>
      </c>
    </row>
    <row r="1868" customFormat="false" ht="15" hidden="false" customHeight="true" outlineLevel="0" collapsed="false">
      <c r="A1868" s="4" t="s">
        <v>2044</v>
      </c>
      <c r="B1868" s="4" t="s">
        <v>133</v>
      </c>
      <c r="C1868" s="13" t="n">
        <v>45287</v>
      </c>
      <c r="D1868" s="13" t="n">
        <v>45297</v>
      </c>
      <c r="E1868" s="13" t="n">
        <v>45299</v>
      </c>
      <c r="F1868" s="4" t="n">
        <v>1556</v>
      </c>
      <c r="G1868" s="4" t="n">
        <v>1467</v>
      </c>
      <c r="H1868" s="4" t="n">
        <v>138.21</v>
      </c>
      <c r="I1868" s="4" t="n">
        <v>140.3</v>
      </c>
      <c r="J1868" s="14" t="n">
        <f aca="false">E1868-D1868</f>
        <v>2</v>
      </c>
      <c r="K1868" s="14" t="n">
        <f aca="false">IF(J1868&lt;=0,1,0)</f>
        <v>0</v>
      </c>
      <c r="L1868" s="15" t="n">
        <f aca="false">IFERROR(G1868/F1868,0)</f>
        <v>0.94280205655527</v>
      </c>
      <c r="M1868" s="15" t="n">
        <f aca="false">IFERROR((I1868-H1868)/H1868,0)</f>
        <v>0.0151219159250416</v>
      </c>
      <c r="N1868" s="16" t="n">
        <f aca="false">G1868*I1868</f>
        <v>205820.1</v>
      </c>
    </row>
    <row r="1869" customFormat="false" ht="15" hidden="false" customHeight="true" outlineLevel="0" collapsed="false">
      <c r="A1869" s="4" t="s">
        <v>2045</v>
      </c>
      <c r="B1869" s="4" t="s">
        <v>147</v>
      </c>
      <c r="C1869" s="13" t="n">
        <v>45122</v>
      </c>
      <c r="D1869" s="13" t="n">
        <v>45134</v>
      </c>
      <c r="E1869" s="13" t="n">
        <v>45133</v>
      </c>
      <c r="F1869" s="4" t="n">
        <v>44</v>
      </c>
      <c r="G1869" s="4" t="n">
        <v>44</v>
      </c>
      <c r="H1869" s="4" t="n">
        <v>203.3</v>
      </c>
      <c r="I1869" s="4" t="n">
        <v>203.41</v>
      </c>
      <c r="J1869" s="14" t="n">
        <f aca="false">E1869-D1869</f>
        <v>-1</v>
      </c>
      <c r="K1869" s="14" t="n">
        <f aca="false">IF(J1869&lt;=0,1,0)</f>
        <v>1</v>
      </c>
      <c r="L1869" s="15" t="n">
        <f aca="false">IFERROR(G1869/F1869,0)</f>
        <v>1</v>
      </c>
      <c r="M1869" s="15" t="n">
        <f aca="false">IFERROR((I1869-H1869)/H1869,0)</f>
        <v>0.000541072306935491</v>
      </c>
      <c r="N1869" s="16" t="n">
        <f aca="false">G1869*I1869</f>
        <v>8950.04</v>
      </c>
    </row>
    <row r="1870" customFormat="false" ht="15" hidden="false" customHeight="true" outlineLevel="0" collapsed="false">
      <c r="A1870" s="4" t="s">
        <v>2046</v>
      </c>
      <c r="B1870" s="4" t="s">
        <v>97</v>
      </c>
      <c r="C1870" s="13" t="n">
        <v>45101</v>
      </c>
      <c r="D1870" s="13" t="n">
        <v>45112</v>
      </c>
      <c r="E1870" s="13" t="n">
        <v>45118</v>
      </c>
      <c r="F1870" s="4" t="n">
        <v>1883</v>
      </c>
      <c r="G1870" s="4" t="n">
        <v>1841</v>
      </c>
      <c r="H1870" s="4" t="n">
        <v>123.04</v>
      </c>
      <c r="I1870" s="4" t="n">
        <v>119.59</v>
      </c>
      <c r="J1870" s="14" t="n">
        <f aca="false">E1870-D1870</f>
        <v>6</v>
      </c>
      <c r="K1870" s="14" t="n">
        <f aca="false">IF(J1870&lt;=0,1,0)</f>
        <v>0</v>
      </c>
      <c r="L1870" s="15" t="n">
        <f aca="false">IFERROR(G1870/F1870,0)</f>
        <v>0.977695167286245</v>
      </c>
      <c r="M1870" s="15" t="n">
        <f aca="false">IFERROR((I1870-H1870)/H1870,0)</f>
        <v>-0.0280396618985696</v>
      </c>
      <c r="N1870" s="16" t="n">
        <f aca="false">G1870*I1870</f>
        <v>220165.19</v>
      </c>
    </row>
    <row r="1871" customFormat="false" ht="15" hidden="false" customHeight="true" outlineLevel="0" collapsed="false">
      <c r="A1871" s="4" t="s">
        <v>2047</v>
      </c>
      <c r="B1871" s="4" t="s">
        <v>139</v>
      </c>
      <c r="C1871" s="13" t="n">
        <v>44932</v>
      </c>
      <c r="D1871" s="13" t="n">
        <v>44942</v>
      </c>
      <c r="E1871" s="13" t="n">
        <v>44938</v>
      </c>
      <c r="F1871" s="4" t="n">
        <v>1359</v>
      </c>
      <c r="G1871" s="4" t="n">
        <v>1189</v>
      </c>
      <c r="H1871" s="4" t="n">
        <v>207.64</v>
      </c>
      <c r="I1871" s="4" t="n">
        <v>207.03</v>
      </c>
      <c r="J1871" s="14" t="n">
        <f aca="false">E1871-D1871</f>
        <v>-4</v>
      </c>
      <c r="K1871" s="14" t="n">
        <f aca="false">IF(J1871&lt;=0,1,0)</f>
        <v>1</v>
      </c>
      <c r="L1871" s="15" t="n">
        <f aca="false">IFERROR(G1871/F1871,0)</f>
        <v>0.874908020603385</v>
      </c>
      <c r="M1871" s="15" t="n">
        <f aca="false">IFERROR((I1871-H1871)/H1871,0)</f>
        <v>-0.002937776921595</v>
      </c>
      <c r="N1871" s="16" t="n">
        <f aca="false">G1871*I1871</f>
        <v>246158.67</v>
      </c>
    </row>
    <row r="1872" customFormat="false" ht="15" hidden="false" customHeight="true" outlineLevel="0" collapsed="false">
      <c r="A1872" s="4" t="s">
        <v>2048</v>
      </c>
      <c r="B1872" s="4" t="s">
        <v>153</v>
      </c>
      <c r="C1872" s="13" t="n">
        <v>45364</v>
      </c>
      <c r="D1872" s="13" t="n">
        <v>45382</v>
      </c>
      <c r="E1872" s="13" t="n">
        <v>45388</v>
      </c>
      <c r="F1872" s="4" t="n">
        <v>67</v>
      </c>
      <c r="G1872" s="4" t="n">
        <v>62</v>
      </c>
      <c r="H1872" s="4" t="n">
        <v>1492.04</v>
      </c>
      <c r="I1872" s="4" t="n">
        <v>1554.6</v>
      </c>
      <c r="J1872" s="14" t="n">
        <f aca="false">E1872-D1872</f>
        <v>6</v>
      </c>
      <c r="K1872" s="14" t="n">
        <f aca="false">IF(J1872&lt;=0,1,0)</f>
        <v>0</v>
      </c>
      <c r="L1872" s="15" t="n">
        <f aca="false">IFERROR(G1872/F1872,0)</f>
        <v>0.925373134328358</v>
      </c>
      <c r="M1872" s="15" t="n">
        <f aca="false">IFERROR((I1872-H1872)/H1872,0)</f>
        <v>0.0419291707997104</v>
      </c>
      <c r="N1872" s="16" t="n">
        <f aca="false">G1872*I1872</f>
        <v>96385.2</v>
      </c>
    </row>
    <row r="1873" customFormat="false" ht="15" hidden="false" customHeight="true" outlineLevel="0" collapsed="false">
      <c r="A1873" s="4" t="s">
        <v>2049</v>
      </c>
      <c r="B1873" s="4" t="s">
        <v>58</v>
      </c>
      <c r="C1873" s="13" t="n">
        <v>45012</v>
      </c>
      <c r="D1873" s="13" t="n">
        <v>45026</v>
      </c>
      <c r="E1873" s="13" t="n">
        <v>45026</v>
      </c>
      <c r="F1873" s="4" t="n">
        <v>206</v>
      </c>
      <c r="G1873" s="4" t="n">
        <v>203</v>
      </c>
      <c r="H1873" s="4" t="n">
        <v>135.68</v>
      </c>
      <c r="I1873" s="4" t="n">
        <v>137.5</v>
      </c>
      <c r="J1873" s="14" t="n">
        <f aca="false">E1873-D1873</f>
        <v>0</v>
      </c>
      <c r="K1873" s="14" t="n">
        <f aca="false">IF(J1873&lt;=0,1,0)</f>
        <v>1</v>
      </c>
      <c r="L1873" s="15" t="n">
        <f aca="false">IFERROR(G1873/F1873,0)</f>
        <v>0.985436893203884</v>
      </c>
      <c r="M1873" s="15" t="n">
        <f aca="false">IFERROR((I1873-H1873)/H1873,0)</f>
        <v>0.0134139150943396</v>
      </c>
      <c r="N1873" s="16" t="n">
        <f aca="false">G1873*I1873</f>
        <v>27912.5</v>
      </c>
    </row>
    <row r="1874" customFormat="false" ht="15" hidden="false" customHeight="true" outlineLevel="0" collapsed="false">
      <c r="A1874" s="4" t="s">
        <v>2050</v>
      </c>
      <c r="B1874" s="4" t="s">
        <v>47</v>
      </c>
      <c r="C1874" s="13" t="n">
        <v>45647</v>
      </c>
      <c r="D1874" s="13" t="n">
        <v>45658</v>
      </c>
      <c r="E1874" s="13" t="n">
        <v>45656</v>
      </c>
      <c r="F1874" s="4" t="n">
        <v>613</v>
      </c>
      <c r="G1874" s="4" t="n">
        <v>603</v>
      </c>
      <c r="H1874" s="4" t="n">
        <v>228.68</v>
      </c>
      <c r="I1874" s="4" t="n">
        <v>232.05</v>
      </c>
      <c r="J1874" s="14" t="n">
        <f aca="false">E1874-D1874</f>
        <v>-2</v>
      </c>
      <c r="K1874" s="14" t="n">
        <f aca="false">IF(J1874&lt;=0,1,0)</f>
        <v>1</v>
      </c>
      <c r="L1874" s="15" t="n">
        <f aca="false">IFERROR(G1874/F1874,0)</f>
        <v>0.983686786296901</v>
      </c>
      <c r="M1874" s="15" t="n">
        <f aca="false">IFERROR((I1874-H1874)/H1874,0)</f>
        <v>0.0147367500437292</v>
      </c>
      <c r="N1874" s="16" t="n">
        <f aca="false">G1874*I1874</f>
        <v>139926.15</v>
      </c>
    </row>
    <row r="1875" customFormat="false" ht="15" hidden="false" customHeight="true" outlineLevel="0" collapsed="false">
      <c r="A1875" s="4" t="s">
        <v>2051</v>
      </c>
      <c r="B1875" s="4" t="s">
        <v>125</v>
      </c>
      <c r="C1875" s="13" t="n">
        <v>44992</v>
      </c>
      <c r="D1875" s="13" t="n">
        <v>44996</v>
      </c>
      <c r="E1875" s="13" t="n">
        <v>45000</v>
      </c>
      <c r="F1875" s="4" t="n">
        <v>18</v>
      </c>
      <c r="G1875" s="4" t="n">
        <v>15</v>
      </c>
      <c r="H1875" s="4" t="n">
        <v>729.32</v>
      </c>
      <c r="I1875" s="4" t="n">
        <v>728.87</v>
      </c>
      <c r="J1875" s="14" t="n">
        <f aca="false">E1875-D1875</f>
        <v>4</v>
      </c>
      <c r="K1875" s="14" t="n">
        <f aca="false">IF(J1875&lt;=0,1,0)</f>
        <v>0</v>
      </c>
      <c r="L1875" s="15" t="n">
        <f aca="false">IFERROR(G1875/F1875,0)</f>
        <v>0.833333333333333</v>
      </c>
      <c r="M1875" s="15" t="n">
        <f aca="false">IFERROR((I1875-H1875)/H1875,0)</f>
        <v>-0.000617013108100759</v>
      </c>
      <c r="N1875" s="16" t="n">
        <f aca="false">G1875*I1875</f>
        <v>10933.05</v>
      </c>
    </row>
    <row r="1876" customFormat="false" ht="15" hidden="false" customHeight="true" outlineLevel="0" collapsed="false">
      <c r="A1876" s="4" t="s">
        <v>2052</v>
      </c>
      <c r="B1876" s="4" t="s">
        <v>159</v>
      </c>
      <c r="C1876" s="13" t="n">
        <v>45013</v>
      </c>
      <c r="D1876" s="13" t="n">
        <v>45022</v>
      </c>
      <c r="E1876" s="13" t="n">
        <v>45028</v>
      </c>
      <c r="F1876" s="4" t="n">
        <v>2954</v>
      </c>
      <c r="G1876" s="4" t="n">
        <v>2897</v>
      </c>
      <c r="H1876" s="4" t="n">
        <v>32.91</v>
      </c>
      <c r="I1876" s="4" t="n">
        <v>32.82</v>
      </c>
      <c r="J1876" s="14" t="n">
        <f aca="false">E1876-D1876</f>
        <v>6</v>
      </c>
      <c r="K1876" s="14" t="n">
        <f aca="false">IF(J1876&lt;=0,1,0)</f>
        <v>0</v>
      </c>
      <c r="L1876" s="15" t="n">
        <f aca="false">IFERROR(G1876/F1876,0)</f>
        <v>0.98070412999323</v>
      </c>
      <c r="M1876" s="15" t="n">
        <f aca="false">IFERROR((I1876-H1876)/H1876,0)</f>
        <v>-0.00273473108477655</v>
      </c>
      <c r="N1876" s="16" t="n">
        <f aca="false">G1876*I1876</f>
        <v>95079.54</v>
      </c>
    </row>
    <row r="1877" customFormat="false" ht="15" hidden="false" customHeight="true" outlineLevel="0" collapsed="false">
      <c r="A1877" s="4" t="s">
        <v>2053</v>
      </c>
      <c r="B1877" s="4" t="s">
        <v>155</v>
      </c>
      <c r="C1877" s="13" t="n">
        <v>45451</v>
      </c>
      <c r="D1877" s="13" t="n">
        <v>45457</v>
      </c>
      <c r="E1877" s="13" t="n">
        <v>45459</v>
      </c>
      <c r="F1877" s="4" t="n">
        <v>3685</v>
      </c>
      <c r="G1877" s="4" t="n">
        <v>3538</v>
      </c>
      <c r="H1877" s="4" t="n">
        <v>24.04</v>
      </c>
      <c r="I1877" s="4" t="n">
        <v>23.07</v>
      </c>
      <c r="J1877" s="14" t="n">
        <f aca="false">E1877-D1877</f>
        <v>2</v>
      </c>
      <c r="K1877" s="14" t="n">
        <f aca="false">IF(J1877&lt;=0,1,0)</f>
        <v>0</v>
      </c>
      <c r="L1877" s="15" t="n">
        <f aca="false">IFERROR(G1877/F1877,0)</f>
        <v>0.96010854816825</v>
      </c>
      <c r="M1877" s="15" t="n">
        <f aca="false">IFERROR((I1877-H1877)/H1877,0)</f>
        <v>-0.0403494176372712</v>
      </c>
      <c r="N1877" s="16" t="n">
        <f aca="false">G1877*I1877</f>
        <v>81621.66</v>
      </c>
    </row>
    <row r="1878" customFormat="false" ht="15" hidden="false" customHeight="true" outlineLevel="0" collapsed="false">
      <c r="A1878" s="4" t="s">
        <v>2054</v>
      </c>
      <c r="B1878" s="4" t="s">
        <v>129</v>
      </c>
      <c r="C1878" s="13" t="n">
        <v>45041</v>
      </c>
      <c r="D1878" s="13" t="n">
        <v>45060</v>
      </c>
      <c r="E1878" s="13" t="n">
        <v>45065</v>
      </c>
      <c r="F1878" s="4" t="n">
        <v>277</v>
      </c>
      <c r="G1878" s="4" t="n">
        <v>277</v>
      </c>
      <c r="H1878" s="4" t="n">
        <v>709.66</v>
      </c>
      <c r="I1878" s="4" t="n">
        <v>717.95</v>
      </c>
      <c r="J1878" s="14" t="n">
        <f aca="false">E1878-D1878</f>
        <v>5</v>
      </c>
      <c r="K1878" s="14" t="n">
        <f aca="false">IF(J1878&lt;=0,1,0)</f>
        <v>0</v>
      </c>
      <c r="L1878" s="15" t="n">
        <f aca="false">IFERROR(G1878/F1878,0)</f>
        <v>1</v>
      </c>
      <c r="M1878" s="15" t="n">
        <f aca="false">IFERROR((I1878-H1878)/H1878,0)</f>
        <v>0.0116816503677819</v>
      </c>
      <c r="N1878" s="16" t="n">
        <f aca="false">G1878*I1878</f>
        <v>198872.15</v>
      </c>
    </row>
    <row r="1879" customFormat="false" ht="15" hidden="false" customHeight="true" outlineLevel="0" collapsed="false">
      <c r="A1879" s="4" t="s">
        <v>2055</v>
      </c>
      <c r="B1879" s="4" t="s">
        <v>79</v>
      </c>
      <c r="C1879" s="13" t="n">
        <v>45477</v>
      </c>
      <c r="D1879" s="13" t="n">
        <v>45496</v>
      </c>
      <c r="E1879" s="13" t="n">
        <v>45503</v>
      </c>
      <c r="F1879" s="4" t="n">
        <v>234</v>
      </c>
      <c r="G1879" s="4" t="n">
        <v>217</v>
      </c>
      <c r="H1879" s="4" t="n">
        <v>821.48</v>
      </c>
      <c r="I1879" s="4" t="n">
        <v>865.36</v>
      </c>
      <c r="J1879" s="14" t="n">
        <f aca="false">E1879-D1879</f>
        <v>7</v>
      </c>
      <c r="K1879" s="14" t="n">
        <f aca="false">IF(J1879&lt;=0,1,0)</f>
        <v>0</v>
      </c>
      <c r="L1879" s="15" t="n">
        <f aca="false">IFERROR(G1879/F1879,0)</f>
        <v>0.927350427350427</v>
      </c>
      <c r="M1879" s="15" t="n">
        <f aca="false">IFERROR((I1879-H1879)/H1879,0)</f>
        <v>0.053415786142085</v>
      </c>
      <c r="N1879" s="16" t="n">
        <f aca="false">G1879*I1879</f>
        <v>187783.12</v>
      </c>
    </row>
    <row r="1880" customFormat="false" ht="15" hidden="false" customHeight="true" outlineLevel="0" collapsed="false">
      <c r="A1880" s="4" t="s">
        <v>2056</v>
      </c>
      <c r="B1880" s="4" t="s">
        <v>141</v>
      </c>
      <c r="C1880" s="13" t="n">
        <v>45409</v>
      </c>
      <c r="D1880" s="13" t="n">
        <v>45427</v>
      </c>
      <c r="E1880" s="13" t="n">
        <v>45429</v>
      </c>
      <c r="F1880" s="4" t="n">
        <v>182</v>
      </c>
      <c r="G1880" s="4" t="n">
        <v>181</v>
      </c>
      <c r="H1880" s="4" t="n">
        <v>1252.36</v>
      </c>
      <c r="I1880" s="4" t="n">
        <v>1221.63</v>
      </c>
      <c r="J1880" s="14" t="n">
        <f aca="false">E1880-D1880</f>
        <v>2</v>
      </c>
      <c r="K1880" s="14" t="n">
        <f aca="false">IF(J1880&lt;=0,1,0)</f>
        <v>0</v>
      </c>
      <c r="L1880" s="15" t="n">
        <f aca="false">IFERROR(G1880/F1880,0)</f>
        <v>0.994505494505495</v>
      </c>
      <c r="M1880" s="15" t="n">
        <f aca="false">IFERROR((I1880-H1880)/H1880,0)</f>
        <v>-0.0245376728736145</v>
      </c>
      <c r="N1880" s="16" t="n">
        <f aca="false">G1880*I1880</f>
        <v>221115.03</v>
      </c>
    </row>
    <row r="1881" customFormat="false" ht="15" hidden="false" customHeight="true" outlineLevel="0" collapsed="false">
      <c r="A1881" s="4" t="s">
        <v>2057</v>
      </c>
      <c r="B1881" s="4" t="s">
        <v>117</v>
      </c>
      <c r="C1881" s="13" t="n">
        <v>45591</v>
      </c>
      <c r="D1881" s="13" t="n">
        <v>45603</v>
      </c>
      <c r="E1881" s="13" t="n">
        <v>45614</v>
      </c>
      <c r="F1881" s="4" t="n">
        <v>113</v>
      </c>
      <c r="G1881" s="4" t="n">
        <v>107</v>
      </c>
      <c r="H1881" s="4" t="n">
        <v>396.01</v>
      </c>
      <c r="I1881" s="4" t="n">
        <v>383.87</v>
      </c>
      <c r="J1881" s="14" t="n">
        <f aca="false">E1881-D1881</f>
        <v>11</v>
      </c>
      <c r="K1881" s="14" t="n">
        <f aca="false">IF(J1881&lt;=0,1,0)</f>
        <v>0</v>
      </c>
      <c r="L1881" s="15" t="n">
        <f aca="false">IFERROR(G1881/F1881,0)</f>
        <v>0.946902654867257</v>
      </c>
      <c r="M1881" s="15" t="n">
        <f aca="false">IFERROR((I1881-H1881)/H1881,0)</f>
        <v>-0.0306557915204161</v>
      </c>
      <c r="N1881" s="16" t="n">
        <f aca="false">G1881*I1881</f>
        <v>41074.09</v>
      </c>
    </row>
    <row r="1882" customFormat="false" ht="15" hidden="false" customHeight="true" outlineLevel="0" collapsed="false">
      <c r="A1882" s="4" t="s">
        <v>2058</v>
      </c>
      <c r="B1882" s="4" t="s">
        <v>41</v>
      </c>
      <c r="C1882" s="13" t="n">
        <v>45380</v>
      </c>
      <c r="D1882" s="13" t="n">
        <v>45386</v>
      </c>
      <c r="E1882" s="13" t="n">
        <v>45386</v>
      </c>
      <c r="F1882" s="4" t="n">
        <v>2290</v>
      </c>
      <c r="G1882" s="4" t="n">
        <v>2290</v>
      </c>
      <c r="H1882" s="4" t="n">
        <v>45.51</v>
      </c>
      <c r="I1882" s="4" t="n">
        <v>44.33</v>
      </c>
      <c r="J1882" s="14" t="n">
        <f aca="false">E1882-D1882</f>
        <v>0</v>
      </c>
      <c r="K1882" s="14" t="n">
        <f aca="false">IF(J1882&lt;=0,1,0)</f>
        <v>1</v>
      </c>
      <c r="L1882" s="15" t="n">
        <f aca="false">IFERROR(G1882/F1882,0)</f>
        <v>1</v>
      </c>
      <c r="M1882" s="15" t="n">
        <f aca="false">IFERROR((I1882-H1882)/H1882,0)</f>
        <v>-0.025928367391782</v>
      </c>
      <c r="N1882" s="16" t="n">
        <f aca="false">G1882*I1882</f>
        <v>101515.7</v>
      </c>
    </row>
    <row r="1883" customFormat="false" ht="15" hidden="false" customHeight="true" outlineLevel="0" collapsed="false">
      <c r="A1883" s="4" t="s">
        <v>2059</v>
      </c>
      <c r="B1883" s="4" t="s">
        <v>63</v>
      </c>
      <c r="C1883" s="13" t="n">
        <v>45043</v>
      </c>
      <c r="D1883" s="13" t="n">
        <v>45053</v>
      </c>
      <c r="E1883" s="13" t="n">
        <v>45062</v>
      </c>
      <c r="F1883" s="4" t="n">
        <v>1299</v>
      </c>
      <c r="G1883" s="4" t="n">
        <v>1181</v>
      </c>
      <c r="H1883" s="4" t="n">
        <v>239.8</v>
      </c>
      <c r="I1883" s="4" t="n">
        <v>243.96</v>
      </c>
      <c r="J1883" s="14" t="n">
        <f aca="false">E1883-D1883</f>
        <v>9</v>
      </c>
      <c r="K1883" s="14" t="n">
        <f aca="false">IF(J1883&lt;=0,1,0)</f>
        <v>0</v>
      </c>
      <c r="L1883" s="15" t="n">
        <f aca="false">IFERROR(G1883/F1883,0)</f>
        <v>0.909160892994611</v>
      </c>
      <c r="M1883" s="15" t="n">
        <f aca="false">IFERROR((I1883-H1883)/H1883,0)</f>
        <v>0.017347789824854</v>
      </c>
      <c r="N1883" s="16" t="n">
        <f aca="false">G1883*I1883</f>
        <v>288116.76</v>
      </c>
    </row>
    <row r="1884" customFormat="false" ht="15" hidden="false" customHeight="true" outlineLevel="0" collapsed="false">
      <c r="A1884" s="4" t="s">
        <v>2060</v>
      </c>
      <c r="B1884" s="4" t="s">
        <v>153</v>
      </c>
      <c r="C1884" s="13" t="n">
        <v>45502</v>
      </c>
      <c r="D1884" s="13" t="n">
        <v>45521</v>
      </c>
      <c r="E1884" s="13" t="n">
        <v>45523</v>
      </c>
      <c r="F1884" s="4" t="n">
        <v>371</v>
      </c>
      <c r="G1884" s="4" t="n">
        <v>354</v>
      </c>
      <c r="H1884" s="4" t="n">
        <v>1492.04</v>
      </c>
      <c r="I1884" s="4" t="n">
        <v>1572.92</v>
      </c>
      <c r="J1884" s="14" t="n">
        <f aca="false">E1884-D1884</f>
        <v>2</v>
      </c>
      <c r="K1884" s="14" t="n">
        <f aca="false">IF(J1884&lt;=0,1,0)</f>
        <v>0</v>
      </c>
      <c r="L1884" s="15" t="n">
        <f aca="false">IFERROR(G1884/F1884,0)</f>
        <v>0.954177897574124</v>
      </c>
      <c r="M1884" s="15" t="n">
        <f aca="false">IFERROR((I1884-H1884)/H1884,0)</f>
        <v>0.0542076619929761</v>
      </c>
      <c r="N1884" s="16" t="n">
        <f aca="false">G1884*I1884</f>
        <v>556813.68</v>
      </c>
    </row>
    <row r="1885" customFormat="false" ht="15" hidden="false" customHeight="true" outlineLevel="0" collapsed="false">
      <c r="A1885" s="4" t="s">
        <v>2061</v>
      </c>
      <c r="B1885" s="4" t="s">
        <v>83</v>
      </c>
      <c r="C1885" s="13" t="n">
        <v>45176</v>
      </c>
      <c r="D1885" s="13" t="n">
        <v>45185</v>
      </c>
      <c r="E1885" s="13" t="n">
        <v>45185</v>
      </c>
      <c r="F1885" s="4" t="n">
        <v>1948</v>
      </c>
      <c r="G1885" s="4" t="n">
        <v>1928</v>
      </c>
      <c r="H1885" s="4" t="n">
        <v>101.36</v>
      </c>
      <c r="I1885" s="4" t="n">
        <v>104.05</v>
      </c>
      <c r="J1885" s="14" t="n">
        <f aca="false">E1885-D1885</f>
        <v>0</v>
      </c>
      <c r="K1885" s="14" t="n">
        <f aca="false">IF(J1885&lt;=0,1,0)</f>
        <v>1</v>
      </c>
      <c r="L1885" s="15" t="n">
        <f aca="false">IFERROR(G1885/F1885,0)</f>
        <v>0.989733059548255</v>
      </c>
      <c r="M1885" s="15" t="n">
        <f aca="false">IFERROR((I1885-H1885)/H1885,0)</f>
        <v>0.0265390686661405</v>
      </c>
      <c r="N1885" s="16" t="n">
        <f aca="false">G1885*I1885</f>
        <v>200608.4</v>
      </c>
    </row>
    <row r="1886" customFormat="false" ht="15" hidden="false" customHeight="true" outlineLevel="0" collapsed="false">
      <c r="A1886" s="4" t="s">
        <v>2062</v>
      </c>
      <c r="B1886" s="4" t="s">
        <v>127</v>
      </c>
      <c r="C1886" s="13" t="n">
        <v>45216</v>
      </c>
      <c r="D1886" s="13" t="n">
        <v>45220</v>
      </c>
      <c r="E1886" s="13" t="n">
        <v>45222</v>
      </c>
      <c r="F1886" s="4" t="n">
        <v>7</v>
      </c>
      <c r="G1886" s="4" t="n">
        <v>7</v>
      </c>
      <c r="H1886" s="4" t="n">
        <v>1881</v>
      </c>
      <c r="I1886" s="4" t="n">
        <v>1811.85</v>
      </c>
      <c r="J1886" s="14" t="n">
        <f aca="false">E1886-D1886</f>
        <v>2</v>
      </c>
      <c r="K1886" s="14" t="n">
        <f aca="false">IF(J1886&lt;=0,1,0)</f>
        <v>0</v>
      </c>
      <c r="L1886" s="15" t="n">
        <f aca="false">IFERROR(G1886/F1886,0)</f>
        <v>1</v>
      </c>
      <c r="M1886" s="15" t="n">
        <f aca="false">IFERROR((I1886-H1886)/H1886,0)</f>
        <v>-0.036762360446571</v>
      </c>
      <c r="N1886" s="16" t="n">
        <f aca="false">G1886*I1886</f>
        <v>12682.95</v>
      </c>
    </row>
    <row r="1887" customFormat="false" ht="15" hidden="false" customHeight="true" outlineLevel="0" collapsed="false">
      <c r="A1887" s="4" t="s">
        <v>2063</v>
      </c>
      <c r="B1887" s="4" t="s">
        <v>41</v>
      </c>
      <c r="C1887" s="13" t="n">
        <v>45009</v>
      </c>
      <c r="D1887" s="13" t="n">
        <v>45018</v>
      </c>
      <c r="E1887" s="13" t="n">
        <v>45017</v>
      </c>
      <c r="F1887" s="4" t="n">
        <v>3605</v>
      </c>
      <c r="G1887" s="4" t="n">
        <v>3605</v>
      </c>
      <c r="H1887" s="4" t="n">
        <v>45.51</v>
      </c>
      <c r="I1887" s="4" t="n">
        <v>45.7</v>
      </c>
      <c r="J1887" s="14" t="n">
        <f aca="false">E1887-D1887</f>
        <v>-1</v>
      </c>
      <c r="K1887" s="14" t="n">
        <f aca="false">IF(J1887&lt;=0,1,0)</f>
        <v>1</v>
      </c>
      <c r="L1887" s="15" t="n">
        <f aca="false">IFERROR(G1887/F1887,0)</f>
        <v>1</v>
      </c>
      <c r="M1887" s="15" t="n">
        <f aca="false">IFERROR((I1887-H1887)/H1887,0)</f>
        <v>0.00417490661393111</v>
      </c>
      <c r="N1887" s="16" t="n">
        <f aca="false">G1887*I1887</f>
        <v>164748.5</v>
      </c>
    </row>
    <row r="1888" customFormat="false" ht="15" hidden="false" customHeight="true" outlineLevel="0" collapsed="false">
      <c r="A1888" s="4" t="s">
        <v>2064</v>
      </c>
      <c r="B1888" s="4" t="s">
        <v>129</v>
      </c>
      <c r="C1888" s="13" t="n">
        <v>45431</v>
      </c>
      <c r="D1888" s="13" t="n">
        <v>45449</v>
      </c>
      <c r="E1888" s="13" t="n">
        <v>45444</v>
      </c>
      <c r="F1888" s="4" t="n">
        <v>213</v>
      </c>
      <c r="G1888" s="4" t="n">
        <v>213</v>
      </c>
      <c r="H1888" s="4" t="n">
        <v>709.66</v>
      </c>
      <c r="I1888" s="4" t="n">
        <v>717.67</v>
      </c>
      <c r="J1888" s="14" t="n">
        <f aca="false">E1888-D1888</f>
        <v>-5</v>
      </c>
      <c r="K1888" s="14" t="n">
        <f aca="false">IF(J1888&lt;=0,1,0)</f>
        <v>1</v>
      </c>
      <c r="L1888" s="15" t="n">
        <f aca="false">IFERROR(G1888/F1888,0)</f>
        <v>1</v>
      </c>
      <c r="M1888" s="15" t="n">
        <f aca="false">IFERROR((I1888-H1888)/H1888,0)</f>
        <v>0.0112870952287011</v>
      </c>
      <c r="N1888" s="16" t="n">
        <f aca="false">G1888*I1888</f>
        <v>152863.71</v>
      </c>
    </row>
    <row r="1889" customFormat="false" ht="15" hidden="false" customHeight="true" outlineLevel="0" collapsed="false">
      <c r="A1889" s="4" t="s">
        <v>2065</v>
      </c>
      <c r="B1889" s="4" t="s">
        <v>137</v>
      </c>
      <c r="C1889" s="13" t="n">
        <v>45169</v>
      </c>
      <c r="D1889" s="13" t="n">
        <v>45189</v>
      </c>
      <c r="E1889" s="13" t="n">
        <v>45186</v>
      </c>
      <c r="F1889" s="4" t="n">
        <v>462</v>
      </c>
      <c r="G1889" s="4" t="n">
        <v>436</v>
      </c>
      <c r="H1889" s="4" t="n">
        <v>1047.25</v>
      </c>
      <c r="I1889" s="4" t="n">
        <v>1068.09</v>
      </c>
      <c r="J1889" s="14" t="n">
        <f aca="false">E1889-D1889</f>
        <v>-3</v>
      </c>
      <c r="K1889" s="14" t="n">
        <f aca="false">IF(J1889&lt;=0,1,0)</f>
        <v>1</v>
      </c>
      <c r="L1889" s="15" t="n">
        <f aca="false">IFERROR(G1889/F1889,0)</f>
        <v>0.943722943722944</v>
      </c>
      <c r="M1889" s="15" t="n">
        <f aca="false">IFERROR((I1889-H1889)/H1889,0)</f>
        <v>0.0198997374074957</v>
      </c>
      <c r="N1889" s="16" t="n">
        <f aca="false">G1889*I1889</f>
        <v>465687.24</v>
      </c>
    </row>
    <row r="1890" customFormat="false" ht="15" hidden="false" customHeight="true" outlineLevel="0" collapsed="false">
      <c r="A1890" s="4" t="s">
        <v>2066</v>
      </c>
      <c r="B1890" s="4" t="s">
        <v>58</v>
      </c>
      <c r="C1890" s="13" t="n">
        <v>45348</v>
      </c>
      <c r="D1890" s="13" t="n">
        <v>45361</v>
      </c>
      <c r="E1890" s="13" t="n">
        <v>45359</v>
      </c>
      <c r="F1890" s="4" t="n">
        <v>47</v>
      </c>
      <c r="G1890" s="4" t="n">
        <v>47</v>
      </c>
      <c r="H1890" s="4" t="n">
        <v>135.68</v>
      </c>
      <c r="I1890" s="4" t="n">
        <v>139.77</v>
      </c>
      <c r="J1890" s="14" t="n">
        <f aca="false">E1890-D1890</f>
        <v>-2</v>
      </c>
      <c r="K1890" s="14" t="n">
        <f aca="false">IF(J1890&lt;=0,1,0)</f>
        <v>1</v>
      </c>
      <c r="L1890" s="15" t="n">
        <f aca="false">IFERROR(G1890/F1890,0)</f>
        <v>1</v>
      </c>
      <c r="M1890" s="15" t="n">
        <f aca="false">IFERROR((I1890-H1890)/H1890,0)</f>
        <v>0.0301444575471698</v>
      </c>
      <c r="N1890" s="16" t="n">
        <f aca="false">G1890*I1890</f>
        <v>6569.19</v>
      </c>
    </row>
    <row r="1891" customFormat="false" ht="15" hidden="false" customHeight="true" outlineLevel="0" collapsed="false">
      <c r="A1891" s="4" t="s">
        <v>2067</v>
      </c>
      <c r="B1891" s="4" t="s">
        <v>41</v>
      </c>
      <c r="C1891" s="13" t="n">
        <v>45329</v>
      </c>
      <c r="D1891" s="13" t="n">
        <v>45338</v>
      </c>
      <c r="E1891" s="13" t="n">
        <v>45337</v>
      </c>
      <c r="F1891" s="4" t="n">
        <v>4749</v>
      </c>
      <c r="G1891" s="4" t="n">
        <v>4716</v>
      </c>
      <c r="H1891" s="4" t="n">
        <v>45.51</v>
      </c>
      <c r="I1891" s="4" t="n">
        <v>44.49</v>
      </c>
      <c r="J1891" s="14" t="n">
        <f aca="false">E1891-D1891</f>
        <v>-1</v>
      </c>
      <c r="K1891" s="14" t="n">
        <f aca="false">IF(J1891&lt;=0,1,0)</f>
        <v>1</v>
      </c>
      <c r="L1891" s="15" t="n">
        <f aca="false">IFERROR(G1891/F1891,0)</f>
        <v>0.993051168667088</v>
      </c>
      <c r="M1891" s="15" t="n">
        <f aca="false">IFERROR((I1891-H1891)/H1891,0)</f>
        <v>-0.0224126565589979</v>
      </c>
      <c r="N1891" s="16" t="n">
        <f aca="false">G1891*I1891</f>
        <v>209814.84</v>
      </c>
    </row>
    <row r="1892" customFormat="false" ht="15" hidden="false" customHeight="true" outlineLevel="0" collapsed="false">
      <c r="A1892" s="4" t="s">
        <v>2068</v>
      </c>
      <c r="B1892" s="4" t="s">
        <v>109</v>
      </c>
      <c r="C1892" s="13" t="n">
        <v>45523</v>
      </c>
      <c r="D1892" s="13" t="n">
        <v>45543</v>
      </c>
      <c r="E1892" s="13" t="n">
        <v>45546</v>
      </c>
      <c r="F1892" s="4" t="n">
        <v>338</v>
      </c>
      <c r="G1892" s="4" t="n">
        <v>336</v>
      </c>
      <c r="H1892" s="4" t="n">
        <v>858.02</v>
      </c>
      <c r="I1892" s="4" t="n">
        <v>906.99</v>
      </c>
      <c r="J1892" s="14" t="n">
        <f aca="false">E1892-D1892</f>
        <v>3</v>
      </c>
      <c r="K1892" s="14" t="n">
        <f aca="false">IF(J1892&lt;=0,1,0)</f>
        <v>0</v>
      </c>
      <c r="L1892" s="15" t="n">
        <f aca="false">IFERROR(G1892/F1892,0)</f>
        <v>0.994082840236686</v>
      </c>
      <c r="M1892" s="15" t="n">
        <f aca="false">IFERROR((I1892-H1892)/H1892,0)</f>
        <v>0.0570732616955316</v>
      </c>
      <c r="N1892" s="16" t="n">
        <f aca="false">G1892*I1892</f>
        <v>304748.64</v>
      </c>
    </row>
    <row r="1893" customFormat="false" ht="15" hidden="false" customHeight="true" outlineLevel="0" collapsed="false">
      <c r="A1893" s="4" t="s">
        <v>2069</v>
      </c>
      <c r="B1893" s="4" t="s">
        <v>131</v>
      </c>
      <c r="C1893" s="13" t="n">
        <v>45630</v>
      </c>
      <c r="D1893" s="13" t="n">
        <v>45641</v>
      </c>
      <c r="E1893" s="13" t="n">
        <v>45637</v>
      </c>
      <c r="F1893" s="4" t="n">
        <v>1963</v>
      </c>
      <c r="G1893" s="4" t="n">
        <v>1963</v>
      </c>
      <c r="H1893" s="4" t="n">
        <v>88.52</v>
      </c>
      <c r="I1893" s="4" t="n">
        <v>90.1</v>
      </c>
      <c r="J1893" s="14" t="n">
        <f aca="false">E1893-D1893</f>
        <v>-4</v>
      </c>
      <c r="K1893" s="14" t="n">
        <f aca="false">IF(J1893&lt;=0,1,0)</f>
        <v>1</v>
      </c>
      <c r="L1893" s="15" t="n">
        <f aca="false">IFERROR(G1893/F1893,0)</f>
        <v>1</v>
      </c>
      <c r="M1893" s="15" t="n">
        <f aca="false">IFERROR((I1893-H1893)/H1893,0)</f>
        <v>0.017849073655671</v>
      </c>
      <c r="N1893" s="16" t="n">
        <f aca="false">G1893*I1893</f>
        <v>176866.3</v>
      </c>
    </row>
    <row r="1894" customFormat="false" ht="15" hidden="false" customHeight="true" outlineLevel="0" collapsed="false">
      <c r="A1894" s="4" t="s">
        <v>2070</v>
      </c>
      <c r="B1894" s="4" t="s">
        <v>77</v>
      </c>
      <c r="C1894" s="13" t="n">
        <v>45107</v>
      </c>
      <c r="D1894" s="13" t="n">
        <v>45115</v>
      </c>
      <c r="E1894" s="13" t="n">
        <v>45120</v>
      </c>
      <c r="F1894" s="4" t="n">
        <v>4273</v>
      </c>
      <c r="G1894" s="4" t="n">
        <v>4273</v>
      </c>
      <c r="H1894" s="4" t="n">
        <v>36.83</v>
      </c>
      <c r="I1894" s="4" t="n">
        <v>36.36</v>
      </c>
      <c r="J1894" s="14" t="n">
        <f aca="false">E1894-D1894</f>
        <v>5</v>
      </c>
      <c r="K1894" s="14" t="n">
        <f aca="false">IF(J1894&lt;=0,1,0)</f>
        <v>0</v>
      </c>
      <c r="L1894" s="15" t="n">
        <f aca="false">IFERROR(G1894/F1894,0)</f>
        <v>1</v>
      </c>
      <c r="M1894" s="15" t="n">
        <f aca="false">IFERROR((I1894-H1894)/H1894,0)</f>
        <v>-0.0127613358674993</v>
      </c>
      <c r="N1894" s="16" t="n">
        <f aca="false">G1894*I1894</f>
        <v>155366.28</v>
      </c>
    </row>
    <row r="1895" customFormat="false" ht="15" hidden="false" customHeight="true" outlineLevel="0" collapsed="false">
      <c r="A1895" s="4" t="s">
        <v>2071</v>
      </c>
      <c r="B1895" s="4" t="s">
        <v>55</v>
      </c>
      <c r="C1895" s="13" t="n">
        <v>45326</v>
      </c>
      <c r="D1895" s="13" t="n">
        <v>45345</v>
      </c>
      <c r="E1895" s="13" t="n">
        <v>45344</v>
      </c>
      <c r="F1895" s="4" t="n">
        <v>152</v>
      </c>
      <c r="G1895" s="4" t="n">
        <v>145</v>
      </c>
      <c r="H1895" s="4" t="n">
        <v>598.09</v>
      </c>
      <c r="I1895" s="4" t="n">
        <v>586.99</v>
      </c>
      <c r="J1895" s="14" t="n">
        <f aca="false">E1895-D1895</f>
        <v>-1</v>
      </c>
      <c r="K1895" s="14" t="n">
        <f aca="false">IF(J1895&lt;=0,1,0)</f>
        <v>1</v>
      </c>
      <c r="L1895" s="15" t="n">
        <f aca="false">IFERROR(G1895/F1895,0)</f>
        <v>0.953947368421053</v>
      </c>
      <c r="M1895" s="15" t="n">
        <f aca="false">IFERROR((I1895-H1895)/H1895,0)</f>
        <v>-0.0185590797371633</v>
      </c>
      <c r="N1895" s="16" t="n">
        <f aca="false">G1895*I1895</f>
        <v>85113.55</v>
      </c>
    </row>
    <row r="1896" customFormat="false" ht="15" hidden="false" customHeight="true" outlineLevel="0" collapsed="false">
      <c r="A1896" s="4" t="s">
        <v>2072</v>
      </c>
      <c r="B1896" s="4" t="s">
        <v>115</v>
      </c>
      <c r="C1896" s="13" t="n">
        <v>45228</v>
      </c>
      <c r="D1896" s="13" t="n">
        <v>45242</v>
      </c>
      <c r="E1896" s="13" t="n">
        <v>45248</v>
      </c>
      <c r="F1896" s="4" t="n">
        <v>168</v>
      </c>
      <c r="G1896" s="4" t="n">
        <v>154</v>
      </c>
      <c r="H1896" s="4" t="n">
        <v>115.53</v>
      </c>
      <c r="I1896" s="4" t="n">
        <v>122</v>
      </c>
      <c r="J1896" s="14" t="n">
        <f aca="false">E1896-D1896</f>
        <v>6</v>
      </c>
      <c r="K1896" s="14" t="n">
        <f aca="false">IF(J1896&lt;=0,1,0)</f>
        <v>0</v>
      </c>
      <c r="L1896" s="15" t="n">
        <f aca="false">IFERROR(G1896/F1896,0)</f>
        <v>0.916666666666667</v>
      </c>
      <c r="M1896" s="15" t="n">
        <f aca="false">IFERROR((I1896-H1896)/H1896,0)</f>
        <v>0.0560027698433307</v>
      </c>
      <c r="N1896" s="16" t="n">
        <f aca="false">G1896*I1896</f>
        <v>18788</v>
      </c>
    </row>
    <row r="1897" customFormat="false" ht="15" hidden="false" customHeight="true" outlineLevel="0" collapsed="false">
      <c r="A1897" s="4" t="s">
        <v>2073</v>
      </c>
      <c r="B1897" s="4" t="s">
        <v>79</v>
      </c>
      <c r="C1897" s="13" t="n">
        <v>44996</v>
      </c>
      <c r="D1897" s="13" t="n">
        <v>45014</v>
      </c>
      <c r="E1897" s="13" t="n">
        <v>45018</v>
      </c>
      <c r="F1897" s="4" t="n">
        <v>365</v>
      </c>
      <c r="G1897" s="4" t="n">
        <v>360</v>
      </c>
      <c r="H1897" s="4" t="n">
        <v>821.48</v>
      </c>
      <c r="I1897" s="4" t="n">
        <v>826.28</v>
      </c>
      <c r="J1897" s="14" t="n">
        <f aca="false">E1897-D1897</f>
        <v>4</v>
      </c>
      <c r="K1897" s="14" t="n">
        <f aca="false">IF(J1897&lt;=0,1,0)</f>
        <v>0</v>
      </c>
      <c r="L1897" s="15" t="n">
        <f aca="false">IFERROR(G1897/F1897,0)</f>
        <v>0.986301369863014</v>
      </c>
      <c r="M1897" s="15" t="n">
        <f aca="false">IFERROR((I1897-H1897)/H1897,0)</f>
        <v>0.00584311243122164</v>
      </c>
      <c r="N1897" s="16" t="n">
        <f aca="false">G1897*I1897</f>
        <v>297460.8</v>
      </c>
    </row>
    <row r="1898" customFormat="false" ht="15" hidden="false" customHeight="true" outlineLevel="0" collapsed="false">
      <c r="A1898" s="4" t="s">
        <v>2074</v>
      </c>
      <c r="B1898" s="4" t="s">
        <v>32</v>
      </c>
      <c r="C1898" s="13" t="n">
        <v>45246</v>
      </c>
      <c r="D1898" s="13" t="n">
        <v>45252</v>
      </c>
      <c r="E1898" s="13" t="n">
        <v>45248</v>
      </c>
      <c r="F1898" s="4" t="n">
        <v>1250</v>
      </c>
      <c r="G1898" s="4" t="n">
        <v>1108</v>
      </c>
      <c r="H1898" s="4" t="n">
        <v>32.49</v>
      </c>
      <c r="I1898" s="4" t="n">
        <v>32.72</v>
      </c>
      <c r="J1898" s="14" t="n">
        <f aca="false">E1898-D1898</f>
        <v>-4</v>
      </c>
      <c r="K1898" s="14" t="n">
        <f aca="false">IF(J1898&lt;=0,1,0)</f>
        <v>1</v>
      </c>
      <c r="L1898" s="15" t="n">
        <f aca="false">IFERROR(G1898/F1898,0)</f>
        <v>0.8864</v>
      </c>
      <c r="M1898" s="15" t="n">
        <f aca="false">IFERROR((I1898-H1898)/H1898,0)</f>
        <v>0.00707910126192665</v>
      </c>
      <c r="N1898" s="16" t="n">
        <f aca="false">G1898*I1898</f>
        <v>36253.76</v>
      </c>
    </row>
    <row r="1899" customFormat="false" ht="15" hidden="false" customHeight="true" outlineLevel="0" collapsed="false">
      <c r="A1899" s="4" t="s">
        <v>2075</v>
      </c>
      <c r="B1899" s="4" t="s">
        <v>97</v>
      </c>
      <c r="C1899" s="13" t="n">
        <v>45250</v>
      </c>
      <c r="D1899" s="13" t="n">
        <v>45262</v>
      </c>
      <c r="E1899" s="13" t="n">
        <v>45264</v>
      </c>
      <c r="F1899" s="4" t="n">
        <v>1226</v>
      </c>
      <c r="G1899" s="4" t="n">
        <v>1226</v>
      </c>
      <c r="H1899" s="4" t="n">
        <v>123.04</v>
      </c>
      <c r="I1899" s="4" t="n">
        <v>121.74</v>
      </c>
      <c r="J1899" s="14" t="n">
        <f aca="false">E1899-D1899</f>
        <v>2</v>
      </c>
      <c r="K1899" s="14" t="n">
        <f aca="false">IF(J1899&lt;=0,1,0)</f>
        <v>0</v>
      </c>
      <c r="L1899" s="15" t="n">
        <f aca="false">IFERROR(G1899/F1899,0)</f>
        <v>1</v>
      </c>
      <c r="M1899" s="15" t="n">
        <f aca="false">IFERROR((I1899-H1899)/H1899,0)</f>
        <v>-0.0105656697009104</v>
      </c>
      <c r="N1899" s="16" t="n">
        <f aca="false">G1899*I1899</f>
        <v>149253.24</v>
      </c>
    </row>
    <row r="1900" customFormat="false" ht="15" hidden="false" customHeight="true" outlineLevel="0" collapsed="false">
      <c r="A1900" s="4" t="s">
        <v>2076</v>
      </c>
      <c r="B1900" s="4" t="s">
        <v>155</v>
      </c>
      <c r="C1900" s="13" t="n">
        <v>44998</v>
      </c>
      <c r="D1900" s="13" t="n">
        <v>45004</v>
      </c>
      <c r="E1900" s="13" t="n">
        <v>45004</v>
      </c>
      <c r="F1900" s="4" t="n">
        <v>3394</v>
      </c>
      <c r="G1900" s="4" t="n">
        <v>3280</v>
      </c>
      <c r="H1900" s="4" t="n">
        <v>24.04</v>
      </c>
      <c r="I1900" s="4" t="n">
        <v>23.86</v>
      </c>
      <c r="J1900" s="14" t="n">
        <f aca="false">E1900-D1900</f>
        <v>0</v>
      </c>
      <c r="K1900" s="14" t="n">
        <f aca="false">IF(J1900&lt;=0,1,0)</f>
        <v>1</v>
      </c>
      <c r="L1900" s="15" t="n">
        <f aca="false">IFERROR(G1900/F1900,0)</f>
        <v>0.966411314083677</v>
      </c>
      <c r="M1900" s="15" t="n">
        <f aca="false">IFERROR((I1900-H1900)/H1900,0)</f>
        <v>-0.00748752079866887</v>
      </c>
      <c r="N1900" s="16" t="n">
        <f aca="false">G1900*I1900</f>
        <v>78260.8</v>
      </c>
    </row>
    <row r="1901" customFormat="false" ht="15" hidden="false" customHeight="true" outlineLevel="0" collapsed="false">
      <c r="A1901" s="4" t="s">
        <v>2077</v>
      </c>
      <c r="B1901" s="4" t="s">
        <v>32</v>
      </c>
      <c r="C1901" s="13" t="n">
        <v>45146</v>
      </c>
      <c r="D1901" s="13" t="n">
        <v>45155</v>
      </c>
      <c r="E1901" s="13" t="n">
        <v>45153</v>
      </c>
      <c r="F1901" s="4" t="n">
        <v>2420</v>
      </c>
      <c r="G1901" s="4" t="n">
        <v>2151</v>
      </c>
      <c r="H1901" s="4" t="n">
        <v>32.49</v>
      </c>
      <c r="I1901" s="4" t="n">
        <v>32.6</v>
      </c>
      <c r="J1901" s="14" t="n">
        <f aca="false">E1901-D1901</f>
        <v>-2</v>
      </c>
      <c r="K1901" s="14" t="n">
        <f aca="false">IF(J1901&lt;=0,1,0)</f>
        <v>1</v>
      </c>
      <c r="L1901" s="15" t="n">
        <f aca="false">IFERROR(G1901/F1901,0)</f>
        <v>0.888842975206612</v>
      </c>
      <c r="M1901" s="15" t="n">
        <f aca="false">IFERROR((I1901-H1901)/H1901,0)</f>
        <v>0.0033856571252693</v>
      </c>
      <c r="N1901" s="16" t="n">
        <f aca="false">G1901*I1901</f>
        <v>70122.6</v>
      </c>
    </row>
    <row r="1902" customFormat="false" ht="15" hidden="false" customHeight="true" outlineLevel="0" collapsed="false">
      <c r="A1902" s="4" t="s">
        <v>2078</v>
      </c>
      <c r="B1902" s="4" t="s">
        <v>72</v>
      </c>
      <c r="C1902" s="13" t="n">
        <v>45100</v>
      </c>
      <c r="D1902" s="13" t="n">
        <v>45109</v>
      </c>
      <c r="E1902" s="13" t="n">
        <v>45112</v>
      </c>
      <c r="F1902" s="4" t="n">
        <v>2951</v>
      </c>
      <c r="G1902" s="4" t="n">
        <v>2920</v>
      </c>
      <c r="H1902" s="4" t="n">
        <v>34.53</v>
      </c>
      <c r="I1902" s="4" t="n">
        <v>35.19</v>
      </c>
      <c r="J1902" s="14" t="n">
        <f aca="false">E1902-D1902</f>
        <v>3</v>
      </c>
      <c r="K1902" s="14" t="n">
        <f aca="false">IF(J1902&lt;=0,1,0)</f>
        <v>0</v>
      </c>
      <c r="L1902" s="15" t="n">
        <f aca="false">IFERROR(G1902/F1902,0)</f>
        <v>0.989495086411386</v>
      </c>
      <c r="M1902" s="15" t="n">
        <f aca="false">IFERROR((I1902-H1902)/H1902,0)</f>
        <v>0.0191138140747175</v>
      </c>
      <c r="N1902" s="16" t="n">
        <f aca="false">G1902*I1902</f>
        <v>102754.8</v>
      </c>
    </row>
    <row r="1903" customFormat="false" ht="15" hidden="false" customHeight="true" outlineLevel="0" collapsed="false">
      <c r="A1903" s="4" t="s">
        <v>2079</v>
      </c>
      <c r="B1903" s="4" t="s">
        <v>121</v>
      </c>
      <c r="C1903" s="13" t="n">
        <v>45624</v>
      </c>
      <c r="D1903" s="13" t="n">
        <v>45635</v>
      </c>
      <c r="E1903" s="13" t="n">
        <v>45637</v>
      </c>
      <c r="F1903" s="4" t="n">
        <v>520</v>
      </c>
      <c r="G1903" s="4" t="n">
        <v>487</v>
      </c>
      <c r="H1903" s="4" t="n">
        <v>206.07</v>
      </c>
      <c r="I1903" s="4" t="n">
        <v>234.26</v>
      </c>
      <c r="J1903" s="14" t="n">
        <f aca="false">E1903-D1903</f>
        <v>2</v>
      </c>
      <c r="K1903" s="14" t="n">
        <f aca="false">IF(J1903&lt;=0,1,0)</f>
        <v>0</v>
      </c>
      <c r="L1903" s="15" t="n">
        <f aca="false">IFERROR(G1903/F1903,0)</f>
        <v>0.936538461538462</v>
      </c>
      <c r="M1903" s="15" t="n">
        <f aca="false">IFERROR((I1903-H1903)/H1903,0)</f>
        <v>0.136798175377299</v>
      </c>
      <c r="N1903" s="16" t="n">
        <f aca="false">G1903*I1903</f>
        <v>114084.62</v>
      </c>
    </row>
    <row r="1904" customFormat="false" ht="15" hidden="false" customHeight="true" outlineLevel="0" collapsed="false">
      <c r="A1904" s="4" t="s">
        <v>2080</v>
      </c>
      <c r="B1904" s="4" t="s">
        <v>103</v>
      </c>
      <c r="C1904" s="13" t="n">
        <v>45347</v>
      </c>
      <c r="D1904" s="13" t="n">
        <v>45367</v>
      </c>
      <c r="E1904" s="13" t="n">
        <v>45369</v>
      </c>
      <c r="F1904" s="4" t="n">
        <v>182</v>
      </c>
      <c r="G1904" s="4" t="n">
        <v>181</v>
      </c>
      <c r="H1904" s="4" t="n">
        <v>1400.22</v>
      </c>
      <c r="I1904" s="4" t="n">
        <v>1408.94</v>
      </c>
      <c r="J1904" s="14" t="n">
        <f aca="false">E1904-D1904</f>
        <v>2</v>
      </c>
      <c r="K1904" s="14" t="n">
        <f aca="false">IF(J1904&lt;=0,1,0)</f>
        <v>0</v>
      </c>
      <c r="L1904" s="15" t="n">
        <f aca="false">IFERROR(G1904/F1904,0)</f>
        <v>0.994505494505495</v>
      </c>
      <c r="M1904" s="15" t="n">
        <f aca="false">IFERROR((I1904-H1904)/H1904,0)</f>
        <v>0.00622759280684466</v>
      </c>
      <c r="N1904" s="16" t="n">
        <f aca="false">G1904*I1904</f>
        <v>255018.14</v>
      </c>
    </row>
    <row r="1905" customFormat="false" ht="15" hidden="false" customHeight="true" outlineLevel="0" collapsed="false">
      <c r="A1905" s="4" t="s">
        <v>2081</v>
      </c>
      <c r="B1905" s="4" t="s">
        <v>37</v>
      </c>
      <c r="C1905" s="13" t="n">
        <v>45080</v>
      </c>
      <c r="D1905" s="13" t="n">
        <v>45088</v>
      </c>
      <c r="E1905" s="13" t="n">
        <v>45089</v>
      </c>
      <c r="F1905" s="4" t="n">
        <v>767</v>
      </c>
      <c r="G1905" s="4" t="n">
        <v>752</v>
      </c>
      <c r="H1905" s="4" t="n">
        <v>22.26</v>
      </c>
      <c r="I1905" s="4" t="n">
        <v>22.02</v>
      </c>
      <c r="J1905" s="14" t="n">
        <f aca="false">E1905-D1905</f>
        <v>1</v>
      </c>
      <c r="K1905" s="14" t="n">
        <f aca="false">IF(J1905&lt;=0,1,0)</f>
        <v>0</v>
      </c>
      <c r="L1905" s="15" t="n">
        <f aca="false">IFERROR(G1905/F1905,0)</f>
        <v>0.980443285528031</v>
      </c>
      <c r="M1905" s="15" t="n">
        <f aca="false">IFERROR((I1905-H1905)/H1905,0)</f>
        <v>-0.0107816711590297</v>
      </c>
      <c r="N1905" s="16" t="n">
        <f aca="false">G1905*I1905</f>
        <v>16559.04</v>
      </c>
    </row>
    <row r="1906" customFormat="false" ht="15" hidden="false" customHeight="true" outlineLevel="0" collapsed="false">
      <c r="A1906" s="4" t="s">
        <v>2082</v>
      </c>
      <c r="B1906" s="4" t="s">
        <v>113</v>
      </c>
      <c r="C1906" s="13" t="n">
        <v>45272</v>
      </c>
      <c r="D1906" s="13" t="n">
        <v>45284</v>
      </c>
      <c r="E1906" s="13" t="n">
        <v>45285</v>
      </c>
      <c r="F1906" s="4" t="n">
        <v>711</v>
      </c>
      <c r="G1906" s="4" t="n">
        <v>690</v>
      </c>
      <c r="H1906" s="4" t="n">
        <v>170.42</v>
      </c>
      <c r="I1906" s="4" t="n">
        <v>172.24</v>
      </c>
      <c r="J1906" s="14" t="n">
        <f aca="false">E1906-D1906</f>
        <v>1</v>
      </c>
      <c r="K1906" s="14" t="n">
        <f aca="false">IF(J1906&lt;=0,1,0)</f>
        <v>0</v>
      </c>
      <c r="L1906" s="15" t="n">
        <f aca="false">IFERROR(G1906/F1906,0)</f>
        <v>0.970464135021097</v>
      </c>
      <c r="M1906" s="15" t="n">
        <f aca="false">IFERROR((I1906-H1906)/H1906,0)</f>
        <v>0.0106794977115363</v>
      </c>
      <c r="N1906" s="16" t="n">
        <f aca="false">G1906*I1906</f>
        <v>118845.6</v>
      </c>
    </row>
    <row r="1907" customFormat="false" ht="15" hidden="false" customHeight="true" outlineLevel="0" collapsed="false">
      <c r="A1907" s="4" t="s">
        <v>2083</v>
      </c>
      <c r="B1907" s="4" t="s">
        <v>129</v>
      </c>
      <c r="C1907" s="13" t="n">
        <v>45510</v>
      </c>
      <c r="D1907" s="13" t="n">
        <v>45527</v>
      </c>
      <c r="E1907" s="13" t="n">
        <v>45530</v>
      </c>
      <c r="F1907" s="4" t="n">
        <v>173</v>
      </c>
      <c r="G1907" s="4" t="n">
        <v>163</v>
      </c>
      <c r="H1907" s="4" t="n">
        <v>709.66</v>
      </c>
      <c r="I1907" s="4" t="n">
        <v>725.26</v>
      </c>
      <c r="J1907" s="14" t="n">
        <f aca="false">E1907-D1907</f>
        <v>3</v>
      </c>
      <c r="K1907" s="14" t="n">
        <f aca="false">IF(J1907&lt;=0,1,0)</f>
        <v>0</v>
      </c>
      <c r="L1907" s="15" t="n">
        <f aca="false">IFERROR(G1907/F1907,0)</f>
        <v>0.942196531791908</v>
      </c>
      <c r="M1907" s="15" t="n">
        <f aca="false">IFERROR((I1907-H1907)/H1907,0)</f>
        <v>0.0219823577487811</v>
      </c>
      <c r="N1907" s="16" t="n">
        <f aca="false">G1907*I1907</f>
        <v>118217.38</v>
      </c>
    </row>
    <row r="1908" customFormat="false" ht="15" hidden="false" customHeight="true" outlineLevel="0" collapsed="false">
      <c r="A1908" s="4" t="s">
        <v>2084</v>
      </c>
      <c r="B1908" s="4" t="s">
        <v>125</v>
      </c>
      <c r="C1908" s="13" t="n">
        <v>45633</v>
      </c>
      <c r="D1908" s="13" t="n">
        <v>45638</v>
      </c>
      <c r="E1908" s="13" t="n">
        <v>45642</v>
      </c>
      <c r="F1908" s="4" t="n">
        <v>13</v>
      </c>
      <c r="G1908" s="4" t="n">
        <v>11</v>
      </c>
      <c r="H1908" s="4" t="n">
        <v>729.32</v>
      </c>
      <c r="I1908" s="4" t="n">
        <v>743.47</v>
      </c>
      <c r="J1908" s="14" t="n">
        <f aca="false">E1908-D1908</f>
        <v>4</v>
      </c>
      <c r="K1908" s="14" t="n">
        <f aca="false">IF(J1908&lt;=0,1,0)</f>
        <v>0</v>
      </c>
      <c r="L1908" s="15" t="n">
        <f aca="false">IFERROR(G1908/F1908,0)</f>
        <v>0.846153846153846</v>
      </c>
      <c r="M1908" s="15" t="n">
        <f aca="false">IFERROR((I1908-H1908)/H1908,0)</f>
        <v>0.0194016343991663</v>
      </c>
      <c r="N1908" s="16" t="n">
        <f aca="false">G1908*I1908</f>
        <v>8178.17</v>
      </c>
    </row>
    <row r="1909" customFormat="false" ht="15" hidden="false" customHeight="true" outlineLevel="0" collapsed="false">
      <c r="A1909" s="4" t="s">
        <v>2085</v>
      </c>
      <c r="B1909" s="4" t="s">
        <v>85</v>
      </c>
      <c r="C1909" s="13" t="n">
        <v>44965</v>
      </c>
      <c r="D1909" s="13" t="n">
        <v>44977</v>
      </c>
      <c r="E1909" s="13" t="n">
        <v>44980</v>
      </c>
      <c r="F1909" s="4" t="n">
        <v>1151</v>
      </c>
      <c r="G1909" s="4" t="n">
        <v>1086</v>
      </c>
      <c r="H1909" s="4" t="n">
        <v>241.88</v>
      </c>
      <c r="I1909" s="4" t="n">
        <v>239.71</v>
      </c>
      <c r="J1909" s="14" t="n">
        <f aca="false">E1909-D1909</f>
        <v>3</v>
      </c>
      <c r="K1909" s="14" t="n">
        <f aca="false">IF(J1909&lt;=0,1,0)</f>
        <v>0</v>
      </c>
      <c r="L1909" s="15" t="n">
        <f aca="false">IFERROR(G1909/F1909,0)</f>
        <v>0.943527367506516</v>
      </c>
      <c r="M1909" s="15" t="n">
        <f aca="false">IFERROR((I1909-H1909)/H1909,0)</f>
        <v>-0.00897139077228373</v>
      </c>
      <c r="N1909" s="16" t="n">
        <f aca="false">G1909*I1909</f>
        <v>260325.06</v>
      </c>
    </row>
    <row r="1910" customFormat="false" ht="15" hidden="false" customHeight="true" outlineLevel="0" collapsed="false">
      <c r="A1910" s="4" t="s">
        <v>2086</v>
      </c>
      <c r="B1910" s="4" t="s">
        <v>151</v>
      </c>
      <c r="C1910" s="13" t="n">
        <v>45101</v>
      </c>
      <c r="D1910" s="13" t="n">
        <v>45108</v>
      </c>
      <c r="E1910" s="13" t="n">
        <v>45114</v>
      </c>
      <c r="F1910" s="4" t="n">
        <v>3</v>
      </c>
      <c r="G1910" s="4" t="n">
        <v>3</v>
      </c>
      <c r="H1910" s="4" t="n">
        <v>503.46</v>
      </c>
      <c r="I1910" s="4" t="n">
        <v>505.92</v>
      </c>
      <c r="J1910" s="14" t="n">
        <f aca="false">E1910-D1910</f>
        <v>6</v>
      </c>
      <c r="K1910" s="14" t="n">
        <f aca="false">IF(J1910&lt;=0,1,0)</f>
        <v>0</v>
      </c>
      <c r="L1910" s="15" t="n">
        <f aca="false">IFERROR(G1910/F1910,0)</f>
        <v>1</v>
      </c>
      <c r="M1910" s="15" t="n">
        <f aca="false">IFERROR((I1910-H1910)/H1910,0)</f>
        <v>0.0048861875819331</v>
      </c>
      <c r="N1910" s="16" t="n">
        <f aca="false">G1910*I1910</f>
        <v>1517.76</v>
      </c>
    </row>
    <row r="1911" customFormat="false" ht="15" hidden="false" customHeight="true" outlineLevel="0" collapsed="false">
      <c r="A1911" s="4" t="s">
        <v>2087</v>
      </c>
      <c r="B1911" s="4" t="s">
        <v>111</v>
      </c>
      <c r="C1911" s="13" t="n">
        <v>45636</v>
      </c>
      <c r="D1911" s="13" t="n">
        <v>45648</v>
      </c>
      <c r="E1911" s="13" t="n">
        <v>45645</v>
      </c>
      <c r="F1911" s="4" t="n">
        <v>1152</v>
      </c>
      <c r="G1911" s="4" t="n">
        <v>1072</v>
      </c>
      <c r="H1911" s="4" t="n">
        <v>148.08</v>
      </c>
      <c r="I1911" s="4" t="n">
        <v>148.85</v>
      </c>
      <c r="J1911" s="14" t="n">
        <f aca="false">E1911-D1911</f>
        <v>-3</v>
      </c>
      <c r="K1911" s="14" t="n">
        <f aca="false">IF(J1911&lt;=0,1,0)</f>
        <v>1</v>
      </c>
      <c r="L1911" s="15" t="n">
        <f aca="false">IFERROR(G1911/F1911,0)</f>
        <v>0.930555555555556</v>
      </c>
      <c r="M1911" s="15" t="n">
        <f aca="false">IFERROR((I1911-H1911)/H1911,0)</f>
        <v>0.00519989195029701</v>
      </c>
      <c r="N1911" s="16" t="n">
        <f aca="false">G1911*I1911</f>
        <v>159567.2</v>
      </c>
    </row>
    <row r="1912" customFormat="false" ht="15" hidden="false" customHeight="true" outlineLevel="0" collapsed="false">
      <c r="A1912" s="4" t="s">
        <v>2088</v>
      </c>
      <c r="B1912" s="4" t="s">
        <v>55</v>
      </c>
      <c r="C1912" s="13" t="n">
        <v>45115</v>
      </c>
      <c r="D1912" s="13" t="n">
        <v>45132</v>
      </c>
      <c r="E1912" s="13" t="n">
        <v>45133</v>
      </c>
      <c r="F1912" s="4" t="n">
        <v>66</v>
      </c>
      <c r="G1912" s="4" t="n">
        <v>62</v>
      </c>
      <c r="H1912" s="4" t="n">
        <v>598.09</v>
      </c>
      <c r="I1912" s="4" t="n">
        <v>590.36</v>
      </c>
      <c r="J1912" s="14" t="n">
        <f aca="false">E1912-D1912</f>
        <v>1</v>
      </c>
      <c r="K1912" s="14" t="n">
        <f aca="false">IF(J1912&lt;=0,1,0)</f>
        <v>0</v>
      </c>
      <c r="L1912" s="15" t="n">
        <f aca="false">IFERROR(G1912/F1912,0)</f>
        <v>0.939393939393939</v>
      </c>
      <c r="M1912" s="15" t="n">
        <f aca="false">IFERROR((I1912-H1912)/H1912,0)</f>
        <v>-0.0129244762493939</v>
      </c>
      <c r="N1912" s="16" t="n">
        <f aca="false">G1912*I1912</f>
        <v>36602.32</v>
      </c>
    </row>
    <row r="1913" customFormat="false" ht="15" hidden="false" customHeight="true" outlineLevel="0" collapsed="false">
      <c r="A1913" s="4" t="s">
        <v>2089</v>
      </c>
      <c r="B1913" s="4" t="s">
        <v>81</v>
      </c>
      <c r="C1913" s="13" t="n">
        <v>45323</v>
      </c>
      <c r="D1913" s="13" t="n">
        <v>45327</v>
      </c>
      <c r="E1913" s="13" t="n">
        <v>45326</v>
      </c>
      <c r="F1913" s="4" t="n">
        <v>2</v>
      </c>
      <c r="G1913" s="4" t="n">
        <v>2</v>
      </c>
      <c r="H1913" s="4" t="n">
        <v>697.63</v>
      </c>
      <c r="I1913" s="4" t="n">
        <v>703.91</v>
      </c>
      <c r="J1913" s="14" t="n">
        <f aca="false">E1913-D1913</f>
        <v>-1</v>
      </c>
      <c r="K1913" s="14" t="n">
        <f aca="false">IF(J1913&lt;=0,1,0)</f>
        <v>1</v>
      </c>
      <c r="L1913" s="15" t="n">
        <f aca="false">IFERROR(G1913/F1913,0)</f>
        <v>1</v>
      </c>
      <c r="M1913" s="15" t="n">
        <f aca="false">IFERROR((I1913-H1913)/H1913,0)</f>
        <v>0.00900190645471091</v>
      </c>
      <c r="N1913" s="16" t="n">
        <f aca="false">G1913*I1913</f>
        <v>1407.82</v>
      </c>
    </row>
    <row r="1914" customFormat="false" ht="15" hidden="false" customHeight="true" outlineLevel="0" collapsed="false">
      <c r="A1914" s="4" t="s">
        <v>2090</v>
      </c>
      <c r="B1914" s="4" t="s">
        <v>129</v>
      </c>
      <c r="C1914" s="13" t="n">
        <v>45303</v>
      </c>
      <c r="D1914" s="13" t="n">
        <v>45322</v>
      </c>
      <c r="E1914" s="13" t="n">
        <v>45326</v>
      </c>
      <c r="F1914" s="4" t="n">
        <v>163</v>
      </c>
      <c r="G1914" s="4" t="n">
        <v>159</v>
      </c>
      <c r="H1914" s="4" t="n">
        <v>709.66</v>
      </c>
      <c r="I1914" s="4" t="n">
        <v>711.64</v>
      </c>
      <c r="J1914" s="14" t="n">
        <f aca="false">E1914-D1914</f>
        <v>4</v>
      </c>
      <c r="K1914" s="14" t="n">
        <f aca="false">IF(J1914&lt;=0,1,0)</f>
        <v>0</v>
      </c>
      <c r="L1914" s="15" t="n">
        <f aca="false">IFERROR(G1914/F1914,0)</f>
        <v>0.975460122699387</v>
      </c>
      <c r="M1914" s="15" t="n">
        <f aca="false">IFERROR((I1914-H1914)/H1914,0)</f>
        <v>0.00279006848349917</v>
      </c>
      <c r="N1914" s="16" t="n">
        <f aca="false">G1914*I1914</f>
        <v>113150.76</v>
      </c>
    </row>
    <row r="1915" customFormat="false" ht="15" hidden="false" customHeight="true" outlineLevel="0" collapsed="false">
      <c r="A1915" s="4" t="s">
        <v>2091</v>
      </c>
      <c r="B1915" s="4" t="s">
        <v>89</v>
      </c>
      <c r="C1915" s="13" t="n">
        <v>45229</v>
      </c>
      <c r="D1915" s="13" t="n">
        <v>45234</v>
      </c>
      <c r="E1915" s="13" t="n">
        <v>45236</v>
      </c>
      <c r="F1915" s="4" t="n">
        <v>15</v>
      </c>
      <c r="G1915" s="4" t="n">
        <v>14</v>
      </c>
      <c r="H1915" s="4" t="n">
        <v>1929.81</v>
      </c>
      <c r="I1915" s="4" t="n">
        <v>1909.44</v>
      </c>
      <c r="J1915" s="14" t="n">
        <f aca="false">E1915-D1915</f>
        <v>2</v>
      </c>
      <c r="K1915" s="14" t="n">
        <f aca="false">IF(J1915&lt;=0,1,0)</f>
        <v>0</v>
      </c>
      <c r="L1915" s="15" t="n">
        <f aca="false">IFERROR(G1915/F1915,0)</f>
        <v>0.933333333333333</v>
      </c>
      <c r="M1915" s="15" t="n">
        <f aca="false">IFERROR((I1915-H1915)/H1915,0)</f>
        <v>-0.0105554432819811</v>
      </c>
      <c r="N1915" s="16" t="n">
        <f aca="false">G1915*I1915</f>
        <v>26732.16</v>
      </c>
    </row>
    <row r="1916" customFormat="false" ht="15" hidden="false" customHeight="true" outlineLevel="0" collapsed="false">
      <c r="A1916" s="4" t="s">
        <v>2092</v>
      </c>
      <c r="B1916" s="4" t="s">
        <v>91</v>
      </c>
      <c r="C1916" s="13" t="n">
        <v>45210</v>
      </c>
      <c r="D1916" s="13" t="n">
        <v>45230</v>
      </c>
      <c r="E1916" s="13" t="n">
        <v>45228</v>
      </c>
      <c r="F1916" s="4" t="n">
        <v>428</v>
      </c>
      <c r="G1916" s="4" t="n">
        <v>420</v>
      </c>
      <c r="H1916" s="4" t="n">
        <v>496.29</v>
      </c>
      <c r="I1916" s="4" t="n">
        <v>488.1</v>
      </c>
      <c r="J1916" s="14" t="n">
        <f aca="false">E1916-D1916</f>
        <v>-2</v>
      </c>
      <c r="K1916" s="14" t="n">
        <f aca="false">IF(J1916&lt;=0,1,0)</f>
        <v>1</v>
      </c>
      <c r="L1916" s="15" t="n">
        <f aca="false">IFERROR(G1916/F1916,0)</f>
        <v>0.981308411214953</v>
      </c>
      <c r="M1916" s="15" t="n">
        <f aca="false">IFERROR((I1916-H1916)/H1916,0)</f>
        <v>-0.0165024481653872</v>
      </c>
      <c r="N1916" s="16" t="n">
        <f aca="false">G1916*I1916</f>
        <v>205002</v>
      </c>
    </row>
    <row r="1917" customFormat="false" ht="15" hidden="false" customHeight="true" outlineLevel="0" collapsed="false">
      <c r="A1917" s="4" t="s">
        <v>2093</v>
      </c>
      <c r="B1917" s="4" t="s">
        <v>43</v>
      </c>
      <c r="C1917" s="13" t="n">
        <v>45506</v>
      </c>
      <c r="D1917" s="13" t="n">
        <v>45523</v>
      </c>
      <c r="E1917" s="13" t="n">
        <v>45524</v>
      </c>
      <c r="F1917" s="4" t="n">
        <v>392</v>
      </c>
      <c r="G1917" s="4" t="n">
        <v>390</v>
      </c>
      <c r="H1917" s="4" t="n">
        <v>1321.6</v>
      </c>
      <c r="I1917" s="4" t="n">
        <v>1350.47</v>
      </c>
      <c r="J1917" s="14" t="n">
        <f aca="false">E1917-D1917</f>
        <v>1</v>
      </c>
      <c r="K1917" s="14" t="n">
        <f aca="false">IF(J1917&lt;=0,1,0)</f>
        <v>0</v>
      </c>
      <c r="L1917" s="15" t="n">
        <f aca="false">IFERROR(G1917/F1917,0)</f>
        <v>0.994897959183674</v>
      </c>
      <c r="M1917" s="15" t="n">
        <f aca="false">IFERROR((I1917-H1917)/H1917,0)</f>
        <v>0.0218447336561744</v>
      </c>
      <c r="N1917" s="16" t="n">
        <f aca="false">G1917*I1917</f>
        <v>526683.3</v>
      </c>
    </row>
    <row r="1918" customFormat="false" ht="15" hidden="false" customHeight="true" outlineLevel="0" collapsed="false">
      <c r="A1918" s="4" t="s">
        <v>2094</v>
      </c>
      <c r="B1918" s="4" t="s">
        <v>153</v>
      </c>
      <c r="C1918" s="13" t="n">
        <v>45425</v>
      </c>
      <c r="D1918" s="13" t="n">
        <v>45442</v>
      </c>
      <c r="E1918" s="13" t="n">
        <v>45450</v>
      </c>
      <c r="F1918" s="4" t="n">
        <v>208</v>
      </c>
      <c r="G1918" s="4" t="n">
        <v>190</v>
      </c>
      <c r="H1918" s="4" t="n">
        <v>1492.04</v>
      </c>
      <c r="I1918" s="4" t="n">
        <v>1543.05</v>
      </c>
      <c r="J1918" s="14" t="n">
        <f aca="false">E1918-D1918</f>
        <v>8</v>
      </c>
      <c r="K1918" s="14" t="n">
        <f aca="false">IF(J1918&lt;=0,1,0)</f>
        <v>0</v>
      </c>
      <c r="L1918" s="15" t="n">
        <f aca="false">IFERROR(G1918/F1918,0)</f>
        <v>0.913461538461538</v>
      </c>
      <c r="M1918" s="15" t="n">
        <f aca="false">IFERROR((I1918-H1918)/H1918,0)</f>
        <v>0.0341880914720785</v>
      </c>
      <c r="N1918" s="16" t="n">
        <f aca="false">G1918*I1918</f>
        <v>293179.5</v>
      </c>
    </row>
    <row r="1919" customFormat="false" ht="15" hidden="false" customHeight="true" outlineLevel="0" collapsed="false">
      <c r="A1919" s="4" t="s">
        <v>2095</v>
      </c>
      <c r="B1919" s="4" t="s">
        <v>55</v>
      </c>
      <c r="C1919" s="13" t="n">
        <v>45364</v>
      </c>
      <c r="D1919" s="13" t="n">
        <v>45384</v>
      </c>
      <c r="E1919" s="13" t="n">
        <v>45384</v>
      </c>
      <c r="F1919" s="4" t="n">
        <v>388</v>
      </c>
      <c r="G1919" s="4" t="n">
        <v>362</v>
      </c>
      <c r="H1919" s="4" t="n">
        <v>598.09</v>
      </c>
      <c r="I1919" s="4" t="n">
        <v>564.66</v>
      </c>
      <c r="J1919" s="14" t="n">
        <f aca="false">E1919-D1919</f>
        <v>0</v>
      </c>
      <c r="K1919" s="14" t="n">
        <f aca="false">IF(J1919&lt;=0,1,0)</f>
        <v>1</v>
      </c>
      <c r="L1919" s="15" t="n">
        <f aca="false">IFERROR(G1919/F1919,0)</f>
        <v>0.93298969072165</v>
      </c>
      <c r="M1919" s="15" t="n">
        <f aca="false">IFERROR((I1919-H1919)/H1919,0)</f>
        <v>-0.0558945978030063</v>
      </c>
      <c r="N1919" s="16" t="n">
        <f aca="false">G1919*I1919</f>
        <v>204406.92</v>
      </c>
    </row>
    <row r="1920" customFormat="false" ht="15" hidden="false" customHeight="true" outlineLevel="0" collapsed="false">
      <c r="A1920" s="4" t="s">
        <v>2096</v>
      </c>
      <c r="B1920" s="4" t="s">
        <v>91</v>
      </c>
      <c r="C1920" s="13" t="n">
        <v>45507</v>
      </c>
      <c r="D1920" s="13" t="n">
        <v>45524</v>
      </c>
      <c r="E1920" s="13" t="n">
        <v>45529</v>
      </c>
      <c r="F1920" s="4" t="n">
        <v>230</v>
      </c>
      <c r="G1920" s="4" t="n">
        <v>224</v>
      </c>
      <c r="H1920" s="4" t="n">
        <v>496.29</v>
      </c>
      <c r="I1920" s="4" t="n">
        <v>484.86</v>
      </c>
      <c r="J1920" s="14" t="n">
        <f aca="false">E1920-D1920</f>
        <v>5</v>
      </c>
      <c r="K1920" s="14" t="n">
        <f aca="false">IF(J1920&lt;=0,1,0)</f>
        <v>0</v>
      </c>
      <c r="L1920" s="15" t="n">
        <f aca="false">IFERROR(G1920/F1920,0)</f>
        <v>0.973913043478261</v>
      </c>
      <c r="M1920" s="15" t="n">
        <f aca="false">IFERROR((I1920-H1920)/H1920,0)</f>
        <v>-0.023030889197848</v>
      </c>
      <c r="N1920" s="16" t="n">
        <f aca="false">G1920*I1920</f>
        <v>108608.64</v>
      </c>
    </row>
    <row r="1921" customFormat="false" ht="15" hidden="false" customHeight="true" outlineLevel="0" collapsed="false">
      <c r="A1921" s="4" t="s">
        <v>2097</v>
      </c>
      <c r="B1921" s="4" t="s">
        <v>32</v>
      </c>
      <c r="C1921" s="13" t="n">
        <v>45577</v>
      </c>
      <c r="D1921" s="13" t="n">
        <v>45583</v>
      </c>
      <c r="E1921" s="13" t="n">
        <v>45584</v>
      </c>
      <c r="F1921" s="4" t="n">
        <v>2277</v>
      </c>
      <c r="G1921" s="4" t="n">
        <v>2073</v>
      </c>
      <c r="H1921" s="4" t="n">
        <v>32.49</v>
      </c>
      <c r="I1921" s="4" t="n">
        <v>32.99</v>
      </c>
      <c r="J1921" s="14" t="n">
        <f aca="false">E1921-D1921</f>
        <v>1</v>
      </c>
      <c r="K1921" s="14" t="n">
        <f aca="false">IF(J1921&lt;=0,1,0)</f>
        <v>0</v>
      </c>
      <c r="L1921" s="15" t="n">
        <f aca="false">IFERROR(G1921/F1921,0)</f>
        <v>0.910408432147563</v>
      </c>
      <c r="M1921" s="15" t="n">
        <f aca="false">IFERROR((I1921-H1921)/H1921,0)</f>
        <v>0.015389350569406</v>
      </c>
      <c r="N1921" s="16" t="n">
        <f aca="false">G1921*I1921</f>
        <v>68388.27</v>
      </c>
    </row>
    <row r="1922" customFormat="false" ht="15" hidden="false" customHeight="true" outlineLevel="0" collapsed="false">
      <c r="A1922" s="4" t="s">
        <v>2098</v>
      </c>
      <c r="B1922" s="4" t="s">
        <v>85</v>
      </c>
      <c r="C1922" s="13" t="n">
        <v>45301</v>
      </c>
      <c r="D1922" s="13" t="n">
        <v>45310</v>
      </c>
      <c r="E1922" s="13" t="n">
        <v>45309</v>
      </c>
      <c r="F1922" s="4" t="n">
        <v>297</v>
      </c>
      <c r="G1922" s="4" t="n">
        <v>288</v>
      </c>
      <c r="H1922" s="4" t="n">
        <v>241.88</v>
      </c>
      <c r="I1922" s="4" t="n">
        <v>232.46</v>
      </c>
      <c r="J1922" s="14" t="n">
        <f aca="false">E1922-D1922</f>
        <v>-1</v>
      </c>
      <c r="K1922" s="14" t="n">
        <f aca="false">IF(J1922&lt;=0,1,0)</f>
        <v>1</v>
      </c>
      <c r="L1922" s="15" t="n">
        <f aca="false">IFERROR(G1922/F1922,0)</f>
        <v>0.96969696969697</v>
      </c>
      <c r="M1922" s="15" t="n">
        <f aca="false">IFERROR((I1922-H1922)/H1922,0)</f>
        <v>-0.0389449313709277</v>
      </c>
      <c r="N1922" s="16" t="n">
        <f aca="false">G1922*I1922</f>
        <v>66948.48</v>
      </c>
    </row>
    <row r="1923" customFormat="false" ht="15" hidden="false" customHeight="true" outlineLevel="0" collapsed="false">
      <c r="A1923" s="4" t="s">
        <v>2099</v>
      </c>
      <c r="B1923" s="4" t="s">
        <v>107</v>
      </c>
      <c r="C1923" s="13" t="n">
        <v>45048</v>
      </c>
      <c r="D1923" s="13" t="n">
        <v>45054</v>
      </c>
      <c r="E1923" s="13" t="n">
        <v>45052</v>
      </c>
      <c r="F1923" s="4" t="n">
        <v>3782</v>
      </c>
      <c r="G1923" s="4" t="n">
        <v>3633</v>
      </c>
      <c r="H1923" s="4" t="n">
        <v>40.41</v>
      </c>
      <c r="I1923" s="4" t="n">
        <v>39.65</v>
      </c>
      <c r="J1923" s="14" t="n">
        <f aca="false">E1923-D1923</f>
        <v>-2</v>
      </c>
      <c r="K1923" s="14" t="n">
        <f aca="false">IF(J1923&lt;=0,1,0)</f>
        <v>1</v>
      </c>
      <c r="L1923" s="15" t="n">
        <f aca="false">IFERROR(G1923/F1923,0)</f>
        <v>0.960602855631941</v>
      </c>
      <c r="M1923" s="15" t="n">
        <f aca="false">IFERROR((I1923-H1923)/H1923,0)</f>
        <v>-0.0188072259341747</v>
      </c>
      <c r="N1923" s="16" t="n">
        <f aca="false">G1923*I1923</f>
        <v>144048.45</v>
      </c>
    </row>
    <row r="1924" customFormat="false" ht="15" hidden="false" customHeight="true" outlineLevel="0" collapsed="false">
      <c r="A1924" s="4" t="s">
        <v>2100</v>
      </c>
      <c r="B1924" s="4" t="s">
        <v>149</v>
      </c>
      <c r="C1924" s="13" t="n">
        <v>45496</v>
      </c>
      <c r="D1924" s="13" t="n">
        <v>45500</v>
      </c>
      <c r="E1924" s="13" t="n">
        <v>45502</v>
      </c>
      <c r="F1924" s="4" t="n">
        <v>7</v>
      </c>
      <c r="G1924" s="4" t="n">
        <v>7</v>
      </c>
      <c r="H1924" s="4" t="n">
        <v>1458.52</v>
      </c>
      <c r="I1924" s="4" t="n">
        <v>1472.27</v>
      </c>
      <c r="J1924" s="14" t="n">
        <f aca="false">E1924-D1924</f>
        <v>2</v>
      </c>
      <c r="K1924" s="14" t="n">
        <f aca="false">IF(J1924&lt;=0,1,0)</f>
        <v>0</v>
      </c>
      <c r="L1924" s="15" t="n">
        <f aca="false">IFERROR(G1924/F1924,0)</f>
        <v>1</v>
      </c>
      <c r="M1924" s="15" t="n">
        <f aca="false">IFERROR((I1924-H1924)/H1924,0)</f>
        <v>0.00942736472588652</v>
      </c>
      <c r="N1924" s="16" t="n">
        <f aca="false">G1924*I1924</f>
        <v>10305.89</v>
      </c>
    </row>
    <row r="1925" customFormat="false" ht="15" hidden="false" customHeight="true" outlineLevel="0" collapsed="false">
      <c r="A1925" s="4" t="s">
        <v>2101</v>
      </c>
      <c r="B1925" s="4" t="s">
        <v>141</v>
      </c>
      <c r="C1925" s="13" t="n">
        <v>45177</v>
      </c>
      <c r="D1925" s="13" t="n">
        <v>45197</v>
      </c>
      <c r="E1925" s="13" t="n">
        <v>45199</v>
      </c>
      <c r="F1925" s="4" t="n">
        <v>277</v>
      </c>
      <c r="G1925" s="4" t="n">
        <v>276</v>
      </c>
      <c r="H1925" s="4" t="n">
        <v>1252.36</v>
      </c>
      <c r="I1925" s="4" t="n">
        <v>1236.85</v>
      </c>
      <c r="J1925" s="14" t="n">
        <f aca="false">E1925-D1925</f>
        <v>2</v>
      </c>
      <c r="K1925" s="14" t="n">
        <f aca="false">IF(J1925&lt;=0,1,0)</f>
        <v>0</v>
      </c>
      <c r="L1925" s="15" t="n">
        <f aca="false">IFERROR(G1925/F1925,0)</f>
        <v>0.996389891696751</v>
      </c>
      <c r="M1925" s="15" t="n">
        <f aca="false">IFERROR((I1925-H1925)/H1925,0)</f>
        <v>-0.0123846178415152</v>
      </c>
      <c r="N1925" s="16" t="n">
        <f aca="false">G1925*I1925</f>
        <v>341370.6</v>
      </c>
    </row>
    <row r="1926" customFormat="false" ht="15" hidden="false" customHeight="true" outlineLevel="0" collapsed="false">
      <c r="A1926" s="4" t="s">
        <v>2102</v>
      </c>
      <c r="B1926" s="4" t="s">
        <v>101</v>
      </c>
      <c r="C1926" s="13" t="n">
        <v>45438</v>
      </c>
      <c r="D1926" s="13" t="n">
        <v>45456</v>
      </c>
      <c r="E1926" s="13" t="n">
        <v>45458</v>
      </c>
      <c r="F1926" s="4" t="n">
        <v>232</v>
      </c>
      <c r="G1926" s="4" t="n">
        <v>222</v>
      </c>
      <c r="H1926" s="4" t="n">
        <v>442.74</v>
      </c>
      <c r="I1926" s="4" t="n">
        <v>439.73</v>
      </c>
      <c r="J1926" s="14" t="n">
        <f aca="false">E1926-D1926</f>
        <v>2</v>
      </c>
      <c r="K1926" s="14" t="n">
        <f aca="false">IF(J1926&lt;=0,1,0)</f>
        <v>0</v>
      </c>
      <c r="L1926" s="15" t="n">
        <f aca="false">IFERROR(G1926/F1926,0)</f>
        <v>0.956896551724138</v>
      </c>
      <c r="M1926" s="15" t="n">
        <f aca="false">IFERROR((I1926-H1926)/H1926,0)</f>
        <v>-0.00679857252563579</v>
      </c>
      <c r="N1926" s="16" t="n">
        <f aca="false">G1926*I1926</f>
        <v>97620.06</v>
      </c>
    </row>
    <row r="1927" customFormat="false" ht="15" hidden="false" customHeight="true" outlineLevel="0" collapsed="false">
      <c r="A1927" s="4" t="s">
        <v>2103</v>
      </c>
      <c r="B1927" s="4" t="s">
        <v>107</v>
      </c>
      <c r="C1927" s="13" t="n">
        <v>45598</v>
      </c>
      <c r="D1927" s="13" t="n">
        <v>45607</v>
      </c>
      <c r="E1927" s="13" t="n">
        <v>45609</v>
      </c>
      <c r="F1927" s="4" t="n">
        <v>3136</v>
      </c>
      <c r="G1927" s="4" t="n">
        <v>3136</v>
      </c>
      <c r="H1927" s="4" t="n">
        <v>40.41</v>
      </c>
      <c r="I1927" s="4" t="n">
        <v>40.79</v>
      </c>
      <c r="J1927" s="14" t="n">
        <f aca="false">E1927-D1927</f>
        <v>2</v>
      </c>
      <c r="K1927" s="14" t="n">
        <f aca="false">IF(J1927&lt;=0,1,0)</f>
        <v>0</v>
      </c>
      <c r="L1927" s="15" t="n">
        <f aca="false">IFERROR(G1927/F1927,0)</f>
        <v>1</v>
      </c>
      <c r="M1927" s="15" t="n">
        <f aca="false">IFERROR((I1927-H1927)/H1927,0)</f>
        <v>0.00940361296708742</v>
      </c>
      <c r="N1927" s="16" t="n">
        <f aca="false">G1927*I1927</f>
        <v>127917.44</v>
      </c>
    </row>
    <row r="1928" customFormat="false" ht="15" hidden="false" customHeight="true" outlineLevel="0" collapsed="false">
      <c r="A1928" s="4" t="s">
        <v>2104</v>
      </c>
      <c r="B1928" s="4" t="s">
        <v>103</v>
      </c>
      <c r="C1928" s="13" t="n">
        <v>45347</v>
      </c>
      <c r="D1928" s="13" t="n">
        <v>45366</v>
      </c>
      <c r="E1928" s="13" t="n">
        <v>45371</v>
      </c>
      <c r="F1928" s="4" t="n">
        <v>53</v>
      </c>
      <c r="G1928" s="4" t="n">
        <v>51</v>
      </c>
      <c r="H1928" s="4" t="n">
        <v>1400.22</v>
      </c>
      <c r="I1928" s="4" t="n">
        <v>1453.44</v>
      </c>
      <c r="J1928" s="14" t="n">
        <f aca="false">E1928-D1928</f>
        <v>5</v>
      </c>
      <c r="K1928" s="14" t="n">
        <f aca="false">IF(J1928&lt;=0,1,0)</f>
        <v>0</v>
      </c>
      <c r="L1928" s="15" t="n">
        <f aca="false">IFERROR(G1928/F1928,0)</f>
        <v>0.962264150943396</v>
      </c>
      <c r="M1928" s="15" t="n">
        <f aca="false">IFERROR((I1928-H1928)/H1928,0)</f>
        <v>0.038008312979389</v>
      </c>
      <c r="N1928" s="16" t="n">
        <f aca="false">G1928*I1928</f>
        <v>74125.44</v>
      </c>
    </row>
    <row r="1929" customFormat="false" ht="15" hidden="false" customHeight="true" outlineLevel="0" collapsed="false">
      <c r="A1929" s="4" t="s">
        <v>2105</v>
      </c>
      <c r="B1929" s="4" t="s">
        <v>113</v>
      </c>
      <c r="C1929" s="13" t="n">
        <v>45298</v>
      </c>
      <c r="D1929" s="13" t="n">
        <v>45310</v>
      </c>
      <c r="E1929" s="13" t="n">
        <v>45307</v>
      </c>
      <c r="F1929" s="4" t="n">
        <v>367</v>
      </c>
      <c r="G1929" s="4" t="n">
        <v>362</v>
      </c>
      <c r="H1929" s="4" t="n">
        <v>170.42</v>
      </c>
      <c r="I1929" s="4" t="n">
        <v>173.75</v>
      </c>
      <c r="J1929" s="14" t="n">
        <f aca="false">E1929-D1929</f>
        <v>-3</v>
      </c>
      <c r="K1929" s="14" t="n">
        <f aca="false">IF(J1929&lt;=0,1,0)</f>
        <v>1</v>
      </c>
      <c r="L1929" s="15" t="n">
        <f aca="false">IFERROR(G1929/F1929,0)</f>
        <v>0.986376021798365</v>
      </c>
      <c r="M1929" s="15" t="n">
        <f aca="false">IFERROR((I1929-H1929)/H1929,0)</f>
        <v>0.0195399600985801</v>
      </c>
      <c r="N1929" s="16" t="n">
        <f aca="false">G1929*I1929</f>
        <v>62897.5</v>
      </c>
    </row>
    <row r="1930" customFormat="false" ht="15" hidden="false" customHeight="true" outlineLevel="0" collapsed="false">
      <c r="A1930" s="4" t="s">
        <v>2106</v>
      </c>
      <c r="B1930" s="4" t="s">
        <v>41</v>
      </c>
      <c r="C1930" s="13" t="n">
        <v>45647</v>
      </c>
      <c r="D1930" s="13" t="n">
        <v>45656</v>
      </c>
      <c r="E1930" s="13" t="n">
        <v>45656</v>
      </c>
      <c r="F1930" s="4" t="n">
        <v>3440</v>
      </c>
      <c r="G1930" s="4" t="n">
        <v>3355</v>
      </c>
      <c r="H1930" s="4" t="n">
        <v>45.51</v>
      </c>
      <c r="I1930" s="4" t="n">
        <v>43.6</v>
      </c>
      <c r="J1930" s="14" t="n">
        <f aca="false">E1930-D1930</f>
        <v>0</v>
      </c>
      <c r="K1930" s="14" t="n">
        <f aca="false">IF(J1930&lt;=0,1,0)</f>
        <v>1</v>
      </c>
      <c r="L1930" s="15" t="n">
        <f aca="false">IFERROR(G1930/F1930,0)</f>
        <v>0.975290697674419</v>
      </c>
      <c r="M1930" s="15" t="n">
        <f aca="false">IFERROR((I1930-H1930)/H1930,0)</f>
        <v>-0.041968798066359</v>
      </c>
      <c r="N1930" s="16" t="n">
        <f aca="false">G1930*I1930</f>
        <v>146278</v>
      </c>
    </row>
    <row r="1931" customFormat="false" ht="15" hidden="false" customHeight="true" outlineLevel="0" collapsed="false">
      <c r="A1931" s="4" t="s">
        <v>2107</v>
      </c>
      <c r="B1931" s="4" t="s">
        <v>72</v>
      </c>
      <c r="C1931" s="13" t="n">
        <v>45540</v>
      </c>
      <c r="D1931" s="13" t="n">
        <v>45547</v>
      </c>
      <c r="E1931" s="13" t="n">
        <v>45554</v>
      </c>
      <c r="F1931" s="4" t="n">
        <v>3094</v>
      </c>
      <c r="G1931" s="4" t="n">
        <v>3093</v>
      </c>
      <c r="H1931" s="4" t="n">
        <v>34.53</v>
      </c>
      <c r="I1931" s="4" t="n">
        <v>36.64</v>
      </c>
      <c r="J1931" s="14" t="n">
        <f aca="false">E1931-D1931</f>
        <v>7</v>
      </c>
      <c r="K1931" s="14" t="n">
        <f aca="false">IF(J1931&lt;=0,1,0)</f>
        <v>0</v>
      </c>
      <c r="L1931" s="15" t="n">
        <f aca="false">IFERROR(G1931/F1931,0)</f>
        <v>0.999676793794441</v>
      </c>
      <c r="M1931" s="15" t="n">
        <f aca="false">IFERROR((I1931-H1931)/H1931,0)</f>
        <v>0.0611062843903852</v>
      </c>
      <c r="N1931" s="16" t="n">
        <f aca="false">G1931*I1931</f>
        <v>113327.52</v>
      </c>
    </row>
    <row r="1932" customFormat="false" ht="15" hidden="false" customHeight="true" outlineLevel="0" collapsed="false">
      <c r="A1932" s="4" t="s">
        <v>2108</v>
      </c>
      <c r="B1932" s="4" t="s">
        <v>32</v>
      </c>
      <c r="C1932" s="13" t="n">
        <v>45545</v>
      </c>
      <c r="D1932" s="13" t="n">
        <v>45553</v>
      </c>
      <c r="E1932" s="13" t="n">
        <v>45556</v>
      </c>
      <c r="F1932" s="4" t="n">
        <v>907</v>
      </c>
      <c r="G1932" s="4" t="n">
        <v>798</v>
      </c>
      <c r="H1932" s="4" t="n">
        <v>32.49</v>
      </c>
      <c r="I1932" s="4" t="n">
        <v>32.68</v>
      </c>
      <c r="J1932" s="14" t="n">
        <f aca="false">E1932-D1932</f>
        <v>3</v>
      </c>
      <c r="K1932" s="14" t="n">
        <f aca="false">IF(J1932&lt;=0,1,0)</f>
        <v>0</v>
      </c>
      <c r="L1932" s="15" t="n">
        <f aca="false">IFERROR(G1932/F1932,0)</f>
        <v>0.879823594266814</v>
      </c>
      <c r="M1932" s="15" t="n">
        <f aca="false">IFERROR((I1932-H1932)/H1932,0)</f>
        <v>0.0058479532163742</v>
      </c>
      <c r="N1932" s="16" t="n">
        <f aca="false">G1932*I1932</f>
        <v>26078.64</v>
      </c>
    </row>
    <row r="1933" customFormat="false" ht="15" hidden="false" customHeight="true" outlineLevel="0" collapsed="false">
      <c r="A1933" s="4" t="s">
        <v>2109</v>
      </c>
      <c r="B1933" s="4" t="s">
        <v>70</v>
      </c>
      <c r="C1933" s="13" t="n">
        <v>45201</v>
      </c>
      <c r="D1933" s="13" t="n">
        <v>45209</v>
      </c>
      <c r="E1933" s="13" t="n">
        <v>45213</v>
      </c>
      <c r="F1933" s="4" t="n">
        <v>3646</v>
      </c>
      <c r="G1933" s="4" t="n">
        <v>3333</v>
      </c>
      <c r="H1933" s="4" t="n">
        <v>35.88</v>
      </c>
      <c r="I1933" s="4" t="n">
        <v>36.93</v>
      </c>
      <c r="J1933" s="14" t="n">
        <f aca="false">E1933-D1933</f>
        <v>4</v>
      </c>
      <c r="K1933" s="14" t="n">
        <f aca="false">IF(J1933&lt;=0,1,0)</f>
        <v>0</v>
      </c>
      <c r="L1933" s="15" t="n">
        <f aca="false">IFERROR(G1933/F1933,0)</f>
        <v>0.914152495885902</v>
      </c>
      <c r="M1933" s="15" t="n">
        <f aca="false">IFERROR((I1933-H1933)/H1933,0)</f>
        <v>0.0292642140468227</v>
      </c>
      <c r="N1933" s="16" t="n">
        <f aca="false">G1933*I1933</f>
        <v>123087.69</v>
      </c>
    </row>
    <row r="1934" customFormat="false" ht="15" hidden="false" customHeight="true" outlineLevel="0" collapsed="false">
      <c r="A1934" s="4" t="s">
        <v>2110</v>
      </c>
      <c r="B1934" s="4" t="s">
        <v>163</v>
      </c>
      <c r="C1934" s="13" t="n">
        <v>45491</v>
      </c>
      <c r="D1934" s="13" t="n">
        <v>45508</v>
      </c>
      <c r="E1934" s="13" t="n">
        <v>45509</v>
      </c>
      <c r="F1934" s="4" t="n">
        <v>323</v>
      </c>
      <c r="G1934" s="4" t="n">
        <v>308</v>
      </c>
      <c r="H1934" s="4" t="n">
        <v>482.79</v>
      </c>
      <c r="I1934" s="4" t="n">
        <v>500.35</v>
      </c>
      <c r="J1934" s="14" t="n">
        <f aca="false">E1934-D1934</f>
        <v>1</v>
      </c>
      <c r="K1934" s="14" t="n">
        <f aca="false">IF(J1934&lt;=0,1,0)</f>
        <v>0</v>
      </c>
      <c r="L1934" s="15" t="n">
        <f aca="false">IFERROR(G1934/F1934,0)</f>
        <v>0.953560371517028</v>
      </c>
      <c r="M1934" s="15" t="n">
        <f aca="false">IFERROR((I1934-H1934)/H1934,0)</f>
        <v>0.0363719215393857</v>
      </c>
      <c r="N1934" s="16" t="n">
        <f aca="false">G1934*I1934</f>
        <v>154107.8</v>
      </c>
    </row>
    <row r="1935" customFormat="false" ht="15" hidden="false" customHeight="true" outlineLevel="0" collapsed="false">
      <c r="A1935" s="4" t="s">
        <v>2111</v>
      </c>
      <c r="B1935" s="4" t="s">
        <v>131</v>
      </c>
      <c r="C1935" s="13" t="n">
        <v>45161</v>
      </c>
      <c r="D1935" s="13" t="n">
        <v>45170</v>
      </c>
      <c r="E1935" s="13" t="n">
        <v>45175</v>
      </c>
      <c r="F1935" s="4" t="n">
        <v>912</v>
      </c>
      <c r="G1935" s="4" t="n">
        <v>912</v>
      </c>
      <c r="H1935" s="4" t="n">
        <v>88.52</v>
      </c>
      <c r="I1935" s="4" t="n">
        <v>89.49</v>
      </c>
      <c r="J1935" s="14" t="n">
        <f aca="false">E1935-D1935</f>
        <v>5</v>
      </c>
      <c r="K1935" s="14" t="n">
        <f aca="false">IF(J1935&lt;=0,1,0)</f>
        <v>0</v>
      </c>
      <c r="L1935" s="15" t="n">
        <f aca="false">IFERROR(G1935/F1935,0)</f>
        <v>1</v>
      </c>
      <c r="M1935" s="15" t="n">
        <f aca="false">IFERROR((I1935-H1935)/H1935,0)</f>
        <v>0.0109579755987347</v>
      </c>
      <c r="N1935" s="16" t="n">
        <f aca="false">G1935*I1935</f>
        <v>81614.88</v>
      </c>
    </row>
    <row r="1936" customFormat="false" ht="15" hidden="false" customHeight="true" outlineLevel="0" collapsed="false">
      <c r="A1936" s="4" t="s">
        <v>2112</v>
      </c>
      <c r="B1936" s="4" t="s">
        <v>145</v>
      </c>
      <c r="C1936" s="13" t="n">
        <v>44967</v>
      </c>
      <c r="D1936" s="13" t="n">
        <v>44977</v>
      </c>
      <c r="E1936" s="13" t="n">
        <v>44980</v>
      </c>
      <c r="F1936" s="4" t="n">
        <v>1483</v>
      </c>
      <c r="G1936" s="4" t="n">
        <v>1423</v>
      </c>
      <c r="H1936" s="4" t="n">
        <v>237.04</v>
      </c>
      <c r="I1936" s="4" t="n">
        <v>242.69</v>
      </c>
      <c r="J1936" s="14" t="n">
        <f aca="false">E1936-D1936</f>
        <v>3</v>
      </c>
      <c r="K1936" s="14" t="n">
        <f aca="false">IF(J1936&lt;=0,1,0)</f>
        <v>0</v>
      </c>
      <c r="L1936" s="15" t="n">
        <f aca="false">IFERROR(G1936/F1936,0)</f>
        <v>0.959541469993257</v>
      </c>
      <c r="M1936" s="15" t="n">
        <f aca="false">IFERROR((I1936-H1936)/H1936,0)</f>
        <v>0.0238356395545056</v>
      </c>
      <c r="N1936" s="16" t="n">
        <f aca="false">G1936*I1936</f>
        <v>345347.87</v>
      </c>
    </row>
    <row r="1937" customFormat="false" ht="15" hidden="false" customHeight="true" outlineLevel="0" collapsed="false">
      <c r="A1937" s="4" t="s">
        <v>2113</v>
      </c>
      <c r="B1937" s="4" t="s">
        <v>93</v>
      </c>
      <c r="C1937" s="13" t="n">
        <v>45290</v>
      </c>
      <c r="D1937" s="13" t="n">
        <v>45301</v>
      </c>
      <c r="E1937" s="13" t="n">
        <v>45302</v>
      </c>
      <c r="F1937" s="4" t="n">
        <v>1531</v>
      </c>
      <c r="G1937" s="4" t="n">
        <v>1468</v>
      </c>
      <c r="H1937" s="4" t="n">
        <v>174.25</v>
      </c>
      <c r="I1937" s="4" t="n">
        <v>180.01</v>
      </c>
      <c r="J1937" s="14" t="n">
        <f aca="false">E1937-D1937</f>
        <v>1</v>
      </c>
      <c r="K1937" s="14" t="n">
        <f aca="false">IF(J1937&lt;=0,1,0)</f>
        <v>0</v>
      </c>
      <c r="L1937" s="15" t="n">
        <f aca="false">IFERROR(G1937/F1937,0)</f>
        <v>0.958850424559112</v>
      </c>
      <c r="M1937" s="15" t="n">
        <f aca="false">IFERROR((I1937-H1937)/H1937,0)</f>
        <v>0.0330559540889526</v>
      </c>
      <c r="N1937" s="16" t="n">
        <f aca="false">G1937*I1937</f>
        <v>264254.68</v>
      </c>
    </row>
    <row r="1938" customFormat="false" ht="15" hidden="false" customHeight="true" outlineLevel="0" collapsed="false">
      <c r="A1938" s="4" t="s">
        <v>2114</v>
      </c>
      <c r="B1938" s="4" t="s">
        <v>37</v>
      </c>
      <c r="C1938" s="13" t="n">
        <v>45191</v>
      </c>
      <c r="D1938" s="13" t="n">
        <v>45197</v>
      </c>
      <c r="E1938" s="13" t="n">
        <v>45191</v>
      </c>
      <c r="F1938" s="4" t="n">
        <v>3366</v>
      </c>
      <c r="G1938" s="4" t="n">
        <v>3366</v>
      </c>
      <c r="H1938" s="4" t="n">
        <v>22.26</v>
      </c>
      <c r="I1938" s="4" t="n">
        <v>21.59</v>
      </c>
      <c r="J1938" s="14" t="n">
        <f aca="false">E1938-D1938</f>
        <v>-6</v>
      </c>
      <c r="K1938" s="14" t="n">
        <f aca="false">IF(J1938&lt;=0,1,0)</f>
        <v>1</v>
      </c>
      <c r="L1938" s="15" t="n">
        <f aca="false">IFERROR(G1938/F1938,0)</f>
        <v>1</v>
      </c>
      <c r="M1938" s="15" t="n">
        <f aca="false">IFERROR((I1938-H1938)/H1938,0)</f>
        <v>-0.0300988319856245</v>
      </c>
      <c r="N1938" s="16" t="n">
        <f aca="false">G1938*I1938</f>
        <v>72671.94</v>
      </c>
    </row>
    <row r="1939" customFormat="false" ht="15" hidden="false" customHeight="true" outlineLevel="0" collapsed="false">
      <c r="A1939" s="4" t="s">
        <v>2115</v>
      </c>
      <c r="B1939" s="4" t="s">
        <v>145</v>
      </c>
      <c r="C1939" s="13" t="n">
        <v>45156</v>
      </c>
      <c r="D1939" s="13" t="n">
        <v>45167</v>
      </c>
      <c r="E1939" s="13" t="n">
        <v>45175</v>
      </c>
      <c r="F1939" s="4" t="n">
        <v>577</v>
      </c>
      <c r="G1939" s="4" t="n">
        <v>547</v>
      </c>
      <c r="H1939" s="4" t="n">
        <v>237.04</v>
      </c>
      <c r="I1939" s="4" t="n">
        <v>249.13</v>
      </c>
      <c r="J1939" s="14" t="n">
        <f aca="false">E1939-D1939</f>
        <v>8</v>
      </c>
      <c r="K1939" s="14" t="n">
        <f aca="false">IF(J1939&lt;=0,1,0)</f>
        <v>0</v>
      </c>
      <c r="L1939" s="15" t="n">
        <f aca="false">IFERROR(G1939/F1939,0)</f>
        <v>0.948006932409012</v>
      </c>
      <c r="M1939" s="15" t="n">
        <f aca="false">IFERROR((I1939-H1939)/H1939,0)</f>
        <v>0.0510040499493757</v>
      </c>
      <c r="N1939" s="16" t="n">
        <f aca="false">G1939*I1939</f>
        <v>136274.11</v>
      </c>
    </row>
    <row r="1940" customFormat="false" ht="15" hidden="false" customHeight="true" outlineLevel="0" collapsed="false">
      <c r="A1940" s="4" t="s">
        <v>2116</v>
      </c>
      <c r="B1940" s="4" t="s">
        <v>127</v>
      </c>
      <c r="C1940" s="13" t="n">
        <v>45480</v>
      </c>
      <c r="D1940" s="13" t="n">
        <v>45485</v>
      </c>
      <c r="E1940" s="13" t="n">
        <v>45488</v>
      </c>
      <c r="F1940" s="4" t="n">
        <v>16</v>
      </c>
      <c r="G1940" s="4" t="n">
        <v>16</v>
      </c>
      <c r="H1940" s="4" t="n">
        <v>1881</v>
      </c>
      <c r="I1940" s="4" t="n">
        <v>1802.1</v>
      </c>
      <c r="J1940" s="14" t="n">
        <f aca="false">E1940-D1940</f>
        <v>3</v>
      </c>
      <c r="K1940" s="14" t="n">
        <f aca="false">IF(J1940&lt;=0,1,0)</f>
        <v>0</v>
      </c>
      <c r="L1940" s="15" t="n">
        <f aca="false">IFERROR(G1940/F1940,0)</f>
        <v>1</v>
      </c>
      <c r="M1940" s="15" t="n">
        <f aca="false">IFERROR((I1940-H1940)/H1940,0)</f>
        <v>-0.0419457735247209</v>
      </c>
      <c r="N1940" s="16" t="n">
        <f aca="false">G1940*I1940</f>
        <v>28833.6</v>
      </c>
    </row>
    <row r="1941" customFormat="false" ht="15" hidden="false" customHeight="true" outlineLevel="0" collapsed="false">
      <c r="A1941" s="4" t="s">
        <v>2117</v>
      </c>
      <c r="B1941" s="4" t="s">
        <v>143</v>
      </c>
      <c r="C1941" s="13" t="n">
        <v>45436</v>
      </c>
      <c r="D1941" s="13" t="n">
        <v>45442</v>
      </c>
      <c r="E1941" s="13" t="n">
        <v>45455</v>
      </c>
      <c r="F1941" s="4" t="n">
        <v>3667</v>
      </c>
      <c r="G1941" s="4" t="n">
        <v>3434</v>
      </c>
      <c r="H1941" s="4" t="n">
        <v>20.6</v>
      </c>
      <c r="I1941" s="4" t="n">
        <v>21.65</v>
      </c>
      <c r="J1941" s="14" t="n">
        <f aca="false">E1941-D1941</f>
        <v>13</v>
      </c>
      <c r="K1941" s="14" t="n">
        <f aca="false">IF(J1941&lt;=0,1,0)</f>
        <v>0</v>
      </c>
      <c r="L1941" s="15" t="n">
        <f aca="false">IFERROR(G1941/F1941,0)</f>
        <v>0.936460321788928</v>
      </c>
      <c r="M1941" s="15" t="n">
        <f aca="false">IFERROR((I1941-H1941)/H1941,0)</f>
        <v>0.0509708737864076</v>
      </c>
      <c r="N1941" s="16" t="n">
        <f aca="false">G1941*I1941</f>
        <v>74346.1</v>
      </c>
    </row>
    <row r="1942" customFormat="false" ht="15" hidden="false" customHeight="true" outlineLevel="0" collapsed="false">
      <c r="A1942" s="4" t="s">
        <v>2118</v>
      </c>
      <c r="B1942" s="4" t="s">
        <v>87</v>
      </c>
      <c r="C1942" s="13" t="n">
        <v>44996</v>
      </c>
      <c r="D1942" s="13" t="n">
        <v>45005</v>
      </c>
      <c r="E1942" s="13" t="n">
        <v>45006</v>
      </c>
      <c r="F1942" s="4" t="n">
        <v>451</v>
      </c>
      <c r="G1942" s="4" t="n">
        <v>417</v>
      </c>
      <c r="H1942" s="4" t="n">
        <v>161.95</v>
      </c>
      <c r="I1942" s="4" t="n">
        <v>165.18</v>
      </c>
      <c r="J1942" s="14" t="n">
        <f aca="false">E1942-D1942</f>
        <v>1</v>
      </c>
      <c r="K1942" s="14" t="n">
        <f aca="false">IF(J1942&lt;=0,1,0)</f>
        <v>0</v>
      </c>
      <c r="L1942" s="15" t="n">
        <f aca="false">IFERROR(G1942/F1942,0)</f>
        <v>0.924611973392461</v>
      </c>
      <c r="M1942" s="15" t="n">
        <f aca="false">IFERROR((I1942-H1942)/H1942,0)</f>
        <v>0.0199444272923743</v>
      </c>
      <c r="N1942" s="16" t="n">
        <f aca="false">G1942*I1942</f>
        <v>68880.06</v>
      </c>
    </row>
    <row r="1943" customFormat="false" ht="15" hidden="false" customHeight="true" outlineLevel="0" collapsed="false">
      <c r="A1943" s="4" t="s">
        <v>2119</v>
      </c>
      <c r="B1943" s="4" t="s">
        <v>159</v>
      </c>
      <c r="C1943" s="13" t="n">
        <v>45012</v>
      </c>
      <c r="D1943" s="13" t="n">
        <v>45018</v>
      </c>
      <c r="E1943" s="13" t="n">
        <v>45021</v>
      </c>
      <c r="F1943" s="4" t="n">
        <v>2744</v>
      </c>
      <c r="G1943" s="4" t="n">
        <v>2691</v>
      </c>
      <c r="H1943" s="4" t="n">
        <v>32.91</v>
      </c>
      <c r="I1943" s="4" t="n">
        <v>33.11</v>
      </c>
      <c r="J1943" s="14" t="n">
        <f aca="false">E1943-D1943</f>
        <v>3</v>
      </c>
      <c r="K1943" s="14" t="n">
        <f aca="false">IF(J1943&lt;=0,1,0)</f>
        <v>0</v>
      </c>
      <c r="L1943" s="15" t="n">
        <f aca="false">IFERROR(G1943/F1943,0)</f>
        <v>0.980685131195335</v>
      </c>
      <c r="M1943" s="15" t="n">
        <f aca="false">IFERROR((I1943-H1943)/H1943,0)</f>
        <v>0.00607718018839267</v>
      </c>
      <c r="N1943" s="16" t="n">
        <f aca="false">G1943*I1943</f>
        <v>89099.01</v>
      </c>
    </row>
    <row r="1944" customFormat="false" ht="15" hidden="false" customHeight="true" outlineLevel="0" collapsed="false">
      <c r="A1944" s="4" t="s">
        <v>2120</v>
      </c>
      <c r="B1944" s="4" t="s">
        <v>101</v>
      </c>
      <c r="C1944" s="13" t="n">
        <v>45054</v>
      </c>
      <c r="D1944" s="13" t="n">
        <v>45074</v>
      </c>
      <c r="E1944" s="13" t="n">
        <v>45076</v>
      </c>
      <c r="F1944" s="4" t="n">
        <v>192</v>
      </c>
      <c r="G1944" s="4" t="n">
        <v>183</v>
      </c>
      <c r="H1944" s="4" t="n">
        <v>442.74</v>
      </c>
      <c r="I1944" s="4" t="n">
        <v>444.14</v>
      </c>
      <c r="J1944" s="14" t="n">
        <f aca="false">E1944-D1944</f>
        <v>2</v>
      </c>
      <c r="K1944" s="14" t="n">
        <f aca="false">IF(J1944&lt;=0,1,0)</f>
        <v>0</v>
      </c>
      <c r="L1944" s="15" t="n">
        <f aca="false">IFERROR(G1944/F1944,0)</f>
        <v>0.953125</v>
      </c>
      <c r="M1944" s="15" t="n">
        <f aca="false">IFERROR((I1944-H1944)/H1944,0)</f>
        <v>0.00316212675610963</v>
      </c>
      <c r="N1944" s="16" t="n">
        <f aca="false">G1944*I1944</f>
        <v>81277.62</v>
      </c>
    </row>
    <row r="1945" customFormat="false" ht="15" hidden="false" customHeight="true" outlineLevel="0" collapsed="false">
      <c r="A1945" s="4" t="s">
        <v>2121</v>
      </c>
      <c r="B1945" s="4" t="s">
        <v>155</v>
      </c>
      <c r="C1945" s="13" t="n">
        <v>45032</v>
      </c>
      <c r="D1945" s="13" t="n">
        <v>45041</v>
      </c>
      <c r="E1945" s="13" t="n">
        <v>45036</v>
      </c>
      <c r="F1945" s="4" t="n">
        <v>3898</v>
      </c>
      <c r="G1945" s="4" t="n">
        <v>3653</v>
      </c>
      <c r="H1945" s="4" t="n">
        <v>24.04</v>
      </c>
      <c r="I1945" s="4" t="n">
        <v>24.07</v>
      </c>
      <c r="J1945" s="14" t="n">
        <f aca="false">E1945-D1945</f>
        <v>-5</v>
      </c>
      <c r="K1945" s="14" t="n">
        <f aca="false">IF(J1945&lt;=0,1,0)</f>
        <v>1</v>
      </c>
      <c r="L1945" s="15" t="n">
        <f aca="false">IFERROR(G1945/F1945,0)</f>
        <v>0.937147255002566</v>
      </c>
      <c r="M1945" s="15" t="n">
        <f aca="false">IFERROR((I1945-H1945)/H1945,0)</f>
        <v>0.00124792013311153</v>
      </c>
      <c r="N1945" s="16" t="n">
        <f aca="false">G1945*I1945</f>
        <v>87927.71</v>
      </c>
    </row>
    <row r="1946" customFormat="false" ht="15" hidden="false" customHeight="true" outlineLevel="0" collapsed="false">
      <c r="A1946" s="4" t="s">
        <v>2122</v>
      </c>
      <c r="B1946" s="4" t="s">
        <v>87</v>
      </c>
      <c r="C1946" s="13" t="n">
        <v>45651</v>
      </c>
      <c r="D1946" s="13" t="n">
        <v>45663</v>
      </c>
      <c r="E1946" s="13" t="n">
        <v>45661</v>
      </c>
      <c r="F1946" s="4" t="n">
        <v>1612</v>
      </c>
      <c r="G1946" s="4" t="n">
        <v>1468</v>
      </c>
      <c r="H1946" s="4" t="n">
        <v>161.95</v>
      </c>
      <c r="I1946" s="4" t="n">
        <v>197.15</v>
      </c>
      <c r="J1946" s="14" t="n">
        <f aca="false">E1946-D1946</f>
        <v>-2</v>
      </c>
      <c r="K1946" s="14" t="n">
        <f aca="false">IF(J1946&lt;=0,1,0)</f>
        <v>1</v>
      </c>
      <c r="L1946" s="15" t="n">
        <f aca="false">IFERROR(G1946/F1946,0)</f>
        <v>0.910669975186104</v>
      </c>
      <c r="M1946" s="15" t="n">
        <f aca="false">IFERROR((I1946-H1946)/H1946,0)</f>
        <v>0.217351034269836</v>
      </c>
      <c r="N1946" s="16" t="n">
        <f aca="false">G1946*I1946</f>
        <v>289416.2</v>
      </c>
    </row>
    <row r="1947" customFormat="false" ht="15" hidden="false" customHeight="true" outlineLevel="0" collapsed="false">
      <c r="A1947" s="4" t="s">
        <v>2123</v>
      </c>
      <c r="B1947" s="4" t="s">
        <v>68</v>
      </c>
      <c r="C1947" s="13" t="n">
        <v>45276</v>
      </c>
      <c r="D1947" s="13" t="n">
        <v>45295</v>
      </c>
      <c r="E1947" s="13" t="n">
        <v>45299</v>
      </c>
      <c r="F1947" s="4" t="n">
        <v>111</v>
      </c>
      <c r="G1947" s="4" t="n">
        <v>105</v>
      </c>
      <c r="H1947" s="4" t="n">
        <v>1232.83</v>
      </c>
      <c r="I1947" s="4" t="n">
        <v>1258.84</v>
      </c>
      <c r="J1947" s="14" t="n">
        <f aca="false">E1947-D1947</f>
        <v>4</v>
      </c>
      <c r="K1947" s="14" t="n">
        <f aca="false">IF(J1947&lt;=0,1,0)</f>
        <v>0</v>
      </c>
      <c r="L1947" s="15" t="n">
        <f aca="false">IFERROR(G1947/F1947,0)</f>
        <v>0.945945945945946</v>
      </c>
      <c r="M1947" s="15" t="n">
        <f aca="false">IFERROR((I1947-H1947)/H1947,0)</f>
        <v>0.0210977993721762</v>
      </c>
      <c r="N1947" s="16" t="n">
        <f aca="false">G1947*I1947</f>
        <v>132178.2</v>
      </c>
    </row>
    <row r="1948" customFormat="false" ht="15" hidden="false" customHeight="true" outlineLevel="0" collapsed="false">
      <c r="A1948" s="4" t="s">
        <v>2124</v>
      </c>
      <c r="B1948" s="4" t="s">
        <v>91</v>
      </c>
      <c r="C1948" s="13" t="n">
        <v>45033</v>
      </c>
      <c r="D1948" s="13" t="n">
        <v>45053</v>
      </c>
      <c r="E1948" s="13" t="n">
        <v>45054</v>
      </c>
      <c r="F1948" s="4" t="n">
        <v>195</v>
      </c>
      <c r="G1948" s="4" t="n">
        <v>189</v>
      </c>
      <c r="H1948" s="4" t="n">
        <v>496.29</v>
      </c>
      <c r="I1948" s="4" t="n">
        <v>503.43</v>
      </c>
      <c r="J1948" s="14" t="n">
        <f aca="false">E1948-D1948</f>
        <v>1</v>
      </c>
      <c r="K1948" s="14" t="n">
        <f aca="false">IF(J1948&lt;=0,1,0)</f>
        <v>0</v>
      </c>
      <c r="L1948" s="15" t="n">
        <f aca="false">IFERROR(G1948/F1948,0)</f>
        <v>0.969230769230769</v>
      </c>
      <c r="M1948" s="15" t="n">
        <f aca="false">IFERROR((I1948-H1948)/H1948,0)</f>
        <v>0.0143867496826452</v>
      </c>
      <c r="N1948" s="16" t="n">
        <f aca="false">G1948*I1948</f>
        <v>95148.27</v>
      </c>
    </row>
    <row r="1949" customFormat="false" ht="15" hidden="false" customHeight="true" outlineLevel="0" collapsed="false">
      <c r="A1949" s="4" t="s">
        <v>2125</v>
      </c>
      <c r="B1949" s="4" t="s">
        <v>111</v>
      </c>
      <c r="C1949" s="13" t="n">
        <v>45308</v>
      </c>
      <c r="D1949" s="13" t="n">
        <v>45317</v>
      </c>
      <c r="E1949" s="13" t="n">
        <v>45320</v>
      </c>
      <c r="F1949" s="4" t="n">
        <v>1837</v>
      </c>
      <c r="G1949" s="4" t="n">
        <v>1769</v>
      </c>
      <c r="H1949" s="4" t="n">
        <v>148.08</v>
      </c>
      <c r="I1949" s="4" t="n">
        <v>146.55</v>
      </c>
      <c r="J1949" s="14" t="n">
        <f aca="false">E1949-D1949</f>
        <v>3</v>
      </c>
      <c r="K1949" s="14" t="n">
        <f aca="false">IF(J1949&lt;=0,1,0)</f>
        <v>0</v>
      </c>
      <c r="L1949" s="15" t="n">
        <f aca="false">IFERROR(G1949/F1949,0)</f>
        <v>0.962983124659771</v>
      </c>
      <c r="M1949" s="15" t="n">
        <f aca="false">IFERROR((I1949-H1949)/H1949,0)</f>
        <v>-0.0103322528363047</v>
      </c>
      <c r="N1949" s="16" t="n">
        <f aca="false">G1949*I1949</f>
        <v>259246.95</v>
      </c>
    </row>
    <row r="1950" customFormat="false" ht="15" hidden="false" customHeight="true" outlineLevel="0" collapsed="false">
      <c r="A1950" s="4" t="s">
        <v>2126</v>
      </c>
      <c r="B1950" s="4" t="s">
        <v>117</v>
      </c>
      <c r="C1950" s="13" t="n">
        <v>45128</v>
      </c>
      <c r="D1950" s="13" t="n">
        <v>45140</v>
      </c>
      <c r="E1950" s="13" t="n">
        <v>45148</v>
      </c>
      <c r="F1950" s="4" t="n">
        <v>58</v>
      </c>
      <c r="G1950" s="4" t="n">
        <v>57</v>
      </c>
      <c r="H1950" s="4" t="n">
        <v>396.01</v>
      </c>
      <c r="I1950" s="4" t="n">
        <v>389.35</v>
      </c>
      <c r="J1950" s="14" t="n">
        <f aca="false">E1950-D1950</f>
        <v>8</v>
      </c>
      <c r="K1950" s="14" t="n">
        <f aca="false">IF(J1950&lt;=0,1,0)</f>
        <v>0</v>
      </c>
      <c r="L1950" s="15" t="n">
        <f aca="false">IFERROR(G1950/F1950,0)</f>
        <v>0.982758620689655</v>
      </c>
      <c r="M1950" s="15" t="n">
        <f aca="false">IFERROR((I1950-H1950)/H1950,0)</f>
        <v>-0.0168177571273452</v>
      </c>
      <c r="N1950" s="16" t="n">
        <f aca="false">G1950*I1950</f>
        <v>22192.95</v>
      </c>
    </row>
    <row r="1951" customFormat="false" ht="15" hidden="false" customHeight="true" outlineLevel="0" collapsed="false">
      <c r="A1951" s="4" t="s">
        <v>2127</v>
      </c>
      <c r="B1951" s="4" t="s">
        <v>143</v>
      </c>
      <c r="C1951" s="13" t="n">
        <v>45573</v>
      </c>
      <c r="D1951" s="13" t="n">
        <v>45582</v>
      </c>
      <c r="E1951" s="13" t="n">
        <v>45595</v>
      </c>
      <c r="F1951" s="4" t="n">
        <v>4795</v>
      </c>
      <c r="G1951" s="4" t="n">
        <v>4598</v>
      </c>
      <c r="H1951" s="4" t="n">
        <v>20.6</v>
      </c>
      <c r="I1951" s="4" t="n">
        <v>21.91</v>
      </c>
      <c r="J1951" s="14" t="n">
        <f aca="false">E1951-D1951</f>
        <v>13</v>
      </c>
      <c r="K1951" s="14" t="n">
        <f aca="false">IF(J1951&lt;=0,1,0)</f>
        <v>0</v>
      </c>
      <c r="L1951" s="15" t="n">
        <f aca="false">IFERROR(G1951/F1951,0)</f>
        <v>0.958915537017727</v>
      </c>
      <c r="M1951" s="15" t="n">
        <f aca="false">IFERROR((I1951-H1951)/H1951,0)</f>
        <v>0.0635922330097087</v>
      </c>
      <c r="N1951" s="16" t="n">
        <f aca="false">G1951*I1951</f>
        <v>100742.18</v>
      </c>
    </row>
    <row r="1952" customFormat="false" ht="15" hidden="false" customHeight="true" outlineLevel="0" collapsed="false">
      <c r="A1952" s="4" t="s">
        <v>2128</v>
      </c>
      <c r="B1952" s="4" t="s">
        <v>129</v>
      </c>
      <c r="C1952" s="13" t="n">
        <v>45354</v>
      </c>
      <c r="D1952" s="13" t="n">
        <v>45374</v>
      </c>
      <c r="E1952" s="13" t="n">
        <v>45380</v>
      </c>
      <c r="F1952" s="4" t="n">
        <v>177</v>
      </c>
      <c r="G1952" s="4" t="n">
        <v>173</v>
      </c>
      <c r="H1952" s="4" t="n">
        <v>709.66</v>
      </c>
      <c r="I1952" s="4" t="n">
        <v>715.03</v>
      </c>
      <c r="J1952" s="14" t="n">
        <f aca="false">E1952-D1952</f>
        <v>6</v>
      </c>
      <c r="K1952" s="14" t="n">
        <f aca="false">IF(J1952&lt;=0,1,0)</f>
        <v>0</v>
      </c>
      <c r="L1952" s="15" t="n">
        <f aca="false">IFERROR(G1952/F1952,0)</f>
        <v>0.977401129943503</v>
      </c>
      <c r="M1952" s="15" t="n">
        <f aca="false">IFERROR((I1952-H1952)/H1952,0)</f>
        <v>0.00756700391736889</v>
      </c>
      <c r="N1952" s="16" t="n">
        <f aca="false">G1952*I1952</f>
        <v>123700.19</v>
      </c>
    </row>
    <row r="1953" customFormat="false" ht="15" hidden="false" customHeight="true" outlineLevel="0" collapsed="false">
      <c r="A1953" s="4" t="s">
        <v>2129</v>
      </c>
      <c r="B1953" s="4" t="s">
        <v>55</v>
      </c>
      <c r="C1953" s="13" t="n">
        <v>45340</v>
      </c>
      <c r="D1953" s="13" t="n">
        <v>45359</v>
      </c>
      <c r="E1953" s="13" t="n">
        <v>45361</v>
      </c>
      <c r="F1953" s="4" t="n">
        <v>225</v>
      </c>
      <c r="G1953" s="4" t="n">
        <v>214</v>
      </c>
      <c r="H1953" s="4" t="n">
        <v>598.09</v>
      </c>
      <c r="I1953" s="4" t="n">
        <v>571.53</v>
      </c>
      <c r="J1953" s="14" t="n">
        <f aca="false">E1953-D1953</f>
        <v>2</v>
      </c>
      <c r="K1953" s="14" t="n">
        <f aca="false">IF(J1953&lt;=0,1,0)</f>
        <v>0</v>
      </c>
      <c r="L1953" s="15" t="n">
        <f aca="false">IFERROR(G1953/F1953,0)</f>
        <v>0.951111111111111</v>
      </c>
      <c r="M1953" s="15" t="n">
        <f aca="false">IFERROR((I1953-H1953)/H1953,0)</f>
        <v>-0.0444080322359512</v>
      </c>
      <c r="N1953" s="16" t="n">
        <f aca="false">G1953*I1953</f>
        <v>122307.42</v>
      </c>
    </row>
    <row r="1954" customFormat="false" ht="15" hidden="false" customHeight="true" outlineLevel="0" collapsed="false">
      <c r="A1954" s="4" t="s">
        <v>2130</v>
      </c>
      <c r="B1954" s="4" t="s">
        <v>111</v>
      </c>
      <c r="C1954" s="13" t="n">
        <v>45560</v>
      </c>
      <c r="D1954" s="13" t="n">
        <v>45571</v>
      </c>
      <c r="E1954" s="13" t="n">
        <v>45574</v>
      </c>
      <c r="F1954" s="4" t="n">
        <v>660</v>
      </c>
      <c r="G1954" s="4" t="n">
        <v>650</v>
      </c>
      <c r="H1954" s="4" t="n">
        <v>148.08</v>
      </c>
      <c r="I1954" s="4" t="n">
        <v>148.11</v>
      </c>
      <c r="J1954" s="14" t="n">
        <f aca="false">E1954-D1954</f>
        <v>3</v>
      </c>
      <c r="K1954" s="14" t="n">
        <f aca="false">IF(J1954&lt;=0,1,0)</f>
        <v>0</v>
      </c>
      <c r="L1954" s="15" t="n">
        <f aca="false">IFERROR(G1954/F1954,0)</f>
        <v>0.984848484848485</v>
      </c>
      <c r="M1954" s="15" t="n">
        <f aca="false">IFERROR((I1954-H1954)/H1954,0)</f>
        <v>0.000202593192868727</v>
      </c>
      <c r="N1954" s="16" t="n">
        <f aca="false">G1954*I1954</f>
        <v>96271.5</v>
      </c>
    </row>
    <row r="1955" customFormat="false" ht="15" hidden="false" customHeight="true" outlineLevel="0" collapsed="false">
      <c r="A1955" s="4" t="s">
        <v>2131</v>
      </c>
      <c r="B1955" s="4" t="s">
        <v>121</v>
      </c>
      <c r="C1955" s="13" t="n">
        <v>44982</v>
      </c>
      <c r="D1955" s="13" t="n">
        <v>44992</v>
      </c>
      <c r="E1955" s="13" t="n">
        <v>44990</v>
      </c>
      <c r="F1955" s="4" t="n">
        <v>1529</v>
      </c>
      <c r="G1955" s="4" t="n">
        <v>1372</v>
      </c>
      <c r="H1955" s="4" t="n">
        <v>206.07</v>
      </c>
      <c r="I1955" s="4" t="n">
        <v>207.97</v>
      </c>
      <c r="J1955" s="14" t="n">
        <f aca="false">E1955-D1955</f>
        <v>-2</v>
      </c>
      <c r="K1955" s="14" t="n">
        <f aca="false">IF(J1955&lt;=0,1,0)</f>
        <v>1</v>
      </c>
      <c r="L1955" s="15" t="n">
        <f aca="false">IFERROR(G1955/F1955,0)</f>
        <v>0.8973185088293</v>
      </c>
      <c r="M1955" s="15" t="n">
        <f aca="false">IFERROR((I1955-H1955)/H1955,0)</f>
        <v>0.00922016790411028</v>
      </c>
      <c r="N1955" s="16" t="n">
        <f aca="false">G1955*I1955</f>
        <v>285334.84</v>
      </c>
    </row>
    <row r="1956" customFormat="false" ht="15" hidden="false" customHeight="true" outlineLevel="0" collapsed="false">
      <c r="A1956" s="4" t="s">
        <v>2132</v>
      </c>
      <c r="B1956" s="4" t="s">
        <v>121</v>
      </c>
      <c r="C1956" s="13" t="n">
        <v>45261</v>
      </c>
      <c r="D1956" s="13" t="n">
        <v>45271</v>
      </c>
      <c r="E1956" s="13" t="n">
        <v>45271</v>
      </c>
      <c r="F1956" s="4" t="n">
        <v>1027</v>
      </c>
      <c r="G1956" s="4" t="n">
        <v>953</v>
      </c>
      <c r="H1956" s="4" t="n">
        <v>206.07</v>
      </c>
      <c r="I1956" s="4" t="n">
        <v>215.69</v>
      </c>
      <c r="J1956" s="14" t="n">
        <f aca="false">E1956-D1956</f>
        <v>0</v>
      </c>
      <c r="K1956" s="14" t="n">
        <f aca="false">IF(J1956&lt;=0,1,0)</f>
        <v>1</v>
      </c>
      <c r="L1956" s="15" t="n">
        <f aca="false">IFERROR(G1956/F1956,0)</f>
        <v>0.92794547224927</v>
      </c>
      <c r="M1956" s="15" t="n">
        <f aca="false">IFERROR((I1956-H1956)/H1956,0)</f>
        <v>0.0466831659144951</v>
      </c>
      <c r="N1956" s="16" t="n">
        <f aca="false">G1956*I1956</f>
        <v>205552.57</v>
      </c>
    </row>
    <row r="1957" customFormat="false" ht="15" hidden="false" customHeight="true" outlineLevel="0" collapsed="false">
      <c r="A1957" s="4" t="s">
        <v>2133</v>
      </c>
      <c r="B1957" s="4" t="s">
        <v>83</v>
      </c>
      <c r="C1957" s="13" t="n">
        <v>45026</v>
      </c>
      <c r="D1957" s="13" t="n">
        <v>45035</v>
      </c>
      <c r="E1957" s="13" t="n">
        <v>45040</v>
      </c>
      <c r="F1957" s="4" t="n">
        <v>267</v>
      </c>
      <c r="G1957" s="4" t="n">
        <v>267</v>
      </c>
      <c r="H1957" s="4" t="n">
        <v>101.36</v>
      </c>
      <c r="I1957" s="4" t="n">
        <v>102.32</v>
      </c>
      <c r="J1957" s="14" t="n">
        <f aca="false">E1957-D1957</f>
        <v>5</v>
      </c>
      <c r="K1957" s="14" t="n">
        <f aca="false">IF(J1957&lt;=0,1,0)</f>
        <v>0</v>
      </c>
      <c r="L1957" s="15" t="n">
        <f aca="false">IFERROR(G1957/F1957,0)</f>
        <v>1</v>
      </c>
      <c r="M1957" s="15" t="n">
        <f aca="false">IFERROR((I1957-H1957)/H1957,0)</f>
        <v>0.00947119179163372</v>
      </c>
      <c r="N1957" s="16" t="n">
        <f aca="false">G1957*I1957</f>
        <v>27319.44</v>
      </c>
    </row>
    <row r="1958" customFormat="false" ht="15" hidden="false" customHeight="true" outlineLevel="0" collapsed="false">
      <c r="A1958" s="4" t="s">
        <v>2134</v>
      </c>
      <c r="B1958" s="4" t="s">
        <v>91</v>
      </c>
      <c r="C1958" s="13" t="n">
        <v>45141</v>
      </c>
      <c r="D1958" s="13" t="n">
        <v>45161</v>
      </c>
      <c r="E1958" s="13" t="n">
        <v>45157</v>
      </c>
      <c r="F1958" s="4" t="n">
        <v>314</v>
      </c>
      <c r="G1958" s="4" t="n">
        <v>302</v>
      </c>
      <c r="H1958" s="4" t="n">
        <v>496.29</v>
      </c>
      <c r="I1958" s="4" t="n">
        <v>488.25</v>
      </c>
      <c r="J1958" s="14" t="n">
        <f aca="false">E1958-D1958</f>
        <v>-4</v>
      </c>
      <c r="K1958" s="14" t="n">
        <f aca="false">IF(J1958&lt;=0,1,0)</f>
        <v>1</v>
      </c>
      <c r="L1958" s="15" t="n">
        <f aca="false">IFERROR(G1958/F1958,0)</f>
        <v>0.961783439490446</v>
      </c>
      <c r="M1958" s="15" t="n">
        <f aca="false">IFERROR((I1958-H1958)/H1958,0)</f>
        <v>-0.0162002055249955</v>
      </c>
      <c r="N1958" s="16" t="n">
        <f aca="false">G1958*I1958</f>
        <v>147451.5</v>
      </c>
    </row>
    <row r="1959" customFormat="false" ht="15" hidden="false" customHeight="true" outlineLevel="0" collapsed="false">
      <c r="A1959" s="4" t="s">
        <v>2135</v>
      </c>
      <c r="B1959" s="4" t="s">
        <v>61</v>
      </c>
      <c r="C1959" s="13" t="n">
        <v>45100</v>
      </c>
      <c r="D1959" s="13" t="n">
        <v>45111</v>
      </c>
      <c r="E1959" s="13" t="n">
        <v>45123</v>
      </c>
      <c r="F1959" s="4" t="n">
        <v>1995</v>
      </c>
      <c r="G1959" s="4" t="n">
        <v>1931</v>
      </c>
      <c r="H1959" s="4" t="n">
        <v>107.41</v>
      </c>
      <c r="I1959" s="4" t="n">
        <v>106.93</v>
      </c>
      <c r="J1959" s="14" t="n">
        <f aca="false">E1959-D1959</f>
        <v>12</v>
      </c>
      <c r="K1959" s="14" t="n">
        <f aca="false">IF(J1959&lt;=0,1,0)</f>
        <v>0</v>
      </c>
      <c r="L1959" s="15" t="n">
        <f aca="false">IFERROR(G1959/F1959,0)</f>
        <v>0.967919799498747</v>
      </c>
      <c r="M1959" s="15" t="n">
        <f aca="false">IFERROR((I1959-H1959)/H1959,0)</f>
        <v>-0.00446885764826357</v>
      </c>
      <c r="N1959" s="16" t="n">
        <f aca="false">G1959*I1959</f>
        <v>206481.83</v>
      </c>
    </row>
    <row r="1960" customFormat="false" ht="15" hidden="false" customHeight="true" outlineLevel="0" collapsed="false">
      <c r="A1960" s="4" t="s">
        <v>2136</v>
      </c>
      <c r="B1960" s="4" t="s">
        <v>149</v>
      </c>
      <c r="C1960" s="13" t="n">
        <v>45043</v>
      </c>
      <c r="D1960" s="13" t="n">
        <v>45049</v>
      </c>
      <c r="E1960" s="13" t="n">
        <v>45049</v>
      </c>
      <c r="F1960" s="4" t="n">
        <v>12</v>
      </c>
      <c r="G1960" s="4" t="n">
        <v>12</v>
      </c>
      <c r="H1960" s="4" t="n">
        <v>1458.52</v>
      </c>
      <c r="I1960" s="4" t="n">
        <v>1443.68</v>
      </c>
      <c r="J1960" s="14" t="n">
        <f aca="false">E1960-D1960</f>
        <v>0</v>
      </c>
      <c r="K1960" s="14" t="n">
        <f aca="false">IF(J1960&lt;=0,1,0)</f>
        <v>1</v>
      </c>
      <c r="L1960" s="15" t="n">
        <f aca="false">IFERROR(G1960/F1960,0)</f>
        <v>1</v>
      </c>
      <c r="M1960" s="15" t="n">
        <f aca="false">IFERROR((I1960-H1960)/H1960,0)</f>
        <v>-0.0101746976387022</v>
      </c>
      <c r="N1960" s="16" t="n">
        <f aca="false">G1960*I1960</f>
        <v>17324.16</v>
      </c>
    </row>
    <row r="1961" customFormat="false" ht="15" hidden="false" customHeight="true" outlineLevel="0" collapsed="false">
      <c r="A1961" s="4" t="s">
        <v>2137</v>
      </c>
      <c r="B1961" s="4" t="s">
        <v>37</v>
      </c>
      <c r="C1961" s="13" t="n">
        <v>45593</v>
      </c>
      <c r="D1961" s="13" t="n">
        <v>45599</v>
      </c>
      <c r="E1961" s="13" t="n">
        <v>45597</v>
      </c>
      <c r="F1961" s="4" t="n">
        <v>503</v>
      </c>
      <c r="G1961" s="4" t="n">
        <v>477</v>
      </c>
      <c r="H1961" s="4" t="n">
        <v>22.26</v>
      </c>
      <c r="I1961" s="4" t="n">
        <v>21.35</v>
      </c>
      <c r="J1961" s="14" t="n">
        <f aca="false">E1961-D1961</f>
        <v>-2</v>
      </c>
      <c r="K1961" s="14" t="n">
        <f aca="false">IF(J1961&lt;=0,1,0)</f>
        <v>1</v>
      </c>
      <c r="L1961" s="15" t="n">
        <f aca="false">IFERROR(G1961/F1961,0)</f>
        <v>0.94831013916501</v>
      </c>
      <c r="M1961" s="15" t="n">
        <f aca="false">IFERROR((I1961-H1961)/H1961,0)</f>
        <v>-0.0408805031446541</v>
      </c>
      <c r="N1961" s="16" t="n">
        <f aca="false">G1961*I1961</f>
        <v>10183.95</v>
      </c>
    </row>
    <row r="1962" customFormat="false" ht="15" hidden="false" customHeight="true" outlineLevel="0" collapsed="false">
      <c r="A1962" s="4" t="s">
        <v>2138</v>
      </c>
      <c r="B1962" s="4" t="s">
        <v>113</v>
      </c>
      <c r="C1962" s="13" t="n">
        <v>45040</v>
      </c>
      <c r="D1962" s="13" t="n">
        <v>45050</v>
      </c>
      <c r="E1962" s="13" t="n">
        <v>45050</v>
      </c>
      <c r="F1962" s="4" t="n">
        <v>1629</v>
      </c>
      <c r="G1962" s="4" t="n">
        <v>1629</v>
      </c>
      <c r="H1962" s="4" t="n">
        <v>170.42</v>
      </c>
      <c r="I1962" s="4" t="n">
        <v>174.47</v>
      </c>
      <c r="J1962" s="14" t="n">
        <f aca="false">E1962-D1962</f>
        <v>0</v>
      </c>
      <c r="K1962" s="14" t="n">
        <f aca="false">IF(J1962&lt;=0,1,0)</f>
        <v>1</v>
      </c>
      <c r="L1962" s="15" t="n">
        <f aca="false">IFERROR(G1962/F1962,0)</f>
        <v>1</v>
      </c>
      <c r="M1962" s="15" t="n">
        <f aca="false">IFERROR((I1962-H1962)/H1962,0)</f>
        <v>0.0237648163361109</v>
      </c>
      <c r="N1962" s="16" t="n">
        <f aca="false">G1962*I1962</f>
        <v>284211.63</v>
      </c>
    </row>
    <row r="1963" customFormat="false" ht="15" hidden="false" customHeight="true" outlineLevel="0" collapsed="false">
      <c r="A1963" s="4" t="s">
        <v>2139</v>
      </c>
      <c r="B1963" s="4" t="s">
        <v>119</v>
      </c>
      <c r="C1963" s="13" t="n">
        <v>45399</v>
      </c>
      <c r="D1963" s="13" t="n">
        <v>45406</v>
      </c>
      <c r="E1963" s="13" t="n">
        <v>45410</v>
      </c>
      <c r="F1963" s="4" t="n">
        <v>2457</v>
      </c>
      <c r="G1963" s="4" t="n">
        <v>2390</v>
      </c>
      <c r="H1963" s="4" t="n">
        <v>50.92</v>
      </c>
      <c r="I1963" s="4" t="n">
        <v>47.83</v>
      </c>
      <c r="J1963" s="14" t="n">
        <f aca="false">E1963-D1963</f>
        <v>4</v>
      </c>
      <c r="K1963" s="14" t="n">
        <f aca="false">IF(J1963&lt;=0,1,0)</f>
        <v>0</v>
      </c>
      <c r="L1963" s="15" t="n">
        <f aca="false">IFERROR(G1963/F1963,0)</f>
        <v>0.972730972730973</v>
      </c>
      <c r="M1963" s="15" t="n">
        <f aca="false">IFERROR((I1963-H1963)/H1963,0)</f>
        <v>-0.0606834249803614</v>
      </c>
      <c r="N1963" s="16" t="n">
        <f aca="false">G1963*I1963</f>
        <v>114313.7</v>
      </c>
    </row>
    <row r="1964" customFormat="false" ht="15" hidden="false" customHeight="true" outlineLevel="0" collapsed="false">
      <c r="A1964" s="4" t="s">
        <v>2140</v>
      </c>
      <c r="B1964" s="4" t="s">
        <v>65</v>
      </c>
      <c r="C1964" s="13" t="n">
        <v>45109</v>
      </c>
      <c r="D1964" s="13" t="n">
        <v>45129</v>
      </c>
      <c r="E1964" s="13" t="n">
        <v>45128</v>
      </c>
      <c r="F1964" s="4" t="n">
        <v>206</v>
      </c>
      <c r="G1964" s="4" t="n">
        <v>205</v>
      </c>
      <c r="H1964" s="4" t="n">
        <v>1365.59</v>
      </c>
      <c r="I1964" s="4" t="n">
        <v>1355.58</v>
      </c>
      <c r="J1964" s="14" t="n">
        <f aca="false">E1964-D1964</f>
        <v>-1</v>
      </c>
      <c r="K1964" s="14" t="n">
        <f aca="false">IF(J1964&lt;=0,1,0)</f>
        <v>1</v>
      </c>
      <c r="L1964" s="15" t="n">
        <f aca="false">IFERROR(G1964/F1964,0)</f>
        <v>0.995145631067961</v>
      </c>
      <c r="M1964" s="15" t="n">
        <f aca="false">IFERROR((I1964-H1964)/H1964,0)</f>
        <v>-0.00733016498363344</v>
      </c>
      <c r="N1964" s="16" t="n">
        <f aca="false">G1964*I1964</f>
        <v>277893.9</v>
      </c>
    </row>
    <row r="1965" customFormat="false" ht="15" hidden="false" customHeight="true" outlineLevel="0" collapsed="false">
      <c r="A1965" s="4" t="s">
        <v>2141</v>
      </c>
      <c r="B1965" s="4" t="s">
        <v>117</v>
      </c>
      <c r="C1965" s="13" t="n">
        <v>45491</v>
      </c>
      <c r="D1965" s="13" t="n">
        <v>45502</v>
      </c>
      <c r="E1965" s="13" t="n">
        <v>45502</v>
      </c>
      <c r="F1965" s="4" t="n">
        <v>296</v>
      </c>
      <c r="G1965" s="4" t="n">
        <v>273</v>
      </c>
      <c r="H1965" s="4" t="n">
        <v>396.01</v>
      </c>
      <c r="I1965" s="4" t="n">
        <v>390.02</v>
      </c>
      <c r="J1965" s="14" t="n">
        <f aca="false">E1965-D1965</f>
        <v>0</v>
      </c>
      <c r="K1965" s="14" t="n">
        <f aca="false">IF(J1965&lt;=0,1,0)</f>
        <v>1</v>
      </c>
      <c r="L1965" s="15" t="n">
        <f aca="false">IFERROR(G1965/F1965,0)</f>
        <v>0.922297297297297</v>
      </c>
      <c r="M1965" s="15" t="n">
        <f aca="false">IFERROR((I1965-H1965)/H1965,0)</f>
        <v>-0.0151258806595793</v>
      </c>
      <c r="N1965" s="16" t="n">
        <f aca="false">G1965*I1965</f>
        <v>106475.46</v>
      </c>
    </row>
    <row r="1966" customFormat="false" ht="15" hidden="false" customHeight="true" outlineLevel="0" collapsed="false">
      <c r="A1966" s="4" t="s">
        <v>2142</v>
      </c>
      <c r="B1966" s="4" t="s">
        <v>159</v>
      </c>
      <c r="C1966" s="13" t="n">
        <v>45254</v>
      </c>
      <c r="D1966" s="13" t="n">
        <v>45263</v>
      </c>
      <c r="E1966" s="13" t="n">
        <v>45263</v>
      </c>
      <c r="F1966" s="4" t="n">
        <v>2542</v>
      </c>
      <c r="G1966" s="4" t="n">
        <v>2399</v>
      </c>
      <c r="H1966" s="4" t="n">
        <v>32.91</v>
      </c>
      <c r="I1966" s="4" t="n">
        <v>33.07</v>
      </c>
      <c r="J1966" s="14" t="n">
        <f aca="false">E1966-D1966</f>
        <v>0</v>
      </c>
      <c r="K1966" s="14" t="n">
        <f aca="false">IF(J1966&lt;=0,1,0)</f>
        <v>1</v>
      </c>
      <c r="L1966" s="15" t="n">
        <f aca="false">IFERROR(G1966/F1966,0)</f>
        <v>0.943745082612116</v>
      </c>
      <c r="M1966" s="15" t="n">
        <f aca="false">IFERROR((I1966-H1966)/H1966,0)</f>
        <v>0.00486174415071418</v>
      </c>
      <c r="N1966" s="16" t="n">
        <f aca="false">G1966*I1966</f>
        <v>79334.93</v>
      </c>
    </row>
    <row r="1967" customFormat="false" ht="15" hidden="false" customHeight="true" outlineLevel="0" collapsed="false">
      <c r="A1967" s="4" t="s">
        <v>2143</v>
      </c>
      <c r="B1967" s="4" t="s">
        <v>41</v>
      </c>
      <c r="C1967" s="13" t="n">
        <v>45620</v>
      </c>
      <c r="D1967" s="13" t="n">
        <v>45629</v>
      </c>
      <c r="E1967" s="13" t="n">
        <v>45629</v>
      </c>
      <c r="F1967" s="4" t="n">
        <v>3841</v>
      </c>
      <c r="G1967" s="4" t="n">
        <v>3841</v>
      </c>
      <c r="H1967" s="4" t="n">
        <v>45.51</v>
      </c>
      <c r="I1967" s="4" t="n">
        <v>43.84</v>
      </c>
      <c r="J1967" s="14" t="n">
        <f aca="false">E1967-D1967</f>
        <v>0</v>
      </c>
      <c r="K1967" s="14" t="n">
        <f aca="false">IF(J1967&lt;=0,1,0)</f>
        <v>1</v>
      </c>
      <c r="L1967" s="15" t="n">
        <f aca="false">IFERROR(G1967/F1967,0)</f>
        <v>1</v>
      </c>
      <c r="M1967" s="15" t="n">
        <f aca="false">IFERROR((I1967-H1967)/H1967,0)</f>
        <v>-0.0366952318171829</v>
      </c>
      <c r="N1967" s="16" t="n">
        <f aca="false">G1967*I1967</f>
        <v>168389.44</v>
      </c>
    </row>
    <row r="1968" customFormat="false" ht="15" hidden="false" customHeight="true" outlineLevel="0" collapsed="false">
      <c r="A1968" s="4" t="s">
        <v>2144</v>
      </c>
      <c r="B1968" s="4" t="s">
        <v>81</v>
      </c>
      <c r="C1968" s="13" t="n">
        <v>45141</v>
      </c>
      <c r="D1968" s="13" t="n">
        <v>45146</v>
      </c>
      <c r="E1968" s="13" t="n">
        <v>45151</v>
      </c>
      <c r="F1968" s="4" t="n">
        <v>8</v>
      </c>
      <c r="G1968" s="4" t="n">
        <v>8</v>
      </c>
      <c r="H1968" s="4" t="n">
        <v>697.63</v>
      </c>
      <c r="I1968" s="4" t="n">
        <v>696.5</v>
      </c>
      <c r="J1968" s="14" t="n">
        <f aca="false">E1968-D1968</f>
        <v>5</v>
      </c>
      <c r="K1968" s="14" t="n">
        <f aca="false">IF(J1968&lt;=0,1,0)</f>
        <v>0</v>
      </c>
      <c r="L1968" s="15" t="n">
        <f aca="false">IFERROR(G1968/F1968,0)</f>
        <v>1</v>
      </c>
      <c r="M1968" s="15" t="n">
        <f aca="false">IFERROR((I1968-H1968)/H1968,0)</f>
        <v>-0.00161976979201008</v>
      </c>
      <c r="N1968" s="16" t="n">
        <f aca="false">G1968*I1968</f>
        <v>5572</v>
      </c>
    </row>
    <row r="1969" customFormat="false" ht="15" hidden="false" customHeight="true" outlineLevel="0" collapsed="false">
      <c r="A1969" s="4" t="s">
        <v>2145</v>
      </c>
      <c r="B1969" s="4" t="s">
        <v>147</v>
      </c>
      <c r="C1969" s="13" t="n">
        <v>45152</v>
      </c>
      <c r="D1969" s="13" t="n">
        <v>45164</v>
      </c>
      <c r="E1969" s="13" t="n">
        <v>45166</v>
      </c>
      <c r="F1969" s="4" t="n">
        <v>38</v>
      </c>
      <c r="G1969" s="4" t="n">
        <v>38</v>
      </c>
      <c r="H1969" s="4" t="n">
        <v>203.3</v>
      </c>
      <c r="I1969" s="4" t="n">
        <v>207.3</v>
      </c>
      <c r="J1969" s="14" t="n">
        <f aca="false">E1969-D1969</f>
        <v>2</v>
      </c>
      <c r="K1969" s="14" t="n">
        <f aca="false">IF(J1969&lt;=0,1,0)</f>
        <v>0</v>
      </c>
      <c r="L1969" s="15" t="n">
        <f aca="false">IFERROR(G1969/F1969,0)</f>
        <v>1</v>
      </c>
      <c r="M1969" s="15" t="n">
        <f aca="false">IFERROR((I1969-H1969)/H1969,0)</f>
        <v>0.0196753566158387</v>
      </c>
      <c r="N1969" s="16" t="n">
        <f aca="false">G1969*I1969</f>
        <v>7877.4</v>
      </c>
    </row>
    <row r="1970" customFormat="false" ht="15" hidden="false" customHeight="true" outlineLevel="0" collapsed="false">
      <c r="A1970" s="4" t="s">
        <v>2146</v>
      </c>
      <c r="B1970" s="4" t="s">
        <v>63</v>
      </c>
      <c r="C1970" s="13" t="n">
        <v>44949</v>
      </c>
      <c r="D1970" s="13" t="n">
        <v>44960</v>
      </c>
      <c r="E1970" s="13" t="n">
        <v>44971</v>
      </c>
      <c r="F1970" s="4" t="n">
        <v>1348</v>
      </c>
      <c r="G1970" s="4" t="n">
        <v>1243</v>
      </c>
      <c r="H1970" s="4" t="n">
        <v>239.8</v>
      </c>
      <c r="I1970" s="4" t="n">
        <v>240.79</v>
      </c>
      <c r="J1970" s="14" t="n">
        <f aca="false">E1970-D1970</f>
        <v>11</v>
      </c>
      <c r="K1970" s="14" t="n">
        <f aca="false">IF(J1970&lt;=0,1,0)</f>
        <v>0</v>
      </c>
      <c r="L1970" s="15" t="n">
        <f aca="false">IFERROR(G1970/F1970,0)</f>
        <v>0.922106824925816</v>
      </c>
      <c r="M1970" s="15" t="n">
        <f aca="false">IFERROR((I1970-H1970)/H1970,0)</f>
        <v>0.0041284403669724</v>
      </c>
      <c r="N1970" s="16" t="n">
        <f aca="false">G1970*I1970</f>
        <v>299301.97</v>
      </c>
    </row>
    <row r="1971" customFormat="false" ht="15" hidden="false" customHeight="true" outlineLevel="0" collapsed="false">
      <c r="A1971" s="4" t="s">
        <v>2147</v>
      </c>
      <c r="B1971" s="4" t="s">
        <v>77</v>
      </c>
      <c r="C1971" s="13" t="n">
        <v>45552</v>
      </c>
      <c r="D1971" s="13" t="n">
        <v>45559</v>
      </c>
      <c r="E1971" s="13" t="n">
        <v>45573</v>
      </c>
      <c r="F1971" s="4" t="n">
        <v>4397</v>
      </c>
      <c r="G1971" s="4" t="n">
        <v>4350</v>
      </c>
      <c r="H1971" s="4" t="n">
        <v>36.83</v>
      </c>
      <c r="I1971" s="4" t="n">
        <v>35.06</v>
      </c>
      <c r="J1971" s="14" t="n">
        <f aca="false">E1971-D1971</f>
        <v>14</v>
      </c>
      <c r="K1971" s="14" t="n">
        <f aca="false">IF(J1971&lt;=0,1,0)</f>
        <v>0</v>
      </c>
      <c r="L1971" s="15" t="n">
        <f aca="false">IFERROR(G1971/F1971,0)</f>
        <v>0.989310893791221</v>
      </c>
      <c r="M1971" s="15" t="n">
        <f aca="false">IFERROR((I1971-H1971)/H1971,0)</f>
        <v>-0.0480586478414335</v>
      </c>
      <c r="N1971" s="16" t="n">
        <f aca="false">G1971*I1971</f>
        <v>152511</v>
      </c>
    </row>
    <row r="1972" customFormat="false" ht="15" hidden="false" customHeight="true" outlineLevel="0" collapsed="false">
      <c r="A1972" s="4" t="s">
        <v>2148</v>
      </c>
      <c r="B1972" s="4" t="s">
        <v>89</v>
      </c>
      <c r="C1972" s="13" t="n">
        <v>45425</v>
      </c>
      <c r="D1972" s="13" t="n">
        <v>45432</v>
      </c>
      <c r="E1972" s="13" t="n">
        <v>45439</v>
      </c>
      <c r="F1972" s="4" t="n">
        <v>3</v>
      </c>
      <c r="G1972" s="4" t="n">
        <v>3</v>
      </c>
      <c r="H1972" s="4" t="n">
        <v>1929.81</v>
      </c>
      <c r="I1972" s="4" t="n">
        <v>1924.88</v>
      </c>
      <c r="J1972" s="14" t="n">
        <f aca="false">E1972-D1972</f>
        <v>7</v>
      </c>
      <c r="K1972" s="14" t="n">
        <f aca="false">IF(J1972&lt;=0,1,0)</f>
        <v>0</v>
      </c>
      <c r="L1972" s="15" t="n">
        <f aca="false">IFERROR(G1972/F1972,0)</f>
        <v>1</v>
      </c>
      <c r="M1972" s="15" t="n">
        <f aca="false">IFERROR((I1972-H1972)/H1972,0)</f>
        <v>-0.00255465563967429</v>
      </c>
      <c r="N1972" s="16" t="n">
        <f aca="false">G1972*I1972</f>
        <v>5774.64</v>
      </c>
    </row>
    <row r="1973" customFormat="false" ht="15" hidden="false" customHeight="true" outlineLevel="0" collapsed="false">
      <c r="A1973" s="4" t="s">
        <v>2149</v>
      </c>
      <c r="B1973" s="4" t="s">
        <v>117</v>
      </c>
      <c r="C1973" s="13" t="n">
        <v>45044</v>
      </c>
      <c r="D1973" s="13" t="n">
        <v>45055</v>
      </c>
      <c r="E1973" s="13" t="n">
        <v>45057</v>
      </c>
      <c r="F1973" s="4" t="n">
        <v>274</v>
      </c>
      <c r="G1973" s="4" t="n">
        <v>260</v>
      </c>
      <c r="H1973" s="4" t="n">
        <v>396.01</v>
      </c>
      <c r="I1973" s="4" t="n">
        <v>391.49</v>
      </c>
      <c r="J1973" s="14" t="n">
        <f aca="false">E1973-D1973</f>
        <v>2</v>
      </c>
      <c r="K1973" s="14" t="n">
        <f aca="false">IF(J1973&lt;=0,1,0)</f>
        <v>0</v>
      </c>
      <c r="L1973" s="15" t="n">
        <f aca="false">IFERROR(G1973/F1973,0)</f>
        <v>0.948905109489051</v>
      </c>
      <c r="M1973" s="15" t="n">
        <f aca="false">IFERROR((I1973-H1973)/H1973,0)</f>
        <v>-0.0114138531855256</v>
      </c>
      <c r="N1973" s="16" t="n">
        <f aca="false">G1973*I1973</f>
        <v>101787.4</v>
      </c>
    </row>
    <row r="1974" customFormat="false" ht="15" hidden="false" customHeight="true" outlineLevel="0" collapsed="false">
      <c r="A1974" s="4" t="s">
        <v>2150</v>
      </c>
      <c r="B1974" s="4" t="s">
        <v>47</v>
      </c>
      <c r="C1974" s="13" t="n">
        <v>45112</v>
      </c>
      <c r="D1974" s="13" t="n">
        <v>45121</v>
      </c>
      <c r="E1974" s="13" t="n">
        <v>45119</v>
      </c>
      <c r="F1974" s="4" t="n">
        <v>1906</v>
      </c>
      <c r="G1974" s="4" t="n">
        <v>1906</v>
      </c>
      <c r="H1974" s="4" t="n">
        <v>228.68</v>
      </c>
      <c r="I1974" s="4" t="n">
        <v>230.85</v>
      </c>
      <c r="J1974" s="14" t="n">
        <f aca="false">E1974-D1974</f>
        <v>-2</v>
      </c>
      <c r="K1974" s="14" t="n">
        <f aca="false">IF(J1974&lt;=0,1,0)</f>
        <v>1</v>
      </c>
      <c r="L1974" s="15" t="n">
        <f aca="false">IFERROR(G1974/F1974,0)</f>
        <v>1</v>
      </c>
      <c r="M1974" s="15" t="n">
        <f aca="false">IFERROR((I1974-H1974)/H1974,0)</f>
        <v>0.00948924260976031</v>
      </c>
      <c r="N1974" s="16" t="n">
        <f aca="false">G1974*I1974</f>
        <v>440000.1</v>
      </c>
    </row>
    <row r="1975" customFormat="false" ht="15" hidden="false" customHeight="true" outlineLevel="0" collapsed="false">
      <c r="A1975" s="4" t="s">
        <v>2151</v>
      </c>
      <c r="B1975" s="4" t="s">
        <v>95</v>
      </c>
      <c r="C1975" s="13" t="n">
        <v>45204</v>
      </c>
      <c r="D1975" s="13" t="n">
        <v>45212</v>
      </c>
      <c r="E1975" s="13" t="n">
        <v>45209</v>
      </c>
      <c r="F1975" s="4" t="n">
        <v>4679</v>
      </c>
      <c r="G1975" s="4" t="n">
        <v>4581</v>
      </c>
      <c r="H1975" s="4" t="n">
        <v>20.39</v>
      </c>
      <c r="I1975" s="4" t="n">
        <v>21.09</v>
      </c>
      <c r="J1975" s="14" t="n">
        <f aca="false">E1975-D1975</f>
        <v>-3</v>
      </c>
      <c r="K1975" s="14" t="n">
        <f aca="false">IF(J1975&lt;=0,1,0)</f>
        <v>1</v>
      </c>
      <c r="L1975" s="15" t="n">
        <f aca="false">IFERROR(G1975/F1975,0)</f>
        <v>0.979055353708057</v>
      </c>
      <c r="M1975" s="15" t="n">
        <f aca="false">IFERROR((I1975-H1975)/H1975,0)</f>
        <v>0.0343305541932319</v>
      </c>
      <c r="N1975" s="16" t="n">
        <f aca="false">G1975*I1975</f>
        <v>96613.29</v>
      </c>
    </row>
    <row r="1976" customFormat="false" ht="15" hidden="false" customHeight="true" outlineLevel="0" collapsed="false">
      <c r="A1976" s="4" t="s">
        <v>2152</v>
      </c>
      <c r="B1976" s="4" t="s">
        <v>133</v>
      </c>
      <c r="C1976" s="13" t="n">
        <v>45632</v>
      </c>
      <c r="D1976" s="13" t="n">
        <v>45642</v>
      </c>
      <c r="E1976" s="13" t="n">
        <v>45649</v>
      </c>
      <c r="F1976" s="4" t="n">
        <v>637</v>
      </c>
      <c r="G1976" s="4" t="n">
        <v>615</v>
      </c>
      <c r="H1976" s="4" t="n">
        <v>138.21</v>
      </c>
      <c r="I1976" s="4" t="n">
        <v>144.27</v>
      </c>
      <c r="J1976" s="14" t="n">
        <f aca="false">E1976-D1976</f>
        <v>7</v>
      </c>
      <c r="K1976" s="14" t="n">
        <f aca="false">IF(J1976&lt;=0,1,0)</f>
        <v>0</v>
      </c>
      <c r="L1976" s="15" t="n">
        <f aca="false">IFERROR(G1976/F1976,0)</f>
        <v>0.965463108320251</v>
      </c>
      <c r="M1976" s="15" t="n">
        <f aca="false">IFERROR((I1976-H1976)/H1976,0)</f>
        <v>0.0438463208161494</v>
      </c>
      <c r="N1976" s="16" t="n">
        <f aca="false">G1976*I1976</f>
        <v>88726.05</v>
      </c>
    </row>
    <row r="1977" customFormat="false" ht="15" hidden="false" customHeight="true" outlineLevel="0" collapsed="false">
      <c r="A1977" s="4" t="s">
        <v>2153</v>
      </c>
      <c r="B1977" s="4" t="s">
        <v>70</v>
      </c>
      <c r="C1977" s="13" t="n">
        <v>45146</v>
      </c>
      <c r="D1977" s="13" t="n">
        <v>45155</v>
      </c>
      <c r="E1977" s="13" t="n">
        <v>45161</v>
      </c>
      <c r="F1977" s="4" t="n">
        <v>1691</v>
      </c>
      <c r="G1977" s="4" t="n">
        <v>1446</v>
      </c>
      <c r="H1977" s="4" t="n">
        <v>35.88</v>
      </c>
      <c r="I1977" s="4" t="n">
        <v>37.16</v>
      </c>
      <c r="J1977" s="14" t="n">
        <f aca="false">E1977-D1977</f>
        <v>6</v>
      </c>
      <c r="K1977" s="14" t="n">
        <f aca="false">IF(J1977&lt;=0,1,0)</f>
        <v>0</v>
      </c>
      <c r="L1977" s="15" t="n">
        <f aca="false">IFERROR(G1977/F1977,0)</f>
        <v>0.85511531638084</v>
      </c>
      <c r="M1977" s="15" t="n">
        <f aca="false">IFERROR((I1977-H1977)/H1977,0)</f>
        <v>0.035674470457079</v>
      </c>
      <c r="N1977" s="16" t="n">
        <f aca="false">G1977*I1977</f>
        <v>53733.36</v>
      </c>
    </row>
    <row r="1978" customFormat="false" ht="15" hidden="false" customHeight="true" outlineLevel="0" collapsed="false">
      <c r="A1978" s="4" t="s">
        <v>2154</v>
      </c>
      <c r="B1978" s="4" t="s">
        <v>113</v>
      </c>
      <c r="C1978" s="13" t="n">
        <v>45159</v>
      </c>
      <c r="D1978" s="13" t="n">
        <v>45171</v>
      </c>
      <c r="E1978" s="13" t="n">
        <v>45176</v>
      </c>
      <c r="F1978" s="4" t="n">
        <v>1767</v>
      </c>
      <c r="G1978" s="4" t="n">
        <v>1767</v>
      </c>
      <c r="H1978" s="4" t="n">
        <v>170.42</v>
      </c>
      <c r="I1978" s="4" t="n">
        <v>171.02</v>
      </c>
      <c r="J1978" s="14" t="n">
        <f aca="false">E1978-D1978</f>
        <v>5</v>
      </c>
      <c r="K1978" s="14" t="n">
        <f aca="false">IF(J1978&lt;=0,1,0)</f>
        <v>0</v>
      </c>
      <c r="L1978" s="15" t="n">
        <f aca="false">IFERROR(G1978/F1978,0)</f>
        <v>1</v>
      </c>
      <c r="M1978" s="15" t="n">
        <f aca="false">IFERROR((I1978-H1978)/H1978,0)</f>
        <v>0.00352071353127581</v>
      </c>
      <c r="N1978" s="16" t="n">
        <f aca="false">G1978*I1978</f>
        <v>302192.34</v>
      </c>
    </row>
    <row r="1979" customFormat="false" ht="15" hidden="false" customHeight="true" outlineLevel="0" collapsed="false">
      <c r="A1979" s="4" t="s">
        <v>2155</v>
      </c>
      <c r="B1979" s="4" t="s">
        <v>81</v>
      </c>
      <c r="C1979" s="13" t="n">
        <v>45530</v>
      </c>
      <c r="D1979" s="13" t="n">
        <v>45537</v>
      </c>
      <c r="E1979" s="13" t="n">
        <v>45546</v>
      </c>
      <c r="F1979" s="4" t="n">
        <v>6</v>
      </c>
      <c r="G1979" s="4" t="n">
        <v>6</v>
      </c>
      <c r="H1979" s="4" t="n">
        <v>697.63</v>
      </c>
      <c r="I1979" s="4" t="n">
        <v>690.76</v>
      </c>
      <c r="J1979" s="14" t="n">
        <f aca="false">E1979-D1979</f>
        <v>9</v>
      </c>
      <c r="K1979" s="14" t="n">
        <f aca="false">IF(J1979&lt;=0,1,0)</f>
        <v>0</v>
      </c>
      <c r="L1979" s="15" t="n">
        <f aca="false">IFERROR(G1979/F1979,0)</f>
        <v>1</v>
      </c>
      <c r="M1979" s="15" t="n">
        <f aca="false">IFERROR((I1979-H1979)/H1979,0)</f>
        <v>-0.00984762696558348</v>
      </c>
      <c r="N1979" s="16" t="n">
        <f aca="false">G1979*I1979</f>
        <v>4144.56</v>
      </c>
    </row>
    <row r="1980" customFormat="false" ht="15" hidden="false" customHeight="true" outlineLevel="0" collapsed="false">
      <c r="A1980" s="4" t="s">
        <v>2156</v>
      </c>
      <c r="B1980" s="4" t="s">
        <v>113</v>
      </c>
      <c r="C1980" s="13" t="n">
        <v>45429</v>
      </c>
      <c r="D1980" s="13" t="n">
        <v>45441</v>
      </c>
      <c r="E1980" s="13" t="n">
        <v>45438</v>
      </c>
      <c r="F1980" s="4" t="n">
        <v>309</v>
      </c>
      <c r="G1980" s="4" t="n">
        <v>309</v>
      </c>
      <c r="H1980" s="4" t="n">
        <v>170.42</v>
      </c>
      <c r="I1980" s="4" t="n">
        <v>176.85</v>
      </c>
      <c r="J1980" s="14" t="n">
        <f aca="false">E1980-D1980</f>
        <v>-3</v>
      </c>
      <c r="K1980" s="14" t="n">
        <f aca="false">IF(J1980&lt;=0,1,0)</f>
        <v>1</v>
      </c>
      <c r="L1980" s="15" t="n">
        <f aca="false">IFERROR(G1980/F1980,0)</f>
        <v>1</v>
      </c>
      <c r="M1980" s="15" t="n">
        <f aca="false">IFERROR((I1980-H1980)/H1980,0)</f>
        <v>0.0377303133435043</v>
      </c>
      <c r="N1980" s="16" t="n">
        <f aca="false">G1980*I1980</f>
        <v>54646.65</v>
      </c>
    </row>
    <row r="1981" customFormat="false" ht="15" hidden="false" customHeight="true" outlineLevel="0" collapsed="false">
      <c r="A1981" s="4" t="s">
        <v>2157</v>
      </c>
      <c r="B1981" s="4" t="s">
        <v>147</v>
      </c>
      <c r="C1981" s="13" t="n">
        <v>45173</v>
      </c>
      <c r="D1981" s="13" t="n">
        <v>45187</v>
      </c>
      <c r="E1981" s="13" t="n">
        <v>45186</v>
      </c>
      <c r="F1981" s="4" t="n">
        <v>137</v>
      </c>
      <c r="G1981" s="4" t="n">
        <v>137</v>
      </c>
      <c r="H1981" s="4" t="n">
        <v>203.3</v>
      </c>
      <c r="I1981" s="4" t="n">
        <v>206.77</v>
      </c>
      <c r="J1981" s="14" t="n">
        <f aca="false">E1981-D1981</f>
        <v>-1</v>
      </c>
      <c r="K1981" s="14" t="n">
        <f aca="false">IF(J1981&lt;=0,1,0)</f>
        <v>1</v>
      </c>
      <c r="L1981" s="15" t="n">
        <f aca="false">IFERROR(G1981/F1981,0)</f>
        <v>1</v>
      </c>
      <c r="M1981" s="15" t="n">
        <f aca="false">IFERROR((I1981-H1981)/H1981,0)</f>
        <v>0.01706837186424</v>
      </c>
      <c r="N1981" s="16" t="n">
        <f aca="false">G1981*I1981</f>
        <v>28327.49</v>
      </c>
    </row>
    <row r="1982" customFormat="false" ht="15" hidden="false" customHeight="true" outlineLevel="0" collapsed="false">
      <c r="A1982" s="4" t="s">
        <v>2158</v>
      </c>
      <c r="B1982" s="4" t="s">
        <v>97</v>
      </c>
      <c r="C1982" s="13" t="n">
        <v>45528</v>
      </c>
      <c r="D1982" s="13" t="n">
        <v>45537</v>
      </c>
      <c r="E1982" s="13" t="n">
        <v>45543</v>
      </c>
      <c r="F1982" s="4" t="n">
        <v>840</v>
      </c>
      <c r="G1982" s="4" t="n">
        <v>823</v>
      </c>
      <c r="H1982" s="4" t="n">
        <v>123.04</v>
      </c>
      <c r="I1982" s="4" t="n">
        <v>124.82</v>
      </c>
      <c r="J1982" s="14" t="n">
        <f aca="false">E1982-D1982</f>
        <v>6</v>
      </c>
      <c r="K1982" s="14" t="n">
        <f aca="false">IF(J1982&lt;=0,1,0)</f>
        <v>0</v>
      </c>
      <c r="L1982" s="15" t="n">
        <f aca="false">IFERROR(G1982/F1982,0)</f>
        <v>0.979761904761905</v>
      </c>
      <c r="M1982" s="15" t="n">
        <f aca="false">IFERROR((I1982-H1982)/H1982,0)</f>
        <v>0.0144668400520155</v>
      </c>
      <c r="N1982" s="16" t="n">
        <f aca="false">G1982*I1982</f>
        <v>102726.86</v>
      </c>
    </row>
    <row r="1983" customFormat="false" ht="15" hidden="false" customHeight="true" outlineLevel="0" collapsed="false">
      <c r="A1983" s="4" t="s">
        <v>2159</v>
      </c>
      <c r="B1983" s="4" t="s">
        <v>55</v>
      </c>
      <c r="C1983" s="13" t="n">
        <v>45419</v>
      </c>
      <c r="D1983" s="13" t="n">
        <v>45437</v>
      </c>
      <c r="E1983" s="13" t="n">
        <v>45433</v>
      </c>
      <c r="F1983" s="4" t="n">
        <v>169</v>
      </c>
      <c r="G1983" s="4" t="n">
        <v>164</v>
      </c>
      <c r="H1983" s="4" t="n">
        <v>598.09</v>
      </c>
      <c r="I1983" s="4" t="n">
        <v>579.99</v>
      </c>
      <c r="J1983" s="14" t="n">
        <f aca="false">E1983-D1983</f>
        <v>-4</v>
      </c>
      <c r="K1983" s="14" t="n">
        <f aca="false">IF(J1983&lt;=0,1,0)</f>
        <v>1</v>
      </c>
      <c r="L1983" s="15" t="n">
        <f aca="false">IFERROR(G1983/F1983,0)</f>
        <v>0.970414201183432</v>
      </c>
      <c r="M1983" s="15" t="n">
        <f aca="false">IFERROR((I1983-H1983)/H1983,0)</f>
        <v>-0.0302630038957348</v>
      </c>
      <c r="N1983" s="16" t="n">
        <f aca="false">G1983*I1983</f>
        <v>95118.36</v>
      </c>
    </row>
    <row r="1984" customFormat="false" ht="15" hidden="false" customHeight="true" outlineLevel="0" collapsed="false">
      <c r="A1984" s="4" t="s">
        <v>2160</v>
      </c>
      <c r="B1984" s="4" t="s">
        <v>79</v>
      </c>
      <c r="C1984" s="13" t="n">
        <v>45023</v>
      </c>
      <c r="D1984" s="13" t="n">
        <v>45040</v>
      </c>
      <c r="E1984" s="13" t="n">
        <v>45041</v>
      </c>
      <c r="F1984" s="4" t="n">
        <v>438</v>
      </c>
      <c r="G1984" s="4" t="n">
        <v>411</v>
      </c>
      <c r="H1984" s="4" t="n">
        <v>821.48</v>
      </c>
      <c r="I1984" s="4" t="n">
        <v>839.09</v>
      </c>
      <c r="J1984" s="14" t="n">
        <f aca="false">E1984-D1984</f>
        <v>1</v>
      </c>
      <c r="K1984" s="14" t="n">
        <f aca="false">IF(J1984&lt;=0,1,0)</f>
        <v>0</v>
      </c>
      <c r="L1984" s="15" t="n">
        <f aca="false">IFERROR(G1984/F1984,0)</f>
        <v>0.938356164383562</v>
      </c>
      <c r="M1984" s="15" t="n">
        <f aca="false">IFERROR((I1984-H1984)/H1984,0)</f>
        <v>0.0214369187320446</v>
      </c>
      <c r="N1984" s="16" t="n">
        <f aca="false">G1984*I1984</f>
        <v>344865.99</v>
      </c>
    </row>
    <row r="1985" customFormat="false" ht="15" hidden="false" customHeight="true" outlineLevel="0" collapsed="false">
      <c r="A1985" s="4" t="s">
        <v>2161</v>
      </c>
      <c r="B1985" s="4" t="s">
        <v>109</v>
      </c>
      <c r="C1985" s="13" t="n">
        <v>45302</v>
      </c>
      <c r="D1985" s="13" t="n">
        <v>45321</v>
      </c>
      <c r="E1985" s="13" t="n">
        <v>45325</v>
      </c>
      <c r="F1985" s="4" t="n">
        <v>305</v>
      </c>
      <c r="G1985" s="4" t="n">
        <v>289</v>
      </c>
      <c r="H1985" s="4" t="n">
        <v>858.02</v>
      </c>
      <c r="I1985" s="4" t="n">
        <v>884.46</v>
      </c>
      <c r="J1985" s="14" t="n">
        <f aca="false">E1985-D1985</f>
        <v>4</v>
      </c>
      <c r="K1985" s="14" t="n">
        <f aca="false">IF(J1985&lt;=0,1,0)</f>
        <v>0</v>
      </c>
      <c r="L1985" s="15" t="n">
        <f aca="false">IFERROR(G1985/F1985,0)</f>
        <v>0.947540983606557</v>
      </c>
      <c r="M1985" s="15" t="n">
        <f aca="false">IFERROR((I1985-H1985)/H1985,0)</f>
        <v>0.0308151325143937</v>
      </c>
      <c r="N1985" s="16" t="n">
        <f aca="false">G1985*I1985</f>
        <v>255608.94</v>
      </c>
    </row>
    <row r="1986" customFormat="false" ht="15" hidden="false" customHeight="true" outlineLevel="0" collapsed="false">
      <c r="A1986" s="4" t="s">
        <v>2162</v>
      </c>
      <c r="B1986" s="4" t="s">
        <v>32</v>
      </c>
      <c r="C1986" s="13" t="n">
        <v>45610</v>
      </c>
      <c r="D1986" s="13" t="n">
        <v>45619</v>
      </c>
      <c r="E1986" s="13" t="n">
        <v>45616</v>
      </c>
      <c r="F1986" s="4" t="n">
        <v>2909</v>
      </c>
      <c r="G1986" s="4" t="n">
        <v>2668</v>
      </c>
      <c r="H1986" s="4" t="n">
        <v>32.49</v>
      </c>
      <c r="I1986" s="4" t="n">
        <v>32.75</v>
      </c>
      <c r="J1986" s="14" t="n">
        <f aca="false">E1986-D1986</f>
        <v>-3</v>
      </c>
      <c r="K1986" s="14" t="n">
        <f aca="false">IF(J1986&lt;=0,1,0)</f>
        <v>1</v>
      </c>
      <c r="L1986" s="15" t="n">
        <f aca="false">IFERROR(G1986/F1986,0)</f>
        <v>0.917153661051908</v>
      </c>
      <c r="M1986" s="15" t="n">
        <f aca="false">IFERROR((I1986-H1986)/H1986,0)</f>
        <v>0.00800246229609104</v>
      </c>
      <c r="N1986" s="16" t="n">
        <f aca="false">G1986*I1986</f>
        <v>87377</v>
      </c>
    </row>
    <row r="1987" customFormat="false" ht="15" hidden="false" customHeight="true" outlineLevel="0" collapsed="false">
      <c r="A1987" s="4" t="s">
        <v>2163</v>
      </c>
      <c r="B1987" s="4" t="s">
        <v>115</v>
      </c>
      <c r="C1987" s="13" t="n">
        <v>44991</v>
      </c>
      <c r="D1987" s="13" t="n">
        <v>45005</v>
      </c>
      <c r="E1987" s="13" t="n">
        <v>45012</v>
      </c>
      <c r="F1987" s="4" t="n">
        <v>25</v>
      </c>
      <c r="G1987" s="4" t="n">
        <v>22</v>
      </c>
      <c r="H1987" s="4" t="n">
        <v>115.53</v>
      </c>
      <c r="I1987" s="4" t="n">
        <v>119.07</v>
      </c>
      <c r="J1987" s="14" t="n">
        <f aca="false">E1987-D1987</f>
        <v>7</v>
      </c>
      <c r="K1987" s="14" t="n">
        <f aca="false">IF(J1987&lt;=0,1,0)</f>
        <v>0</v>
      </c>
      <c r="L1987" s="15" t="n">
        <f aca="false">IFERROR(G1987/F1987,0)</f>
        <v>0.88</v>
      </c>
      <c r="M1987" s="15" t="n">
        <f aca="false">IFERROR((I1987-H1987)/H1987,0)</f>
        <v>0.0306413918462736</v>
      </c>
      <c r="N1987" s="16" t="n">
        <f aca="false">G1987*I1987</f>
        <v>2619.54</v>
      </c>
    </row>
    <row r="1988" customFormat="false" ht="15" hidden="false" customHeight="true" outlineLevel="0" collapsed="false">
      <c r="A1988" s="4" t="s">
        <v>2164</v>
      </c>
      <c r="B1988" s="4" t="s">
        <v>52</v>
      </c>
      <c r="C1988" s="13" t="n">
        <v>45008</v>
      </c>
      <c r="D1988" s="13" t="n">
        <v>45017</v>
      </c>
      <c r="E1988" s="13" t="n">
        <v>45023</v>
      </c>
      <c r="F1988" s="4" t="n">
        <v>1534</v>
      </c>
      <c r="G1988" s="4" t="n">
        <v>1294</v>
      </c>
      <c r="H1988" s="4" t="n">
        <v>170.24</v>
      </c>
      <c r="I1988" s="4" t="n">
        <v>170.88</v>
      </c>
      <c r="J1988" s="14" t="n">
        <f aca="false">E1988-D1988</f>
        <v>6</v>
      </c>
      <c r="K1988" s="14" t="n">
        <f aca="false">IF(J1988&lt;=0,1,0)</f>
        <v>0</v>
      </c>
      <c r="L1988" s="15" t="n">
        <f aca="false">IFERROR(G1988/F1988,0)</f>
        <v>0.84354628422425</v>
      </c>
      <c r="M1988" s="15" t="n">
        <f aca="false">IFERROR((I1988-H1988)/H1988,0)</f>
        <v>0.00375939849624052</v>
      </c>
      <c r="N1988" s="16" t="n">
        <f aca="false">G1988*I1988</f>
        <v>221118.72</v>
      </c>
    </row>
    <row r="1989" customFormat="false" ht="15" hidden="false" customHeight="true" outlineLevel="0" collapsed="false">
      <c r="A1989" s="4" t="s">
        <v>2165</v>
      </c>
      <c r="B1989" s="4" t="s">
        <v>79</v>
      </c>
      <c r="C1989" s="13" t="n">
        <v>45178</v>
      </c>
      <c r="D1989" s="13" t="n">
        <v>45197</v>
      </c>
      <c r="E1989" s="13" t="n">
        <v>45200</v>
      </c>
      <c r="F1989" s="4" t="n">
        <v>120</v>
      </c>
      <c r="G1989" s="4" t="n">
        <v>113</v>
      </c>
      <c r="H1989" s="4" t="n">
        <v>821.48</v>
      </c>
      <c r="I1989" s="4" t="n">
        <v>835.72</v>
      </c>
      <c r="J1989" s="14" t="n">
        <f aca="false">E1989-D1989</f>
        <v>3</v>
      </c>
      <c r="K1989" s="14" t="n">
        <f aca="false">IF(J1989&lt;=0,1,0)</f>
        <v>0</v>
      </c>
      <c r="L1989" s="15" t="n">
        <f aca="false">IFERROR(G1989/F1989,0)</f>
        <v>0.941666666666667</v>
      </c>
      <c r="M1989" s="15" t="n">
        <f aca="false">IFERROR((I1989-H1989)/H1989,0)</f>
        <v>0.017334566879291</v>
      </c>
      <c r="N1989" s="16" t="n">
        <f aca="false">G1989*I1989</f>
        <v>94436.36</v>
      </c>
    </row>
    <row r="1990" customFormat="false" ht="15" hidden="false" customHeight="true" outlineLevel="0" collapsed="false">
      <c r="A1990" s="4" t="s">
        <v>2166</v>
      </c>
      <c r="B1990" s="4" t="s">
        <v>155</v>
      </c>
      <c r="C1990" s="13" t="n">
        <v>45332</v>
      </c>
      <c r="D1990" s="13" t="n">
        <v>45341</v>
      </c>
      <c r="E1990" s="13" t="n">
        <v>45342</v>
      </c>
      <c r="F1990" s="4" t="n">
        <v>4343</v>
      </c>
      <c r="G1990" s="4" t="n">
        <v>4133</v>
      </c>
      <c r="H1990" s="4" t="n">
        <v>24.04</v>
      </c>
      <c r="I1990" s="4" t="n">
        <v>23.31</v>
      </c>
      <c r="J1990" s="14" t="n">
        <f aca="false">E1990-D1990</f>
        <v>1</v>
      </c>
      <c r="K1990" s="14" t="n">
        <f aca="false">IF(J1990&lt;=0,1,0)</f>
        <v>0</v>
      </c>
      <c r="L1990" s="15" t="n">
        <f aca="false">IFERROR(G1990/F1990,0)</f>
        <v>0.95164632742344</v>
      </c>
      <c r="M1990" s="15" t="n">
        <f aca="false">IFERROR((I1990-H1990)/H1990,0)</f>
        <v>-0.0303660565723794</v>
      </c>
      <c r="N1990" s="16" t="n">
        <f aca="false">G1990*I1990</f>
        <v>96340.23</v>
      </c>
    </row>
    <row r="1991" customFormat="false" ht="15" hidden="false" customHeight="true" outlineLevel="0" collapsed="false">
      <c r="A1991" s="4" t="s">
        <v>2167</v>
      </c>
      <c r="B1991" s="4" t="s">
        <v>111</v>
      </c>
      <c r="C1991" s="13" t="n">
        <v>45491</v>
      </c>
      <c r="D1991" s="13" t="n">
        <v>45500</v>
      </c>
      <c r="E1991" s="13" t="n">
        <v>45501</v>
      </c>
      <c r="F1991" s="4" t="n">
        <v>1379</v>
      </c>
      <c r="G1991" s="4" t="n">
        <v>1347</v>
      </c>
      <c r="H1991" s="4" t="n">
        <v>148.08</v>
      </c>
      <c r="I1991" s="4" t="n">
        <v>151.68</v>
      </c>
      <c r="J1991" s="14" t="n">
        <f aca="false">E1991-D1991</f>
        <v>1</v>
      </c>
      <c r="K1991" s="14" t="n">
        <f aca="false">IF(J1991&lt;=0,1,0)</f>
        <v>0</v>
      </c>
      <c r="L1991" s="15" t="n">
        <f aca="false">IFERROR(G1991/F1991,0)</f>
        <v>0.976794778825236</v>
      </c>
      <c r="M1991" s="15" t="n">
        <f aca="false">IFERROR((I1991-H1991)/H1991,0)</f>
        <v>0.0243111831442463</v>
      </c>
      <c r="N1991" s="16" t="n">
        <f aca="false">G1991*I1991</f>
        <v>204312.96</v>
      </c>
    </row>
    <row r="1992" customFormat="false" ht="15" hidden="false" customHeight="true" outlineLevel="0" collapsed="false">
      <c r="A1992" s="4" t="s">
        <v>2168</v>
      </c>
      <c r="B1992" s="4" t="s">
        <v>105</v>
      </c>
      <c r="C1992" s="13" t="n">
        <v>45173</v>
      </c>
      <c r="D1992" s="13" t="n">
        <v>45192</v>
      </c>
      <c r="E1992" s="13" t="n">
        <v>45194</v>
      </c>
      <c r="F1992" s="4" t="n">
        <v>196</v>
      </c>
      <c r="G1992" s="4" t="n">
        <v>189</v>
      </c>
      <c r="H1992" s="4" t="n">
        <v>685.84</v>
      </c>
      <c r="I1992" s="4" t="n">
        <v>702.97</v>
      </c>
      <c r="J1992" s="14" t="n">
        <f aca="false">E1992-D1992</f>
        <v>2</v>
      </c>
      <c r="K1992" s="14" t="n">
        <f aca="false">IF(J1992&lt;=0,1,0)</f>
        <v>0</v>
      </c>
      <c r="L1992" s="15" t="n">
        <f aca="false">IFERROR(G1992/F1992,0)</f>
        <v>0.964285714285714</v>
      </c>
      <c r="M1992" s="15" t="n">
        <f aca="false">IFERROR((I1992-H1992)/H1992,0)</f>
        <v>0.0249766709436603</v>
      </c>
      <c r="N1992" s="16" t="n">
        <f aca="false">G1992*I1992</f>
        <v>132861.33</v>
      </c>
    </row>
    <row r="1993" customFormat="false" ht="15" hidden="false" customHeight="true" outlineLevel="0" collapsed="false">
      <c r="A1993" s="4" t="s">
        <v>2169</v>
      </c>
      <c r="B1993" s="4" t="s">
        <v>123</v>
      </c>
      <c r="C1993" s="13" t="n">
        <v>45527</v>
      </c>
      <c r="D1993" s="13" t="n">
        <v>45539</v>
      </c>
      <c r="E1993" s="13" t="n">
        <v>45538</v>
      </c>
      <c r="F1993" s="4" t="n">
        <v>48</v>
      </c>
      <c r="G1993" s="4" t="n">
        <v>47</v>
      </c>
      <c r="H1993" s="4" t="n">
        <v>214.07</v>
      </c>
      <c r="I1993" s="4" t="n">
        <v>244.5</v>
      </c>
      <c r="J1993" s="14" t="n">
        <f aca="false">E1993-D1993</f>
        <v>-1</v>
      </c>
      <c r="K1993" s="14" t="n">
        <f aca="false">IF(J1993&lt;=0,1,0)</f>
        <v>1</v>
      </c>
      <c r="L1993" s="15" t="n">
        <f aca="false">IFERROR(G1993/F1993,0)</f>
        <v>0.979166666666667</v>
      </c>
      <c r="M1993" s="15" t="n">
        <f aca="false">IFERROR((I1993-H1993)/H1993,0)</f>
        <v>0.142149764095857</v>
      </c>
      <c r="N1993" s="16" t="n">
        <f aca="false">G1993*I1993</f>
        <v>11491.5</v>
      </c>
    </row>
    <row r="1994" customFormat="false" ht="15" hidden="false" customHeight="true" outlineLevel="0" collapsed="false">
      <c r="A1994" s="4" t="s">
        <v>2170</v>
      </c>
      <c r="B1994" s="4" t="s">
        <v>131</v>
      </c>
      <c r="C1994" s="13" t="n">
        <v>45297</v>
      </c>
      <c r="D1994" s="13" t="n">
        <v>45309</v>
      </c>
      <c r="E1994" s="13" t="n">
        <v>45309</v>
      </c>
      <c r="F1994" s="4" t="n">
        <v>644</v>
      </c>
      <c r="G1994" s="4" t="n">
        <v>626</v>
      </c>
      <c r="H1994" s="4" t="n">
        <v>88.52</v>
      </c>
      <c r="I1994" s="4" t="n">
        <v>89.97</v>
      </c>
      <c r="J1994" s="14" t="n">
        <f aca="false">E1994-D1994</f>
        <v>0</v>
      </c>
      <c r="K1994" s="14" t="n">
        <f aca="false">IF(J1994&lt;=0,1,0)</f>
        <v>1</v>
      </c>
      <c r="L1994" s="15" t="n">
        <f aca="false">IFERROR(G1994/F1994,0)</f>
        <v>0.972049689440994</v>
      </c>
      <c r="M1994" s="15" t="n">
        <f aca="false">IFERROR((I1994-H1994)/H1994,0)</f>
        <v>0.0163804789877994</v>
      </c>
      <c r="N1994" s="16" t="n">
        <f aca="false">G1994*I1994</f>
        <v>56321.22</v>
      </c>
    </row>
    <row r="1995" customFormat="false" ht="15" hidden="false" customHeight="true" outlineLevel="0" collapsed="false">
      <c r="A1995" s="4" t="s">
        <v>2171</v>
      </c>
      <c r="B1995" s="4" t="s">
        <v>127</v>
      </c>
      <c r="C1995" s="13" t="n">
        <v>45145</v>
      </c>
      <c r="D1995" s="13" t="n">
        <v>45150</v>
      </c>
      <c r="E1995" s="13" t="n">
        <v>45153</v>
      </c>
      <c r="F1995" s="4" t="n">
        <v>2</v>
      </c>
      <c r="G1995" s="4" t="n">
        <v>2</v>
      </c>
      <c r="H1995" s="4" t="n">
        <v>1881</v>
      </c>
      <c r="I1995" s="4" t="n">
        <v>1829.49</v>
      </c>
      <c r="J1995" s="14" t="n">
        <f aca="false">E1995-D1995</f>
        <v>3</v>
      </c>
      <c r="K1995" s="14" t="n">
        <f aca="false">IF(J1995&lt;=0,1,0)</f>
        <v>0</v>
      </c>
      <c r="L1995" s="15" t="n">
        <f aca="false">IFERROR(G1995/F1995,0)</f>
        <v>1</v>
      </c>
      <c r="M1995" s="15" t="n">
        <f aca="false">IFERROR((I1995-H1995)/H1995,0)</f>
        <v>-0.027384370015949</v>
      </c>
      <c r="N1995" s="16" t="n">
        <f aca="false">G1995*I1995</f>
        <v>3658.98</v>
      </c>
    </row>
    <row r="1996" customFormat="false" ht="15" hidden="false" customHeight="true" outlineLevel="0" collapsed="false">
      <c r="A1996" s="4" t="s">
        <v>2172</v>
      </c>
      <c r="B1996" s="4" t="s">
        <v>95</v>
      </c>
      <c r="C1996" s="13" t="n">
        <v>45627</v>
      </c>
      <c r="D1996" s="13" t="n">
        <v>45633</v>
      </c>
      <c r="E1996" s="13" t="n">
        <v>45634</v>
      </c>
      <c r="F1996" s="4" t="n">
        <v>4635</v>
      </c>
      <c r="G1996" s="4" t="n">
        <v>4482</v>
      </c>
      <c r="H1996" s="4" t="n">
        <v>20.39</v>
      </c>
      <c r="I1996" s="4" t="n">
        <v>21.47</v>
      </c>
      <c r="J1996" s="14" t="n">
        <f aca="false">E1996-D1996</f>
        <v>1</v>
      </c>
      <c r="K1996" s="14" t="n">
        <f aca="false">IF(J1996&lt;=0,1,0)</f>
        <v>0</v>
      </c>
      <c r="L1996" s="15" t="n">
        <f aca="false">IFERROR(G1996/F1996,0)</f>
        <v>0.966990291262136</v>
      </c>
      <c r="M1996" s="15" t="n">
        <f aca="false">IFERROR((I1996-H1996)/H1996,0)</f>
        <v>0.0529671407552721</v>
      </c>
      <c r="N1996" s="16" t="n">
        <f aca="false">G1996*I1996</f>
        <v>96228.54</v>
      </c>
    </row>
    <row r="1997" customFormat="false" ht="15" hidden="false" customHeight="true" outlineLevel="0" collapsed="false">
      <c r="A1997" s="4" t="s">
        <v>2173</v>
      </c>
      <c r="B1997" s="4" t="s">
        <v>89</v>
      </c>
      <c r="C1997" s="13" t="n">
        <v>45009</v>
      </c>
      <c r="D1997" s="13" t="n">
        <v>45013</v>
      </c>
      <c r="E1997" s="13" t="n">
        <v>45014</v>
      </c>
      <c r="F1997" s="4" t="n">
        <v>9</v>
      </c>
      <c r="G1997" s="4" t="n">
        <v>8</v>
      </c>
      <c r="H1997" s="4" t="n">
        <v>1929.81</v>
      </c>
      <c r="I1997" s="4" t="n">
        <v>1935.51</v>
      </c>
      <c r="J1997" s="14" t="n">
        <f aca="false">E1997-D1997</f>
        <v>1</v>
      </c>
      <c r="K1997" s="14" t="n">
        <f aca="false">IF(J1997&lt;=0,1,0)</f>
        <v>0</v>
      </c>
      <c r="L1997" s="15" t="n">
        <f aca="false">IFERROR(G1997/F1997,0)</f>
        <v>0.888888888888889</v>
      </c>
      <c r="M1997" s="15" t="n">
        <f aca="false">IFERROR((I1997-H1997)/H1997,0)</f>
        <v>0.00295365865033348</v>
      </c>
      <c r="N1997" s="16" t="n">
        <f aca="false">G1997*I1997</f>
        <v>15484.08</v>
      </c>
    </row>
    <row r="1998" customFormat="false" ht="15" hidden="false" customHeight="true" outlineLevel="0" collapsed="false">
      <c r="A1998" s="4" t="s">
        <v>2174</v>
      </c>
      <c r="B1998" s="4" t="s">
        <v>125</v>
      </c>
      <c r="C1998" s="13" t="n">
        <v>45460</v>
      </c>
      <c r="D1998" s="13" t="n">
        <v>45466</v>
      </c>
      <c r="E1998" s="13" t="n">
        <v>45473</v>
      </c>
      <c r="F1998" s="4" t="n">
        <v>1</v>
      </c>
      <c r="G1998" s="4" t="n">
        <v>1</v>
      </c>
      <c r="H1998" s="4" t="n">
        <v>729.32</v>
      </c>
      <c r="I1998" s="4" t="n">
        <v>739.55</v>
      </c>
      <c r="J1998" s="14" t="n">
        <f aca="false">E1998-D1998</f>
        <v>7</v>
      </c>
      <c r="K1998" s="14" t="n">
        <f aca="false">IF(J1998&lt;=0,1,0)</f>
        <v>0</v>
      </c>
      <c r="L1998" s="15" t="n">
        <f aca="false">IFERROR(G1998/F1998,0)</f>
        <v>1</v>
      </c>
      <c r="M1998" s="15" t="n">
        <f aca="false">IFERROR((I1998-H1998)/H1998,0)</f>
        <v>0.014026764657489</v>
      </c>
      <c r="N1998" s="16" t="n">
        <f aca="false">G1998*I1998</f>
        <v>739.55</v>
      </c>
    </row>
    <row r="1999" customFormat="false" ht="15" hidden="false" customHeight="true" outlineLevel="0" collapsed="false">
      <c r="A1999" s="4" t="s">
        <v>2175</v>
      </c>
      <c r="B1999" s="4" t="s">
        <v>97</v>
      </c>
      <c r="C1999" s="13" t="n">
        <v>45355</v>
      </c>
      <c r="D1999" s="13" t="n">
        <v>45364</v>
      </c>
      <c r="E1999" s="13" t="n">
        <v>45367</v>
      </c>
      <c r="F1999" s="4" t="n">
        <v>1319</v>
      </c>
      <c r="G1999" s="4" t="n">
        <v>1293</v>
      </c>
      <c r="H1999" s="4" t="n">
        <v>123.04</v>
      </c>
      <c r="I1999" s="4" t="n">
        <v>123.39</v>
      </c>
      <c r="J1999" s="14" t="n">
        <f aca="false">E1999-D1999</f>
        <v>3</v>
      </c>
      <c r="K1999" s="14" t="n">
        <f aca="false">IF(J1999&lt;=0,1,0)</f>
        <v>0</v>
      </c>
      <c r="L1999" s="15" t="n">
        <f aca="false">IFERROR(G1999/F1999,0)</f>
        <v>0.980288097043215</v>
      </c>
      <c r="M1999" s="15" t="n">
        <f aca="false">IFERROR((I1999-H1999)/H1999,0)</f>
        <v>0.00284460338101426</v>
      </c>
      <c r="N1999" s="16" t="n">
        <f aca="false">G1999*I1999</f>
        <v>159543.27</v>
      </c>
    </row>
    <row r="2000" customFormat="false" ht="15" hidden="false" customHeight="true" outlineLevel="0" collapsed="false">
      <c r="A2000" s="4" t="s">
        <v>2176</v>
      </c>
      <c r="B2000" s="4" t="s">
        <v>101</v>
      </c>
      <c r="C2000" s="13" t="n">
        <v>45497</v>
      </c>
      <c r="D2000" s="13" t="n">
        <v>45515</v>
      </c>
      <c r="E2000" s="13" t="n">
        <v>45517</v>
      </c>
      <c r="F2000" s="4" t="n">
        <v>435</v>
      </c>
      <c r="G2000" s="4" t="n">
        <v>419</v>
      </c>
      <c r="H2000" s="4" t="n">
        <v>442.74</v>
      </c>
      <c r="I2000" s="4" t="n">
        <v>445.03</v>
      </c>
      <c r="J2000" s="14" t="n">
        <f aca="false">E2000-D2000</f>
        <v>2</v>
      </c>
      <c r="K2000" s="14" t="n">
        <f aca="false">IF(J2000&lt;=0,1,0)</f>
        <v>0</v>
      </c>
      <c r="L2000" s="15" t="n">
        <f aca="false">IFERROR(G2000/F2000,0)</f>
        <v>0.963218390804598</v>
      </c>
      <c r="M2000" s="15" t="n">
        <f aca="false">IFERROR((I2000-H2000)/H2000,0)</f>
        <v>0.0051723359082079</v>
      </c>
      <c r="N2000" s="16" t="n">
        <f aca="false">G2000*I2000</f>
        <v>186467.57</v>
      </c>
    </row>
    <row r="2001" customFormat="false" ht="15" hidden="false" customHeight="true" outlineLevel="0" collapsed="false">
      <c r="A2001" s="4" t="s">
        <v>2177</v>
      </c>
      <c r="B2001" s="4" t="s">
        <v>103</v>
      </c>
      <c r="C2001" s="13" t="n">
        <v>45415</v>
      </c>
      <c r="D2001" s="13" t="n">
        <v>45435</v>
      </c>
      <c r="E2001" s="13" t="n">
        <v>45441</v>
      </c>
      <c r="F2001" s="4" t="n">
        <v>52</v>
      </c>
      <c r="G2001" s="4" t="n">
        <v>50</v>
      </c>
      <c r="H2001" s="4" t="n">
        <v>1400.22</v>
      </c>
      <c r="I2001" s="4" t="n">
        <v>1422.94</v>
      </c>
      <c r="J2001" s="14" t="n">
        <f aca="false">E2001-D2001</f>
        <v>6</v>
      </c>
      <c r="K2001" s="14" t="n">
        <f aca="false">IF(J2001&lt;=0,1,0)</f>
        <v>0</v>
      </c>
      <c r="L2001" s="15" t="n">
        <f aca="false">IFERROR(G2001/F2001,0)</f>
        <v>0.961538461538462</v>
      </c>
      <c r="M2001" s="15" t="n">
        <f aca="false">IFERROR((I2001-H2001)/H2001,0)</f>
        <v>0.0162260216251732</v>
      </c>
      <c r="N2001" s="16" t="n">
        <f aca="false">G2001*I2001</f>
        <v>71147</v>
      </c>
    </row>
    <row r="2002" customFormat="false" ht="15" hidden="false" customHeight="true" outlineLevel="0" collapsed="false">
      <c r="A2002" s="4" t="s">
        <v>2178</v>
      </c>
      <c r="B2002" s="4" t="s">
        <v>117</v>
      </c>
      <c r="C2002" s="13" t="n">
        <v>45618</v>
      </c>
      <c r="D2002" s="13" t="n">
        <v>45631</v>
      </c>
      <c r="E2002" s="13" t="n">
        <v>45638</v>
      </c>
      <c r="F2002" s="4" t="n">
        <v>257</v>
      </c>
      <c r="G2002" s="4" t="n">
        <v>245</v>
      </c>
      <c r="H2002" s="4" t="n">
        <v>396.01</v>
      </c>
      <c r="I2002" s="4" t="n">
        <v>379.09</v>
      </c>
      <c r="J2002" s="14" t="n">
        <f aca="false">E2002-D2002</f>
        <v>7</v>
      </c>
      <c r="K2002" s="14" t="n">
        <f aca="false">IF(J2002&lt;=0,1,0)</f>
        <v>0</v>
      </c>
      <c r="L2002" s="15" t="n">
        <f aca="false">IFERROR(G2002/F2002,0)</f>
        <v>0.953307392996109</v>
      </c>
      <c r="M2002" s="15" t="n">
        <f aca="false">IFERROR((I2002-H2002)/H2002,0)</f>
        <v>-0.0427261937829853</v>
      </c>
      <c r="N2002" s="16" t="n">
        <f aca="false">G2002*I2002</f>
        <v>92877.05</v>
      </c>
    </row>
    <row r="2003" customFormat="false" ht="15" hidden="false" customHeight="true" outlineLevel="0" collapsed="false">
      <c r="A2003" s="4" t="s">
        <v>2179</v>
      </c>
      <c r="B2003" s="4" t="s">
        <v>121</v>
      </c>
      <c r="C2003" s="13" t="n">
        <v>45115</v>
      </c>
      <c r="D2003" s="13" t="n">
        <v>45126</v>
      </c>
      <c r="E2003" s="13" t="n">
        <v>45130</v>
      </c>
      <c r="F2003" s="4" t="n">
        <v>1690</v>
      </c>
      <c r="G2003" s="4" t="n">
        <v>1483</v>
      </c>
      <c r="H2003" s="4" t="n">
        <v>206.07</v>
      </c>
      <c r="I2003" s="4" t="n">
        <v>214.34</v>
      </c>
      <c r="J2003" s="14" t="n">
        <f aca="false">E2003-D2003</f>
        <v>4</v>
      </c>
      <c r="K2003" s="14" t="n">
        <f aca="false">IF(J2003&lt;=0,1,0)</f>
        <v>0</v>
      </c>
      <c r="L2003" s="15" t="n">
        <f aca="false">IFERROR(G2003/F2003,0)</f>
        <v>0.877514792899408</v>
      </c>
      <c r="M2003" s="15" t="n">
        <f aca="false">IFERROR((I2003-H2003)/H2003,0)</f>
        <v>0.0401319939826273</v>
      </c>
      <c r="N2003" s="16" t="n">
        <f aca="false">G2003*I2003</f>
        <v>317866.22</v>
      </c>
    </row>
    <row r="2004" customFormat="false" ht="15" hidden="false" customHeight="true" outlineLevel="0" collapsed="false">
      <c r="A2004" s="4" t="s">
        <v>2180</v>
      </c>
      <c r="B2004" s="4" t="s">
        <v>72</v>
      </c>
      <c r="C2004" s="13" t="n">
        <v>45594</v>
      </c>
      <c r="D2004" s="13" t="n">
        <v>45602</v>
      </c>
      <c r="E2004" s="13" t="n">
        <v>45607</v>
      </c>
      <c r="F2004" s="4" t="n">
        <v>2088</v>
      </c>
      <c r="G2004" s="4" t="n">
        <v>2061</v>
      </c>
      <c r="H2004" s="4" t="n">
        <v>34.53</v>
      </c>
      <c r="I2004" s="4" t="n">
        <v>36.66</v>
      </c>
      <c r="J2004" s="14" t="n">
        <f aca="false">E2004-D2004</f>
        <v>5</v>
      </c>
      <c r="K2004" s="14" t="n">
        <f aca="false">IF(J2004&lt;=0,1,0)</f>
        <v>0</v>
      </c>
      <c r="L2004" s="15" t="n">
        <f aca="false">IFERROR(G2004/F2004,0)</f>
        <v>0.987068965517241</v>
      </c>
      <c r="M2004" s="15" t="n">
        <f aca="false">IFERROR((I2004-H2004)/H2004,0)</f>
        <v>0.0616854908774977</v>
      </c>
      <c r="N2004" s="16" t="n">
        <f aca="false">G2004*I2004</f>
        <v>75556.26</v>
      </c>
    </row>
    <row r="2005" customFormat="false" ht="15" hidden="false" customHeight="true" outlineLevel="0" collapsed="false">
      <c r="A2005" s="4" t="s">
        <v>2181</v>
      </c>
      <c r="B2005" s="4" t="s">
        <v>121</v>
      </c>
      <c r="C2005" s="13" t="n">
        <v>45387</v>
      </c>
      <c r="D2005" s="13" t="n">
        <v>45396</v>
      </c>
      <c r="E2005" s="13" t="n">
        <v>45396</v>
      </c>
      <c r="F2005" s="4" t="n">
        <v>1271</v>
      </c>
      <c r="G2005" s="4" t="n">
        <v>1187</v>
      </c>
      <c r="H2005" s="4" t="n">
        <v>206.07</v>
      </c>
      <c r="I2005" s="4" t="n">
        <v>225.63</v>
      </c>
      <c r="J2005" s="14" t="n">
        <f aca="false">E2005-D2005</f>
        <v>0</v>
      </c>
      <c r="K2005" s="14" t="n">
        <f aca="false">IF(J2005&lt;=0,1,0)</f>
        <v>1</v>
      </c>
      <c r="L2005" s="15" t="n">
        <f aca="false">IFERROR(G2005/F2005,0)</f>
        <v>0.933910306845004</v>
      </c>
      <c r="M2005" s="15" t="n">
        <f aca="false">IFERROR((I2005-H2005)/H2005,0)</f>
        <v>0.0949192022128403</v>
      </c>
      <c r="N2005" s="16" t="n">
        <f aca="false">G2005*I2005</f>
        <v>267822.81</v>
      </c>
    </row>
    <row r="2006" customFormat="false" ht="15" hidden="false" customHeight="true" outlineLevel="0" collapsed="false">
      <c r="A2006" s="4" t="s">
        <v>2182</v>
      </c>
      <c r="B2006" s="4" t="s">
        <v>129</v>
      </c>
      <c r="C2006" s="13" t="n">
        <v>45077</v>
      </c>
      <c r="D2006" s="13" t="n">
        <v>45096</v>
      </c>
      <c r="E2006" s="13" t="n">
        <v>45098</v>
      </c>
      <c r="F2006" s="4" t="n">
        <v>152</v>
      </c>
      <c r="G2006" s="4" t="n">
        <v>150</v>
      </c>
      <c r="H2006" s="4" t="n">
        <v>709.66</v>
      </c>
      <c r="I2006" s="4" t="n">
        <v>720.6</v>
      </c>
      <c r="J2006" s="14" t="n">
        <f aca="false">E2006-D2006</f>
        <v>2</v>
      </c>
      <c r="K2006" s="14" t="n">
        <f aca="false">IF(J2006&lt;=0,1,0)</f>
        <v>0</v>
      </c>
      <c r="L2006" s="15" t="n">
        <f aca="false">IFERROR(G2006/F2006,0)</f>
        <v>0.986842105263158</v>
      </c>
      <c r="M2006" s="15" t="n">
        <f aca="false">IFERROR((I2006-H2006)/H2006,0)</f>
        <v>0.0154158329340812</v>
      </c>
      <c r="N2006" s="16" t="n">
        <f aca="false">G2006*I2006</f>
        <v>108090</v>
      </c>
    </row>
    <row r="2007" customFormat="false" ht="15" hidden="false" customHeight="true" outlineLevel="0" collapsed="false">
      <c r="A2007" s="4" t="s">
        <v>2183</v>
      </c>
      <c r="B2007" s="4" t="s">
        <v>68</v>
      </c>
      <c r="C2007" s="13" t="n">
        <v>45051</v>
      </c>
      <c r="D2007" s="13" t="n">
        <v>45071</v>
      </c>
      <c r="E2007" s="13" t="n">
        <v>45070</v>
      </c>
      <c r="F2007" s="4" t="n">
        <v>130</v>
      </c>
      <c r="G2007" s="4" t="n">
        <v>125</v>
      </c>
      <c r="H2007" s="4" t="n">
        <v>1232.83</v>
      </c>
      <c r="I2007" s="4" t="n">
        <v>1232.8</v>
      </c>
      <c r="J2007" s="14" t="n">
        <f aca="false">E2007-D2007</f>
        <v>-1</v>
      </c>
      <c r="K2007" s="14" t="n">
        <f aca="false">IF(J2007&lt;=0,1,0)</f>
        <v>1</v>
      </c>
      <c r="L2007" s="15" t="n">
        <f aca="false">IFERROR(G2007/F2007,0)</f>
        <v>0.961538461538462</v>
      </c>
      <c r="M2007" s="15" t="n">
        <f aca="false">IFERROR((I2007-H2007)/H2007,0)</f>
        <v>-2.43342553312076E-005</v>
      </c>
      <c r="N2007" s="16" t="n">
        <f aca="false">G2007*I2007</f>
        <v>154100</v>
      </c>
    </row>
    <row r="2008" customFormat="false" ht="15" hidden="false" customHeight="true" outlineLevel="0" collapsed="false">
      <c r="A2008" s="4" t="s">
        <v>2184</v>
      </c>
      <c r="B2008" s="4" t="s">
        <v>111</v>
      </c>
      <c r="C2008" s="13" t="n">
        <v>45538</v>
      </c>
      <c r="D2008" s="13" t="n">
        <v>45549</v>
      </c>
      <c r="E2008" s="13" t="n">
        <v>45558</v>
      </c>
      <c r="F2008" s="4" t="n">
        <v>1585</v>
      </c>
      <c r="G2008" s="4" t="n">
        <v>1550</v>
      </c>
      <c r="H2008" s="4" t="n">
        <v>148.08</v>
      </c>
      <c r="I2008" s="4" t="n">
        <v>145.62</v>
      </c>
      <c r="J2008" s="14" t="n">
        <f aca="false">E2008-D2008</f>
        <v>9</v>
      </c>
      <c r="K2008" s="14" t="n">
        <f aca="false">IF(J2008&lt;=0,1,0)</f>
        <v>0</v>
      </c>
      <c r="L2008" s="15" t="n">
        <f aca="false">IFERROR(G2008/F2008,0)</f>
        <v>0.977917981072555</v>
      </c>
      <c r="M2008" s="15" t="n">
        <f aca="false">IFERROR((I2008-H2008)/H2008,0)</f>
        <v>-0.0166126418152351</v>
      </c>
      <c r="N2008" s="16" t="n">
        <f aca="false">G2008*I2008</f>
        <v>225711</v>
      </c>
    </row>
    <row r="2009" customFormat="false" ht="15" hidden="false" customHeight="true" outlineLevel="0" collapsed="false">
      <c r="A2009" s="4" t="s">
        <v>2185</v>
      </c>
      <c r="B2009" s="4" t="s">
        <v>87</v>
      </c>
      <c r="C2009" s="13" t="n">
        <v>44979</v>
      </c>
      <c r="D2009" s="13" t="n">
        <v>44990</v>
      </c>
      <c r="E2009" s="13" t="n">
        <v>44989</v>
      </c>
      <c r="F2009" s="4" t="n">
        <v>1121</v>
      </c>
      <c r="G2009" s="4" t="n">
        <v>1036</v>
      </c>
      <c r="H2009" s="4" t="n">
        <v>161.95</v>
      </c>
      <c r="I2009" s="4" t="n">
        <v>165.33</v>
      </c>
      <c r="J2009" s="14" t="n">
        <f aca="false">E2009-D2009</f>
        <v>-1</v>
      </c>
      <c r="K2009" s="14" t="n">
        <f aca="false">IF(J2009&lt;=0,1,0)</f>
        <v>1</v>
      </c>
      <c r="L2009" s="15" t="n">
        <f aca="false">IFERROR(G2009/F2009,0)</f>
        <v>0.924174843889384</v>
      </c>
      <c r="M2009" s="15" t="n">
        <f aca="false">IFERROR((I2009-H2009)/H2009,0)</f>
        <v>0.0208706390861378</v>
      </c>
      <c r="N2009" s="16" t="n">
        <f aca="false">G2009*I2009</f>
        <v>171281.88</v>
      </c>
    </row>
    <row r="2010" customFormat="false" ht="15" hidden="false" customHeight="true" outlineLevel="0" collapsed="false">
      <c r="A2010" s="4" t="s">
        <v>2186</v>
      </c>
      <c r="B2010" s="4" t="s">
        <v>91</v>
      </c>
      <c r="C2010" s="13" t="n">
        <v>45545</v>
      </c>
      <c r="D2010" s="13" t="n">
        <v>45563</v>
      </c>
      <c r="E2010" s="13" t="n">
        <v>45567</v>
      </c>
      <c r="F2010" s="4" t="n">
        <v>365</v>
      </c>
      <c r="G2010" s="4" t="n">
        <v>356</v>
      </c>
      <c r="H2010" s="4" t="n">
        <v>496.29</v>
      </c>
      <c r="I2010" s="4" t="n">
        <v>472.84</v>
      </c>
      <c r="J2010" s="14" t="n">
        <f aca="false">E2010-D2010</f>
        <v>4</v>
      </c>
      <c r="K2010" s="14" t="n">
        <f aca="false">IF(J2010&lt;=0,1,0)</f>
        <v>0</v>
      </c>
      <c r="L2010" s="15" t="n">
        <f aca="false">IFERROR(G2010/F2010,0)</f>
        <v>0.975342465753425</v>
      </c>
      <c r="M2010" s="15" t="n">
        <f aca="false">IFERROR((I2010-H2010)/H2010,0)</f>
        <v>-0.0472505994479035</v>
      </c>
      <c r="N2010" s="16" t="n">
        <f aca="false">G2010*I2010</f>
        <v>168331.04</v>
      </c>
    </row>
    <row r="2011" customFormat="false" ht="15" hidden="false" customHeight="true" outlineLevel="0" collapsed="false">
      <c r="A2011" s="4" t="s">
        <v>2187</v>
      </c>
      <c r="B2011" s="4" t="s">
        <v>101</v>
      </c>
      <c r="C2011" s="13" t="n">
        <v>44986</v>
      </c>
      <c r="D2011" s="13" t="n">
        <v>45003</v>
      </c>
      <c r="E2011" s="13" t="n">
        <v>45006</v>
      </c>
      <c r="F2011" s="4" t="n">
        <v>52</v>
      </c>
      <c r="G2011" s="4" t="n">
        <v>50</v>
      </c>
      <c r="H2011" s="4" t="n">
        <v>442.74</v>
      </c>
      <c r="I2011" s="4" t="n">
        <v>436.21</v>
      </c>
      <c r="J2011" s="14" t="n">
        <f aca="false">E2011-D2011</f>
        <v>3</v>
      </c>
      <c r="K2011" s="14" t="n">
        <f aca="false">IF(J2011&lt;=0,1,0)</f>
        <v>0</v>
      </c>
      <c r="L2011" s="15" t="n">
        <f aca="false">IFERROR(G2011/F2011,0)</f>
        <v>0.961538461538462</v>
      </c>
      <c r="M2011" s="15" t="n">
        <f aca="false">IFERROR((I2011-H2011)/H2011,0)</f>
        <v>-0.0147490626552831</v>
      </c>
      <c r="N2011" s="16" t="n">
        <f aca="false">G2011*I2011</f>
        <v>21810.5</v>
      </c>
    </row>
    <row r="2012" customFormat="false" ht="15" hidden="false" customHeight="true" outlineLevel="0" collapsed="false">
      <c r="A2012" s="4" t="s">
        <v>2188</v>
      </c>
      <c r="B2012" s="4" t="s">
        <v>163</v>
      </c>
      <c r="C2012" s="13" t="n">
        <v>45100</v>
      </c>
      <c r="D2012" s="13" t="n">
        <v>45118</v>
      </c>
      <c r="E2012" s="13" t="n">
        <v>45111</v>
      </c>
      <c r="F2012" s="4" t="n">
        <v>293</v>
      </c>
      <c r="G2012" s="4" t="n">
        <v>280</v>
      </c>
      <c r="H2012" s="4" t="n">
        <v>482.79</v>
      </c>
      <c r="I2012" s="4" t="n">
        <v>481.57</v>
      </c>
      <c r="J2012" s="14" t="n">
        <f aca="false">E2012-D2012</f>
        <v>-7</v>
      </c>
      <c r="K2012" s="14" t="n">
        <f aca="false">IF(J2012&lt;=0,1,0)</f>
        <v>1</v>
      </c>
      <c r="L2012" s="15" t="n">
        <f aca="false">IFERROR(G2012/F2012,0)</f>
        <v>0.955631399317406</v>
      </c>
      <c r="M2012" s="15" t="n">
        <f aca="false">IFERROR((I2012-H2012)/H2012,0)</f>
        <v>-0.00252697860353368</v>
      </c>
      <c r="N2012" s="16" t="n">
        <f aca="false">G2012*I2012</f>
        <v>134839.6</v>
      </c>
    </row>
    <row r="2013" customFormat="false" ht="15" hidden="false" customHeight="true" outlineLevel="0" collapsed="false">
      <c r="A2013" s="4" t="s">
        <v>2189</v>
      </c>
      <c r="B2013" s="4" t="s">
        <v>119</v>
      </c>
      <c r="C2013" s="13" t="n">
        <v>45017</v>
      </c>
      <c r="D2013" s="13" t="n">
        <v>45023</v>
      </c>
      <c r="E2013" s="13" t="n">
        <v>45026</v>
      </c>
      <c r="F2013" s="4" t="n">
        <v>2657</v>
      </c>
      <c r="G2013" s="4" t="n">
        <v>2479</v>
      </c>
      <c r="H2013" s="4" t="n">
        <v>50.92</v>
      </c>
      <c r="I2013" s="4" t="n">
        <v>50.32</v>
      </c>
      <c r="J2013" s="14" t="n">
        <f aca="false">E2013-D2013</f>
        <v>3</v>
      </c>
      <c r="K2013" s="14" t="n">
        <f aca="false">IF(J2013&lt;=0,1,0)</f>
        <v>0</v>
      </c>
      <c r="L2013" s="15" t="n">
        <f aca="false">IFERROR(G2013/F2013,0)</f>
        <v>0.933007150922093</v>
      </c>
      <c r="M2013" s="15" t="n">
        <f aca="false">IFERROR((I2013-H2013)/H2013,0)</f>
        <v>-0.011783189316575</v>
      </c>
      <c r="N2013" s="16" t="n">
        <f aca="false">G2013*I2013</f>
        <v>124743.28</v>
      </c>
    </row>
    <row r="2014" customFormat="false" ht="15" hidden="false" customHeight="true" outlineLevel="0" collapsed="false">
      <c r="A2014" s="4" t="s">
        <v>2190</v>
      </c>
      <c r="B2014" s="4" t="s">
        <v>89</v>
      </c>
      <c r="C2014" s="13" t="n">
        <v>45253</v>
      </c>
      <c r="D2014" s="13" t="n">
        <v>45260</v>
      </c>
      <c r="E2014" s="13" t="n">
        <v>45257</v>
      </c>
      <c r="F2014" s="4" t="n">
        <v>2</v>
      </c>
      <c r="G2014" s="4" t="n">
        <v>2</v>
      </c>
      <c r="H2014" s="4" t="n">
        <v>1929.81</v>
      </c>
      <c r="I2014" s="4" t="n">
        <v>1934.28</v>
      </c>
      <c r="J2014" s="14" t="n">
        <f aca="false">E2014-D2014</f>
        <v>-3</v>
      </c>
      <c r="K2014" s="14" t="n">
        <f aca="false">IF(J2014&lt;=0,1,0)</f>
        <v>1</v>
      </c>
      <c r="L2014" s="15" t="n">
        <f aca="false">IFERROR(G2014/F2014,0)</f>
        <v>1</v>
      </c>
      <c r="M2014" s="15" t="n">
        <f aca="false">IFERROR((I2014-H2014)/H2014,0)</f>
        <v>0.0023162902047352</v>
      </c>
      <c r="N2014" s="16" t="n">
        <f aca="false">G2014*I2014</f>
        <v>3868.56</v>
      </c>
    </row>
    <row r="2015" customFormat="false" ht="15" hidden="false" customHeight="true" outlineLevel="0" collapsed="false">
      <c r="A2015" s="4" t="s">
        <v>2191</v>
      </c>
      <c r="B2015" s="4" t="s">
        <v>61</v>
      </c>
      <c r="C2015" s="13" t="n">
        <v>45641</v>
      </c>
      <c r="D2015" s="13" t="n">
        <v>45651</v>
      </c>
      <c r="E2015" s="13" t="n">
        <v>45657</v>
      </c>
      <c r="F2015" s="4" t="n">
        <v>535</v>
      </c>
      <c r="G2015" s="4" t="n">
        <v>511</v>
      </c>
      <c r="H2015" s="4" t="n">
        <v>107.41</v>
      </c>
      <c r="I2015" s="4" t="n">
        <v>108.06</v>
      </c>
      <c r="J2015" s="14" t="n">
        <f aca="false">E2015-D2015</f>
        <v>6</v>
      </c>
      <c r="K2015" s="14" t="n">
        <f aca="false">IF(J2015&lt;=0,1,0)</f>
        <v>0</v>
      </c>
      <c r="L2015" s="15" t="n">
        <f aca="false">IFERROR(G2015/F2015,0)</f>
        <v>0.955140186915888</v>
      </c>
      <c r="M2015" s="15" t="n">
        <f aca="false">IFERROR((I2015-H2015)/H2015,0)</f>
        <v>0.0060515780653571</v>
      </c>
      <c r="N2015" s="16" t="n">
        <f aca="false">G2015*I2015</f>
        <v>55218.66</v>
      </c>
    </row>
    <row r="2016" customFormat="false" ht="15" hidden="false" customHeight="true" outlineLevel="0" collapsed="false">
      <c r="A2016" s="4" t="s">
        <v>2192</v>
      </c>
      <c r="B2016" s="4" t="s">
        <v>101</v>
      </c>
      <c r="C2016" s="13" t="n">
        <v>45208</v>
      </c>
      <c r="D2016" s="13" t="n">
        <v>45227</v>
      </c>
      <c r="E2016" s="13" t="n">
        <v>45230</v>
      </c>
      <c r="F2016" s="4" t="n">
        <v>154</v>
      </c>
      <c r="G2016" s="4" t="n">
        <v>150</v>
      </c>
      <c r="H2016" s="4" t="n">
        <v>442.74</v>
      </c>
      <c r="I2016" s="4" t="n">
        <v>439.24</v>
      </c>
      <c r="J2016" s="14" t="n">
        <f aca="false">E2016-D2016</f>
        <v>3</v>
      </c>
      <c r="K2016" s="14" t="n">
        <f aca="false">IF(J2016&lt;=0,1,0)</f>
        <v>0</v>
      </c>
      <c r="L2016" s="15" t="n">
        <f aca="false">IFERROR(G2016/F2016,0)</f>
        <v>0.974025974025974</v>
      </c>
      <c r="M2016" s="15" t="n">
        <f aca="false">IFERROR((I2016-H2016)/H2016,0)</f>
        <v>-0.0079053168902742</v>
      </c>
      <c r="N2016" s="16" t="n">
        <f aca="false">G2016*I2016</f>
        <v>65886</v>
      </c>
    </row>
    <row r="2017" customFormat="false" ht="15" hidden="false" customHeight="true" outlineLevel="0" collapsed="false">
      <c r="A2017" s="4" t="s">
        <v>2193</v>
      </c>
      <c r="B2017" s="4" t="s">
        <v>70</v>
      </c>
      <c r="C2017" s="13" t="n">
        <v>45390</v>
      </c>
      <c r="D2017" s="13" t="n">
        <v>45397</v>
      </c>
      <c r="E2017" s="13" t="n">
        <v>45396</v>
      </c>
      <c r="F2017" s="4" t="n">
        <v>3726</v>
      </c>
      <c r="G2017" s="4" t="n">
        <v>3428</v>
      </c>
      <c r="H2017" s="4" t="n">
        <v>35.88</v>
      </c>
      <c r="I2017" s="4" t="n">
        <v>38.28</v>
      </c>
      <c r="J2017" s="14" t="n">
        <f aca="false">E2017-D2017</f>
        <v>-1</v>
      </c>
      <c r="K2017" s="14" t="n">
        <f aca="false">IF(J2017&lt;=0,1,0)</f>
        <v>1</v>
      </c>
      <c r="L2017" s="15" t="n">
        <f aca="false">IFERROR(G2017/F2017,0)</f>
        <v>0.920021470746108</v>
      </c>
      <c r="M2017" s="15" t="n">
        <f aca="false">IFERROR((I2017-H2017)/H2017,0)</f>
        <v>0.0668896321070234</v>
      </c>
      <c r="N2017" s="16" t="n">
        <f aca="false">G2017*I2017</f>
        <v>131223.84</v>
      </c>
    </row>
    <row r="2018" customFormat="false" ht="15" hidden="false" customHeight="true" outlineLevel="0" collapsed="false">
      <c r="A2018" s="4" t="s">
        <v>2194</v>
      </c>
      <c r="B2018" s="4" t="s">
        <v>115</v>
      </c>
      <c r="C2018" s="13" t="n">
        <v>45450</v>
      </c>
      <c r="D2018" s="13" t="n">
        <v>45463</v>
      </c>
      <c r="E2018" s="13" t="n">
        <v>45467</v>
      </c>
      <c r="F2018" s="4" t="n">
        <v>230</v>
      </c>
      <c r="G2018" s="4" t="n">
        <v>216</v>
      </c>
      <c r="H2018" s="4" t="n">
        <v>115.53</v>
      </c>
      <c r="I2018" s="4" t="n">
        <v>124.37</v>
      </c>
      <c r="J2018" s="14" t="n">
        <f aca="false">E2018-D2018</f>
        <v>4</v>
      </c>
      <c r="K2018" s="14" t="n">
        <f aca="false">IF(J2018&lt;=0,1,0)</f>
        <v>0</v>
      </c>
      <c r="L2018" s="15" t="n">
        <f aca="false">IFERROR(G2018/F2018,0)</f>
        <v>0.939130434782609</v>
      </c>
      <c r="M2018" s="15" t="n">
        <f aca="false">IFERROR((I2018-H2018)/H2018,0)</f>
        <v>0.0765169220115988</v>
      </c>
      <c r="N2018" s="16" t="n">
        <f aca="false">G2018*I2018</f>
        <v>26863.92</v>
      </c>
    </row>
    <row r="2019" customFormat="false" ht="15" hidden="false" customHeight="true" outlineLevel="0" collapsed="false">
      <c r="A2019" s="4" t="s">
        <v>2195</v>
      </c>
      <c r="B2019" s="4" t="s">
        <v>103</v>
      </c>
      <c r="C2019" s="13" t="n">
        <v>45563</v>
      </c>
      <c r="D2019" s="13" t="n">
        <v>45583</v>
      </c>
      <c r="E2019" s="13" t="n">
        <v>45581</v>
      </c>
      <c r="F2019" s="4" t="n">
        <v>104</v>
      </c>
      <c r="G2019" s="4" t="n">
        <v>101</v>
      </c>
      <c r="H2019" s="4" t="n">
        <v>1400.22</v>
      </c>
      <c r="I2019" s="4" t="n">
        <v>1449.78</v>
      </c>
      <c r="J2019" s="14" t="n">
        <f aca="false">E2019-D2019</f>
        <v>-2</v>
      </c>
      <c r="K2019" s="14" t="n">
        <f aca="false">IF(J2019&lt;=0,1,0)</f>
        <v>1</v>
      </c>
      <c r="L2019" s="15" t="n">
        <f aca="false">IFERROR(G2019/F2019,0)</f>
        <v>0.971153846153846</v>
      </c>
      <c r="M2019" s="15" t="n">
        <f aca="false">IFERROR((I2019-H2019)/H2019,0)</f>
        <v>0.035394438016883</v>
      </c>
      <c r="N2019" s="16" t="n">
        <f aca="false">G2019*I2019</f>
        <v>146427.78</v>
      </c>
    </row>
    <row r="2020" customFormat="false" ht="15" hidden="false" customHeight="true" outlineLevel="0" collapsed="false">
      <c r="A2020" s="4" t="s">
        <v>2196</v>
      </c>
      <c r="B2020" s="4" t="s">
        <v>52</v>
      </c>
      <c r="C2020" s="13" t="n">
        <v>45123</v>
      </c>
      <c r="D2020" s="13" t="n">
        <v>45134</v>
      </c>
      <c r="E2020" s="13" t="n">
        <v>45142</v>
      </c>
      <c r="F2020" s="4" t="n">
        <v>736</v>
      </c>
      <c r="G2020" s="4" t="n">
        <v>629</v>
      </c>
      <c r="H2020" s="4" t="n">
        <v>170.24</v>
      </c>
      <c r="I2020" s="4" t="n">
        <v>172.3</v>
      </c>
      <c r="J2020" s="14" t="n">
        <f aca="false">E2020-D2020</f>
        <v>8</v>
      </c>
      <c r="K2020" s="14" t="n">
        <f aca="false">IF(J2020&lt;=0,1,0)</f>
        <v>0</v>
      </c>
      <c r="L2020" s="15" t="n">
        <f aca="false">IFERROR(G2020/F2020,0)</f>
        <v>0.854619565217391</v>
      </c>
      <c r="M2020" s="15" t="n">
        <f aca="false">IFERROR((I2020-H2020)/H2020,0)</f>
        <v>0.0121005639097744</v>
      </c>
      <c r="N2020" s="16" t="n">
        <f aca="false">G2020*I2020</f>
        <v>108376.7</v>
      </c>
    </row>
    <row r="2021" customFormat="false" ht="15" hidden="false" customHeight="true" outlineLevel="0" collapsed="false">
      <c r="A2021" s="4" t="s">
        <v>2197</v>
      </c>
      <c r="B2021" s="4" t="s">
        <v>65</v>
      </c>
      <c r="C2021" s="13" t="n">
        <v>45161</v>
      </c>
      <c r="D2021" s="13" t="n">
        <v>45180</v>
      </c>
      <c r="E2021" s="13" t="n">
        <v>45182</v>
      </c>
      <c r="F2021" s="4" t="n">
        <v>93</v>
      </c>
      <c r="G2021" s="4" t="n">
        <v>92</v>
      </c>
      <c r="H2021" s="4" t="n">
        <v>1365.59</v>
      </c>
      <c r="I2021" s="4" t="n">
        <v>1358.08</v>
      </c>
      <c r="J2021" s="14" t="n">
        <f aca="false">E2021-D2021</f>
        <v>2</v>
      </c>
      <c r="K2021" s="14" t="n">
        <f aca="false">IF(J2021&lt;=0,1,0)</f>
        <v>0</v>
      </c>
      <c r="L2021" s="15" t="n">
        <f aca="false">IFERROR(G2021/F2021,0)</f>
        <v>0.989247311827957</v>
      </c>
      <c r="M2021" s="15" t="n">
        <f aca="false">IFERROR((I2021-H2021)/H2021,0)</f>
        <v>-0.00549945444826045</v>
      </c>
      <c r="N2021" s="16" t="n">
        <f aca="false">G2021*I2021</f>
        <v>124943.36</v>
      </c>
    </row>
    <row r="2022" customFormat="false" ht="15" hidden="false" customHeight="true" outlineLevel="0" collapsed="false">
      <c r="A2022" s="4" t="s">
        <v>2198</v>
      </c>
      <c r="B2022" s="4" t="s">
        <v>101</v>
      </c>
      <c r="C2022" s="13" t="n">
        <v>45624</v>
      </c>
      <c r="D2022" s="13" t="n">
        <v>45643</v>
      </c>
      <c r="E2022" s="13" t="n">
        <v>45642</v>
      </c>
      <c r="F2022" s="4" t="n">
        <v>111</v>
      </c>
      <c r="G2022" s="4" t="n">
        <v>106</v>
      </c>
      <c r="H2022" s="4" t="n">
        <v>442.74</v>
      </c>
      <c r="I2022" s="4" t="n">
        <v>451.36</v>
      </c>
      <c r="J2022" s="14" t="n">
        <f aca="false">E2022-D2022</f>
        <v>-1</v>
      </c>
      <c r="K2022" s="14" t="n">
        <f aca="false">IF(J2022&lt;=0,1,0)</f>
        <v>1</v>
      </c>
      <c r="L2022" s="15" t="n">
        <f aca="false">IFERROR(G2022/F2022,0)</f>
        <v>0.954954954954955</v>
      </c>
      <c r="M2022" s="15" t="n">
        <f aca="false">IFERROR((I2022-H2022)/H2022,0)</f>
        <v>0.019469666169761</v>
      </c>
      <c r="N2022" s="16" t="n">
        <f aca="false">G2022*I2022</f>
        <v>47844.16</v>
      </c>
    </row>
    <row r="2023" customFormat="false" ht="15" hidden="false" customHeight="true" outlineLevel="0" collapsed="false">
      <c r="A2023" s="4" t="s">
        <v>2199</v>
      </c>
      <c r="B2023" s="4" t="s">
        <v>159</v>
      </c>
      <c r="C2023" s="13" t="n">
        <v>45179</v>
      </c>
      <c r="D2023" s="13" t="n">
        <v>45185</v>
      </c>
      <c r="E2023" s="13" t="n">
        <v>45187</v>
      </c>
      <c r="F2023" s="4" t="n">
        <v>2546</v>
      </c>
      <c r="G2023" s="4" t="n">
        <v>2441</v>
      </c>
      <c r="H2023" s="4" t="n">
        <v>32.91</v>
      </c>
      <c r="I2023" s="4" t="n">
        <v>33.45</v>
      </c>
      <c r="J2023" s="14" t="n">
        <f aca="false">E2023-D2023</f>
        <v>2</v>
      </c>
      <c r="K2023" s="14" t="n">
        <f aca="false">IF(J2023&lt;=0,1,0)</f>
        <v>0</v>
      </c>
      <c r="L2023" s="15" t="n">
        <f aca="false">IFERROR(G2023/F2023,0)</f>
        <v>0.958758837391987</v>
      </c>
      <c r="M2023" s="15" t="n">
        <f aca="false">IFERROR((I2023-H2023)/H2023,0)</f>
        <v>0.0164083865086602</v>
      </c>
      <c r="N2023" s="16" t="n">
        <f aca="false">G2023*I2023</f>
        <v>81651.45</v>
      </c>
    </row>
    <row r="2024" customFormat="false" ht="15" hidden="false" customHeight="true" outlineLevel="0" collapsed="false">
      <c r="A2024" s="4" t="s">
        <v>2200</v>
      </c>
      <c r="B2024" s="4" t="s">
        <v>125</v>
      </c>
      <c r="C2024" s="13" t="n">
        <v>45102</v>
      </c>
      <c r="D2024" s="13" t="n">
        <v>45107</v>
      </c>
      <c r="E2024" s="13" t="n">
        <v>45118</v>
      </c>
      <c r="F2024" s="4" t="n">
        <v>16</v>
      </c>
      <c r="G2024" s="4" t="n">
        <v>14</v>
      </c>
      <c r="H2024" s="4" t="n">
        <v>729.32</v>
      </c>
      <c r="I2024" s="4" t="n">
        <v>730.53</v>
      </c>
      <c r="J2024" s="14" t="n">
        <f aca="false">E2024-D2024</f>
        <v>11</v>
      </c>
      <c r="K2024" s="14" t="n">
        <f aca="false">IF(J2024&lt;=0,1,0)</f>
        <v>0</v>
      </c>
      <c r="L2024" s="15" t="n">
        <f aca="false">IFERROR(G2024/F2024,0)</f>
        <v>0.875</v>
      </c>
      <c r="M2024" s="15" t="n">
        <f aca="false">IFERROR((I2024-H2024)/H2024,0)</f>
        <v>0.00165907969067066</v>
      </c>
      <c r="N2024" s="16" t="n">
        <f aca="false">G2024*I2024</f>
        <v>10227.42</v>
      </c>
    </row>
    <row r="2025" customFormat="false" ht="15" hidden="false" customHeight="true" outlineLevel="0" collapsed="false">
      <c r="A2025" s="4" t="s">
        <v>2201</v>
      </c>
      <c r="B2025" s="4" t="s">
        <v>149</v>
      </c>
      <c r="C2025" s="13" t="n">
        <v>45527</v>
      </c>
      <c r="D2025" s="13" t="n">
        <v>45534</v>
      </c>
      <c r="E2025" s="13" t="n">
        <v>45538</v>
      </c>
      <c r="F2025" s="4" t="n">
        <v>4</v>
      </c>
      <c r="G2025" s="4" t="n">
        <v>4</v>
      </c>
      <c r="H2025" s="4" t="n">
        <v>1458.52</v>
      </c>
      <c r="I2025" s="4" t="n">
        <v>1461.98</v>
      </c>
      <c r="J2025" s="14" t="n">
        <f aca="false">E2025-D2025</f>
        <v>4</v>
      </c>
      <c r="K2025" s="14" t="n">
        <f aca="false">IF(J2025&lt;=0,1,0)</f>
        <v>0</v>
      </c>
      <c r="L2025" s="15" t="n">
        <f aca="false">IFERROR(G2025/F2025,0)</f>
        <v>1</v>
      </c>
      <c r="M2025" s="15" t="n">
        <f aca="false">IFERROR((I2025-H2025)/H2025,0)</f>
        <v>0.00237226777829583</v>
      </c>
      <c r="N2025" s="16" t="n">
        <f aca="false">G2025*I2025</f>
        <v>5847.92</v>
      </c>
    </row>
    <row r="2026" customFormat="false" ht="15" hidden="false" customHeight="true" outlineLevel="0" collapsed="false">
      <c r="A2026" s="4" t="s">
        <v>2202</v>
      </c>
      <c r="B2026" s="4" t="s">
        <v>163</v>
      </c>
      <c r="C2026" s="13" t="n">
        <v>45108</v>
      </c>
      <c r="D2026" s="13" t="n">
        <v>45127</v>
      </c>
      <c r="E2026" s="13" t="n">
        <v>45130</v>
      </c>
      <c r="F2026" s="4" t="n">
        <v>109</v>
      </c>
      <c r="G2026" s="4" t="n">
        <v>104</v>
      </c>
      <c r="H2026" s="4" t="n">
        <v>482.79</v>
      </c>
      <c r="I2026" s="4" t="n">
        <v>492.27</v>
      </c>
      <c r="J2026" s="14" t="n">
        <f aca="false">E2026-D2026</f>
        <v>3</v>
      </c>
      <c r="K2026" s="14" t="n">
        <f aca="false">IF(J2026&lt;=0,1,0)</f>
        <v>0</v>
      </c>
      <c r="L2026" s="15" t="n">
        <f aca="false">IFERROR(G2026/F2026,0)</f>
        <v>0.954128440366973</v>
      </c>
      <c r="M2026" s="15" t="n">
        <f aca="false">IFERROR((I2026-H2026)/H2026,0)</f>
        <v>0.0196358665258186</v>
      </c>
      <c r="N2026" s="16" t="n">
        <f aca="false">G2026*I2026</f>
        <v>51196.08</v>
      </c>
    </row>
    <row r="2027" customFormat="false" ht="15" hidden="false" customHeight="true" outlineLevel="0" collapsed="false">
      <c r="A2027" s="4" t="s">
        <v>2203</v>
      </c>
      <c r="B2027" s="4" t="s">
        <v>91</v>
      </c>
      <c r="C2027" s="13" t="n">
        <v>45206</v>
      </c>
      <c r="D2027" s="13" t="n">
        <v>45226</v>
      </c>
      <c r="E2027" s="13" t="n">
        <v>45224</v>
      </c>
      <c r="F2027" s="4" t="n">
        <v>491</v>
      </c>
      <c r="G2027" s="4" t="n">
        <v>485</v>
      </c>
      <c r="H2027" s="4" t="n">
        <v>496.29</v>
      </c>
      <c r="I2027" s="4" t="n">
        <v>486.44</v>
      </c>
      <c r="J2027" s="14" t="n">
        <f aca="false">E2027-D2027</f>
        <v>-2</v>
      </c>
      <c r="K2027" s="14" t="n">
        <f aca="false">IF(J2027&lt;=0,1,0)</f>
        <v>1</v>
      </c>
      <c r="L2027" s="15" t="n">
        <f aca="false">IFERROR(G2027/F2027,0)</f>
        <v>0.987780040733198</v>
      </c>
      <c r="M2027" s="15" t="n">
        <f aca="false">IFERROR((I2027-H2027)/H2027,0)</f>
        <v>-0.0198472667190554</v>
      </c>
      <c r="N2027" s="16" t="n">
        <f aca="false">G2027*I2027</f>
        <v>235923.4</v>
      </c>
    </row>
    <row r="2028" customFormat="false" ht="15" hidden="false" customHeight="true" outlineLevel="0" collapsed="false">
      <c r="A2028" s="4" t="s">
        <v>2204</v>
      </c>
      <c r="B2028" s="4" t="s">
        <v>85</v>
      </c>
      <c r="C2028" s="13" t="n">
        <v>45342</v>
      </c>
      <c r="D2028" s="13" t="n">
        <v>45354</v>
      </c>
      <c r="E2028" s="13" t="n">
        <v>45351</v>
      </c>
      <c r="F2028" s="4" t="n">
        <v>724</v>
      </c>
      <c r="G2028" s="4" t="n">
        <v>697</v>
      </c>
      <c r="H2028" s="4" t="n">
        <v>241.88</v>
      </c>
      <c r="I2028" s="4" t="n">
        <v>232.33</v>
      </c>
      <c r="J2028" s="14" t="n">
        <f aca="false">E2028-D2028</f>
        <v>-3</v>
      </c>
      <c r="K2028" s="14" t="n">
        <f aca="false">IF(J2028&lt;=0,1,0)</f>
        <v>1</v>
      </c>
      <c r="L2028" s="15" t="n">
        <f aca="false">IFERROR(G2028/F2028,0)</f>
        <v>0.962707182320442</v>
      </c>
      <c r="M2028" s="15" t="n">
        <f aca="false">IFERROR((I2028-H2028)/H2028,0)</f>
        <v>-0.0394823879609723</v>
      </c>
      <c r="N2028" s="16" t="n">
        <f aca="false">G2028*I2028</f>
        <v>161934.01</v>
      </c>
    </row>
    <row r="2029" customFormat="false" ht="15" hidden="false" customHeight="true" outlineLevel="0" collapsed="false">
      <c r="A2029" s="4" t="s">
        <v>2205</v>
      </c>
      <c r="B2029" s="4" t="s">
        <v>68</v>
      </c>
      <c r="C2029" s="13" t="n">
        <v>44977</v>
      </c>
      <c r="D2029" s="13" t="n">
        <v>44994</v>
      </c>
      <c r="E2029" s="13" t="n">
        <v>44996</v>
      </c>
      <c r="F2029" s="4" t="n">
        <v>347</v>
      </c>
      <c r="G2029" s="4" t="n">
        <v>310</v>
      </c>
      <c r="H2029" s="4" t="n">
        <v>1232.83</v>
      </c>
      <c r="I2029" s="4" t="n">
        <v>1258.32</v>
      </c>
      <c r="J2029" s="14" t="n">
        <f aca="false">E2029-D2029</f>
        <v>2</v>
      </c>
      <c r="K2029" s="14" t="n">
        <f aca="false">IF(J2029&lt;=0,1,0)</f>
        <v>0</v>
      </c>
      <c r="L2029" s="15" t="n">
        <f aca="false">IFERROR(G2029/F2029,0)</f>
        <v>0.893371757925072</v>
      </c>
      <c r="M2029" s="15" t="n">
        <f aca="false">IFERROR((I2029-H2029)/H2029,0)</f>
        <v>0.0206760056131016</v>
      </c>
      <c r="N2029" s="16" t="n">
        <f aca="false">G2029*I2029</f>
        <v>390079.2</v>
      </c>
    </row>
    <row r="2030" customFormat="false" ht="15" hidden="false" customHeight="true" outlineLevel="0" collapsed="false">
      <c r="A2030" s="4" t="s">
        <v>2206</v>
      </c>
      <c r="B2030" s="4" t="s">
        <v>99</v>
      </c>
      <c r="C2030" s="13" t="n">
        <v>44929</v>
      </c>
      <c r="D2030" s="13" t="n">
        <v>44938</v>
      </c>
      <c r="E2030" s="13" t="n">
        <v>44938</v>
      </c>
      <c r="F2030" s="4" t="n">
        <v>3599</v>
      </c>
      <c r="G2030" s="4" t="n">
        <v>3395</v>
      </c>
      <c r="H2030" s="4" t="n">
        <v>11.5</v>
      </c>
      <c r="I2030" s="4" t="n">
        <v>11.34</v>
      </c>
      <c r="J2030" s="14" t="n">
        <f aca="false">E2030-D2030</f>
        <v>0</v>
      </c>
      <c r="K2030" s="14" t="n">
        <f aca="false">IF(J2030&lt;=0,1,0)</f>
        <v>1</v>
      </c>
      <c r="L2030" s="15" t="n">
        <f aca="false">IFERROR(G2030/F2030,0)</f>
        <v>0.94331758821895</v>
      </c>
      <c r="M2030" s="15" t="n">
        <f aca="false">IFERROR((I2030-H2030)/H2030,0)</f>
        <v>-0.0139130434782609</v>
      </c>
      <c r="N2030" s="16" t="n">
        <f aca="false">G2030*I2030</f>
        <v>38499.3</v>
      </c>
    </row>
    <row r="2031" customFormat="false" ht="15" hidden="false" customHeight="true" outlineLevel="0" collapsed="false">
      <c r="A2031" s="4" t="s">
        <v>2207</v>
      </c>
      <c r="B2031" s="4" t="s">
        <v>61</v>
      </c>
      <c r="C2031" s="13" t="n">
        <v>45444</v>
      </c>
      <c r="D2031" s="13" t="n">
        <v>45456</v>
      </c>
      <c r="E2031" s="13" t="n">
        <v>45467</v>
      </c>
      <c r="F2031" s="4" t="n">
        <v>781</v>
      </c>
      <c r="G2031" s="4" t="n">
        <v>754</v>
      </c>
      <c r="H2031" s="4" t="n">
        <v>107.41</v>
      </c>
      <c r="I2031" s="4" t="n">
        <v>106.96</v>
      </c>
      <c r="J2031" s="14" t="n">
        <f aca="false">E2031-D2031</f>
        <v>11</v>
      </c>
      <c r="K2031" s="14" t="n">
        <f aca="false">IF(J2031&lt;=0,1,0)</f>
        <v>0</v>
      </c>
      <c r="L2031" s="15" t="n">
        <f aca="false">IFERROR(G2031/F2031,0)</f>
        <v>0.965428937259923</v>
      </c>
      <c r="M2031" s="15" t="n">
        <f aca="false">IFERROR((I2031-H2031)/H2031,0)</f>
        <v>-0.00418955404524721</v>
      </c>
      <c r="N2031" s="16" t="n">
        <f aca="false">G2031*I2031</f>
        <v>80647.84</v>
      </c>
    </row>
    <row r="2032" customFormat="false" ht="15" hidden="false" customHeight="true" outlineLevel="0" collapsed="false">
      <c r="A2032" s="4" t="s">
        <v>2208</v>
      </c>
      <c r="B2032" s="4" t="s">
        <v>97</v>
      </c>
      <c r="C2032" s="13" t="n">
        <v>45245</v>
      </c>
      <c r="D2032" s="13" t="n">
        <v>45257</v>
      </c>
      <c r="E2032" s="13" t="n">
        <v>45260</v>
      </c>
      <c r="F2032" s="4" t="n">
        <v>1029</v>
      </c>
      <c r="G2032" s="4" t="n">
        <v>1013</v>
      </c>
      <c r="H2032" s="4" t="n">
        <v>123.04</v>
      </c>
      <c r="I2032" s="4" t="n">
        <v>123.89</v>
      </c>
      <c r="J2032" s="14" t="n">
        <f aca="false">E2032-D2032</f>
        <v>3</v>
      </c>
      <c r="K2032" s="14" t="n">
        <f aca="false">IF(J2032&lt;=0,1,0)</f>
        <v>0</v>
      </c>
      <c r="L2032" s="15" t="n">
        <f aca="false">IFERROR(G2032/F2032,0)</f>
        <v>0.984450923226434</v>
      </c>
      <c r="M2032" s="15" t="n">
        <f aca="false">IFERROR((I2032-H2032)/H2032,0)</f>
        <v>0.00690832249674898</v>
      </c>
      <c r="N2032" s="16" t="n">
        <f aca="false">G2032*I2032</f>
        <v>125500.57</v>
      </c>
    </row>
    <row r="2033" customFormat="false" ht="15" hidden="false" customHeight="true" outlineLevel="0" collapsed="false">
      <c r="A2033" s="4" t="s">
        <v>2209</v>
      </c>
      <c r="B2033" s="4" t="s">
        <v>103</v>
      </c>
      <c r="C2033" s="13" t="n">
        <v>45520</v>
      </c>
      <c r="D2033" s="13" t="n">
        <v>45537</v>
      </c>
      <c r="E2033" s="13" t="n">
        <v>45534</v>
      </c>
      <c r="F2033" s="4" t="n">
        <v>287</v>
      </c>
      <c r="G2033" s="4" t="n">
        <v>287</v>
      </c>
      <c r="H2033" s="4" t="n">
        <v>1400.22</v>
      </c>
      <c r="I2033" s="4" t="n">
        <v>1451.12</v>
      </c>
      <c r="J2033" s="14" t="n">
        <f aca="false">E2033-D2033</f>
        <v>-3</v>
      </c>
      <c r="K2033" s="14" t="n">
        <f aca="false">IF(J2033&lt;=0,1,0)</f>
        <v>1</v>
      </c>
      <c r="L2033" s="15" t="n">
        <f aca="false">IFERROR(G2033/F2033,0)</f>
        <v>1</v>
      </c>
      <c r="M2033" s="15" t="n">
        <f aca="false">IFERROR((I2033-H2033)/H2033,0)</f>
        <v>0.0363514304894944</v>
      </c>
      <c r="N2033" s="16" t="n">
        <f aca="false">G2033*I2033</f>
        <v>416471.44</v>
      </c>
    </row>
    <row r="2034" customFormat="false" ht="15" hidden="false" customHeight="true" outlineLevel="0" collapsed="false">
      <c r="A2034" s="4" t="s">
        <v>2210</v>
      </c>
      <c r="B2034" s="4" t="s">
        <v>139</v>
      </c>
      <c r="C2034" s="13" t="n">
        <v>45363</v>
      </c>
      <c r="D2034" s="13" t="n">
        <v>45374</v>
      </c>
      <c r="E2034" s="13" t="n">
        <v>45375</v>
      </c>
      <c r="F2034" s="4" t="n">
        <v>947</v>
      </c>
      <c r="G2034" s="4" t="n">
        <v>839</v>
      </c>
      <c r="H2034" s="4" t="n">
        <v>207.64</v>
      </c>
      <c r="I2034" s="4" t="n">
        <v>217.81</v>
      </c>
      <c r="J2034" s="14" t="n">
        <f aca="false">E2034-D2034</f>
        <v>1</v>
      </c>
      <c r="K2034" s="14" t="n">
        <f aca="false">IF(J2034&lt;=0,1,0)</f>
        <v>0</v>
      </c>
      <c r="L2034" s="15" t="n">
        <f aca="false">IFERROR(G2034/F2034,0)</f>
        <v>0.885955649419219</v>
      </c>
      <c r="M2034" s="15" t="n">
        <f aca="false">IFERROR((I2034-H2034)/H2034,0)</f>
        <v>0.0489790021190523</v>
      </c>
      <c r="N2034" s="16" t="n">
        <f aca="false">G2034*I2034</f>
        <v>182742.59</v>
      </c>
    </row>
    <row r="2035" customFormat="false" ht="15" hidden="false" customHeight="true" outlineLevel="0" collapsed="false">
      <c r="A2035" s="4" t="s">
        <v>2211</v>
      </c>
      <c r="B2035" s="4" t="s">
        <v>105</v>
      </c>
      <c r="C2035" s="13" t="n">
        <v>45090</v>
      </c>
      <c r="D2035" s="13" t="n">
        <v>45107</v>
      </c>
      <c r="E2035" s="13" t="n">
        <v>45104</v>
      </c>
      <c r="F2035" s="4" t="n">
        <v>418</v>
      </c>
      <c r="G2035" s="4" t="n">
        <v>398</v>
      </c>
      <c r="H2035" s="4" t="n">
        <v>685.84</v>
      </c>
      <c r="I2035" s="4" t="n">
        <v>702.77</v>
      </c>
      <c r="J2035" s="14" t="n">
        <f aca="false">E2035-D2035</f>
        <v>-3</v>
      </c>
      <c r="K2035" s="14" t="n">
        <f aca="false">IF(J2035&lt;=0,1,0)</f>
        <v>1</v>
      </c>
      <c r="L2035" s="15" t="n">
        <f aca="false">IFERROR(G2035/F2035,0)</f>
        <v>0.952153110047847</v>
      </c>
      <c r="M2035" s="15" t="n">
        <f aca="false">IFERROR((I2035-H2035)/H2035,0)</f>
        <v>0.0246850577394144</v>
      </c>
      <c r="N2035" s="16" t="n">
        <f aca="false">G2035*I2035</f>
        <v>279702.46</v>
      </c>
    </row>
    <row r="2036" customFormat="false" ht="15" hidden="false" customHeight="true" outlineLevel="0" collapsed="false">
      <c r="A2036" s="4" t="s">
        <v>2212</v>
      </c>
      <c r="B2036" s="4" t="s">
        <v>72</v>
      </c>
      <c r="C2036" s="13" t="n">
        <v>45177</v>
      </c>
      <c r="D2036" s="13" t="n">
        <v>45183</v>
      </c>
      <c r="E2036" s="13" t="n">
        <v>45196</v>
      </c>
      <c r="F2036" s="4" t="n">
        <v>3930</v>
      </c>
      <c r="G2036" s="4" t="n">
        <v>3930</v>
      </c>
      <c r="H2036" s="4" t="n">
        <v>34.53</v>
      </c>
      <c r="I2036" s="4" t="n">
        <v>35.39</v>
      </c>
      <c r="J2036" s="14" t="n">
        <f aca="false">E2036-D2036</f>
        <v>13</v>
      </c>
      <c r="K2036" s="14" t="n">
        <f aca="false">IF(J2036&lt;=0,1,0)</f>
        <v>0</v>
      </c>
      <c r="L2036" s="15" t="n">
        <f aca="false">IFERROR(G2036/F2036,0)</f>
        <v>1</v>
      </c>
      <c r="M2036" s="15" t="n">
        <f aca="false">IFERROR((I2036-H2036)/H2036,0)</f>
        <v>0.0249058789458442</v>
      </c>
      <c r="N2036" s="16" t="n">
        <f aca="false">G2036*I2036</f>
        <v>139082.7</v>
      </c>
    </row>
    <row r="2037" customFormat="false" ht="15" hidden="false" customHeight="true" outlineLevel="0" collapsed="false">
      <c r="A2037" s="4" t="s">
        <v>2213</v>
      </c>
      <c r="B2037" s="4" t="s">
        <v>83</v>
      </c>
      <c r="C2037" s="13" t="n">
        <v>45474</v>
      </c>
      <c r="D2037" s="13" t="n">
        <v>45484</v>
      </c>
      <c r="E2037" s="13" t="n">
        <v>45483</v>
      </c>
      <c r="F2037" s="4" t="n">
        <v>685</v>
      </c>
      <c r="G2037" s="4" t="n">
        <v>685</v>
      </c>
      <c r="H2037" s="4" t="n">
        <v>101.36</v>
      </c>
      <c r="I2037" s="4" t="n">
        <v>105.06</v>
      </c>
      <c r="J2037" s="14" t="n">
        <f aca="false">E2037-D2037</f>
        <v>-1</v>
      </c>
      <c r="K2037" s="14" t="n">
        <f aca="false">IF(J2037&lt;=0,1,0)</f>
        <v>1</v>
      </c>
      <c r="L2037" s="15" t="n">
        <f aca="false">IFERROR(G2037/F2037,0)</f>
        <v>1</v>
      </c>
      <c r="M2037" s="15" t="n">
        <f aca="false">IFERROR((I2037-H2037)/H2037,0)</f>
        <v>0.0365035516969219</v>
      </c>
      <c r="N2037" s="16" t="n">
        <f aca="false">G2037*I2037</f>
        <v>71966.1</v>
      </c>
    </row>
    <row r="2038" customFormat="false" ht="15" hidden="false" customHeight="true" outlineLevel="0" collapsed="false">
      <c r="A2038" s="4" t="s">
        <v>2214</v>
      </c>
      <c r="B2038" s="4" t="s">
        <v>85</v>
      </c>
      <c r="C2038" s="13" t="n">
        <v>45001</v>
      </c>
      <c r="D2038" s="13" t="n">
        <v>45012</v>
      </c>
      <c r="E2038" s="13" t="n">
        <v>45019</v>
      </c>
      <c r="F2038" s="4" t="n">
        <v>1924</v>
      </c>
      <c r="G2038" s="4" t="n">
        <v>1778</v>
      </c>
      <c r="H2038" s="4" t="n">
        <v>241.88</v>
      </c>
      <c r="I2038" s="4" t="n">
        <v>242.2</v>
      </c>
      <c r="J2038" s="14" t="n">
        <f aca="false">E2038-D2038</f>
        <v>7</v>
      </c>
      <c r="K2038" s="14" t="n">
        <f aca="false">IF(J2038&lt;=0,1,0)</f>
        <v>0</v>
      </c>
      <c r="L2038" s="15" t="n">
        <f aca="false">IFERROR(G2038/F2038,0)</f>
        <v>0.924116424116424</v>
      </c>
      <c r="M2038" s="15" t="n">
        <f aca="false">IFERROR((I2038-H2038)/H2038,0)</f>
        <v>0.00132297006780219</v>
      </c>
      <c r="N2038" s="16" t="n">
        <f aca="false">G2038*I2038</f>
        <v>430631.6</v>
      </c>
    </row>
    <row r="2039" customFormat="false" ht="15" hidden="false" customHeight="true" outlineLevel="0" collapsed="false">
      <c r="A2039" s="4" t="s">
        <v>2215</v>
      </c>
      <c r="B2039" s="4" t="s">
        <v>79</v>
      </c>
      <c r="C2039" s="13" t="n">
        <v>45580</v>
      </c>
      <c r="D2039" s="13" t="n">
        <v>45599</v>
      </c>
      <c r="E2039" s="13" t="n">
        <v>45600</v>
      </c>
      <c r="F2039" s="4" t="n">
        <v>373</v>
      </c>
      <c r="G2039" s="4" t="n">
        <v>348</v>
      </c>
      <c r="H2039" s="4" t="n">
        <v>821.48</v>
      </c>
      <c r="I2039" s="4" t="n">
        <v>882.31</v>
      </c>
      <c r="J2039" s="14" t="n">
        <f aca="false">E2039-D2039</f>
        <v>1</v>
      </c>
      <c r="K2039" s="14" t="n">
        <f aca="false">IF(J2039&lt;=0,1,0)</f>
        <v>0</v>
      </c>
      <c r="L2039" s="15" t="n">
        <f aca="false">IFERROR(G2039/F2039,0)</f>
        <v>0.932975871313673</v>
      </c>
      <c r="M2039" s="15" t="n">
        <f aca="false">IFERROR((I2039-H2039)/H2039,0)</f>
        <v>0.0740492769148366</v>
      </c>
      <c r="N2039" s="16" t="n">
        <f aca="false">G2039*I2039</f>
        <v>307043.88</v>
      </c>
    </row>
    <row r="2040" customFormat="false" ht="15" hidden="false" customHeight="true" outlineLevel="0" collapsed="false">
      <c r="A2040" s="4" t="s">
        <v>2216</v>
      </c>
      <c r="B2040" s="4" t="s">
        <v>107</v>
      </c>
      <c r="C2040" s="13" t="n">
        <v>45527</v>
      </c>
      <c r="D2040" s="13" t="n">
        <v>45533</v>
      </c>
      <c r="E2040" s="13" t="n">
        <v>45535</v>
      </c>
      <c r="F2040" s="4" t="n">
        <v>699</v>
      </c>
      <c r="G2040" s="4" t="n">
        <v>699</v>
      </c>
      <c r="H2040" s="4" t="n">
        <v>40.41</v>
      </c>
      <c r="I2040" s="4" t="n">
        <v>41.06</v>
      </c>
      <c r="J2040" s="14" t="n">
        <f aca="false">E2040-D2040</f>
        <v>2</v>
      </c>
      <c r="K2040" s="14" t="n">
        <f aca="false">IF(J2040&lt;=0,1,0)</f>
        <v>0</v>
      </c>
      <c r="L2040" s="15" t="n">
        <f aca="false">IFERROR(G2040/F2040,0)</f>
        <v>1</v>
      </c>
      <c r="M2040" s="15" t="n">
        <f aca="false">IFERROR((I2040-H2040)/H2040,0)</f>
        <v>0.0160851274437022</v>
      </c>
      <c r="N2040" s="16" t="n">
        <f aca="false">G2040*I2040</f>
        <v>28700.94</v>
      </c>
    </row>
    <row r="2041" customFormat="false" ht="15" hidden="false" customHeight="true" outlineLevel="0" collapsed="false">
      <c r="A2041" s="4" t="s">
        <v>2217</v>
      </c>
      <c r="B2041" s="4" t="s">
        <v>41</v>
      </c>
      <c r="C2041" s="13" t="n">
        <v>45495</v>
      </c>
      <c r="D2041" s="13" t="n">
        <v>45501</v>
      </c>
      <c r="E2041" s="13" t="n">
        <v>45499</v>
      </c>
      <c r="F2041" s="4" t="n">
        <v>3317</v>
      </c>
      <c r="G2041" s="4" t="n">
        <v>3317</v>
      </c>
      <c r="H2041" s="4" t="n">
        <v>45.51</v>
      </c>
      <c r="I2041" s="4" t="n">
        <v>43.42</v>
      </c>
      <c r="J2041" s="14" t="n">
        <f aca="false">E2041-D2041</f>
        <v>-2</v>
      </c>
      <c r="K2041" s="14" t="n">
        <f aca="false">IF(J2041&lt;=0,1,0)</f>
        <v>1</v>
      </c>
      <c r="L2041" s="15" t="n">
        <f aca="false">IFERROR(G2041/F2041,0)</f>
        <v>1</v>
      </c>
      <c r="M2041" s="15" t="n">
        <f aca="false">IFERROR((I2041-H2041)/H2041,0)</f>
        <v>-0.045923972753241</v>
      </c>
      <c r="N2041" s="16" t="n">
        <f aca="false">G2041*I2041</f>
        <v>144024.14</v>
      </c>
    </row>
    <row r="2042" customFormat="false" ht="15" hidden="false" customHeight="true" outlineLevel="0" collapsed="false">
      <c r="A2042" s="4" t="s">
        <v>2218</v>
      </c>
      <c r="B2042" s="4" t="s">
        <v>131</v>
      </c>
      <c r="C2042" s="13" t="n">
        <v>45574</v>
      </c>
      <c r="D2042" s="13" t="n">
        <v>45585</v>
      </c>
      <c r="E2042" s="13" t="n">
        <v>45582</v>
      </c>
      <c r="F2042" s="4" t="n">
        <v>266</v>
      </c>
      <c r="G2042" s="4" t="n">
        <v>262</v>
      </c>
      <c r="H2042" s="4" t="n">
        <v>88.52</v>
      </c>
      <c r="I2042" s="4" t="n">
        <v>90.95</v>
      </c>
      <c r="J2042" s="14" t="n">
        <f aca="false">E2042-D2042</f>
        <v>-3</v>
      </c>
      <c r="K2042" s="14" t="n">
        <f aca="false">IF(J2042&lt;=0,1,0)</f>
        <v>1</v>
      </c>
      <c r="L2042" s="15" t="n">
        <f aca="false">IFERROR(G2042/F2042,0)</f>
        <v>0.984962406015038</v>
      </c>
      <c r="M2042" s="15" t="n">
        <f aca="false">IFERROR((I2042-H2042)/H2042,0)</f>
        <v>0.0274514234071397</v>
      </c>
      <c r="N2042" s="16" t="n">
        <f aca="false">G2042*I2042</f>
        <v>23828.9</v>
      </c>
    </row>
    <row r="2043" customFormat="false" ht="15" hidden="false" customHeight="true" outlineLevel="0" collapsed="false">
      <c r="A2043" s="4" t="s">
        <v>2219</v>
      </c>
      <c r="B2043" s="4" t="s">
        <v>85</v>
      </c>
      <c r="C2043" s="13" t="n">
        <v>45095</v>
      </c>
      <c r="D2043" s="13" t="n">
        <v>45107</v>
      </c>
      <c r="E2043" s="13" t="n">
        <v>45115</v>
      </c>
      <c r="F2043" s="4" t="n">
        <v>883</v>
      </c>
      <c r="G2043" s="4" t="n">
        <v>844</v>
      </c>
      <c r="H2043" s="4" t="n">
        <v>241.88</v>
      </c>
      <c r="I2043" s="4" t="n">
        <v>238.2</v>
      </c>
      <c r="J2043" s="14" t="n">
        <f aca="false">E2043-D2043</f>
        <v>8</v>
      </c>
      <c r="K2043" s="14" t="n">
        <f aca="false">IF(J2043&lt;=0,1,0)</f>
        <v>0</v>
      </c>
      <c r="L2043" s="15" t="n">
        <f aca="false">IFERROR(G2043/F2043,0)</f>
        <v>0.955832389580974</v>
      </c>
      <c r="M2043" s="15" t="n">
        <f aca="false">IFERROR((I2043-H2043)/H2043,0)</f>
        <v>-0.0152141557797255</v>
      </c>
      <c r="N2043" s="16" t="n">
        <f aca="false">G2043*I2043</f>
        <v>201040.8</v>
      </c>
    </row>
    <row r="2044" customFormat="false" ht="15" hidden="false" customHeight="true" outlineLevel="0" collapsed="false">
      <c r="A2044" s="4" t="s">
        <v>2220</v>
      </c>
      <c r="B2044" s="4" t="s">
        <v>37</v>
      </c>
      <c r="C2044" s="13" t="n">
        <v>45185</v>
      </c>
      <c r="D2044" s="13" t="n">
        <v>45192</v>
      </c>
      <c r="E2044" s="13" t="n">
        <v>45194</v>
      </c>
      <c r="F2044" s="4" t="n">
        <v>847</v>
      </c>
      <c r="G2044" s="4" t="n">
        <v>827</v>
      </c>
      <c r="H2044" s="4" t="n">
        <v>22.26</v>
      </c>
      <c r="I2044" s="4" t="n">
        <v>21.98</v>
      </c>
      <c r="J2044" s="14" t="n">
        <f aca="false">E2044-D2044</f>
        <v>2</v>
      </c>
      <c r="K2044" s="14" t="n">
        <f aca="false">IF(J2044&lt;=0,1,0)</f>
        <v>0</v>
      </c>
      <c r="L2044" s="15" t="n">
        <f aca="false">IFERROR(G2044/F2044,0)</f>
        <v>0.976387249114522</v>
      </c>
      <c r="M2044" s="15" t="n">
        <f aca="false">IFERROR((I2044-H2044)/H2044,0)</f>
        <v>-0.0125786163522013</v>
      </c>
      <c r="N2044" s="16" t="n">
        <f aca="false">G2044*I2044</f>
        <v>18177.46</v>
      </c>
    </row>
    <row r="2045" customFormat="false" ht="15" hidden="false" customHeight="true" outlineLevel="0" collapsed="false">
      <c r="A2045" s="4" t="s">
        <v>2221</v>
      </c>
      <c r="B2045" s="4" t="s">
        <v>127</v>
      </c>
      <c r="C2045" s="13" t="n">
        <v>45574</v>
      </c>
      <c r="D2045" s="13" t="n">
        <v>45578</v>
      </c>
      <c r="E2045" s="13" t="n">
        <v>45580</v>
      </c>
      <c r="F2045" s="4" t="n">
        <v>18</v>
      </c>
      <c r="G2045" s="4" t="n">
        <v>18</v>
      </c>
      <c r="H2045" s="4" t="n">
        <v>1881</v>
      </c>
      <c r="I2045" s="4" t="n">
        <v>1757.98</v>
      </c>
      <c r="J2045" s="14" t="n">
        <f aca="false">E2045-D2045</f>
        <v>2</v>
      </c>
      <c r="K2045" s="14" t="n">
        <f aca="false">IF(J2045&lt;=0,1,0)</f>
        <v>0</v>
      </c>
      <c r="L2045" s="15" t="n">
        <f aca="false">IFERROR(G2045/F2045,0)</f>
        <v>1</v>
      </c>
      <c r="M2045" s="15" t="n">
        <f aca="false">IFERROR((I2045-H2045)/H2045,0)</f>
        <v>-0.0654013822434875</v>
      </c>
      <c r="N2045" s="16" t="n">
        <f aca="false">G2045*I2045</f>
        <v>31643.64</v>
      </c>
    </row>
    <row r="2046" customFormat="false" ht="15" hidden="false" customHeight="true" outlineLevel="0" collapsed="false">
      <c r="A2046" s="4" t="s">
        <v>2222</v>
      </c>
      <c r="B2046" s="4" t="s">
        <v>87</v>
      </c>
      <c r="C2046" s="13" t="n">
        <v>45036</v>
      </c>
      <c r="D2046" s="13" t="n">
        <v>45048</v>
      </c>
      <c r="E2046" s="13" t="n">
        <v>45048</v>
      </c>
      <c r="F2046" s="4" t="n">
        <v>1740</v>
      </c>
      <c r="G2046" s="4" t="n">
        <v>1583</v>
      </c>
      <c r="H2046" s="4" t="n">
        <v>161.95</v>
      </c>
      <c r="I2046" s="4" t="n">
        <v>169.27</v>
      </c>
      <c r="J2046" s="14" t="n">
        <f aca="false">E2046-D2046</f>
        <v>0</v>
      </c>
      <c r="K2046" s="14" t="n">
        <f aca="false">IF(J2046&lt;=0,1,0)</f>
        <v>1</v>
      </c>
      <c r="L2046" s="15" t="n">
        <f aca="false">IFERROR(G2046/F2046,0)</f>
        <v>0.909770114942529</v>
      </c>
      <c r="M2046" s="15" t="n">
        <f aca="false">IFERROR((I2046-H2046)/H2046,0)</f>
        <v>0.0451991355356593</v>
      </c>
      <c r="N2046" s="16" t="n">
        <f aca="false">G2046*I2046</f>
        <v>267954.41</v>
      </c>
    </row>
    <row r="2047" customFormat="false" ht="15" hidden="false" customHeight="true" outlineLevel="0" collapsed="false">
      <c r="A2047" s="4" t="s">
        <v>2223</v>
      </c>
      <c r="B2047" s="4" t="s">
        <v>93</v>
      </c>
      <c r="C2047" s="13" t="n">
        <v>44956</v>
      </c>
      <c r="D2047" s="13" t="n">
        <v>44967</v>
      </c>
      <c r="E2047" s="13" t="n">
        <v>44971</v>
      </c>
      <c r="F2047" s="4" t="n">
        <v>381</v>
      </c>
      <c r="G2047" s="4" t="n">
        <v>372</v>
      </c>
      <c r="H2047" s="4" t="n">
        <v>174.25</v>
      </c>
      <c r="I2047" s="4" t="n">
        <v>177.18</v>
      </c>
      <c r="J2047" s="14" t="n">
        <f aca="false">E2047-D2047</f>
        <v>4</v>
      </c>
      <c r="K2047" s="14" t="n">
        <f aca="false">IF(J2047&lt;=0,1,0)</f>
        <v>0</v>
      </c>
      <c r="L2047" s="15" t="n">
        <f aca="false">IFERROR(G2047/F2047,0)</f>
        <v>0.976377952755906</v>
      </c>
      <c r="M2047" s="15" t="n">
        <f aca="false">IFERROR((I2047-H2047)/H2047,0)</f>
        <v>0.0168149210903874</v>
      </c>
      <c r="N2047" s="16" t="n">
        <f aca="false">G2047*I2047</f>
        <v>65910.96</v>
      </c>
    </row>
    <row r="2048" customFormat="false" ht="15" hidden="false" customHeight="true" outlineLevel="0" collapsed="false">
      <c r="A2048" s="4" t="s">
        <v>2224</v>
      </c>
      <c r="B2048" s="4" t="s">
        <v>43</v>
      </c>
      <c r="C2048" s="13" t="n">
        <v>45541</v>
      </c>
      <c r="D2048" s="13" t="n">
        <v>45560</v>
      </c>
      <c r="E2048" s="13" t="n">
        <v>45566</v>
      </c>
      <c r="F2048" s="4" t="n">
        <v>486</v>
      </c>
      <c r="G2048" s="4" t="n">
        <v>470</v>
      </c>
      <c r="H2048" s="4" t="n">
        <v>1321.6</v>
      </c>
      <c r="I2048" s="4" t="n">
        <v>1341</v>
      </c>
      <c r="J2048" s="14" t="n">
        <f aca="false">E2048-D2048</f>
        <v>6</v>
      </c>
      <c r="K2048" s="14" t="n">
        <f aca="false">IF(J2048&lt;=0,1,0)</f>
        <v>0</v>
      </c>
      <c r="L2048" s="15" t="n">
        <f aca="false">IFERROR(G2048/F2048,0)</f>
        <v>0.967078189300412</v>
      </c>
      <c r="M2048" s="15" t="n">
        <f aca="false">IFERROR((I2048-H2048)/H2048,0)</f>
        <v>0.014679176755448</v>
      </c>
      <c r="N2048" s="16" t="n">
        <f aca="false">G2048*I2048</f>
        <v>630270</v>
      </c>
    </row>
    <row r="2049" customFormat="false" ht="15" hidden="false" customHeight="true" outlineLevel="0" collapsed="false">
      <c r="A2049" s="4" t="s">
        <v>2225</v>
      </c>
      <c r="B2049" s="4" t="s">
        <v>139</v>
      </c>
      <c r="C2049" s="13" t="n">
        <v>45276</v>
      </c>
      <c r="D2049" s="13" t="n">
        <v>45287</v>
      </c>
      <c r="E2049" s="13" t="n">
        <v>45291</v>
      </c>
      <c r="F2049" s="4" t="n">
        <v>287</v>
      </c>
      <c r="G2049" s="4" t="n">
        <v>267</v>
      </c>
      <c r="H2049" s="4" t="n">
        <v>207.64</v>
      </c>
      <c r="I2049" s="4" t="n">
        <v>215.28</v>
      </c>
      <c r="J2049" s="14" t="n">
        <f aca="false">E2049-D2049</f>
        <v>4</v>
      </c>
      <c r="K2049" s="14" t="n">
        <f aca="false">IF(J2049&lt;=0,1,0)</f>
        <v>0</v>
      </c>
      <c r="L2049" s="15" t="n">
        <f aca="false">IFERROR(G2049/F2049,0)</f>
        <v>0.930313588850174</v>
      </c>
      <c r="M2049" s="15" t="n">
        <f aca="false">IFERROR((I2049-H2049)/H2049,0)</f>
        <v>0.0367944519360432</v>
      </c>
      <c r="N2049" s="16" t="n">
        <f aca="false">G2049*I2049</f>
        <v>57479.76</v>
      </c>
    </row>
    <row r="2050" customFormat="false" ht="15" hidden="false" customHeight="true" outlineLevel="0" collapsed="false">
      <c r="A2050" s="4" t="s">
        <v>2226</v>
      </c>
      <c r="B2050" s="4" t="s">
        <v>55</v>
      </c>
      <c r="C2050" s="13" t="n">
        <v>44991</v>
      </c>
      <c r="D2050" s="13" t="n">
        <v>45011</v>
      </c>
      <c r="E2050" s="13" t="n">
        <v>45013</v>
      </c>
      <c r="F2050" s="4" t="n">
        <v>228</v>
      </c>
      <c r="G2050" s="4" t="n">
        <v>223</v>
      </c>
      <c r="H2050" s="4" t="n">
        <v>598.09</v>
      </c>
      <c r="I2050" s="4" t="n">
        <v>598.03</v>
      </c>
      <c r="J2050" s="14" t="n">
        <f aca="false">E2050-D2050</f>
        <v>2</v>
      </c>
      <c r="K2050" s="14" t="n">
        <f aca="false">IF(J2050&lt;=0,1,0)</f>
        <v>0</v>
      </c>
      <c r="L2050" s="15" t="n">
        <f aca="false">IFERROR(G2050/F2050,0)</f>
        <v>0.978070175438597</v>
      </c>
      <c r="M2050" s="15" t="n">
        <f aca="false">IFERROR((I2050-H2050)/H2050,0)</f>
        <v>-0.000100319349930711</v>
      </c>
      <c r="N2050" s="16" t="n">
        <f aca="false">G2050*I2050</f>
        <v>133360.69</v>
      </c>
    </row>
    <row r="2051" customFormat="false" ht="15" hidden="false" customHeight="true" outlineLevel="0" collapsed="false">
      <c r="A2051" s="4" t="s">
        <v>2227</v>
      </c>
      <c r="B2051" s="4" t="s">
        <v>95</v>
      </c>
      <c r="C2051" s="13" t="n">
        <v>44952</v>
      </c>
      <c r="D2051" s="13" t="n">
        <v>44959</v>
      </c>
      <c r="E2051" s="13" t="n">
        <v>44961</v>
      </c>
      <c r="F2051" s="4" t="n">
        <v>1297</v>
      </c>
      <c r="G2051" s="4" t="n">
        <v>1294</v>
      </c>
      <c r="H2051" s="4" t="n">
        <v>20.39</v>
      </c>
      <c r="I2051" s="4" t="n">
        <v>20.26</v>
      </c>
      <c r="J2051" s="14" t="n">
        <f aca="false">E2051-D2051</f>
        <v>2</v>
      </c>
      <c r="K2051" s="14" t="n">
        <f aca="false">IF(J2051&lt;=0,1,0)</f>
        <v>0</v>
      </c>
      <c r="L2051" s="15" t="n">
        <f aca="false">IFERROR(G2051/F2051,0)</f>
        <v>0.997686969930609</v>
      </c>
      <c r="M2051" s="15" t="n">
        <f aca="false">IFERROR((I2051-H2051)/H2051,0)</f>
        <v>-0.0063756743501716</v>
      </c>
      <c r="N2051" s="16" t="n">
        <f aca="false">G2051*I2051</f>
        <v>26216.44</v>
      </c>
    </row>
    <row r="2052" customFormat="false" ht="15" hidden="false" customHeight="true" outlineLevel="0" collapsed="false">
      <c r="A2052" s="4" t="s">
        <v>2228</v>
      </c>
      <c r="B2052" s="4" t="s">
        <v>153</v>
      </c>
      <c r="C2052" s="13" t="n">
        <v>45637</v>
      </c>
      <c r="D2052" s="13" t="n">
        <v>45656</v>
      </c>
      <c r="E2052" s="13" t="n">
        <v>45659</v>
      </c>
      <c r="F2052" s="4" t="n">
        <v>154</v>
      </c>
      <c r="G2052" s="4" t="n">
        <v>139</v>
      </c>
      <c r="H2052" s="4" t="n">
        <v>1492.04</v>
      </c>
      <c r="I2052" s="4" t="n">
        <v>1605.74</v>
      </c>
      <c r="J2052" s="14" t="n">
        <f aca="false">E2052-D2052</f>
        <v>3</v>
      </c>
      <c r="K2052" s="14" t="n">
        <f aca="false">IF(J2052&lt;=0,1,0)</f>
        <v>0</v>
      </c>
      <c r="L2052" s="15" t="n">
        <f aca="false">IFERROR(G2052/F2052,0)</f>
        <v>0.902597402597403</v>
      </c>
      <c r="M2052" s="15" t="n">
        <f aca="false">IFERROR((I2052-H2052)/H2052,0)</f>
        <v>0.0762043913031823</v>
      </c>
      <c r="N2052" s="16" t="n">
        <f aca="false">G2052*I2052</f>
        <v>223197.86</v>
      </c>
    </row>
    <row r="2053" customFormat="false" ht="15" hidden="false" customHeight="true" outlineLevel="0" collapsed="false">
      <c r="A2053" s="4" t="s">
        <v>2229</v>
      </c>
      <c r="B2053" s="4" t="s">
        <v>85</v>
      </c>
      <c r="C2053" s="13" t="n">
        <v>45532</v>
      </c>
      <c r="D2053" s="13" t="n">
        <v>45544</v>
      </c>
      <c r="E2053" s="13" t="n">
        <v>45552</v>
      </c>
      <c r="F2053" s="4" t="n">
        <v>397</v>
      </c>
      <c r="G2053" s="4" t="n">
        <v>382</v>
      </c>
      <c r="H2053" s="4" t="n">
        <v>241.88</v>
      </c>
      <c r="I2053" s="4" t="n">
        <v>236.73</v>
      </c>
      <c r="J2053" s="14" t="n">
        <f aca="false">E2053-D2053</f>
        <v>8</v>
      </c>
      <c r="K2053" s="14" t="n">
        <f aca="false">IF(J2053&lt;=0,1,0)</f>
        <v>0</v>
      </c>
      <c r="L2053" s="15" t="n">
        <f aca="false">IFERROR(G2053/F2053,0)</f>
        <v>0.962216624685139</v>
      </c>
      <c r="M2053" s="15" t="n">
        <f aca="false">IFERROR((I2053-H2053)/H2053,0)</f>
        <v>-0.0212915495286919</v>
      </c>
      <c r="N2053" s="16" t="n">
        <f aca="false">G2053*I2053</f>
        <v>90430.86</v>
      </c>
    </row>
    <row r="2054" customFormat="false" ht="15" hidden="false" customHeight="true" outlineLevel="0" collapsed="false">
      <c r="A2054" s="4" t="s">
        <v>2230</v>
      </c>
      <c r="B2054" s="4" t="s">
        <v>103</v>
      </c>
      <c r="C2054" s="13" t="n">
        <v>45312</v>
      </c>
      <c r="D2054" s="13" t="n">
        <v>45329</v>
      </c>
      <c r="E2054" s="13" t="n">
        <v>45330</v>
      </c>
      <c r="F2054" s="4" t="n">
        <v>367</v>
      </c>
      <c r="G2054" s="4" t="n">
        <v>358</v>
      </c>
      <c r="H2054" s="4" t="n">
        <v>1400.22</v>
      </c>
      <c r="I2054" s="4" t="n">
        <v>1423.6</v>
      </c>
      <c r="J2054" s="14" t="n">
        <f aca="false">E2054-D2054</f>
        <v>1</v>
      </c>
      <c r="K2054" s="14" t="n">
        <f aca="false">IF(J2054&lt;=0,1,0)</f>
        <v>0</v>
      </c>
      <c r="L2054" s="15" t="n">
        <f aca="false">IFERROR(G2054/F2054,0)</f>
        <v>0.975476839237057</v>
      </c>
      <c r="M2054" s="15" t="n">
        <f aca="false">IFERROR((I2054-H2054)/H2054,0)</f>
        <v>0.0166973761266086</v>
      </c>
      <c r="N2054" s="16" t="n">
        <f aca="false">G2054*I2054</f>
        <v>509648.8</v>
      </c>
    </row>
    <row r="2055" customFormat="false" ht="15" hidden="false" customHeight="true" outlineLevel="0" collapsed="false">
      <c r="A2055" s="4" t="s">
        <v>2231</v>
      </c>
      <c r="B2055" s="4" t="s">
        <v>147</v>
      </c>
      <c r="C2055" s="13" t="n">
        <v>45352</v>
      </c>
      <c r="D2055" s="13" t="n">
        <v>45365</v>
      </c>
      <c r="E2055" s="13" t="n">
        <v>45366</v>
      </c>
      <c r="F2055" s="4" t="n">
        <v>61</v>
      </c>
      <c r="G2055" s="4" t="n">
        <v>61</v>
      </c>
      <c r="H2055" s="4" t="n">
        <v>203.3</v>
      </c>
      <c r="I2055" s="4" t="n">
        <v>212.97</v>
      </c>
      <c r="J2055" s="14" t="n">
        <f aca="false">E2055-D2055</f>
        <v>1</v>
      </c>
      <c r="K2055" s="14" t="n">
        <f aca="false">IF(J2055&lt;=0,1,0)</f>
        <v>0</v>
      </c>
      <c r="L2055" s="15" t="n">
        <f aca="false">IFERROR(G2055/F2055,0)</f>
        <v>1</v>
      </c>
      <c r="M2055" s="15" t="n">
        <f aca="false">IFERROR((I2055-H2055)/H2055,0)</f>
        <v>0.0475651746187899</v>
      </c>
      <c r="N2055" s="16" t="n">
        <f aca="false">G2055*I2055</f>
        <v>12991.17</v>
      </c>
    </row>
    <row r="2056" customFormat="false" ht="15" hidden="false" customHeight="true" outlineLevel="0" collapsed="false">
      <c r="A2056" s="4" t="s">
        <v>2232</v>
      </c>
      <c r="B2056" s="4" t="s">
        <v>127</v>
      </c>
      <c r="C2056" s="13" t="n">
        <v>45596</v>
      </c>
      <c r="D2056" s="13" t="n">
        <v>45600</v>
      </c>
      <c r="E2056" s="13" t="n">
        <v>45603</v>
      </c>
      <c r="F2056" s="4" t="n">
        <v>15</v>
      </c>
      <c r="G2056" s="4" t="n">
        <v>15</v>
      </c>
      <c r="H2056" s="4" t="n">
        <v>1881</v>
      </c>
      <c r="I2056" s="4" t="n">
        <v>1728.57</v>
      </c>
      <c r="J2056" s="14" t="n">
        <f aca="false">E2056-D2056</f>
        <v>3</v>
      </c>
      <c r="K2056" s="14" t="n">
        <f aca="false">IF(J2056&lt;=0,1,0)</f>
        <v>0</v>
      </c>
      <c r="L2056" s="15" t="n">
        <f aca="false">IFERROR(G2056/F2056,0)</f>
        <v>1</v>
      </c>
      <c r="M2056" s="15" t="n">
        <f aca="false">IFERROR((I2056-H2056)/H2056,0)</f>
        <v>-0.08103668261563</v>
      </c>
      <c r="N2056" s="16" t="n">
        <f aca="false">G2056*I2056</f>
        <v>25928.55</v>
      </c>
    </row>
    <row r="2057" customFormat="false" ht="15" hidden="false" customHeight="true" outlineLevel="0" collapsed="false">
      <c r="A2057" s="4" t="s">
        <v>2233</v>
      </c>
      <c r="B2057" s="4" t="s">
        <v>91</v>
      </c>
      <c r="C2057" s="13" t="n">
        <v>45051</v>
      </c>
      <c r="D2057" s="13" t="n">
        <v>45071</v>
      </c>
      <c r="E2057" s="13" t="n">
        <v>45072</v>
      </c>
      <c r="F2057" s="4" t="n">
        <v>351</v>
      </c>
      <c r="G2057" s="4" t="n">
        <v>345</v>
      </c>
      <c r="H2057" s="4" t="n">
        <v>496.29</v>
      </c>
      <c r="I2057" s="4" t="n">
        <v>490.69</v>
      </c>
      <c r="J2057" s="14" t="n">
        <f aca="false">E2057-D2057</f>
        <v>1</v>
      </c>
      <c r="K2057" s="14" t="n">
        <f aca="false">IF(J2057&lt;=0,1,0)</f>
        <v>0</v>
      </c>
      <c r="L2057" s="15" t="n">
        <f aca="false">IFERROR(G2057/F2057,0)</f>
        <v>0.982905982905983</v>
      </c>
      <c r="M2057" s="15" t="n">
        <f aca="false">IFERROR((I2057-H2057)/H2057,0)</f>
        <v>-0.0112837252412904</v>
      </c>
      <c r="N2057" s="16" t="n">
        <f aca="false">G2057*I2057</f>
        <v>169288.05</v>
      </c>
    </row>
    <row r="2058" customFormat="false" ht="15" hidden="false" customHeight="true" outlineLevel="0" collapsed="false">
      <c r="A2058" s="4" t="s">
        <v>2234</v>
      </c>
      <c r="B2058" s="4" t="s">
        <v>125</v>
      </c>
      <c r="C2058" s="13" t="n">
        <v>45398</v>
      </c>
      <c r="D2058" s="13" t="n">
        <v>45402</v>
      </c>
      <c r="E2058" s="13" t="n">
        <v>45401</v>
      </c>
      <c r="F2058" s="4" t="n">
        <v>12</v>
      </c>
      <c r="G2058" s="4" t="n">
        <v>10</v>
      </c>
      <c r="H2058" s="4" t="n">
        <v>729.32</v>
      </c>
      <c r="I2058" s="4" t="n">
        <v>746.24</v>
      </c>
      <c r="J2058" s="14" t="n">
        <f aca="false">E2058-D2058</f>
        <v>-1</v>
      </c>
      <c r="K2058" s="14" t="n">
        <f aca="false">IF(J2058&lt;=0,1,0)</f>
        <v>1</v>
      </c>
      <c r="L2058" s="15" t="n">
        <f aca="false">IFERROR(G2058/F2058,0)</f>
        <v>0.833333333333333</v>
      </c>
      <c r="M2058" s="15" t="n">
        <f aca="false">IFERROR((I2058-H2058)/H2058,0)</f>
        <v>0.0231996928645861</v>
      </c>
      <c r="N2058" s="16" t="n">
        <f aca="false">G2058*I2058</f>
        <v>7462.4</v>
      </c>
    </row>
    <row r="2059" customFormat="false" ht="15" hidden="false" customHeight="true" outlineLevel="0" collapsed="false">
      <c r="A2059" s="4" t="s">
        <v>2235</v>
      </c>
      <c r="B2059" s="4" t="s">
        <v>129</v>
      </c>
      <c r="C2059" s="13" t="n">
        <v>45047</v>
      </c>
      <c r="D2059" s="13" t="n">
        <v>45066</v>
      </c>
      <c r="E2059" s="13" t="n">
        <v>45068</v>
      </c>
      <c r="F2059" s="4" t="n">
        <v>95</v>
      </c>
      <c r="G2059" s="4" t="n">
        <v>90</v>
      </c>
      <c r="H2059" s="4" t="n">
        <v>709.66</v>
      </c>
      <c r="I2059" s="4" t="n">
        <v>706.06</v>
      </c>
      <c r="J2059" s="14" t="n">
        <f aca="false">E2059-D2059</f>
        <v>2</v>
      </c>
      <c r="K2059" s="14" t="n">
        <f aca="false">IF(J2059&lt;=0,1,0)</f>
        <v>0</v>
      </c>
      <c r="L2059" s="15" t="n">
        <f aca="false">IFERROR(G2059/F2059,0)</f>
        <v>0.947368421052632</v>
      </c>
      <c r="M2059" s="15" t="n">
        <f aca="false">IFERROR((I2059-H2059)/H2059,0)</f>
        <v>-0.00507285178818029</v>
      </c>
      <c r="N2059" s="16" t="n">
        <f aca="false">G2059*I2059</f>
        <v>63545.4</v>
      </c>
    </row>
    <row r="2060" customFormat="false" ht="15" hidden="false" customHeight="true" outlineLevel="0" collapsed="false">
      <c r="A2060" s="4" t="s">
        <v>2236</v>
      </c>
      <c r="B2060" s="4" t="s">
        <v>101</v>
      </c>
      <c r="C2060" s="13" t="n">
        <v>45415</v>
      </c>
      <c r="D2060" s="13" t="n">
        <v>45435</v>
      </c>
      <c r="E2060" s="13" t="n">
        <v>45438</v>
      </c>
      <c r="F2060" s="4" t="n">
        <v>171</v>
      </c>
      <c r="G2060" s="4" t="n">
        <v>165</v>
      </c>
      <c r="H2060" s="4" t="n">
        <v>442.74</v>
      </c>
      <c r="I2060" s="4" t="n">
        <v>454.51</v>
      </c>
      <c r="J2060" s="14" t="n">
        <f aca="false">E2060-D2060</f>
        <v>3</v>
      </c>
      <c r="K2060" s="14" t="n">
        <f aca="false">IF(J2060&lt;=0,1,0)</f>
        <v>0</v>
      </c>
      <c r="L2060" s="15" t="n">
        <f aca="false">IFERROR(G2060/F2060,0)</f>
        <v>0.964912280701754</v>
      </c>
      <c r="M2060" s="15" t="n">
        <f aca="false">IFERROR((I2060-H2060)/H2060,0)</f>
        <v>0.0265844513710078</v>
      </c>
      <c r="N2060" s="16" t="n">
        <f aca="false">G2060*I2060</f>
        <v>74994.15</v>
      </c>
    </row>
    <row r="2061" customFormat="false" ht="15" hidden="false" customHeight="true" outlineLevel="0" collapsed="false">
      <c r="A2061" s="4" t="s">
        <v>2237</v>
      </c>
      <c r="B2061" s="4" t="s">
        <v>41</v>
      </c>
      <c r="C2061" s="13" t="n">
        <v>45501</v>
      </c>
      <c r="D2061" s="13" t="n">
        <v>45507</v>
      </c>
      <c r="E2061" s="13" t="n">
        <v>45506</v>
      </c>
      <c r="F2061" s="4" t="n">
        <v>1014</v>
      </c>
      <c r="G2061" s="4" t="n">
        <v>997</v>
      </c>
      <c r="H2061" s="4" t="n">
        <v>45.51</v>
      </c>
      <c r="I2061" s="4" t="n">
        <v>44.39</v>
      </c>
      <c r="J2061" s="14" t="n">
        <f aca="false">E2061-D2061</f>
        <v>-1</v>
      </c>
      <c r="K2061" s="14" t="n">
        <f aca="false">IF(J2061&lt;=0,1,0)</f>
        <v>1</v>
      </c>
      <c r="L2061" s="15" t="n">
        <f aca="false">IFERROR(G2061/F2061,0)</f>
        <v>0.983234714003945</v>
      </c>
      <c r="M2061" s="15" t="n">
        <f aca="false">IFERROR((I2061-H2061)/H2061,0)</f>
        <v>-0.024609975829488</v>
      </c>
      <c r="N2061" s="16" t="n">
        <f aca="false">G2061*I2061</f>
        <v>44256.83</v>
      </c>
    </row>
    <row r="2062" customFormat="false" ht="15" hidden="false" customHeight="true" outlineLevel="0" collapsed="false">
      <c r="A2062" s="4" t="s">
        <v>2238</v>
      </c>
      <c r="B2062" s="4" t="s">
        <v>117</v>
      </c>
      <c r="C2062" s="13" t="n">
        <v>45172</v>
      </c>
      <c r="D2062" s="13" t="n">
        <v>45184</v>
      </c>
      <c r="E2062" s="13" t="n">
        <v>45183</v>
      </c>
      <c r="F2062" s="4" t="n">
        <v>230</v>
      </c>
      <c r="G2062" s="4" t="n">
        <v>217</v>
      </c>
      <c r="H2062" s="4" t="n">
        <v>396.01</v>
      </c>
      <c r="I2062" s="4" t="n">
        <v>389.11</v>
      </c>
      <c r="J2062" s="14" t="n">
        <f aca="false">E2062-D2062</f>
        <v>-1</v>
      </c>
      <c r="K2062" s="14" t="n">
        <f aca="false">IF(J2062&lt;=0,1,0)</f>
        <v>1</v>
      </c>
      <c r="L2062" s="15" t="n">
        <f aca="false">IFERROR(G2062/F2062,0)</f>
        <v>0.943478260869565</v>
      </c>
      <c r="M2062" s="15" t="n">
        <f aca="false">IFERROR((I2062-H2062)/H2062,0)</f>
        <v>-0.0174238024292315</v>
      </c>
      <c r="N2062" s="16" t="n">
        <f aca="false">G2062*I2062</f>
        <v>84436.87</v>
      </c>
    </row>
    <row r="2063" customFormat="false" ht="15" hidden="false" customHeight="true" outlineLevel="0" collapsed="false">
      <c r="A2063" s="4" t="s">
        <v>2239</v>
      </c>
      <c r="B2063" s="4" t="s">
        <v>113</v>
      </c>
      <c r="C2063" s="13" t="n">
        <v>45008</v>
      </c>
      <c r="D2063" s="13" t="n">
        <v>45017</v>
      </c>
      <c r="E2063" s="13" t="n">
        <v>45015</v>
      </c>
      <c r="F2063" s="4" t="n">
        <v>1705</v>
      </c>
      <c r="G2063" s="4" t="n">
        <v>1705</v>
      </c>
      <c r="H2063" s="4" t="n">
        <v>170.42</v>
      </c>
      <c r="I2063" s="4" t="n">
        <v>169.18</v>
      </c>
      <c r="J2063" s="14" t="n">
        <f aca="false">E2063-D2063</f>
        <v>-2</v>
      </c>
      <c r="K2063" s="14" t="n">
        <f aca="false">IF(J2063&lt;=0,1,0)</f>
        <v>1</v>
      </c>
      <c r="L2063" s="15" t="n">
        <f aca="false">IFERROR(G2063/F2063,0)</f>
        <v>1</v>
      </c>
      <c r="M2063" s="15" t="n">
        <f aca="false">IFERROR((I2063-H2063)/H2063,0)</f>
        <v>-0.00727614129796961</v>
      </c>
      <c r="N2063" s="16" t="n">
        <f aca="false">G2063*I2063</f>
        <v>288451.9</v>
      </c>
    </row>
    <row r="2064" customFormat="false" ht="15" hidden="false" customHeight="true" outlineLevel="0" collapsed="false">
      <c r="A2064" s="4" t="s">
        <v>2240</v>
      </c>
      <c r="B2064" s="4" t="s">
        <v>135</v>
      </c>
      <c r="C2064" s="13" t="n">
        <v>45509</v>
      </c>
      <c r="D2064" s="13" t="n">
        <v>45523</v>
      </c>
      <c r="E2064" s="13" t="n">
        <v>45527</v>
      </c>
      <c r="F2064" s="4" t="n">
        <v>242</v>
      </c>
      <c r="G2064" s="4" t="n">
        <v>237</v>
      </c>
      <c r="H2064" s="4" t="n">
        <v>328.06</v>
      </c>
      <c r="I2064" s="4" t="n">
        <v>321.21</v>
      </c>
      <c r="J2064" s="14" t="n">
        <f aca="false">E2064-D2064</f>
        <v>4</v>
      </c>
      <c r="K2064" s="14" t="n">
        <f aca="false">IF(J2064&lt;=0,1,0)</f>
        <v>0</v>
      </c>
      <c r="L2064" s="15" t="n">
        <f aca="false">IFERROR(G2064/F2064,0)</f>
        <v>0.979338842975207</v>
      </c>
      <c r="M2064" s="15" t="n">
        <f aca="false">IFERROR((I2064-H2064)/H2064,0)</f>
        <v>-0.0208803267694935</v>
      </c>
      <c r="N2064" s="16" t="n">
        <f aca="false">G2064*I2064</f>
        <v>76126.77</v>
      </c>
    </row>
    <row r="2065" customFormat="false" ht="15" hidden="false" customHeight="true" outlineLevel="0" collapsed="false">
      <c r="A2065" s="4" t="s">
        <v>2241</v>
      </c>
      <c r="B2065" s="4" t="s">
        <v>79</v>
      </c>
      <c r="C2065" s="13" t="n">
        <v>45569</v>
      </c>
      <c r="D2065" s="13" t="n">
        <v>45589</v>
      </c>
      <c r="E2065" s="13" t="n">
        <v>45590</v>
      </c>
      <c r="F2065" s="4" t="n">
        <v>276</v>
      </c>
      <c r="G2065" s="4" t="n">
        <v>276</v>
      </c>
      <c r="H2065" s="4" t="n">
        <v>821.48</v>
      </c>
      <c r="I2065" s="4" t="n">
        <v>890.56</v>
      </c>
      <c r="J2065" s="14" t="n">
        <f aca="false">E2065-D2065</f>
        <v>1</v>
      </c>
      <c r="K2065" s="14" t="n">
        <f aca="false">IF(J2065&lt;=0,1,0)</f>
        <v>0</v>
      </c>
      <c r="L2065" s="15" t="n">
        <f aca="false">IFERROR(G2065/F2065,0)</f>
        <v>1</v>
      </c>
      <c r="M2065" s="15" t="n">
        <f aca="false">IFERROR((I2065-H2065)/H2065,0)</f>
        <v>0.0840921264059988</v>
      </c>
      <c r="N2065" s="16" t="n">
        <f aca="false">G2065*I2065</f>
        <v>245794.56</v>
      </c>
    </row>
    <row r="2066" customFormat="false" ht="15" hidden="false" customHeight="true" outlineLevel="0" collapsed="false">
      <c r="A2066" s="4" t="s">
        <v>2242</v>
      </c>
      <c r="B2066" s="4" t="s">
        <v>123</v>
      </c>
      <c r="C2066" s="13" t="n">
        <v>45592</v>
      </c>
      <c r="D2066" s="13" t="n">
        <v>45605</v>
      </c>
      <c r="E2066" s="13" t="n">
        <v>45604</v>
      </c>
      <c r="F2066" s="4" t="n">
        <v>80</v>
      </c>
      <c r="G2066" s="4" t="n">
        <v>79</v>
      </c>
      <c r="H2066" s="4" t="n">
        <v>214.07</v>
      </c>
      <c r="I2066" s="4" t="n">
        <v>246.54</v>
      </c>
      <c r="J2066" s="14" t="n">
        <f aca="false">E2066-D2066</f>
        <v>-1</v>
      </c>
      <c r="K2066" s="14" t="n">
        <f aca="false">IF(J2066&lt;=0,1,0)</f>
        <v>1</v>
      </c>
      <c r="L2066" s="15" t="n">
        <f aca="false">IFERROR(G2066/F2066,0)</f>
        <v>0.9875</v>
      </c>
      <c r="M2066" s="15" t="n">
        <f aca="false">IFERROR((I2066-H2066)/H2066,0)</f>
        <v>0.151679357219601</v>
      </c>
      <c r="N2066" s="16" t="n">
        <f aca="false">G2066*I2066</f>
        <v>19476.66</v>
      </c>
    </row>
    <row r="2067" customFormat="false" ht="15" hidden="false" customHeight="true" outlineLevel="0" collapsed="false">
      <c r="A2067" s="4" t="s">
        <v>2243</v>
      </c>
      <c r="B2067" s="4" t="s">
        <v>119</v>
      </c>
      <c r="C2067" s="13" t="n">
        <v>45361</v>
      </c>
      <c r="D2067" s="13" t="n">
        <v>45367</v>
      </c>
      <c r="E2067" s="13" t="n">
        <v>45370</v>
      </c>
      <c r="F2067" s="4" t="n">
        <v>2858</v>
      </c>
      <c r="G2067" s="4" t="n">
        <v>2844</v>
      </c>
      <c r="H2067" s="4" t="n">
        <v>50.92</v>
      </c>
      <c r="I2067" s="4" t="n">
        <v>46.97</v>
      </c>
      <c r="J2067" s="14" t="n">
        <f aca="false">E2067-D2067</f>
        <v>3</v>
      </c>
      <c r="K2067" s="14" t="n">
        <f aca="false">IF(J2067&lt;=0,1,0)</f>
        <v>0</v>
      </c>
      <c r="L2067" s="15" t="n">
        <f aca="false">IFERROR(G2067/F2067,0)</f>
        <v>0.995101469559132</v>
      </c>
      <c r="M2067" s="15" t="n">
        <f aca="false">IFERROR((I2067-H2067)/H2067,0)</f>
        <v>-0.0775726630007856</v>
      </c>
      <c r="N2067" s="16" t="n">
        <f aca="false">G2067*I2067</f>
        <v>133582.68</v>
      </c>
    </row>
    <row r="2068" customFormat="false" ht="15" hidden="false" customHeight="true" outlineLevel="0" collapsed="false">
      <c r="A2068" s="4" t="s">
        <v>2244</v>
      </c>
      <c r="B2068" s="4" t="s">
        <v>52</v>
      </c>
      <c r="C2068" s="13" t="n">
        <v>45313</v>
      </c>
      <c r="D2068" s="13" t="n">
        <v>45324</v>
      </c>
      <c r="E2068" s="13" t="n">
        <v>45331</v>
      </c>
      <c r="F2068" s="4" t="n">
        <v>903</v>
      </c>
      <c r="G2068" s="4" t="n">
        <v>775</v>
      </c>
      <c r="H2068" s="4" t="n">
        <v>170.24</v>
      </c>
      <c r="I2068" s="4" t="n">
        <v>172.2</v>
      </c>
      <c r="J2068" s="14" t="n">
        <f aca="false">E2068-D2068</f>
        <v>7</v>
      </c>
      <c r="K2068" s="14" t="n">
        <f aca="false">IF(J2068&lt;=0,1,0)</f>
        <v>0</v>
      </c>
      <c r="L2068" s="15" t="n">
        <f aca="false">IFERROR(G2068/F2068,0)</f>
        <v>0.858250276854928</v>
      </c>
      <c r="M2068" s="15" t="n">
        <f aca="false">IFERROR((I2068-H2068)/H2068,0)</f>
        <v>0.0115131578947367</v>
      </c>
      <c r="N2068" s="16" t="n">
        <f aca="false">G2068*I2068</f>
        <v>133455</v>
      </c>
    </row>
    <row r="2069" customFormat="false" ht="15" hidden="false" customHeight="true" outlineLevel="0" collapsed="false">
      <c r="A2069" s="4" t="s">
        <v>2245</v>
      </c>
      <c r="B2069" s="4" t="s">
        <v>157</v>
      </c>
      <c r="C2069" s="13" t="n">
        <v>45297</v>
      </c>
      <c r="D2069" s="13" t="n">
        <v>45306</v>
      </c>
      <c r="E2069" s="13" t="n">
        <v>45305</v>
      </c>
      <c r="F2069" s="4" t="n">
        <v>1197</v>
      </c>
      <c r="G2069" s="4" t="n">
        <v>1160</v>
      </c>
      <c r="H2069" s="4" t="n">
        <v>13.1</v>
      </c>
      <c r="I2069" s="4" t="n">
        <v>13.42</v>
      </c>
      <c r="J2069" s="14" t="n">
        <f aca="false">E2069-D2069</f>
        <v>-1</v>
      </c>
      <c r="K2069" s="14" t="n">
        <f aca="false">IF(J2069&lt;=0,1,0)</f>
        <v>1</v>
      </c>
      <c r="L2069" s="15" t="n">
        <f aca="false">IFERROR(G2069/F2069,0)</f>
        <v>0.969089390142022</v>
      </c>
      <c r="M2069" s="15" t="n">
        <f aca="false">IFERROR((I2069-H2069)/H2069,0)</f>
        <v>0.0244274809160306</v>
      </c>
      <c r="N2069" s="16" t="n">
        <f aca="false">G2069*I2069</f>
        <v>15567.2</v>
      </c>
    </row>
    <row r="2070" customFormat="false" ht="15" hidden="false" customHeight="true" outlineLevel="0" collapsed="false">
      <c r="A2070" s="4" t="s">
        <v>2246</v>
      </c>
      <c r="B2070" s="4" t="s">
        <v>117</v>
      </c>
      <c r="C2070" s="13" t="n">
        <v>45577</v>
      </c>
      <c r="D2070" s="13" t="n">
        <v>45591</v>
      </c>
      <c r="E2070" s="13" t="n">
        <v>45592</v>
      </c>
      <c r="F2070" s="4" t="n">
        <v>189</v>
      </c>
      <c r="G2070" s="4" t="n">
        <v>169</v>
      </c>
      <c r="H2070" s="4" t="n">
        <v>396.01</v>
      </c>
      <c r="I2070" s="4" t="n">
        <v>386.31</v>
      </c>
      <c r="J2070" s="14" t="n">
        <f aca="false">E2070-D2070</f>
        <v>1</v>
      </c>
      <c r="K2070" s="14" t="n">
        <f aca="false">IF(J2070&lt;=0,1,0)</f>
        <v>0</v>
      </c>
      <c r="L2070" s="15" t="n">
        <f aca="false">IFERROR(G2070/F2070,0)</f>
        <v>0.894179894179894</v>
      </c>
      <c r="M2070" s="15" t="n">
        <f aca="false">IFERROR((I2070-H2070)/H2070,0)</f>
        <v>-0.0244943309512386</v>
      </c>
      <c r="N2070" s="16" t="n">
        <f aca="false">G2070*I2070</f>
        <v>65286.39</v>
      </c>
    </row>
    <row r="2071" customFormat="false" ht="15" hidden="false" customHeight="true" outlineLevel="0" collapsed="false">
      <c r="A2071" s="4" t="s">
        <v>2247</v>
      </c>
      <c r="B2071" s="4" t="s">
        <v>43</v>
      </c>
      <c r="C2071" s="13" t="n">
        <v>45575</v>
      </c>
      <c r="D2071" s="13" t="n">
        <v>45592</v>
      </c>
      <c r="E2071" s="13" t="n">
        <v>45594</v>
      </c>
      <c r="F2071" s="4" t="n">
        <v>296</v>
      </c>
      <c r="G2071" s="4" t="n">
        <v>283</v>
      </c>
      <c r="H2071" s="4" t="n">
        <v>1321.6</v>
      </c>
      <c r="I2071" s="4" t="n">
        <v>1326.11</v>
      </c>
      <c r="J2071" s="14" t="n">
        <f aca="false">E2071-D2071</f>
        <v>2</v>
      </c>
      <c r="K2071" s="14" t="n">
        <f aca="false">IF(J2071&lt;=0,1,0)</f>
        <v>0</v>
      </c>
      <c r="L2071" s="15" t="n">
        <f aca="false">IFERROR(G2071/F2071,0)</f>
        <v>0.956081081081081</v>
      </c>
      <c r="M2071" s="15" t="n">
        <f aca="false">IFERROR((I2071-H2071)/H2071,0)</f>
        <v>0.00341253026634382</v>
      </c>
      <c r="N2071" s="16" t="n">
        <f aca="false">G2071*I2071</f>
        <v>375289.13</v>
      </c>
    </row>
    <row r="2072" customFormat="false" ht="15" hidden="false" customHeight="true" outlineLevel="0" collapsed="false">
      <c r="A2072" s="4" t="s">
        <v>2248</v>
      </c>
      <c r="B2072" s="4" t="s">
        <v>101</v>
      </c>
      <c r="C2072" s="13" t="n">
        <v>45134</v>
      </c>
      <c r="D2072" s="13" t="n">
        <v>45153</v>
      </c>
      <c r="E2072" s="13" t="n">
        <v>45154</v>
      </c>
      <c r="F2072" s="4" t="n">
        <v>421</v>
      </c>
      <c r="G2072" s="4" t="n">
        <v>408</v>
      </c>
      <c r="H2072" s="4" t="n">
        <v>442.74</v>
      </c>
      <c r="I2072" s="4" t="n">
        <v>447.94</v>
      </c>
      <c r="J2072" s="14" t="n">
        <f aca="false">E2072-D2072</f>
        <v>1</v>
      </c>
      <c r="K2072" s="14" t="n">
        <f aca="false">IF(J2072&lt;=0,1,0)</f>
        <v>0</v>
      </c>
      <c r="L2072" s="15" t="n">
        <f aca="false">IFERROR(G2072/F2072,0)</f>
        <v>0.969121140142518</v>
      </c>
      <c r="M2072" s="15" t="n">
        <f aca="false">IFERROR((I2072-H2072)/H2072,0)</f>
        <v>0.0117450422369788</v>
      </c>
      <c r="N2072" s="16" t="n">
        <f aca="false">G2072*I2072</f>
        <v>182759.52</v>
      </c>
    </row>
    <row r="2073" customFormat="false" ht="15" hidden="false" customHeight="true" outlineLevel="0" collapsed="false">
      <c r="A2073" s="4" t="s">
        <v>2249</v>
      </c>
      <c r="B2073" s="4" t="s">
        <v>50</v>
      </c>
      <c r="C2073" s="13" t="n">
        <v>45262</v>
      </c>
      <c r="D2073" s="13" t="n">
        <v>45281</v>
      </c>
      <c r="E2073" s="13" t="n">
        <v>45280</v>
      </c>
      <c r="F2073" s="4" t="n">
        <v>353</v>
      </c>
      <c r="G2073" s="4" t="n">
        <v>350</v>
      </c>
      <c r="H2073" s="4" t="n">
        <v>707.19</v>
      </c>
      <c r="I2073" s="4" t="n">
        <v>740.14</v>
      </c>
      <c r="J2073" s="14" t="n">
        <f aca="false">E2073-D2073</f>
        <v>-1</v>
      </c>
      <c r="K2073" s="14" t="n">
        <f aca="false">IF(J2073&lt;=0,1,0)</f>
        <v>1</v>
      </c>
      <c r="L2073" s="15" t="n">
        <f aca="false">IFERROR(G2073/F2073,0)</f>
        <v>0.991501416430595</v>
      </c>
      <c r="M2073" s="15" t="n">
        <f aca="false">IFERROR((I2073-H2073)/H2073,0)</f>
        <v>0.0465928534057324</v>
      </c>
      <c r="N2073" s="16" t="n">
        <f aca="false">G2073*I2073</f>
        <v>259049</v>
      </c>
    </row>
    <row r="2074" customFormat="false" ht="15" hidden="false" customHeight="true" outlineLevel="0" collapsed="false">
      <c r="A2074" s="4" t="s">
        <v>2250</v>
      </c>
      <c r="B2074" s="4" t="s">
        <v>147</v>
      </c>
      <c r="C2074" s="13" t="n">
        <v>45025</v>
      </c>
      <c r="D2074" s="13" t="n">
        <v>45037</v>
      </c>
      <c r="E2074" s="13" t="n">
        <v>45042</v>
      </c>
      <c r="F2074" s="4" t="n">
        <v>258</v>
      </c>
      <c r="G2074" s="4" t="n">
        <v>258</v>
      </c>
      <c r="H2074" s="4" t="n">
        <v>203.3</v>
      </c>
      <c r="I2074" s="4" t="n">
        <v>206.48</v>
      </c>
      <c r="J2074" s="14" t="n">
        <f aca="false">E2074-D2074</f>
        <v>5</v>
      </c>
      <c r="K2074" s="14" t="n">
        <f aca="false">IF(J2074&lt;=0,1,0)</f>
        <v>0</v>
      </c>
      <c r="L2074" s="15" t="n">
        <f aca="false">IFERROR(G2074/F2074,0)</f>
        <v>1</v>
      </c>
      <c r="M2074" s="15" t="n">
        <f aca="false">IFERROR((I2074-H2074)/H2074,0)</f>
        <v>0.0156419085095916</v>
      </c>
      <c r="N2074" s="16" t="n">
        <f aca="false">G2074*I2074</f>
        <v>53271.84</v>
      </c>
    </row>
    <row r="2075" customFormat="false" ht="15" hidden="false" customHeight="true" outlineLevel="0" collapsed="false">
      <c r="A2075" s="4" t="s">
        <v>2251</v>
      </c>
      <c r="B2075" s="4" t="s">
        <v>43</v>
      </c>
      <c r="C2075" s="13" t="n">
        <v>45527</v>
      </c>
      <c r="D2075" s="13" t="n">
        <v>45545</v>
      </c>
      <c r="E2075" s="13" t="n">
        <v>45552</v>
      </c>
      <c r="F2075" s="4" t="n">
        <v>113</v>
      </c>
      <c r="G2075" s="4" t="n">
        <v>107</v>
      </c>
      <c r="H2075" s="4" t="n">
        <v>1321.6</v>
      </c>
      <c r="I2075" s="4" t="n">
        <v>1344.34</v>
      </c>
      <c r="J2075" s="14" t="n">
        <f aca="false">E2075-D2075</f>
        <v>7</v>
      </c>
      <c r="K2075" s="14" t="n">
        <f aca="false">IF(J2075&lt;=0,1,0)</f>
        <v>0</v>
      </c>
      <c r="L2075" s="15" t="n">
        <f aca="false">IFERROR(G2075/F2075,0)</f>
        <v>0.946902654867257</v>
      </c>
      <c r="M2075" s="15" t="n">
        <f aca="false">IFERROR((I2075-H2075)/H2075,0)</f>
        <v>0.017206416464891</v>
      </c>
      <c r="N2075" s="16" t="n">
        <f aca="false">G2075*I2075</f>
        <v>143844.38</v>
      </c>
    </row>
    <row r="2076" customFormat="false" ht="15" hidden="false" customHeight="true" outlineLevel="0" collapsed="false">
      <c r="A2076" s="4" t="s">
        <v>2252</v>
      </c>
      <c r="B2076" s="4" t="s">
        <v>117</v>
      </c>
      <c r="C2076" s="13" t="n">
        <v>45244</v>
      </c>
      <c r="D2076" s="13" t="n">
        <v>45255</v>
      </c>
      <c r="E2076" s="13" t="n">
        <v>45252</v>
      </c>
      <c r="F2076" s="4" t="n">
        <v>177</v>
      </c>
      <c r="G2076" s="4" t="n">
        <v>164</v>
      </c>
      <c r="H2076" s="4" t="n">
        <v>396.01</v>
      </c>
      <c r="I2076" s="4" t="n">
        <v>388.25</v>
      </c>
      <c r="J2076" s="14" t="n">
        <f aca="false">E2076-D2076</f>
        <v>-3</v>
      </c>
      <c r="K2076" s="14" t="n">
        <f aca="false">IF(J2076&lt;=0,1,0)</f>
        <v>1</v>
      </c>
      <c r="L2076" s="15" t="n">
        <f aca="false">IFERROR(G2076/F2076,0)</f>
        <v>0.926553672316384</v>
      </c>
      <c r="M2076" s="15" t="n">
        <f aca="false">IFERROR((I2076-H2076)/H2076,0)</f>
        <v>-0.0195954647609909</v>
      </c>
      <c r="N2076" s="16" t="n">
        <f aca="false">G2076*I2076</f>
        <v>63673</v>
      </c>
    </row>
    <row r="2077" customFormat="false" ht="15" hidden="false" customHeight="true" outlineLevel="0" collapsed="false">
      <c r="A2077" s="4" t="s">
        <v>2253</v>
      </c>
      <c r="B2077" s="4" t="s">
        <v>32</v>
      </c>
      <c r="C2077" s="13" t="n">
        <v>45088</v>
      </c>
      <c r="D2077" s="13" t="n">
        <v>45094</v>
      </c>
      <c r="E2077" s="13" t="n">
        <v>45091</v>
      </c>
      <c r="F2077" s="4" t="n">
        <v>1099</v>
      </c>
      <c r="G2077" s="4" t="n">
        <v>976</v>
      </c>
      <c r="H2077" s="4" t="n">
        <v>32.49</v>
      </c>
      <c r="I2077" s="4" t="n">
        <v>32.78</v>
      </c>
      <c r="J2077" s="14" t="n">
        <f aca="false">E2077-D2077</f>
        <v>-3</v>
      </c>
      <c r="K2077" s="14" t="n">
        <f aca="false">IF(J2077&lt;=0,1,0)</f>
        <v>1</v>
      </c>
      <c r="L2077" s="15" t="n">
        <f aca="false">IFERROR(G2077/F2077,0)</f>
        <v>0.888080072793449</v>
      </c>
      <c r="M2077" s="15" t="n">
        <f aca="false">IFERROR((I2077-H2077)/H2077,0)</f>
        <v>0.00892582333025544</v>
      </c>
      <c r="N2077" s="16" t="n">
        <f aca="false">G2077*I2077</f>
        <v>31993.28</v>
      </c>
    </row>
    <row r="2078" customFormat="false" ht="15" hidden="false" customHeight="true" outlineLevel="0" collapsed="false">
      <c r="A2078" s="4" t="s">
        <v>2254</v>
      </c>
      <c r="B2078" s="4" t="s">
        <v>117</v>
      </c>
      <c r="C2078" s="13" t="n">
        <v>45547</v>
      </c>
      <c r="D2078" s="13" t="n">
        <v>45560</v>
      </c>
      <c r="E2078" s="13" t="n">
        <v>45564</v>
      </c>
      <c r="F2078" s="4" t="n">
        <v>168</v>
      </c>
      <c r="G2078" s="4" t="n">
        <v>160</v>
      </c>
      <c r="H2078" s="4" t="n">
        <v>396.01</v>
      </c>
      <c r="I2078" s="4" t="n">
        <v>389.71</v>
      </c>
      <c r="J2078" s="14" t="n">
        <f aca="false">E2078-D2078</f>
        <v>4</v>
      </c>
      <c r="K2078" s="14" t="n">
        <f aca="false">IF(J2078&lt;=0,1,0)</f>
        <v>0</v>
      </c>
      <c r="L2078" s="15" t="n">
        <f aca="false">IFERROR(G2078/F2078,0)</f>
        <v>0.952380952380952</v>
      </c>
      <c r="M2078" s="15" t="n">
        <f aca="false">IFERROR((I2078-H2078)/H2078,0)</f>
        <v>-0.0159086891745158</v>
      </c>
      <c r="N2078" s="16" t="n">
        <f aca="false">G2078*I2078</f>
        <v>62353.6</v>
      </c>
    </row>
    <row r="2079" customFormat="false" ht="15" hidden="false" customHeight="true" outlineLevel="0" collapsed="false">
      <c r="A2079" s="4" t="s">
        <v>2255</v>
      </c>
      <c r="B2079" s="4" t="s">
        <v>131</v>
      </c>
      <c r="C2079" s="13" t="n">
        <v>45144</v>
      </c>
      <c r="D2079" s="13" t="n">
        <v>45156</v>
      </c>
      <c r="E2079" s="13" t="n">
        <v>45157</v>
      </c>
      <c r="F2079" s="4" t="n">
        <v>1780</v>
      </c>
      <c r="G2079" s="4" t="n">
        <v>1750</v>
      </c>
      <c r="H2079" s="4" t="n">
        <v>88.52</v>
      </c>
      <c r="I2079" s="4" t="n">
        <v>89.23</v>
      </c>
      <c r="J2079" s="14" t="n">
        <f aca="false">E2079-D2079</f>
        <v>1</v>
      </c>
      <c r="K2079" s="14" t="n">
        <f aca="false">IF(J2079&lt;=0,1,0)</f>
        <v>0</v>
      </c>
      <c r="L2079" s="15" t="n">
        <f aca="false">IFERROR(G2079/F2079,0)</f>
        <v>0.98314606741573</v>
      </c>
      <c r="M2079" s="15" t="n">
        <f aca="false">IFERROR((I2079-H2079)/H2079,0)</f>
        <v>0.0080207862629915</v>
      </c>
      <c r="N2079" s="16" t="n">
        <f aca="false">G2079*I2079</f>
        <v>156152.5</v>
      </c>
    </row>
    <row r="2080" customFormat="false" ht="15" hidden="false" customHeight="true" outlineLevel="0" collapsed="false">
      <c r="A2080" s="4" t="s">
        <v>2256</v>
      </c>
      <c r="B2080" s="4" t="s">
        <v>37</v>
      </c>
      <c r="C2080" s="13" t="n">
        <v>45027</v>
      </c>
      <c r="D2080" s="13" t="n">
        <v>45036</v>
      </c>
      <c r="E2080" s="13" t="n">
        <v>45036</v>
      </c>
      <c r="F2080" s="4" t="n">
        <v>3071</v>
      </c>
      <c r="G2080" s="4" t="n">
        <v>3015</v>
      </c>
      <c r="H2080" s="4" t="n">
        <v>22.26</v>
      </c>
      <c r="I2080" s="4" t="n">
        <v>22.39</v>
      </c>
      <c r="J2080" s="14" t="n">
        <f aca="false">E2080-D2080</f>
        <v>0</v>
      </c>
      <c r="K2080" s="14" t="n">
        <f aca="false">IF(J2080&lt;=0,1,0)</f>
        <v>1</v>
      </c>
      <c r="L2080" s="15" t="n">
        <f aca="false">IFERROR(G2080/F2080,0)</f>
        <v>0.981764897427548</v>
      </c>
      <c r="M2080" s="15" t="n">
        <f aca="false">IFERROR((I2080-H2080)/H2080,0)</f>
        <v>0.00584007187780768</v>
      </c>
      <c r="N2080" s="16" t="n">
        <f aca="false">G2080*I2080</f>
        <v>67505.85</v>
      </c>
    </row>
    <row r="2081" customFormat="false" ht="15" hidden="false" customHeight="true" outlineLevel="0" collapsed="false">
      <c r="A2081" s="4" t="s">
        <v>2257</v>
      </c>
      <c r="B2081" s="4" t="s">
        <v>145</v>
      </c>
      <c r="C2081" s="13" t="n">
        <v>45117</v>
      </c>
      <c r="D2081" s="13" t="n">
        <v>45127</v>
      </c>
      <c r="E2081" s="13" t="n">
        <v>45131</v>
      </c>
      <c r="F2081" s="4" t="n">
        <v>1395</v>
      </c>
      <c r="G2081" s="4" t="n">
        <v>1340</v>
      </c>
      <c r="H2081" s="4" t="n">
        <v>237.04</v>
      </c>
      <c r="I2081" s="4" t="n">
        <v>244.34</v>
      </c>
      <c r="J2081" s="14" t="n">
        <f aca="false">E2081-D2081</f>
        <v>4</v>
      </c>
      <c r="K2081" s="14" t="n">
        <f aca="false">IF(J2081&lt;=0,1,0)</f>
        <v>0</v>
      </c>
      <c r="L2081" s="15" t="n">
        <f aca="false">IFERROR(G2081/F2081,0)</f>
        <v>0.960573476702509</v>
      </c>
      <c r="M2081" s="15" t="n">
        <f aca="false">IFERROR((I2081-H2081)/H2081,0)</f>
        <v>0.0307964900438745</v>
      </c>
      <c r="N2081" s="16" t="n">
        <f aca="false">G2081*I2081</f>
        <v>327415.6</v>
      </c>
    </row>
    <row r="2082" customFormat="false" ht="15" hidden="false" customHeight="true" outlineLevel="0" collapsed="false">
      <c r="A2082" s="4" t="s">
        <v>2258</v>
      </c>
      <c r="B2082" s="4" t="s">
        <v>52</v>
      </c>
      <c r="C2082" s="13" t="n">
        <v>45495</v>
      </c>
      <c r="D2082" s="13" t="n">
        <v>45506</v>
      </c>
      <c r="E2082" s="13" t="n">
        <v>45515</v>
      </c>
      <c r="F2082" s="4" t="n">
        <v>1751</v>
      </c>
      <c r="G2082" s="4" t="n">
        <v>1537</v>
      </c>
      <c r="H2082" s="4" t="n">
        <v>170.24</v>
      </c>
      <c r="I2082" s="4" t="n">
        <v>175.02</v>
      </c>
      <c r="J2082" s="14" t="n">
        <f aca="false">E2082-D2082</f>
        <v>9</v>
      </c>
      <c r="K2082" s="14" t="n">
        <f aca="false">IF(J2082&lt;=0,1,0)</f>
        <v>0</v>
      </c>
      <c r="L2082" s="15" t="n">
        <f aca="false">IFERROR(G2082/F2082,0)</f>
        <v>0.877784123358081</v>
      </c>
      <c r="M2082" s="15" t="n">
        <f aca="false">IFERROR((I2082-H2082)/H2082,0)</f>
        <v>0.028078007518797</v>
      </c>
      <c r="N2082" s="16" t="n">
        <f aca="false">G2082*I2082</f>
        <v>269005.74</v>
      </c>
    </row>
    <row r="2083" customFormat="false" ht="15" hidden="false" customHeight="true" outlineLevel="0" collapsed="false">
      <c r="A2083" s="4" t="s">
        <v>2259</v>
      </c>
      <c r="B2083" s="4" t="s">
        <v>70</v>
      </c>
      <c r="C2083" s="13" t="n">
        <v>45602</v>
      </c>
      <c r="D2083" s="13" t="n">
        <v>45611</v>
      </c>
      <c r="E2083" s="13" t="n">
        <v>45614</v>
      </c>
      <c r="F2083" s="4" t="n">
        <v>2969</v>
      </c>
      <c r="G2083" s="4" t="n">
        <v>2802</v>
      </c>
      <c r="H2083" s="4" t="n">
        <v>35.88</v>
      </c>
      <c r="I2083" s="4" t="n">
        <v>38.13</v>
      </c>
      <c r="J2083" s="14" t="n">
        <f aca="false">E2083-D2083</f>
        <v>3</v>
      </c>
      <c r="K2083" s="14" t="n">
        <f aca="false">IF(J2083&lt;=0,1,0)</f>
        <v>0</v>
      </c>
      <c r="L2083" s="15" t="n">
        <f aca="false">IFERROR(G2083/F2083,0)</f>
        <v>0.943752105085888</v>
      </c>
      <c r="M2083" s="15" t="n">
        <f aca="false">IFERROR((I2083-H2083)/H2083,0)</f>
        <v>0.0627090301003345</v>
      </c>
      <c r="N2083" s="16" t="n">
        <f aca="false">G2083*I2083</f>
        <v>106840.26</v>
      </c>
    </row>
    <row r="2084" customFormat="false" ht="15" hidden="false" customHeight="true" outlineLevel="0" collapsed="false">
      <c r="A2084" s="4" t="s">
        <v>2260</v>
      </c>
      <c r="B2084" s="4" t="s">
        <v>37</v>
      </c>
      <c r="C2084" s="13" t="n">
        <v>45404</v>
      </c>
      <c r="D2084" s="13" t="n">
        <v>45411</v>
      </c>
      <c r="E2084" s="13" t="n">
        <v>45413</v>
      </c>
      <c r="F2084" s="4" t="n">
        <v>2726</v>
      </c>
      <c r="G2084" s="4" t="n">
        <v>2661</v>
      </c>
      <c r="H2084" s="4" t="n">
        <v>22.26</v>
      </c>
      <c r="I2084" s="4" t="n">
        <v>21.57</v>
      </c>
      <c r="J2084" s="14" t="n">
        <f aca="false">E2084-D2084</f>
        <v>2</v>
      </c>
      <c r="K2084" s="14" t="n">
        <f aca="false">IF(J2084&lt;=0,1,0)</f>
        <v>0</v>
      </c>
      <c r="L2084" s="15" t="n">
        <f aca="false">IFERROR(G2084/F2084,0)</f>
        <v>0.976155539251651</v>
      </c>
      <c r="M2084" s="15" t="n">
        <f aca="false">IFERROR((I2084-H2084)/H2084,0)</f>
        <v>-0.0309973045822103</v>
      </c>
      <c r="N2084" s="16" t="n">
        <f aca="false">G2084*I2084</f>
        <v>57397.77</v>
      </c>
    </row>
    <row r="2085" customFormat="false" ht="15" hidden="false" customHeight="true" outlineLevel="0" collapsed="false">
      <c r="A2085" s="4" t="s">
        <v>2261</v>
      </c>
      <c r="B2085" s="4" t="s">
        <v>161</v>
      </c>
      <c r="C2085" s="13" t="n">
        <v>45329</v>
      </c>
      <c r="D2085" s="13" t="n">
        <v>45338</v>
      </c>
      <c r="E2085" s="13" t="n">
        <v>45338</v>
      </c>
      <c r="F2085" s="4" t="n">
        <v>1857</v>
      </c>
      <c r="G2085" s="4" t="n">
        <v>1817</v>
      </c>
      <c r="H2085" s="4" t="n">
        <v>101.94</v>
      </c>
      <c r="I2085" s="4" t="n">
        <v>111.71</v>
      </c>
      <c r="J2085" s="14" t="n">
        <f aca="false">E2085-D2085</f>
        <v>0</v>
      </c>
      <c r="K2085" s="14" t="n">
        <f aca="false">IF(J2085&lt;=0,1,0)</f>
        <v>1</v>
      </c>
      <c r="L2085" s="15" t="n">
        <f aca="false">IFERROR(G2085/F2085,0)</f>
        <v>0.978459881529348</v>
      </c>
      <c r="M2085" s="15" t="n">
        <f aca="false">IFERROR((I2085-H2085)/H2085,0)</f>
        <v>0.0958406906023151</v>
      </c>
      <c r="N2085" s="16" t="n">
        <f aca="false">G2085*I2085</f>
        <v>202977.07</v>
      </c>
    </row>
    <row r="2086" customFormat="false" ht="15" hidden="false" customHeight="true" outlineLevel="0" collapsed="false">
      <c r="A2086" s="4" t="s">
        <v>2262</v>
      </c>
      <c r="B2086" s="4" t="s">
        <v>145</v>
      </c>
      <c r="C2086" s="13" t="n">
        <v>45537</v>
      </c>
      <c r="D2086" s="13" t="n">
        <v>45549</v>
      </c>
      <c r="E2086" s="13" t="n">
        <v>45556</v>
      </c>
      <c r="F2086" s="4" t="n">
        <v>1513</v>
      </c>
      <c r="G2086" s="4" t="n">
        <v>1431</v>
      </c>
      <c r="H2086" s="4" t="n">
        <v>237.04</v>
      </c>
      <c r="I2086" s="4" t="n">
        <v>266.29</v>
      </c>
      <c r="J2086" s="14" t="n">
        <f aca="false">E2086-D2086</f>
        <v>7</v>
      </c>
      <c r="K2086" s="14" t="n">
        <f aca="false">IF(J2086&lt;=0,1,0)</f>
        <v>0</v>
      </c>
      <c r="L2086" s="15" t="n">
        <f aca="false">IFERROR(G2086/F2086,0)</f>
        <v>0.945803040317251</v>
      </c>
      <c r="M2086" s="15" t="n">
        <f aca="false">IFERROR((I2086-H2086)/H2086,0)</f>
        <v>0.123396895038812</v>
      </c>
      <c r="N2086" s="16" t="n">
        <f aca="false">G2086*I2086</f>
        <v>381060.99</v>
      </c>
    </row>
    <row r="2087" customFormat="false" ht="15" hidden="false" customHeight="true" outlineLevel="0" collapsed="false">
      <c r="A2087" s="4" t="s">
        <v>2263</v>
      </c>
      <c r="B2087" s="4" t="s">
        <v>111</v>
      </c>
      <c r="C2087" s="13" t="n">
        <v>45471</v>
      </c>
      <c r="D2087" s="13" t="n">
        <v>45482</v>
      </c>
      <c r="E2087" s="13" t="n">
        <v>45489</v>
      </c>
      <c r="F2087" s="4" t="n">
        <v>488</v>
      </c>
      <c r="G2087" s="4" t="n">
        <v>484</v>
      </c>
      <c r="H2087" s="4" t="n">
        <v>148.08</v>
      </c>
      <c r="I2087" s="4" t="n">
        <v>147.13</v>
      </c>
      <c r="J2087" s="14" t="n">
        <f aca="false">E2087-D2087</f>
        <v>7</v>
      </c>
      <c r="K2087" s="14" t="n">
        <f aca="false">IF(J2087&lt;=0,1,0)</f>
        <v>0</v>
      </c>
      <c r="L2087" s="15" t="n">
        <f aca="false">IFERROR(G2087/F2087,0)</f>
        <v>0.991803278688525</v>
      </c>
      <c r="M2087" s="15" t="n">
        <f aca="false">IFERROR((I2087-H2087)/H2087,0)</f>
        <v>-0.00641545110750957</v>
      </c>
      <c r="N2087" s="16" t="n">
        <f aca="false">G2087*I2087</f>
        <v>71210.92</v>
      </c>
    </row>
    <row r="2088" customFormat="false" ht="15" hidden="false" customHeight="true" outlineLevel="0" collapsed="false">
      <c r="A2088" s="4" t="s">
        <v>2264</v>
      </c>
      <c r="B2088" s="4" t="s">
        <v>147</v>
      </c>
      <c r="C2088" s="13" t="n">
        <v>45260</v>
      </c>
      <c r="D2088" s="13" t="n">
        <v>45272</v>
      </c>
      <c r="E2088" s="13" t="n">
        <v>45274</v>
      </c>
      <c r="F2088" s="4" t="n">
        <v>183</v>
      </c>
      <c r="G2088" s="4" t="n">
        <v>177</v>
      </c>
      <c r="H2088" s="4" t="n">
        <v>203.3</v>
      </c>
      <c r="I2088" s="4" t="n">
        <v>209.09</v>
      </c>
      <c r="J2088" s="14" t="n">
        <f aca="false">E2088-D2088</f>
        <v>2</v>
      </c>
      <c r="K2088" s="14" t="n">
        <f aca="false">IF(J2088&lt;=0,1,0)</f>
        <v>0</v>
      </c>
      <c r="L2088" s="15" t="n">
        <f aca="false">IFERROR(G2088/F2088,0)</f>
        <v>0.967213114754098</v>
      </c>
      <c r="M2088" s="15" t="n">
        <f aca="false">IFERROR((I2088-H2088)/H2088,0)</f>
        <v>0.0284800787014264</v>
      </c>
      <c r="N2088" s="16" t="n">
        <f aca="false">G2088*I2088</f>
        <v>37008.93</v>
      </c>
    </row>
    <row r="2089" customFormat="false" ht="15" hidden="false" customHeight="true" outlineLevel="0" collapsed="false">
      <c r="A2089" s="4" t="s">
        <v>2265</v>
      </c>
      <c r="B2089" s="4" t="s">
        <v>143</v>
      </c>
      <c r="C2089" s="13" t="n">
        <v>45276</v>
      </c>
      <c r="D2089" s="13" t="n">
        <v>45285</v>
      </c>
      <c r="E2089" s="13" t="n">
        <v>45303</v>
      </c>
      <c r="F2089" s="4" t="n">
        <v>4060</v>
      </c>
      <c r="G2089" s="4" t="n">
        <v>3819</v>
      </c>
      <c r="H2089" s="4" t="n">
        <v>20.6</v>
      </c>
      <c r="I2089" s="4" t="n">
        <v>21.47</v>
      </c>
      <c r="J2089" s="14" t="n">
        <f aca="false">E2089-D2089</f>
        <v>18</v>
      </c>
      <c r="K2089" s="14" t="n">
        <f aca="false">IF(J2089&lt;=0,1,0)</f>
        <v>0</v>
      </c>
      <c r="L2089" s="15" t="n">
        <f aca="false">IFERROR(G2089/F2089,0)</f>
        <v>0.94064039408867</v>
      </c>
      <c r="M2089" s="15" t="n">
        <f aca="false">IFERROR((I2089-H2089)/H2089,0)</f>
        <v>0.0422330097087377</v>
      </c>
      <c r="N2089" s="16" t="n">
        <f aca="false">G2089*I2089</f>
        <v>81993.93</v>
      </c>
    </row>
    <row r="2090" customFormat="false" ht="15" hidden="false" customHeight="true" outlineLevel="0" collapsed="false">
      <c r="A2090" s="4" t="s">
        <v>2266</v>
      </c>
      <c r="B2090" s="4" t="s">
        <v>83</v>
      </c>
      <c r="C2090" s="13" t="n">
        <v>45453</v>
      </c>
      <c r="D2090" s="13" t="n">
        <v>45463</v>
      </c>
      <c r="E2090" s="13" t="n">
        <v>45468</v>
      </c>
      <c r="F2090" s="4" t="n">
        <v>858</v>
      </c>
      <c r="G2090" s="4" t="n">
        <v>832</v>
      </c>
      <c r="H2090" s="4" t="n">
        <v>101.36</v>
      </c>
      <c r="I2090" s="4" t="n">
        <v>105.26</v>
      </c>
      <c r="J2090" s="14" t="n">
        <f aca="false">E2090-D2090</f>
        <v>5</v>
      </c>
      <c r="K2090" s="14" t="n">
        <f aca="false">IF(J2090&lt;=0,1,0)</f>
        <v>0</v>
      </c>
      <c r="L2090" s="15" t="n">
        <f aca="false">IFERROR(G2090/F2090,0)</f>
        <v>0.96969696969697</v>
      </c>
      <c r="M2090" s="15" t="n">
        <f aca="false">IFERROR((I2090-H2090)/H2090,0)</f>
        <v>0.0384767166535123</v>
      </c>
      <c r="N2090" s="16" t="n">
        <f aca="false">G2090*I2090</f>
        <v>87576.32</v>
      </c>
    </row>
    <row r="2091" customFormat="false" ht="15" hidden="false" customHeight="true" outlineLevel="0" collapsed="false">
      <c r="A2091" s="4" t="s">
        <v>2267</v>
      </c>
      <c r="B2091" s="4" t="s">
        <v>131</v>
      </c>
      <c r="C2091" s="13" t="n">
        <v>45504</v>
      </c>
      <c r="D2091" s="13" t="n">
        <v>45515</v>
      </c>
      <c r="E2091" s="13" t="n">
        <v>45520</v>
      </c>
      <c r="F2091" s="4" t="n">
        <v>398</v>
      </c>
      <c r="G2091" s="4" t="n">
        <v>392</v>
      </c>
      <c r="H2091" s="4" t="n">
        <v>88.52</v>
      </c>
      <c r="I2091" s="4" t="n">
        <v>89.21</v>
      </c>
      <c r="J2091" s="14" t="n">
        <f aca="false">E2091-D2091</f>
        <v>5</v>
      </c>
      <c r="K2091" s="14" t="n">
        <f aca="false">IF(J2091&lt;=0,1,0)</f>
        <v>0</v>
      </c>
      <c r="L2091" s="15" t="n">
        <f aca="false">IFERROR(G2091/F2091,0)</f>
        <v>0.984924623115578</v>
      </c>
      <c r="M2091" s="15" t="n">
        <f aca="false">IFERROR((I2091-H2091)/H2091,0)</f>
        <v>0.00779484862178036</v>
      </c>
      <c r="N2091" s="16" t="n">
        <f aca="false">G2091*I2091</f>
        <v>34970.32</v>
      </c>
    </row>
    <row r="2092" customFormat="false" ht="15" hidden="false" customHeight="true" outlineLevel="0" collapsed="false">
      <c r="A2092" s="4" t="s">
        <v>2268</v>
      </c>
      <c r="B2092" s="4" t="s">
        <v>105</v>
      </c>
      <c r="C2092" s="13" t="n">
        <v>45085</v>
      </c>
      <c r="D2092" s="13" t="n">
        <v>45104</v>
      </c>
      <c r="E2092" s="13" t="n">
        <v>45106</v>
      </c>
      <c r="F2092" s="4" t="n">
        <v>250</v>
      </c>
      <c r="G2092" s="4" t="n">
        <v>243</v>
      </c>
      <c r="H2092" s="4" t="n">
        <v>685.84</v>
      </c>
      <c r="I2092" s="4" t="n">
        <v>708.29</v>
      </c>
      <c r="J2092" s="14" t="n">
        <f aca="false">E2092-D2092</f>
        <v>2</v>
      </c>
      <c r="K2092" s="14" t="n">
        <f aca="false">IF(J2092&lt;=0,1,0)</f>
        <v>0</v>
      </c>
      <c r="L2092" s="15" t="n">
        <f aca="false">IFERROR(G2092/F2092,0)</f>
        <v>0.972</v>
      </c>
      <c r="M2092" s="15" t="n">
        <f aca="false">IFERROR((I2092-H2092)/H2092,0)</f>
        <v>0.0327335821766009</v>
      </c>
      <c r="N2092" s="16" t="n">
        <f aca="false">G2092*I2092</f>
        <v>172114.47</v>
      </c>
    </row>
    <row r="2093" customFormat="false" ht="15" hidden="false" customHeight="true" outlineLevel="0" collapsed="false">
      <c r="A2093" s="4" t="s">
        <v>2269</v>
      </c>
      <c r="B2093" s="4" t="s">
        <v>143</v>
      </c>
      <c r="C2093" s="13" t="n">
        <v>45321</v>
      </c>
      <c r="D2093" s="13" t="n">
        <v>45329</v>
      </c>
      <c r="E2093" s="13" t="n">
        <v>45346</v>
      </c>
      <c r="F2093" s="4" t="n">
        <v>2878</v>
      </c>
      <c r="G2093" s="4" t="n">
        <v>2695</v>
      </c>
      <c r="H2093" s="4" t="n">
        <v>20.6</v>
      </c>
      <c r="I2093" s="4" t="n">
        <v>21.25</v>
      </c>
      <c r="J2093" s="14" t="n">
        <f aca="false">E2093-D2093</f>
        <v>17</v>
      </c>
      <c r="K2093" s="14" t="n">
        <f aca="false">IF(J2093&lt;=0,1,0)</f>
        <v>0</v>
      </c>
      <c r="L2093" s="15" t="n">
        <f aca="false">IFERROR(G2093/F2093,0)</f>
        <v>0.936414176511466</v>
      </c>
      <c r="M2093" s="15" t="n">
        <f aca="false">IFERROR((I2093-H2093)/H2093,0)</f>
        <v>0.0315533980582524</v>
      </c>
      <c r="N2093" s="16" t="n">
        <f aca="false">G2093*I2093</f>
        <v>57268.75</v>
      </c>
    </row>
    <row r="2094" customFormat="false" ht="15" hidden="false" customHeight="true" outlineLevel="0" collapsed="false">
      <c r="A2094" s="4" t="s">
        <v>2270</v>
      </c>
      <c r="B2094" s="4" t="s">
        <v>145</v>
      </c>
      <c r="C2094" s="13" t="n">
        <v>44983</v>
      </c>
      <c r="D2094" s="13" t="n">
        <v>44993</v>
      </c>
      <c r="E2094" s="13" t="n">
        <v>44996</v>
      </c>
      <c r="F2094" s="4" t="n">
        <v>1062</v>
      </c>
      <c r="G2094" s="4" t="n">
        <v>989</v>
      </c>
      <c r="H2094" s="4" t="n">
        <v>237.04</v>
      </c>
      <c r="I2094" s="4" t="n">
        <v>241.43</v>
      </c>
      <c r="J2094" s="14" t="n">
        <f aca="false">E2094-D2094</f>
        <v>3</v>
      </c>
      <c r="K2094" s="14" t="n">
        <f aca="false">IF(J2094&lt;=0,1,0)</f>
        <v>0</v>
      </c>
      <c r="L2094" s="15" t="n">
        <f aca="false">IFERROR(G2094/F2094,0)</f>
        <v>0.931261770244821</v>
      </c>
      <c r="M2094" s="15" t="n">
        <f aca="false">IFERROR((I2094-H2094)/H2094,0)</f>
        <v>0.0185200809989876</v>
      </c>
      <c r="N2094" s="16" t="n">
        <f aca="false">G2094*I2094</f>
        <v>238774.27</v>
      </c>
    </row>
    <row r="2095" customFormat="false" ht="15" hidden="false" customHeight="true" outlineLevel="0" collapsed="false">
      <c r="A2095" s="4" t="s">
        <v>2271</v>
      </c>
      <c r="B2095" s="4" t="s">
        <v>55</v>
      </c>
      <c r="C2095" s="13" t="n">
        <v>45450</v>
      </c>
      <c r="D2095" s="13" t="n">
        <v>45468</v>
      </c>
      <c r="E2095" s="13" t="n">
        <v>45468</v>
      </c>
      <c r="F2095" s="4" t="n">
        <v>374</v>
      </c>
      <c r="G2095" s="4" t="n">
        <v>347</v>
      </c>
      <c r="H2095" s="4" t="n">
        <v>598.09</v>
      </c>
      <c r="I2095" s="4" t="n">
        <v>568.14</v>
      </c>
      <c r="J2095" s="14" t="n">
        <f aca="false">E2095-D2095</f>
        <v>0</v>
      </c>
      <c r="K2095" s="14" t="n">
        <f aca="false">IF(J2095&lt;=0,1,0)</f>
        <v>1</v>
      </c>
      <c r="L2095" s="15" t="n">
        <f aca="false">IFERROR(G2095/F2095,0)</f>
        <v>0.927807486631016</v>
      </c>
      <c r="M2095" s="15" t="n">
        <f aca="false">IFERROR((I2095-H2095)/H2095,0)</f>
        <v>-0.0500760755070308</v>
      </c>
      <c r="N2095" s="16" t="n">
        <f aca="false">G2095*I2095</f>
        <v>197144.58</v>
      </c>
    </row>
    <row r="2096" customFormat="false" ht="15" hidden="false" customHeight="true" outlineLevel="0" collapsed="false">
      <c r="A2096" s="4" t="s">
        <v>2272</v>
      </c>
      <c r="B2096" s="4" t="s">
        <v>37</v>
      </c>
      <c r="C2096" s="13" t="n">
        <v>45006</v>
      </c>
      <c r="D2096" s="13" t="n">
        <v>45013</v>
      </c>
      <c r="E2096" s="13" t="n">
        <v>45020</v>
      </c>
      <c r="F2096" s="4" t="n">
        <v>805</v>
      </c>
      <c r="G2096" s="4" t="n">
        <v>752</v>
      </c>
      <c r="H2096" s="4" t="n">
        <v>22.26</v>
      </c>
      <c r="I2096" s="4" t="n">
        <v>22.23</v>
      </c>
      <c r="J2096" s="14" t="n">
        <f aca="false">E2096-D2096</f>
        <v>7</v>
      </c>
      <c r="K2096" s="14" t="n">
        <f aca="false">IF(J2096&lt;=0,1,0)</f>
        <v>0</v>
      </c>
      <c r="L2096" s="15" t="n">
        <f aca="false">IFERROR(G2096/F2096,0)</f>
        <v>0.93416149068323</v>
      </c>
      <c r="M2096" s="15" t="n">
        <f aca="false">IFERROR((I2096-H2096)/H2096,0)</f>
        <v>-0.00134770889487876</v>
      </c>
      <c r="N2096" s="16" t="n">
        <f aca="false">G2096*I2096</f>
        <v>16716.96</v>
      </c>
    </row>
    <row r="2097" customFormat="false" ht="15" hidden="false" customHeight="true" outlineLevel="0" collapsed="false">
      <c r="A2097" s="4" t="s">
        <v>2273</v>
      </c>
      <c r="B2097" s="4" t="s">
        <v>133</v>
      </c>
      <c r="C2097" s="13" t="n">
        <v>45327</v>
      </c>
      <c r="D2097" s="13" t="n">
        <v>45336</v>
      </c>
      <c r="E2097" s="13" t="n">
        <v>45340</v>
      </c>
      <c r="F2097" s="4" t="n">
        <v>1346</v>
      </c>
      <c r="G2097" s="4" t="n">
        <v>1277</v>
      </c>
      <c r="H2097" s="4" t="n">
        <v>138.21</v>
      </c>
      <c r="I2097" s="4" t="n">
        <v>140.86</v>
      </c>
      <c r="J2097" s="14" t="n">
        <f aca="false">E2097-D2097</f>
        <v>4</v>
      </c>
      <c r="K2097" s="14" t="n">
        <f aca="false">IF(J2097&lt;=0,1,0)</f>
        <v>0</v>
      </c>
      <c r="L2097" s="15" t="n">
        <f aca="false">IFERROR(G2097/F2097,0)</f>
        <v>0.948736998514116</v>
      </c>
      <c r="M2097" s="15" t="n">
        <f aca="false">IFERROR((I2097-H2097)/H2097,0)</f>
        <v>0.0191737211489762</v>
      </c>
      <c r="N2097" s="16" t="n">
        <f aca="false">G2097*I2097</f>
        <v>179878.22</v>
      </c>
    </row>
    <row r="2098" customFormat="false" ht="15" hidden="false" customHeight="true" outlineLevel="0" collapsed="false">
      <c r="A2098" s="4" t="s">
        <v>2274</v>
      </c>
      <c r="B2098" s="4" t="s">
        <v>43</v>
      </c>
      <c r="C2098" s="13" t="n">
        <v>45539</v>
      </c>
      <c r="D2098" s="13" t="n">
        <v>45559</v>
      </c>
      <c r="E2098" s="13" t="n">
        <v>45557</v>
      </c>
      <c r="F2098" s="4" t="n">
        <v>235</v>
      </c>
      <c r="G2098" s="4" t="n">
        <v>226</v>
      </c>
      <c r="H2098" s="4" t="n">
        <v>1321.6</v>
      </c>
      <c r="I2098" s="4" t="n">
        <v>1335.91</v>
      </c>
      <c r="J2098" s="14" t="n">
        <f aca="false">E2098-D2098</f>
        <v>-2</v>
      </c>
      <c r="K2098" s="14" t="n">
        <f aca="false">IF(J2098&lt;=0,1,0)</f>
        <v>1</v>
      </c>
      <c r="L2098" s="15" t="n">
        <f aca="false">IFERROR(G2098/F2098,0)</f>
        <v>0.961702127659574</v>
      </c>
      <c r="M2098" s="15" t="n">
        <f aca="false">IFERROR((I2098-H2098)/H2098,0)</f>
        <v>0.0108277845036321</v>
      </c>
      <c r="N2098" s="16" t="n">
        <f aca="false">G2098*I2098</f>
        <v>301915.66</v>
      </c>
    </row>
    <row r="2099" customFormat="false" ht="15" hidden="false" customHeight="true" outlineLevel="0" collapsed="false">
      <c r="A2099" s="4" t="s">
        <v>2275</v>
      </c>
      <c r="B2099" s="4" t="s">
        <v>157</v>
      </c>
      <c r="C2099" s="13" t="n">
        <v>45581</v>
      </c>
      <c r="D2099" s="13" t="n">
        <v>45590</v>
      </c>
      <c r="E2099" s="13" t="n">
        <v>45598</v>
      </c>
      <c r="F2099" s="4" t="n">
        <v>4077</v>
      </c>
      <c r="G2099" s="4" t="n">
        <v>3755</v>
      </c>
      <c r="H2099" s="4" t="n">
        <v>13.1</v>
      </c>
      <c r="I2099" s="4" t="n">
        <v>13.52</v>
      </c>
      <c r="J2099" s="14" t="n">
        <f aca="false">E2099-D2099</f>
        <v>8</v>
      </c>
      <c r="K2099" s="14" t="n">
        <f aca="false">IF(J2099&lt;=0,1,0)</f>
        <v>0</v>
      </c>
      <c r="L2099" s="15" t="n">
        <f aca="false">IFERROR(G2099/F2099,0)</f>
        <v>0.921020358106451</v>
      </c>
      <c r="M2099" s="15" t="n">
        <f aca="false">IFERROR((I2099-H2099)/H2099,0)</f>
        <v>0.0320610687022901</v>
      </c>
      <c r="N2099" s="16" t="n">
        <f aca="false">G2099*I2099</f>
        <v>50767.6</v>
      </c>
    </row>
    <row r="2100" customFormat="false" ht="15" hidden="false" customHeight="true" outlineLevel="0" collapsed="false">
      <c r="A2100" s="4" t="s">
        <v>2276</v>
      </c>
      <c r="B2100" s="4" t="s">
        <v>161</v>
      </c>
      <c r="C2100" s="13" t="n">
        <v>45637</v>
      </c>
      <c r="D2100" s="13" t="n">
        <v>45648</v>
      </c>
      <c r="E2100" s="13" t="n">
        <v>45652</v>
      </c>
      <c r="F2100" s="4" t="n">
        <v>1543</v>
      </c>
      <c r="G2100" s="4" t="n">
        <v>1497</v>
      </c>
      <c r="H2100" s="4" t="n">
        <v>101.94</v>
      </c>
      <c r="I2100" s="4" t="n">
        <v>116.42</v>
      </c>
      <c r="J2100" s="14" t="n">
        <f aca="false">E2100-D2100</f>
        <v>4</v>
      </c>
      <c r="K2100" s="14" t="n">
        <f aca="false">IF(J2100&lt;=0,1,0)</f>
        <v>0</v>
      </c>
      <c r="L2100" s="15" t="n">
        <f aca="false">IFERROR(G2100/F2100,0)</f>
        <v>0.970187945560596</v>
      </c>
      <c r="M2100" s="15" t="n">
        <f aca="false">IFERROR((I2100-H2100)/H2100,0)</f>
        <v>0.14204433980773</v>
      </c>
      <c r="N2100" s="16" t="n">
        <f aca="false">G2100*I2100</f>
        <v>174280.74</v>
      </c>
    </row>
    <row r="2101" customFormat="false" ht="15" hidden="false" customHeight="true" outlineLevel="0" collapsed="false">
      <c r="A2101" s="4" t="s">
        <v>2277</v>
      </c>
      <c r="B2101" s="4" t="s">
        <v>58</v>
      </c>
      <c r="C2101" s="13" t="n">
        <v>45054</v>
      </c>
      <c r="D2101" s="13" t="n">
        <v>45065</v>
      </c>
      <c r="E2101" s="13" t="n">
        <v>45063</v>
      </c>
      <c r="F2101" s="4" t="n">
        <v>49</v>
      </c>
      <c r="G2101" s="4" t="n">
        <v>49</v>
      </c>
      <c r="H2101" s="4" t="n">
        <v>135.68</v>
      </c>
      <c r="I2101" s="4" t="n">
        <v>136.31</v>
      </c>
      <c r="J2101" s="14" t="n">
        <f aca="false">E2101-D2101</f>
        <v>-2</v>
      </c>
      <c r="K2101" s="14" t="n">
        <f aca="false">IF(J2101&lt;=0,1,0)</f>
        <v>1</v>
      </c>
      <c r="L2101" s="15" t="n">
        <f aca="false">IFERROR(G2101/F2101,0)</f>
        <v>1</v>
      </c>
      <c r="M2101" s="15" t="n">
        <f aca="false">IFERROR((I2101-H2101)/H2101,0)</f>
        <v>0.00464327830188676</v>
      </c>
      <c r="N2101" s="16" t="n">
        <f aca="false">G2101*I2101</f>
        <v>6679.19</v>
      </c>
    </row>
    <row r="2102" customFormat="false" ht="15" hidden="false" customHeight="true" outlineLevel="0" collapsed="false">
      <c r="A2102" s="4" t="s">
        <v>2278</v>
      </c>
      <c r="B2102" s="4" t="s">
        <v>77</v>
      </c>
      <c r="C2102" s="13" t="n">
        <v>44973</v>
      </c>
      <c r="D2102" s="13" t="n">
        <v>44980</v>
      </c>
      <c r="E2102" s="13" t="n">
        <v>44992</v>
      </c>
      <c r="F2102" s="4" t="n">
        <v>4142</v>
      </c>
      <c r="G2102" s="4" t="n">
        <v>4142</v>
      </c>
      <c r="H2102" s="4" t="n">
        <v>36.83</v>
      </c>
      <c r="I2102" s="4" t="n">
        <v>36.53</v>
      </c>
      <c r="J2102" s="14" t="n">
        <f aca="false">E2102-D2102</f>
        <v>12</v>
      </c>
      <c r="K2102" s="14" t="n">
        <f aca="false">IF(J2102&lt;=0,1,0)</f>
        <v>0</v>
      </c>
      <c r="L2102" s="15" t="n">
        <f aca="false">IFERROR(G2102/F2102,0)</f>
        <v>1</v>
      </c>
      <c r="M2102" s="15" t="n">
        <f aca="false">IFERROR((I2102-H2102)/H2102,0)</f>
        <v>-0.0081455335324463</v>
      </c>
      <c r="N2102" s="16" t="n">
        <f aca="false">G2102*I2102</f>
        <v>151307.26</v>
      </c>
    </row>
    <row r="2103" customFormat="false" ht="15" hidden="false" customHeight="true" outlineLevel="0" collapsed="false">
      <c r="A2103" s="4" t="s">
        <v>2279</v>
      </c>
      <c r="B2103" s="4" t="s">
        <v>105</v>
      </c>
      <c r="C2103" s="13" t="n">
        <v>45033</v>
      </c>
      <c r="D2103" s="13" t="n">
        <v>45051</v>
      </c>
      <c r="E2103" s="13" t="n">
        <v>45052</v>
      </c>
      <c r="F2103" s="4" t="n">
        <v>207</v>
      </c>
      <c r="G2103" s="4" t="n">
        <v>192</v>
      </c>
      <c r="H2103" s="4" t="n">
        <v>685.84</v>
      </c>
      <c r="I2103" s="4" t="n">
        <v>696.07</v>
      </c>
      <c r="J2103" s="14" t="n">
        <f aca="false">E2103-D2103</f>
        <v>1</v>
      </c>
      <c r="K2103" s="14" t="n">
        <f aca="false">IF(J2103&lt;=0,1,0)</f>
        <v>0</v>
      </c>
      <c r="L2103" s="15" t="n">
        <f aca="false">IFERROR(G2103/F2103,0)</f>
        <v>0.927536231884058</v>
      </c>
      <c r="M2103" s="15" t="n">
        <f aca="false">IFERROR((I2103-H2103)/H2103,0)</f>
        <v>0.0149160153971772</v>
      </c>
      <c r="N2103" s="16" t="n">
        <f aca="false">G2103*I2103</f>
        <v>133645.44</v>
      </c>
    </row>
    <row r="2104" customFormat="false" ht="15" hidden="false" customHeight="true" outlineLevel="0" collapsed="false">
      <c r="A2104" s="4" t="s">
        <v>2280</v>
      </c>
      <c r="B2104" s="4" t="s">
        <v>61</v>
      </c>
      <c r="C2104" s="13" t="n">
        <v>45599</v>
      </c>
      <c r="D2104" s="13" t="n">
        <v>45611</v>
      </c>
      <c r="E2104" s="13" t="n">
        <v>45626</v>
      </c>
      <c r="F2104" s="4" t="n">
        <v>1724</v>
      </c>
      <c r="G2104" s="4" t="n">
        <v>1668</v>
      </c>
      <c r="H2104" s="4" t="n">
        <v>107.41</v>
      </c>
      <c r="I2104" s="4" t="n">
        <v>106.75</v>
      </c>
      <c r="J2104" s="14" t="n">
        <f aca="false">E2104-D2104</f>
        <v>15</v>
      </c>
      <c r="K2104" s="14" t="n">
        <f aca="false">IF(J2104&lt;=0,1,0)</f>
        <v>0</v>
      </c>
      <c r="L2104" s="15" t="n">
        <f aca="false">IFERROR(G2104/F2104,0)</f>
        <v>0.967517401392111</v>
      </c>
      <c r="M2104" s="15" t="n">
        <f aca="false">IFERROR((I2104-H2104)/H2104,0)</f>
        <v>-0.0061446792663625</v>
      </c>
      <c r="N2104" s="16" t="n">
        <f aca="false">G2104*I2104</f>
        <v>178059</v>
      </c>
    </row>
    <row r="2105" customFormat="false" ht="15" hidden="false" customHeight="true" outlineLevel="0" collapsed="false">
      <c r="A2105" s="4" t="s">
        <v>2281</v>
      </c>
      <c r="B2105" s="4" t="s">
        <v>32</v>
      </c>
      <c r="C2105" s="13" t="n">
        <v>45364</v>
      </c>
      <c r="D2105" s="13" t="n">
        <v>45372</v>
      </c>
      <c r="E2105" s="13" t="n">
        <v>45371</v>
      </c>
      <c r="F2105" s="4" t="n">
        <v>2419</v>
      </c>
      <c r="G2105" s="4" t="n">
        <v>2175</v>
      </c>
      <c r="H2105" s="4" t="n">
        <v>32.49</v>
      </c>
      <c r="I2105" s="4" t="n">
        <v>32.25</v>
      </c>
      <c r="J2105" s="14" t="n">
        <f aca="false">E2105-D2105</f>
        <v>-1</v>
      </c>
      <c r="K2105" s="14" t="n">
        <f aca="false">IF(J2105&lt;=0,1,0)</f>
        <v>1</v>
      </c>
      <c r="L2105" s="15" t="n">
        <f aca="false">IFERROR(G2105/F2105,0)</f>
        <v>0.899131872674659</v>
      </c>
      <c r="M2105" s="15" t="n">
        <f aca="false">IFERROR((I2105-H2105)/H2105,0)</f>
        <v>-0.00738688827331493</v>
      </c>
      <c r="N2105" s="16" t="n">
        <f aca="false">G2105*I2105</f>
        <v>70143.75</v>
      </c>
    </row>
    <row r="2106" customFormat="false" ht="15" hidden="false" customHeight="true" outlineLevel="0" collapsed="false">
      <c r="A2106" s="4" t="s">
        <v>2282</v>
      </c>
      <c r="B2106" s="4" t="s">
        <v>47</v>
      </c>
      <c r="C2106" s="13" t="n">
        <v>45554</v>
      </c>
      <c r="D2106" s="13" t="n">
        <v>45564</v>
      </c>
      <c r="E2106" s="13" t="n">
        <v>45567</v>
      </c>
      <c r="F2106" s="4" t="n">
        <v>543</v>
      </c>
      <c r="G2106" s="4" t="n">
        <v>543</v>
      </c>
      <c r="H2106" s="4" t="n">
        <v>228.68</v>
      </c>
      <c r="I2106" s="4" t="n">
        <v>230.18</v>
      </c>
      <c r="J2106" s="14" t="n">
        <f aca="false">E2106-D2106</f>
        <v>3</v>
      </c>
      <c r="K2106" s="14" t="n">
        <f aca="false">IF(J2106&lt;=0,1,0)</f>
        <v>0</v>
      </c>
      <c r="L2106" s="15" t="n">
        <f aca="false">IFERROR(G2106/F2106,0)</f>
        <v>1</v>
      </c>
      <c r="M2106" s="15" t="n">
        <f aca="false">IFERROR((I2106-H2106)/H2106,0)</f>
        <v>0.00655938429246108</v>
      </c>
      <c r="N2106" s="16" t="n">
        <f aca="false">G2106*I2106</f>
        <v>124987.74</v>
      </c>
    </row>
    <row r="2107" customFormat="false" ht="15" hidden="false" customHeight="true" outlineLevel="0" collapsed="false">
      <c r="A2107" s="4" t="s">
        <v>2283</v>
      </c>
      <c r="B2107" s="4" t="s">
        <v>81</v>
      </c>
      <c r="C2107" s="13" t="n">
        <v>45413</v>
      </c>
      <c r="D2107" s="13" t="n">
        <v>45417</v>
      </c>
      <c r="E2107" s="13" t="n">
        <v>45420</v>
      </c>
      <c r="F2107" s="4" t="n">
        <v>11</v>
      </c>
      <c r="G2107" s="4" t="n">
        <v>11</v>
      </c>
      <c r="H2107" s="4" t="n">
        <v>697.63</v>
      </c>
      <c r="I2107" s="4" t="n">
        <v>693.39</v>
      </c>
      <c r="J2107" s="14" t="n">
        <f aca="false">E2107-D2107</f>
        <v>3</v>
      </c>
      <c r="K2107" s="14" t="n">
        <f aca="false">IF(J2107&lt;=0,1,0)</f>
        <v>0</v>
      </c>
      <c r="L2107" s="15" t="n">
        <f aca="false">IFERROR(G2107/F2107,0)</f>
        <v>1</v>
      </c>
      <c r="M2107" s="15" t="n">
        <f aca="false">IFERROR((I2107-H2107)/H2107,0)</f>
        <v>-0.0060777202815246</v>
      </c>
      <c r="N2107" s="16" t="n">
        <f aca="false">G2107*I2107</f>
        <v>7627.29</v>
      </c>
    </row>
    <row r="2108" customFormat="false" ht="15" hidden="false" customHeight="true" outlineLevel="0" collapsed="false">
      <c r="A2108" s="4" t="s">
        <v>2284</v>
      </c>
      <c r="B2108" s="4" t="s">
        <v>159</v>
      </c>
      <c r="C2108" s="13" t="n">
        <v>45372</v>
      </c>
      <c r="D2108" s="13" t="n">
        <v>45380</v>
      </c>
      <c r="E2108" s="13" t="n">
        <v>45378</v>
      </c>
      <c r="F2108" s="4" t="n">
        <v>3453</v>
      </c>
      <c r="G2108" s="4" t="n">
        <v>3412</v>
      </c>
      <c r="H2108" s="4" t="n">
        <v>32.91</v>
      </c>
      <c r="I2108" s="4" t="n">
        <v>32.73</v>
      </c>
      <c r="J2108" s="14" t="n">
        <f aca="false">E2108-D2108</f>
        <v>-2</v>
      </c>
      <c r="K2108" s="14" t="n">
        <f aca="false">IF(J2108&lt;=0,1,0)</f>
        <v>1</v>
      </c>
      <c r="L2108" s="15" t="n">
        <f aca="false">IFERROR(G2108/F2108,0)</f>
        <v>0.988126267014191</v>
      </c>
      <c r="M2108" s="15" t="n">
        <f aca="false">IFERROR((I2108-H2108)/H2108,0)</f>
        <v>-0.00546946216955332</v>
      </c>
      <c r="N2108" s="16" t="n">
        <f aca="false">G2108*I2108</f>
        <v>111674.76</v>
      </c>
    </row>
    <row r="2109" customFormat="false" ht="15" hidden="false" customHeight="true" outlineLevel="0" collapsed="false">
      <c r="A2109" s="4" t="s">
        <v>2285</v>
      </c>
      <c r="B2109" s="4" t="s">
        <v>32</v>
      </c>
      <c r="C2109" s="13" t="n">
        <v>45273</v>
      </c>
      <c r="D2109" s="13" t="n">
        <v>45281</v>
      </c>
      <c r="E2109" s="13" t="n">
        <v>45280</v>
      </c>
      <c r="F2109" s="4" t="n">
        <v>3599</v>
      </c>
      <c r="G2109" s="4" t="n">
        <v>3194</v>
      </c>
      <c r="H2109" s="4" t="n">
        <v>32.49</v>
      </c>
      <c r="I2109" s="4" t="n">
        <v>32.38</v>
      </c>
      <c r="J2109" s="14" t="n">
        <f aca="false">E2109-D2109</f>
        <v>-1</v>
      </c>
      <c r="K2109" s="14" t="n">
        <f aca="false">IF(J2109&lt;=0,1,0)</f>
        <v>1</v>
      </c>
      <c r="L2109" s="15" t="n">
        <f aca="false">IFERROR(G2109/F2109,0)</f>
        <v>0.887468741317033</v>
      </c>
      <c r="M2109" s="15" t="n">
        <f aca="false">IFERROR((I2109-H2109)/H2109,0)</f>
        <v>-0.0033856571252693</v>
      </c>
      <c r="N2109" s="16" t="n">
        <f aca="false">G2109*I2109</f>
        <v>103421.72</v>
      </c>
    </row>
    <row r="2110" customFormat="false" ht="15" hidden="false" customHeight="true" outlineLevel="0" collapsed="false">
      <c r="A2110" s="4" t="s">
        <v>2286</v>
      </c>
      <c r="B2110" s="4" t="s">
        <v>149</v>
      </c>
      <c r="C2110" s="13" t="n">
        <v>45266</v>
      </c>
      <c r="D2110" s="13" t="n">
        <v>45270</v>
      </c>
      <c r="E2110" s="13" t="n">
        <v>45272</v>
      </c>
      <c r="F2110" s="4" t="n">
        <v>5</v>
      </c>
      <c r="G2110" s="4" t="n">
        <v>5</v>
      </c>
      <c r="H2110" s="4" t="n">
        <v>1458.52</v>
      </c>
      <c r="I2110" s="4" t="n">
        <v>1480.95</v>
      </c>
      <c r="J2110" s="14" t="n">
        <f aca="false">E2110-D2110</f>
        <v>2</v>
      </c>
      <c r="K2110" s="14" t="n">
        <f aca="false">IF(J2110&lt;=0,1,0)</f>
        <v>0</v>
      </c>
      <c r="L2110" s="15" t="n">
        <f aca="false">IFERROR(G2110/F2110,0)</f>
        <v>1</v>
      </c>
      <c r="M2110" s="15" t="n">
        <f aca="false">IFERROR((I2110-H2110)/H2110,0)</f>
        <v>0.0153786029673916</v>
      </c>
      <c r="N2110" s="16" t="n">
        <f aca="false">G2110*I2110</f>
        <v>7404.75</v>
      </c>
    </row>
    <row r="2111" customFormat="false" ht="15" hidden="false" customHeight="true" outlineLevel="0" collapsed="false">
      <c r="A2111" s="4" t="s">
        <v>2287</v>
      </c>
      <c r="B2111" s="4" t="s">
        <v>117</v>
      </c>
      <c r="C2111" s="13" t="n">
        <v>45509</v>
      </c>
      <c r="D2111" s="13" t="n">
        <v>45523</v>
      </c>
      <c r="E2111" s="13" t="n">
        <v>45534</v>
      </c>
      <c r="F2111" s="4" t="n">
        <v>100</v>
      </c>
      <c r="G2111" s="4" t="n">
        <v>96</v>
      </c>
      <c r="H2111" s="4" t="n">
        <v>396.01</v>
      </c>
      <c r="I2111" s="4" t="n">
        <v>389.5</v>
      </c>
      <c r="J2111" s="14" t="n">
        <f aca="false">E2111-D2111</f>
        <v>11</v>
      </c>
      <c r="K2111" s="14" t="n">
        <f aca="false">IF(J2111&lt;=0,1,0)</f>
        <v>0</v>
      </c>
      <c r="L2111" s="15" t="n">
        <f aca="false">IFERROR(G2111/F2111,0)</f>
        <v>0.96</v>
      </c>
      <c r="M2111" s="15" t="n">
        <f aca="false">IFERROR((I2111-H2111)/H2111,0)</f>
        <v>-0.0164389788136663</v>
      </c>
      <c r="N2111" s="16" t="n">
        <f aca="false">G2111*I2111</f>
        <v>37392</v>
      </c>
    </row>
    <row r="2112" customFormat="false" ht="15" hidden="false" customHeight="true" outlineLevel="0" collapsed="false">
      <c r="A2112" s="4" t="s">
        <v>2288</v>
      </c>
      <c r="B2112" s="4" t="s">
        <v>81</v>
      </c>
      <c r="C2112" s="13" t="n">
        <v>45207</v>
      </c>
      <c r="D2112" s="13" t="n">
        <v>45212</v>
      </c>
      <c r="E2112" s="13" t="n">
        <v>45220</v>
      </c>
      <c r="F2112" s="4" t="n">
        <v>7</v>
      </c>
      <c r="G2112" s="4" t="n">
        <v>7</v>
      </c>
      <c r="H2112" s="4" t="n">
        <v>697.63</v>
      </c>
      <c r="I2112" s="4" t="n">
        <v>688.44</v>
      </c>
      <c r="J2112" s="14" t="n">
        <f aca="false">E2112-D2112</f>
        <v>8</v>
      </c>
      <c r="K2112" s="14" t="n">
        <f aca="false">IF(J2112&lt;=0,1,0)</f>
        <v>0</v>
      </c>
      <c r="L2112" s="15" t="n">
        <f aca="false">IFERROR(G2112/F2112,0)</f>
        <v>1</v>
      </c>
      <c r="M2112" s="15" t="n">
        <f aca="false">IFERROR((I2112-H2112)/H2112,0)</f>
        <v>-0.0131731720252855</v>
      </c>
      <c r="N2112" s="16" t="n">
        <f aca="false">G2112*I2112</f>
        <v>4819.08</v>
      </c>
    </row>
    <row r="2113" customFormat="false" ht="15" hidden="false" customHeight="true" outlineLevel="0" collapsed="false">
      <c r="A2113" s="4" t="s">
        <v>2289</v>
      </c>
      <c r="B2113" s="4" t="s">
        <v>135</v>
      </c>
      <c r="C2113" s="13" t="n">
        <v>45630</v>
      </c>
      <c r="D2113" s="13" t="n">
        <v>45643</v>
      </c>
      <c r="E2113" s="13" t="n">
        <v>45642</v>
      </c>
      <c r="F2113" s="4" t="n">
        <v>161</v>
      </c>
      <c r="G2113" s="4" t="n">
        <v>153</v>
      </c>
      <c r="H2113" s="4" t="n">
        <v>328.06</v>
      </c>
      <c r="I2113" s="4" t="n">
        <v>322.77</v>
      </c>
      <c r="J2113" s="14" t="n">
        <f aca="false">E2113-D2113</f>
        <v>-1</v>
      </c>
      <c r="K2113" s="14" t="n">
        <f aca="false">IF(J2113&lt;=0,1,0)</f>
        <v>1</v>
      </c>
      <c r="L2113" s="15" t="n">
        <f aca="false">IFERROR(G2113/F2113,0)</f>
        <v>0.950310559006211</v>
      </c>
      <c r="M2113" s="15" t="n">
        <f aca="false">IFERROR((I2113-H2113)/H2113,0)</f>
        <v>-0.0161250990672439</v>
      </c>
      <c r="N2113" s="16" t="n">
        <f aca="false">G2113*I2113</f>
        <v>49383.81</v>
      </c>
    </row>
    <row r="2114" customFormat="false" ht="15" hidden="false" customHeight="true" outlineLevel="0" collapsed="false">
      <c r="A2114" s="4" t="s">
        <v>2290</v>
      </c>
      <c r="B2114" s="4" t="s">
        <v>95</v>
      </c>
      <c r="C2114" s="13" t="n">
        <v>45106</v>
      </c>
      <c r="D2114" s="13" t="n">
        <v>45113</v>
      </c>
      <c r="E2114" s="13" t="n">
        <v>45106</v>
      </c>
      <c r="F2114" s="4" t="n">
        <v>897</v>
      </c>
      <c r="G2114" s="4" t="n">
        <v>897</v>
      </c>
      <c r="H2114" s="4" t="n">
        <v>20.39</v>
      </c>
      <c r="I2114" s="4" t="n">
        <v>20.66</v>
      </c>
      <c r="J2114" s="14" t="n">
        <f aca="false">E2114-D2114</f>
        <v>-7</v>
      </c>
      <c r="K2114" s="14" t="n">
        <f aca="false">IF(J2114&lt;=0,1,0)</f>
        <v>1</v>
      </c>
      <c r="L2114" s="15" t="n">
        <f aca="false">IFERROR(G2114/F2114,0)</f>
        <v>1</v>
      </c>
      <c r="M2114" s="15" t="n">
        <f aca="false">IFERROR((I2114-H2114)/H2114,0)</f>
        <v>0.013241785188818</v>
      </c>
      <c r="N2114" s="16" t="n">
        <f aca="false">G2114*I2114</f>
        <v>18532.02</v>
      </c>
    </row>
    <row r="2115" customFormat="false" ht="15" hidden="false" customHeight="true" outlineLevel="0" collapsed="false">
      <c r="A2115" s="4" t="s">
        <v>2291</v>
      </c>
      <c r="B2115" s="4" t="s">
        <v>32</v>
      </c>
      <c r="C2115" s="13" t="n">
        <v>45011</v>
      </c>
      <c r="D2115" s="13" t="n">
        <v>45017</v>
      </c>
      <c r="E2115" s="13" t="n">
        <v>45018</v>
      </c>
      <c r="F2115" s="4" t="n">
        <v>887</v>
      </c>
      <c r="G2115" s="4" t="n">
        <v>818</v>
      </c>
      <c r="H2115" s="4" t="n">
        <v>32.49</v>
      </c>
      <c r="I2115" s="4" t="n">
        <v>32.56</v>
      </c>
      <c r="J2115" s="14" t="n">
        <f aca="false">E2115-D2115</f>
        <v>1</v>
      </c>
      <c r="K2115" s="14" t="n">
        <f aca="false">IF(J2115&lt;=0,1,0)</f>
        <v>0</v>
      </c>
      <c r="L2115" s="15" t="n">
        <f aca="false">IFERROR(G2115/F2115,0)</f>
        <v>0.922209695603157</v>
      </c>
      <c r="M2115" s="15" t="n">
        <f aca="false">IFERROR((I2115-H2115)/H2115,0)</f>
        <v>0.00215450907971684</v>
      </c>
      <c r="N2115" s="16" t="n">
        <f aca="false">G2115*I2115</f>
        <v>26634.08</v>
      </c>
    </row>
    <row r="2116" customFormat="false" ht="15" hidden="false" customHeight="true" outlineLevel="0" collapsed="false">
      <c r="A2116" s="4" t="s">
        <v>2292</v>
      </c>
      <c r="B2116" s="4" t="s">
        <v>111</v>
      </c>
      <c r="C2116" s="13" t="n">
        <v>45364</v>
      </c>
      <c r="D2116" s="13" t="n">
        <v>45376</v>
      </c>
      <c r="E2116" s="13" t="n">
        <v>45375</v>
      </c>
      <c r="F2116" s="4" t="n">
        <v>1454</v>
      </c>
      <c r="G2116" s="4" t="n">
        <v>1439</v>
      </c>
      <c r="H2116" s="4" t="n">
        <v>148.08</v>
      </c>
      <c r="I2116" s="4" t="n">
        <v>149.22</v>
      </c>
      <c r="J2116" s="14" t="n">
        <f aca="false">E2116-D2116</f>
        <v>-1</v>
      </c>
      <c r="K2116" s="14" t="n">
        <f aca="false">IF(J2116&lt;=0,1,0)</f>
        <v>1</v>
      </c>
      <c r="L2116" s="15" t="n">
        <f aca="false">IFERROR(G2116/F2116,0)</f>
        <v>0.989683631361761</v>
      </c>
      <c r="M2116" s="15" t="n">
        <f aca="false">IFERROR((I2116-H2116)/H2116,0)</f>
        <v>0.00769854132901125</v>
      </c>
      <c r="N2116" s="16" t="n">
        <f aca="false">G2116*I2116</f>
        <v>214727.58</v>
      </c>
    </row>
    <row r="2117" customFormat="false" ht="15" hidden="false" customHeight="true" outlineLevel="0" collapsed="false">
      <c r="A2117" s="4" t="s">
        <v>2293</v>
      </c>
      <c r="B2117" s="4" t="s">
        <v>105</v>
      </c>
      <c r="C2117" s="13" t="n">
        <v>45449</v>
      </c>
      <c r="D2117" s="13" t="n">
        <v>45467</v>
      </c>
      <c r="E2117" s="13" t="n">
        <v>45469</v>
      </c>
      <c r="F2117" s="4" t="n">
        <v>122</v>
      </c>
      <c r="G2117" s="4" t="n">
        <v>118</v>
      </c>
      <c r="H2117" s="4" t="n">
        <v>685.84</v>
      </c>
      <c r="I2117" s="4" t="n">
        <v>708.02</v>
      </c>
      <c r="J2117" s="14" t="n">
        <f aca="false">E2117-D2117</f>
        <v>2</v>
      </c>
      <c r="K2117" s="14" t="n">
        <f aca="false">IF(J2117&lt;=0,1,0)</f>
        <v>0</v>
      </c>
      <c r="L2117" s="15" t="n">
        <f aca="false">IFERROR(G2117/F2117,0)</f>
        <v>0.967213114754098</v>
      </c>
      <c r="M2117" s="15" t="n">
        <f aca="false">IFERROR((I2117-H2117)/H2117,0)</f>
        <v>0.0323399043508689</v>
      </c>
      <c r="N2117" s="16" t="n">
        <f aca="false">G2117*I2117</f>
        <v>83546.36</v>
      </c>
    </row>
    <row r="2118" customFormat="false" ht="15" hidden="false" customHeight="true" outlineLevel="0" collapsed="false">
      <c r="A2118" s="4" t="s">
        <v>2294</v>
      </c>
      <c r="B2118" s="4" t="s">
        <v>99</v>
      </c>
      <c r="C2118" s="13" t="n">
        <v>45186</v>
      </c>
      <c r="D2118" s="13" t="n">
        <v>45194</v>
      </c>
      <c r="E2118" s="13" t="n">
        <v>45196</v>
      </c>
      <c r="F2118" s="4" t="n">
        <v>3703</v>
      </c>
      <c r="G2118" s="4" t="n">
        <v>3428</v>
      </c>
      <c r="H2118" s="4" t="n">
        <v>11.5</v>
      </c>
      <c r="I2118" s="4" t="n">
        <v>11.99</v>
      </c>
      <c r="J2118" s="14" t="n">
        <f aca="false">E2118-D2118</f>
        <v>2</v>
      </c>
      <c r="K2118" s="14" t="n">
        <f aca="false">IF(J2118&lt;=0,1,0)</f>
        <v>0</v>
      </c>
      <c r="L2118" s="15" t="n">
        <f aca="false">IFERROR(G2118/F2118,0)</f>
        <v>0.925735889819066</v>
      </c>
      <c r="M2118" s="15" t="n">
        <f aca="false">IFERROR((I2118-H2118)/H2118,0)</f>
        <v>0.0426086956521739</v>
      </c>
      <c r="N2118" s="16" t="n">
        <f aca="false">G2118*I2118</f>
        <v>41101.72</v>
      </c>
    </row>
    <row r="2119" customFormat="false" ht="15" hidden="false" customHeight="true" outlineLevel="0" collapsed="false">
      <c r="A2119" s="4" t="s">
        <v>2295</v>
      </c>
      <c r="B2119" s="4" t="s">
        <v>68</v>
      </c>
      <c r="C2119" s="13" t="n">
        <v>45442</v>
      </c>
      <c r="D2119" s="13" t="n">
        <v>45462</v>
      </c>
      <c r="E2119" s="13" t="n">
        <v>45463</v>
      </c>
      <c r="F2119" s="4" t="n">
        <v>99</v>
      </c>
      <c r="G2119" s="4" t="n">
        <v>89</v>
      </c>
      <c r="H2119" s="4" t="n">
        <v>1232.83</v>
      </c>
      <c r="I2119" s="4" t="n">
        <v>1222.29</v>
      </c>
      <c r="J2119" s="14" t="n">
        <f aca="false">E2119-D2119</f>
        <v>1</v>
      </c>
      <c r="K2119" s="14" t="n">
        <f aca="false">IF(J2119&lt;=0,1,0)</f>
        <v>0</v>
      </c>
      <c r="L2119" s="15" t="n">
        <f aca="false">IFERROR(G2119/F2119,0)</f>
        <v>0.898989898989899</v>
      </c>
      <c r="M2119" s="15" t="n">
        <f aca="false">IFERROR((I2119-H2119)/H2119,0)</f>
        <v>-0.00854943503970537</v>
      </c>
      <c r="N2119" s="16" t="n">
        <f aca="false">G2119*I2119</f>
        <v>108783.81</v>
      </c>
    </row>
    <row r="2120" customFormat="false" ht="15" hidden="false" customHeight="true" outlineLevel="0" collapsed="false">
      <c r="A2120" s="4" t="s">
        <v>2296</v>
      </c>
      <c r="B2120" s="4" t="s">
        <v>47</v>
      </c>
      <c r="C2120" s="13" t="n">
        <v>45356</v>
      </c>
      <c r="D2120" s="13" t="n">
        <v>45367</v>
      </c>
      <c r="E2120" s="13" t="n">
        <v>45363</v>
      </c>
      <c r="F2120" s="4" t="n">
        <v>1999</v>
      </c>
      <c r="G2120" s="4" t="n">
        <v>1999</v>
      </c>
      <c r="H2120" s="4" t="n">
        <v>228.68</v>
      </c>
      <c r="I2120" s="4" t="n">
        <v>232.2</v>
      </c>
      <c r="J2120" s="14" t="n">
        <f aca="false">E2120-D2120</f>
        <v>-4</v>
      </c>
      <c r="K2120" s="14" t="n">
        <f aca="false">IF(J2120&lt;=0,1,0)</f>
        <v>1</v>
      </c>
      <c r="L2120" s="15" t="n">
        <f aca="false">IFERROR(G2120/F2120,0)</f>
        <v>1</v>
      </c>
      <c r="M2120" s="15" t="n">
        <f aca="false">IFERROR((I2120-H2120)/H2120,0)</f>
        <v>0.0153926884729753</v>
      </c>
      <c r="N2120" s="16" t="n">
        <f aca="false">G2120*I2120</f>
        <v>464167.8</v>
      </c>
    </row>
    <row r="2121" customFormat="false" ht="15" hidden="false" customHeight="true" outlineLevel="0" collapsed="false">
      <c r="A2121" s="4" t="s">
        <v>2297</v>
      </c>
      <c r="B2121" s="4" t="s">
        <v>47</v>
      </c>
      <c r="C2121" s="13" t="n">
        <v>45366</v>
      </c>
      <c r="D2121" s="13" t="n">
        <v>45376</v>
      </c>
      <c r="E2121" s="13" t="n">
        <v>45374</v>
      </c>
      <c r="F2121" s="4" t="n">
        <v>1073</v>
      </c>
      <c r="G2121" s="4" t="n">
        <v>1071</v>
      </c>
      <c r="H2121" s="4" t="n">
        <v>228.68</v>
      </c>
      <c r="I2121" s="4" t="n">
        <v>226.03</v>
      </c>
      <c r="J2121" s="14" t="n">
        <f aca="false">E2121-D2121</f>
        <v>-2</v>
      </c>
      <c r="K2121" s="14" t="n">
        <f aca="false">IF(J2121&lt;=0,1,0)</f>
        <v>1</v>
      </c>
      <c r="L2121" s="15" t="n">
        <f aca="false">IFERROR(G2121/F2121,0)</f>
        <v>0.998136067101584</v>
      </c>
      <c r="M2121" s="15" t="n">
        <f aca="false">IFERROR((I2121-H2121)/H2121,0)</f>
        <v>-0.0115882455833479</v>
      </c>
      <c r="N2121" s="16" t="n">
        <f aca="false">G2121*I2121</f>
        <v>242078.13</v>
      </c>
    </row>
    <row r="2122" customFormat="false" ht="15" hidden="false" customHeight="true" outlineLevel="0" collapsed="false">
      <c r="A2122" s="4" t="s">
        <v>2298</v>
      </c>
      <c r="B2122" s="4" t="s">
        <v>81</v>
      </c>
      <c r="C2122" s="13" t="n">
        <v>45048</v>
      </c>
      <c r="D2122" s="13" t="n">
        <v>45055</v>
      </c>
      <c r="E2122" s="13" t="n">
        <v>45056</v>
      </c>
      <c r="F2122" s="4" t="n">
        <v>10</v>
      </c>
      <c r="G2122" s="4" t="n">
        <v>10</v>
      </c>
      <c r="H2122" s="4" t="n">
        <v>697.63</v>
      </c>
      <c r="I2122" s="4" t="n">
        <v>690.7</v>
      </c>
      <c r="J2122" s="14" t="n">
        <f aca="false">E2122-D2122</f>
        <v>1</v>
      </c>
      <c r="K2122" s="14" t="n">
        <f aca="false">IF(J2122&lt;=0,1,0)</f>
        <v>0</v>
      </c>
      <c r="L2122" s="15" t="n">
        <f aca="false">IFERROR(G2122/F2122,0)</f>
        <v>1</v>
      </c>
      <c r="M2122" s="15" t="n">
        <f aca="false">IFERROR((I2122-H2122)/H2122,0)</f>
        <v>-0.00993363244126536</v>
      </c>
      <c r="N2122" s="16" t="n">
        <f aca="false">G2122*I2122</f>
        <v>6907</v>
      </c>
    </row>
    <row r="2123" customFormat="false" ht="15" hidden="false" customHeight="true" outlineLevel="0" collapsed="false">
      <c r="A2123" s="4" t="s">
        <v>2299</v>
      </c>
      <c r="B2123" s="4" t="s">
        <v>129</v>
      </c>
      <c r="C2123" s="13" t="n">
        <v>44992</v>
      </c>
      <c r="D2123" s="13" t="n">
        <v>45011</v>
      </c>
      <c r="E2123" s="13" t="n">
        <v>45012</v>
      </c>
      <c r="F2123" s="4" t="n">
        <v>154</v>
      </c>
      <c r="G2123" s="4" t="n">
        <v>152</v>
      </c>
      <c r="H2123" s="4" t="n">
        <v>709.66</v>
      </c>
      <c r="I2123" s="4" t="n">
        <v>717.07</v>
      </c>
      <c r="J2123" s="14" t="n">
        <f aca="false">E2123-D2123</f>
        <v>1</v>
      </c>
      <c r="K2123" s="14" t="n">
        <f aca="false">IF(J2123&lt;=0,1,0)</f>
        <v>0</v>
      </c>
      <c r="L2123" s="15" t="n">
        <f aca="false">IFERROR(G2123/F2123,0)</f>
        <v>0.987012987012987</v>
      </c>
      <c r="M2123" s="15" t="n">
        <f aca="false">IFERROR((I2123-H2123)/H2123,0)</f>
        <v>0.0104416199306711</v>
      </c>
      <c r="N2123" s="16" t="n">
        <f aca="false">G2123*I2123</f>
        <v>108994.64</v>
      </c>
    </row>
    <row r="2124" customFormat="false" ht="15" hidden="false" customHeight="true" outlineLevel="0" collapsed="false">
      <c r="A2124" s="4" t="s">
        <v>2300</v>
      </c>
      <c r="B2124" s="4" t="s">
        <v>89</v>
      </c>
      <c r="C2124" s="13" t="n">
        <v>45649</v>
      </c>
      <c r="D2124" s="13" t="n">
        <v>45656</v>
      </c>
      <c r="E2124" s="13" t="n">
        <v>45659</v>
      </c>
      <c r="F2124" s="4" t="n">
        <v>11</v>
      </c>
      <c r="G2124" s="4" t="n">
        <v>10</v>
      </c>
      <c r="H2124" s="4" t="n">
        <v>1929.81</v>
      </c>
      <c r="I2124" s="4" t="n">
        <v>1913.95</v>
      </c>
      <c r="J2124" s="14" t="n">
        <f aca="false">E2124-D2124</f>
        <v>3</v>
      </c>
      <c r="K2124" s="14" t="n">
        <f aca="false">IF(J2124&lt;=0,1,0)</f>
        <v>0</v>
      </c>
      <c r="L2124" s="15" t="n">
        <f aca="false">IFERROR(G2124/F2124,0)</f>
        <v>0.909090909090909</v>
      </c>
      <c r="M2124" s="15" t="n">
        <f aca="false">IFERROR((I2124-H2124)/H2124,0)</f>
        <v>-0.00821842564812075</v>
      </c>
      <c r="N2124" s="16" t="n">
        <f aca="false">G2124*I2124</f>
        <v>19139.5</v>
      </c>
    </row>
    <row r="2125" customFormat="false" ht="15" hidden="false" customHeight="true" outlineLevel="0" collapsed="false">
      <c r="A2125" s="4" t="s">
        <v>2301</v>
      </c>
      <c r="B2125" s="4" t="s">
        <v>43</v>
      </c>
      <c r="C2125" s="13" t="n">
        <v>45601</v>
      </c>
      <c r="D2125" s="13" t="n">
        <v>45619</v>
      </c>
      <c r="E2125" s="13" t="n">
        <v>45621</v>
      </c>
      <c r="F2125" s="4" t="n">
        <v>220</v>
      </c>
      <c r="G2125" s="4" t="n">
        <v>217</v>
      </c>
      <c r="H2125" s="4" t="n">
        <v>1321.6</v>
      </c>
      <c r="I2125" s="4" t="n">
        <v>1354.58</v>
      </c>
      <c r="J2125" s="14" t="n">
        <f aca="false">E2125-D2125</f>
        <v>2</v>
      </c>
      <c r="K2125" s="14" t="n">
        <f aca="false">IF(J2125&lt;=0,1,0)</f>
        <v>0</v>
      </c>
      <c r="L2125" s="15" t="n">
        <f aca="false">IFERROR(G2125/F2125,0)</f>
        <v>0.986363636363636</v>
      </c>
      <c r="M2125" s="15" t="n">
        <f aca="false">IFERROR((I2125-H2125)/H2125,0)</f>
        <v>0.0249546004842615</v>
      </c>
      <c r="N2125" s="16" t="n">
        <f aca="false">G2125*I2125</f>
        <v>293943.86</v>
      </c>
    </row>
    <row r="2126" customFormat="false" ht="15" hidden="false" customHeight="true" outlineLevel="0" collapsed="false">
      <c r="A2126" s="4" t="s">
        <v>2302</v>
      </c>
      <c r="B2126" s="4" t="s">
        <v>117</v>
      </c>
      <c r="C2126" s="13" t="n">
        <v>45172</v>
      </c>
      <c r="D2126" s="13" t="n">
        <v>45184</v>
      </c>
      <c r="E2126" s="13" t="n">
        <v>45184</v>
      </c>
      <c r="F2126" s="4" t="n">
        <v>79</v>
      </c>
      <c r="G2126" s="4" t="n">
        <v>72</v>
      </c>
      <c r="H2126" s="4" t="n">
        <v>396.01</v>
      </c>
      <c r="I2126" s="4" t="n">
        <v>387.12</v>
      </c>
      <c r="J2126" s="14" t="n">
        <f aca="false">E2126-D2126</f>
        <v>0</v>
      </c>
      <c r="K2126" s="14" t="n">
        <f aca="false">IF(J2126&lt;=0,1,0)</f>
        <v>1</v>
      </c>
      <c r="L2126" s="15" t="n">
        <f aca="false">IFERROR(G2126/F2126,0)</f>
        <v>0.911392405063291</v>
      </c>
      <c r="M2126" s="15" t="n">
        <f aca="false">IFERROR((I2126-H2126)/H2126,0)</f>
        <v>-0.0224489280573723</v>
      </c>
      <c r="N2126" s="16" t="n">
        <f aca="false">G2126*I2126</f>
        <v>27872.64</v>
      </c>
    </row>
    <row r="2127" customFormat="false" ht="15" hidden="false" customHeight="true" outlineLevel="0" collapsed="false">
      <c r="A2127" s="4" t="s">
        <v>2303</v>
      </c>
      <c r="B2127" s="4" t="s">
        <v>161</v>
      </c>
      <c r="C2127" s="13" t="n">
        <v>45084</v>
      </c>
      <c r="D2127" s="13" t="n">
        <v>45095</v>
      </c>
      <c r="E2127" s="13" t="n">
        <v>45101</v>
      </c>
      <c r="F2127" s="4" t="n">
        <v>1053</v>
      </c>
      <c r="G2127" s="4" t="n">
        <v>1051</v>
      </c>
      <c r="H2127" s="4" t="n">
        <v>101.94</v>
      </c>
      <c r="I2127" s="4" t="n">
        <v>105.34</v>
      </c>
      <c r="J2127" s="14" t="n">
        <f aca="false">E2127-D2127</f>
        <v>6</v>
      </c>
      <c r="K2127" s="14" t="n">
        <f aca="false">IF(J2127&lt;=0,1,0)</f>
        <v>0</v>
      </c>
      <c r="L2127" s="15" t="n">
        <f aca="false">IFERROR(G2127/F2127,0)</f>
        <v>0.998100664767331</v>
      </c>
      <c r="M2127" s="15" t="n">
        <f aca="false">IFERROR((I2127-H2127)/H2127,0)</f>
        <v>0.0333529527172847</v>
      </c>
      <c r="N2127" s="16" t="n">
        <f aca="false">G2127*I2127</f>
        <v>110712.34</v>
      </c>
    </row>
    <row r="2128" customFormat="false" ht="15" hidden="false" customHeight="true" outlineLevel="0" collapsed="false">
      <c r="A2128" s="4" t="s">
        <v>2304</v>
      </c>
      <c r="B2128" s="4" t="s">
        <v>161</v>
      </c>
      <c r="C2128" s="13" t="n">
        <v>45193</v>
      </c>
      <c r="D2128" s="13" t="n">
        <v>45203</v>
      </c>
      <c r="E2128" s="13" t="n">
        <v>45207</v>
      </c>
      <c r="F2128" s="4" t="n">
        <v>1413</v>
      </c>
      <c r="G2128" s="4" t="n">
        <v>1342</v>
      </c>
      <c r="H2128" s="4" t="n">
        <v>101.94</v>
      </c>
      <c r="I2128" s="4" t="n">
        <v>108.34</v>
      </c>
      <c r="J2128" s="14" t="n">
        <f aca="false">E2128-D2128</f>
        <v>4</v>
      </c>
      <c r="K2128" s="14" t="n">
        <f aca="false">IF(J2128&lt;=0,1,0)</f>
        <v>0</v>
      </c>
      <c r="L2128" s="15" t="n">
        <f aca="false">IFERROR(G2128/F2128,0)</f>
        <v>0.949752300070771</v>
      </c>
      <c r="M2128" s="15" t="n">
        <f aca="false">IFERROR((I2128-H2128)/H2128,0)</f>
        <v>0.0627820286443006</v>
      </c>
      <c r="N2128" s="16" t="n">
        <f aca="false">G2128*I2128</f>
        <v>145392.28</v>
      </c>
    </row>
    <row r="2129" customFormat="false" ht="15" hidden="false" customHeight="true" outlineLevel="0" collapsed="false">
      <c r="A2129" s="4" t="s">
        <v>2305</v>
      </c>
      <c r="B2129" s="4" t="s">
        <v>119</v>
      </c>
      <c r="C2129" s="13" t="n">
        <v>45560</v>
      </c>
      <c r="D2129" s="13" t="n">
        <v>45568</v>
      </c>
      <c r="E2129" s="13" t="n">
        <v>45571</v>
      </c>
      <c r="F2129" s="4" t="n">
        <v>901</v>
      </c>
      <c r="G2129" s="4" t="n">
        <v>893</v>
      </c>
      <c r="H2129" s="4" t="n">
        <v>50.92</v>
      </c>
      <c r="I2129" s="4" t="n">
        <v>47.02</v>
      </c>
      <c r="J2129" s="14" t="n">
        <f aca="false">E2129-D2129</f>
        <v>3</v>
      </c>
      <c r="K2129" s="14" t="n">
        <f aca="false">IF(J2129&lt;=0,1,0)</f>
        <v>0</v>
      </c>
      <c r="L2129" s="15" t="n">
        <f aca="false">IFERROR(G2129/F2129,0)</f>
        <v>0.991120976692564</v>
      </c>
      <c r="M2129" s="15" t="n">
        <f aca="false">IFERROR((I2129-H2129)/H2129,0)</f>
        <v>-0.0765907305577376</v>
      </c>
      <c r="N2129" s="16" t="n">
        <f aca="false">G2129*I2129</f>
        <v>41988.86</v>
      </c>
    </row>
    <row r="2130" customFormat="false" ht="15" hidden="false" customHeight="true" outlineLevel="0" collapsed="false">
      <c r="A2130" s="4" t="s">
        <v>2306</v>
      </c>
      <c r="B2130" s="4" t="s">
        <v>119</v>
      </c>
      <c r="C2130" s="13" t="n">
        <v>45558</v>
      </c>
      <c r="D2130" s="13" t="n">
        <v>45566</v>
      </c>
      <c r="E2130" s="13" t="n">
        <v>45569</v>
      </c>
      <c r="F2130" s="4" t="n">
        <v>1583</v>
      </c>
      <c r="G2130" s="4" t="n">
        <v>1570</v>
      </c>
      <c r="H2130" s="4" t="n">
        <v>50.92</v>
      </c>
      <c r="I2130" s="4" t="n">
        <v>45.93</v>
      </c>
      <c r="J2130" s="14" t="n">
        <f aca="false">E2130-D2130</f>
        <v>3</v>
      </c>
      <c r="K2130" s="14" t="n">
        <f aca="false">IF(J2130&lt;=0,1,0)</f>
        <v>0</v>
      </c>
      <c r="L2130" s="15" t="n">
        <f aca="false">IFERROR(G2130/F2130,0)</f>
        <v>0.991787744788377</v>
      </c>
      <c r="M2130" s="15" t="n">
        <f aca="false">IFERROR((I2130-H2130)/H2130,0)</f>
        <v>-0.0979968578161823</v>
      </c>
      <c r="N2130" s="16" t="n">
        <f aca="false">G2130*I2130</f>
        <v>72110.1</v>
      </c>
    </row>
    <row r="2131" customFormat="false" ht="15" hidden="false" customHeight="true" outlineLevel="0" collapsed="false">
      <c r="A2131" s="4" t="s">
        <v>2307</v>
      </c>
      <c r="B2131" s="4" t="s">
        <v>145</v>
      </c>
      <c r="C2131" s="13" t="n">
        <v>45397</v>
      </c>
      <c r="D2131" s="13" t="n">
        <v>45406</v>
      </c>
      <c r="E2131" s="13" t="n">
        <v>45409</v>
      </c>
      <c r="F2131" s="4" t="n">
        <v>1297</v>
      </c>
      <c r="G2131" s="4" t="n">
        <v>1254</v>
      </c>
      <c r="H2131" s="4" t="n">
        <v>237.04</v>
      </c>
      <c r="I2131" s="4" t="n">
        <v>261.79</v>
      </c>
      <c r="J2131" s="14" t="n">
        <f aca="false">E2131-D2131</f>
        <v>3</v>
      </c>
      <c r="K2131" s="14" t="n">
        <f aca="false">IF(J2131&lt;=0,1,0)</f>
        <v>0</v>
      </c>
      <c r="L2131" s="15" t="n">
        <f aca="false">IFERROR(G2131/F2131,0)</f>
        <v>0.966846569005397</v>
      </c>
      <c r="M2131" s="15" t="n">
        <f aca="false">IFERROR((I2131-H2131)/H2131,0)</f>
        <v>0.104412757340533</v>
      </c>
      <c r="N2131" s="16" t="n">
        <f aca="false">G2131*I2131</f>
        <v>328284.66</v>
      </c>
    </row>
    <row r="2132" customFormat="false" ht="15" hidden="false" customHeight="true" outlineLevel="0" collapsed="false">
      <c r="A2132" s="4" t="s">
        <v>2308</v>
      </c>
      <c r="B2132" s="4" t="s">
        <v>123</v>
      </c>
      <c r="C2132" s="13" t="n">
        <v>45248</v>
      </c>
      <c r="D2132" s="13" t="n">
        <v>45259</v>
      </c>
      <c r="E2132" s="13" t="n">
        <v>45256</v>
      </c>
      <c r="F2132" s="4" t="n">
        <v>175</v>
      </c>
      <c r="G2132" s="4" t="n">
        <v>167</v>
      </c>
      <c r="H2132" s="4" t="n">
        <v>214.07</v>
      </c>
      <c r="I2132" s="4" t="n">
        <v>233.31</v>
      </c>
      <c r="J2132" s="14" t="n">
        <f aca="false">E2132-D2132</f>
        <v>-3</v>
      </c>
      <c r="K2132" s="14" t="n">
        <f aca="false">IF(J2132&lt;=0,1,0)</f>
        <v>1</v>
      </c>
      <c r="L2132" s="15" t="n">
        <f aca="false">IFERROR(G2132/F2132,0)</f>
        <v>0.954285714285714</v>
      </c>
      <c r="M2132" s="15" t="n">
        <f aca="false">IFERROR((I2132-H2132)/H2132,0)</f>
        <v>0.0898771429906106</v>
      </c>
      <c r="N2132" s="16" t="n">
        <f aca="false">G2132*I2132</f>
        <v>38962.77</v>
      </c>
    </row>
    <row r="2133" customFormat="false" ht="15" hidden="false" customHeight="true" outlineLevel="0" collapsed="false">
      <c r="A2133" s="4" t="s">
        <v>2309</v>
      </c>
      <c r="B2133" s="4" t="s">
        <v>87</v>
      </c>
      <c r="C2133" s="13" t="n">
        <v>45403</v>
      </c>
      <c r="D2133" s="13" t="n">
        <v>45415</v>
      </c>
      <c r="E2133" s="13" t="n">
        <v>45418</v>
      </c>
      <c r="F2133" s="4" t="n">
        <v>503</v>
      </c>
      <c r="G2133" s="4" t="n">
        <v>454</v>
      </c>
      <c r="H2133" s="4" t="n">
        <v>161.95</v>
      </c>
      <c r="I2133" s="4" t="n">
        <v>186.42</v>
      </c>
      <c r="J2133" s="14" t="n">
        <f aca="false">E2133-D2133</f>
        <v>3</v>
      </c>
      <c r="K2133" s="14" t="n">
        <f aca="false">IF(J2133&lt;=0,1,0)</f>
        <v>0</v>
      </c>
      <c r="L2133" s="15" t="n">
        <f aca="false">IFERROR(G2133/F2133,0)</f>
        <v>0.90258449304175</v>
      </c>
      <c r="M2133" s="15" t="n">
        <f aca="false">IFERROR((I2133-H2133)/H2133,0)</f>
        <v>0.151096017289287</v>
      </c>
      <c r="N2133" s="16" t="n">
        <f aca="false">G2133*I2133</f>
        <v>84634.68</v>
      </c>
    </row>
    <row r="2134" customFormat="false" ht="15" hidden="false" customHeight="true" outlineLevel="0" collapsed="false">
      <c r="A2134" s="4" t="s">
        <v>2310</v>
      </c>
      <c r="B2134" s="4" t="s">
        <v>149</v>
      </c>
      <c r="C2134" s="13" t="n">
        <v>45275</v>
      </c>
      <c r="D2134" s="13" t="n">
        <v>45281</v>
      </c>
      <c r="E2134" s="13" t="n">
        <v>45282</v>
      </c>
      <c r="F2134" s="4" t="n">
        <v>5</v>
      </c>
      <c r="G2134" s="4" t="n">
        <v>5</v>
      </c>
      <c r="H2134" s="4" t="n">
        <v>1458.52</v>
      </c>
      <c r="I2134" s="4" t="n">
        <v>1487.7</v>
      </c>
      <c r="J2134" s="14" t="n">
        <f aca="false">E2134-D2134</f>
        <v>1</v>
      </c>
      <c r="K2134" s="14" t="n">
        <f aca="false">IF(J2134&lt;=0,1,0)</f>
        <v>0</v>
      </c>
      <c r="L2134" s="15" t="n">
        <f aca="false">IFERROR(G2134/F2134,0)</f>
        <v>1</v>
      </c>
      <c r="M2134" s="15" t="n">
        <f aca="false">IFERROR((I2134-H2134)/H2134,0)</f>
        <v>0.020006582014645</v>
      </c>
      <c r="N2134" s="16" t="n">
        <f aca="false">G2134*I2134</f>
        <v>7438.5</v>
      </c>
    </row>
    <row r="2135" customFormat="false" ht="15" hidden="false" customHeight="true" outlineLevel="0" collapsed="false">
      <c r="A2135" s="4" t="s">
        <v>2311</v>
      </c>
      <c r="B2135" s="4" t="s">
        <v>43</v>
      </c>
      <c r="C2135" s="13" t="n">
        <v>45598</v>
      </c>
      <c r="D2135" s="13" t="n">
        <v>45616</v>
      </c>
      <c r="E2135" s="13" t="n">
        <v>45618</v>
      </c>
      <c r="F2135" s="4" t="n">
        <v>204</v>
      </c>
      <c r="G2135" s="4" t="n">
        <v>192</v>
      </c>
      <c r="H2135" s="4" t="n">
        <v>1321.6</v>
      </c>
      <c r="I2135" s="4" t="n">
        <v>1357.45</v>
      </c>
      <c r="J2135" s="14" t="n">
        <f aca="false">E2135-D2135</f>
        <v>2</v>
      </c>
      <c r="K2135" s="14" t="n">
        <f aca="false">IF(J2135&lt;=0,1,0)</f>
        <v>0</v>
      </c>
      <c r="L2135" s="15" t="n">
        <f aca="false">IFERROR(G2135/F2135,0)</f>
        <v>0.941176470588235</v>
      </c>
      <c r="M2135" s="15" t="n">
        <f aca="false">IFERROR((I2135-H2135)/H2135,0)</f>
        <v>0.0271262106537531</v>
      </c>
      <c r="N2135" s="16" t="n">
        <f aca="false">G2135*I2135</f>
        <v>260630.4</v>
      </c>
    </row>
    <row r="2136" customFormat="false" ht="15" hidden="false" customHeight="true" outlineLevel="0" collapsed="false">
      <c r="A2136" s="4" t="s">
        <v>2312</v>
      </c>
      <c r="B2136" s="4" t="s">
        <v>123</v>
      </c>
      <c r="C2136" s="13" t="n">
        <v>45009</v>
      </c>
      <c r="D2136" s="13" t="n">
        <v>45020</v>
      </c>
      <c r="E2136" s="13" t="n">
        <v>45021</v>
      </c>
      <c r="F2136" s="4" t="n">
        <v>224</v>
      </c>
      <c r="G2136" s="4" t="n">
        <v>224</v>
      </c>
      <c r="H2136" s="4" t="n">
        <v>214.07</v>
      </c>
      <c r="I2136" s="4" t="n">
        <v>216.98</v>
      </c>
      <c r="J2136" s="14" t="n">
        <f aca="false">E2136-D2136</f>
        <v>1</v>
      </c>
      <c r="K2136" s="14" t="n">
        <f aca="false">IF(J2136&lt;=0,1,0)</f>
        <v>0</v>
      </c>
      <c r="L2136" s="15" t="n">
        <f aca="false">IFERROR(G2136/F2136,0)</f>
        <v>1</v>
      </c>
      <c r="M2136" s="15" t="n">
        <f aca="false">IFERROR((I2136-H2136)/H2136,0)</f>
        <v>0.0135936843088709</v>
      </c>
      <c r="N2136" s="16" t="n">
        <f aca="false">G2136*I2136</f>
        <v>48603.52</v>
      </c>
    </row>
    <row r="2137" customFormat="false" ht="15" hidden="false" customHeight="true" outlineLevel="0" collapsed="false">
      <c r="A2137" s="4" t="s">
        <v>2313</v>
      </c>
      <c r="B2137" s="4" t="s">
        <v>145</v>
      </c>
      <c r="C2137" s="13" t="n">
        <v>45289</v>
      </c>
      <c r="D2137" s="13" t="n">
        <v>45301</v>
      </c>
      <c r="E2137" s="13" t="n">
        <v>45311</v>
      </c>
      <c r="F2137" s="4" t="n">
        <v>876</v>
      </c>
      <c r="G2137" s="4" t="n">
        <v>816</v>
      </c>
      <c r="H2137" s="4" t="n">
        <v>237.04</v>
      </c>
      <c r="I2137" s="4" t="n">
        <v>252.76</v>
      </c>
      <c r="J2137" s="14" t="n">
        <f aca="false">E2137-D2137</f>
        <v>10</v>
      </c>
      <c r="K2137" s="14" t="n">
        <f aca="false">IF(J2137&lt;=0,1,0)</f>
        <v>0</v>
      </c>
      <c r="L2137" s="15" t="n">
        <f aca="false">IFERROR(G2137/F2137,0)</f>
        <v>0.931506849315068</v>
      </c>
      <c r="M2137" s="15" t="n">
        <f aca="false">IFERROR((I2137-H2137)/H2137,0)</f>
        <v>0.0663179210259872</v>
      </c>
      <c r="N2137" s="16" t="n">
        <f aca="false">G2137*I2137</f>
        <v>206252.16</v>
      </c>
    </row>
    <row r="2138" customFormat="false" ht="15" hidden="false" customHeight="true" outlineLevel="0" collapsed="false">
      <c r="A2138" s="4" t="s">
        <v>2314</v>
      </c>
      <c r="B2138" s="4" t="s">
        <v>133</v>
      </c>
      <c r="C2138" s="13" t="n">
        <v>45456</v>
      </c>
      <c r="D2138" s="13" t="n">
        <v>45468</v>
      </c>
      <c r="E2138" s="13" t="n">
        <v>45474</v>
      </c>
      <c r="F2138" s="4" t="n">
        <v>1012</v>
      </c>
      <c r="G2138" s="4" t="n">
        <v>952</v>
      </c>
      <c r="H2138" s="4" t="n">
        <v>138.21</v>
      </c>
      <c r="I2138" s="4" t="n">
        <v>143.49</v>
      </c>
      <c r="J2138" s="14" t="n">
        <f aca="false">E2138-D2138</f>
        <v>6</v>
      </c>
      <c r="K2138" s="14" t="n">
        <f aca="false">IF(J2138&lt;=0,1,0)</f>
        <v>0</v>
      </c>
      <c r="L2138" s="15" t="n">
        <f aca="false">IFERROR(G2138/F2138,0)</f>
        <v>0.940711462450593</v>
      </c>
      <c r="M2138" s="15" t="n">
        <f aca="false">IFERROR((I2138-H2138)/H2138,0)</f>
        <v>0.0382027349685262</v>
      </c>
      <c r="N2138" s="16" t="n">
        <f aca="false">G2138*I2138</f>
        <v>136602.48</v>
      </c>
    </row>
    <row r="2139" customFormat="false" ht="15" hidden="false" customHeight="true" outlineLevel="0" collapsed="false">
      <c r="A2139" s="4" t="s">
        <v>2315</v>
      </c>
      <c r="B2139" s="4" t="s">
        <v>147</v>
      </c>
      <c r="C2139" s="13" t="n">
        <v>45570</v>
      </c>
      <c r="D2139" s="13" t="n">
        <v>45581</v>
      </c>
      <c r="E2139" s="13" t="n">
        <v>45582</v>
      </c>
      <c r="F2139" s="4" t="n">
        <v>60</v>
      </c>
      <c r="G2139" s="4" t="n">
        <v>60</v>
      </c>
      <c r="H2139" s="4" t="n">
        <v>203.3</v>
      </c>
      <c r="I2139" s="4" t="n">
        <v>212.91</v>
      </c>
      <c r="J2139" s="14" t="n">
        <f aca="false">E2139-D2139</f>
        <v>1</v>
      </c>
      <c r="K2139" s="14" t="n">
        <f aca="false">IF(J2139&lt;=0,1,0)</f>
        <v>0</v>
      </c>
      <c r="L2139" s="15" t="n">
        <f aca="false">IFERROR(G2139/F2139,0)</f>
        <v>1</v>
      </c>
      <c r="M2139" s="15" t="n">
        <f aca="false">IFERROR((I2139-H2139)/H2139,0)</f>
        <v>0.0472700442695523</v>
      </c>
      <c r="N2139" s="16" t="n">
        <f aca="false">G2139*I2139</f>
        <v>12774.6</v>
      </c>
    </row>
    <row r="2140" customFormat="false" ht="15" hidden="false" customHeight="true" outlineLevel="0" collapsed="false">
      <c r="A2140" s="4" t="s">
        <v>2316</v>
      </c>
      <c r="B2140" s="4" t="s">
        <v>87</v>
      </c>
      <c r="C2140" s="13" t="n">
        <v>45647</v>
      </c>
      <c r="D2140" s="13" t="n">
        <v>45658</v>
      </c>
      <c r="E2140" s="13" t="n">
        <v>45656</v>
      </c>
      <c r="F2140" s="4" t="n">
        <v>1057</v>
      </c>
      <c r="G2140" s="4" t="n">
        <v>947</v>
      </c>
      <c r="H2140" s="4" t="n">
        <v>161.95</v>
      </c>
      <c r="I2140" s="4" t="n">
        <v>200.43</v>
      </c>
      <c r="J2140" s="14" t="n">
        <f aca="false">E2140-D2140</f>
        <v>-2</v>
      </c>
      <c r="K2140" s="14" t="n">
        <f aca="false">IF(J2140&lt;=0,1,0)</f>
        <v>1</v>
      </c>
      <c r="L2140" s="15" t="n">
        <f aca="false">IFERROR(G2140/F2140,0)</f>
        <v>0.89593188268685</v>
      </c>
      <c r="M2140" s="15" t="n">
        <f aca="false">IFERROR((I2140-H2140)/H2140,0)</f>
        <v>0.237604198826799</v>
      </c>
      <c r="N2140" s="16" t="n">
        <f aca="false">G2140*I2140</f>
        <v>189807.21</v>
      </c>
    </row>
    <row r="2141" customFormat="false" ht="15" hidden="false" customHeight="true" outlineLevel="0" collapsed="false">
      <c r="A2141" s="4" t="s">
        <v>2317</v>
      </c>
      <c r="B2141" s="4" t="s">
        <v>135</v>
      </c>
      <c r="C2141" s="13" t="n">
        <v>45373</v>
      </c>
      <c r="D2141" s="13" t="n">
        <v>45386</v>
      </c>
      <c r="E2141" s="13" t="n">
        <v>45387</v>
      </c>
      <c r="F2141" s="4" t="n">
        <v>43</v>
      </c>
      <c r="G2141" s="4" t="n">
        <v>42</v>
      </c>
      <c r="H2141" s="4" t="n">
        <v>328.06</v>
      </c>
      <c r="I2141" s="4" t="n">
        <v>323.02</v>
      </c>
      <c r="J2141" s="14" t="n">
        <f aca="false">E2141-D2141</f>
        <v>1</v>
      </c>
      <c r="K2141" s="14" t="n">
        <f aca="false">IF(J2141&lt;=0,1,0)</f>
        <v>0</v>
      </c>
      <c r="L2141" s="15" t="n">
        <f aca="false">IFERROR(G2141/F2141,0)</f>
        <v>0.976744186046512</v>
      </c>
      <c r="M2141" s="15" t="n">
        <f aca="false">IFERROR((I2141-H2141)/H2141,0)</f>
        <v>-0.0153630433457295</v>
      </c>
      <c r="N2141" s="16" t="n">
        <f aca="false">G2141*I2141</f>
        <v>13566.84</v>
      </c>
    </row>
    <row r="2142" customFormat="false" ht="15" hidden="false" customHeight="true" outlineLevel="0" collapsed="false">
      <c r="A2142" s="4" t="s">
        <v>2318</v>
      </c>
      <c r="B2142" s="4" t="s">
        <v>83</v>
      </c>
      <c r="C2142" s="13" t="n">
        <v>45080</v>
      </c>
      <c r="D2142" s="13" t="n">
        <v>45090</v>
      </c>
      <c r="E2142" s="13" t="n">
        <v>45092</v>
      </c>
      <c r="F2142" s="4" t="n">
        <v>474</v>
      </c>
      <c r="G2142" s="4" t="n">
        <v>470</v>
      </c>
      <c r="H2142" s="4" t="n">
        <v>101.36</v>
      </c>
      <c r="I2142" s="4" t="n">
        <v>103.56</v>
      </c>
      <c r="J2142" s="14" t="n">
        <f aca="false">E2142-D2142</f>
        <v>2</v>
      </c>
      <c r="K2142" s="14" t="n">
        <f aca="false">IF(J2142&lt;=0,1,0)</f>
        <v>0</v>
      </c>
      <c r="L2142" s="15" t="n">
        <f aca="false">IFERROR(G2142/F2142,0)</f>
        <v>0.991561181434599</v>
      </c>
      <c r="M2142" s="15" t="n">
        <f aca="false">IFERROR((I2142-H2142)/H2142,0)</f>
        <v>0.0217048145224941</v>
      </c>
      <c r="N2142" s="16" t="n">
        <f aca="false">G2142*I2142</f>
        <v>48673.2</v>
      </c>
    </row>
    <row r="2143" customFormat="false" ht="15" hidden="false" customHeight="true" outlineLevel="0" collapsed="false">
      <c r="A2143" s="4" t="s">
        <v>2319</v>
      </c>
      <c r="B2143" s="4" t="s">
        <v>125</v>
      </c>
      <c r="C2143" s="13" t="n">
        <v>45646</v>
      </c>
      <c r="D2143" s="13" t="n">
        <v>45653</v>
      </c>
      <c r="E2143" s="13" t="n">
        <v>45655</v>
      </c>
      <c r="F2143" s="4" t="n">
        <v>16</v>
      </c>
      <c r="G2143" s="4" t="n">
        <v>14</v>
      </c>
      <c r="H2143" s="4" t="n">
        <v>729.32</v>
      </c>
      <c r="I2143" s="4" t="n">
        <v>742.41</v>
      </c>
      <c r="J2143" s="14" t="n">
        <f aca="false">E2143-D2143</f>
        <v>2</v>
      </c>
      <c r="K2143" s="14" t="n">
        <f aca="false">IF(J2143&lt;=0,1,0)</f>
        <v>0</v>
      </c>
      <c r="L2143" s="15" t="n">
        <f aca="false">IFERROR(G2143/F2143,0)</f>
        <v>0.875</v>
      </c>
      <c r="M2143" s="15" t="n">
        <f aca="false">IFERROR((I2143-H2143)/H2143,0)</f>
        <v>0.017948225744529</v>
      </c>
      <c r="N2143" s="16" t="n">
        <f aca="false">G2143*I2143</f>
        <v>10393.74</v>
      </c>
    </row>
    <row r="2144" customFormat="false" ht="15" hidden="false" customHeight="true" outlineLevel="0" collapsed="false">
      <c r="A2144" s="4" t="s">
        <v>2320</v>
      </c>
      <c r="B2144" s="4" t="s">
        <v>97</v>
      </c>
      <c r="C2144" s="13" t="n">
        <v>45318</v>
      </c>
      <c r="D2144" s="13" t="n">
        <v>45329</v>
      </c>
      <c r="E2144" s="13" t="n">
        <v>45332</v>
      </c>
      <c r="F2144" s="4" t="n">
        <v>1666</v>
      </c>
      <c r="G2144" s="4" t="n">
        <v>1631</v>
      </c>
      <c r="H2144" s="4" t="n">
        <v>123.04</v>
      </c>
      <c r="I2144" s="4" t="n">
        <v>123.37</v>
      </c>
      <c r="J2144" s="14" t="n">
        <f aca="false">E2144-D2144</f>
        <v>3</v>
      </c>
      <c r="K2144" s="14" t="n">
        <f aca="false">IF(J2144&lt;=0,1,0)</f>
        <v>0</v>
      </c>
      <c r="L2144" s="15" t="n">
        <f aca="false">IFERROR(G2144/F2144,0)</f>
        <v>0.978991596638655</v>
      </c>
      <c r="M2144" s="15" t="n">
        <f aca="false">IFERROR((I2144-H2144)/H2144,0)</f>
        <v>0.0026820546163849</v>
      </c>
      <c r="N2144" s="16" t="n">
        <f aca="false">G2144*I2144</f>
        <v>201216.47</v>
      </c>
    </row>
    <row r="2145" customFormat="false" ht="15" hidden="false" customHeight="true" outlineLevel="0" collapsed="false">
      <c r="A2145" s="4" t="s">
        <v>2321</v>
      </c>
      <c r="B2145" s="4" t="s">
        <v>143</v>
      </c>
      <c r="C2145" s="13" t="n">
        <v>45069</v>
      </c>
      <c r="D2145" s="13" t="n">
        <v>45076</v>
      </c>
      <c r="E2145" s="13" t="n">
        <v>45092</v>
      </c>
      <c r="F2145" s="4" t="n">
        <v>2892</v>
      </c>
      <c r="G2145" s="4" t="n">
        <v>2755</v>
      </c>
      <c r="H2145" s="4" t="n">
        <v>20.6</v>
      </c>
      <c r="I2145" s="4" t="n">
        <v>20.78</v>
      </c>
      <c r="J2145" s="14" t="n">
        <f aca="false">E2145-D2145</f>
        <v>16</v>
      </c>
      <c r="K2145" s="14" t="n">
        <f aca="false">IF(J2145&lt;=0,1,0)</f>
        <v>0</v>
      </c>
      <c r="L2145" s="15" t="n">
        <f aca="false">IFERROR(G2145/F2145,0)</f>
        <v>0.952627939142462</v>
      </c>
      <c r="M2145" s="15" t="n">
        <f aca="false">IFERROR((I2145-H2145)/H2145,0)</f>
        <v>0.00873786407766989</v>
      </c>
      <c r="N2145" s="16" t="n">
        <f aca="false">G2145*I2145</f>
        <v>57248.9</v>
      </c>
    </row>
    <row r="2146" customFormat="false" ht="15" hidden="false" customHeight="true" outlineLevel="0" collapsed="false">
      <c r="A2146" s="4" t="s">
        <v>2322</v>
      </c>
      <c r="B2146" s="4" t="s">
        <v>131</v>
      </c>
      <c r="C2146" s="13" t="n">
        <v>44965</v>
      </c>
      <c r="D2146" s="13" t="n">
        <v>44974</v>
      </c>
      <c r="E2146" s="13" t="n">
        <v>44971</v>
      </c>
      <c r="F2146" s="4" t="n">
        <v>1869</v>
      </c>
      <c r="G2146" s="4" t="n">
        <v>1771</v>
      </c>
      <c r="H2146" s="4" t="n">
        <v>88.52</v>
      </c>
      <c r="I2146" s="4" t="n">
        <v>87.52</v>
      </c>
      <c r="J2146" s="14" t="n">
        <f aca="false">E2146-D2146</f>
        <v>-3</v>
      </c>
      <c r="K2146" s="14" t="n">
        <f aca="false">IF(J2146&lt;=0,1,0)</f>
        <v>1</v>
      </c>
      <c r="L2146" s="15" t="n">
        <f aca="false">IFERROR(G2146/F2146,0)</f>
        <v>0.947565543071161</v>
      </c>
      <c r="M2146" s="15" t="n">
        <f aca="false">IFERROR((I2146-H2146)/H2146,0)</f>
        <v>-0.0112968820605513</v>
      </c>
      <c r="N2146" s="16" t="n">
        <f aca="false">G2146*I2146</f>
        <v>154997.92</v>
      </c>
    </row>
    <row r="2147" customFormat="false" ht="15" hidden="false" customHeight="true" outlineLevel="0" collapsed="false">
      <c r="A2147" s="4" t="s">
        <v>2323</v>
      </c>
      <c r="B2147" s="4" t="s">
        <v>61</v>
      </c>
      <c r="C2147" s="13" t="n">
        <v>45610</v>
      </c>
      <c r="D2147" s="13" t="n">
        <v>45619</v>
      </c>
      <c r="E2147" s="13" t="n">
        <v>45625</v>
      </c>
      <c r="F2147" s="4" t="n">
        <v>906</v>
      </c>
      <c r="G2147" s="4" t="n">
        <v>906</v>
      </c>
      <c r="H2147" s="4" t="n">
        <v>107.41</v>
      </c>
      <c r="I2147" s="4" t="n">
        <v>106.15</v>
      </c>
      <c r="J2147" s="14" t="n">
        <f aca="false">E2147-D2147</f>
        <v>6</v>
      </c>
      <c r="K2147" s="14" t="n">
        <f aca="false">IF(J2147&lt;=0,1,0)</f>
        <v>0</v>
      </c>
      <c r="L2147" s="15" t="n">
        <f aca="false">IFERROR(G2147/F2147,0)</f>
        <v>1</v>
      </c>
      <c r="M2147" s="15" t="n">
        <f aca="false">IFERROR((I2147-H2147)/H2147,0)</f>
        <v>-0.011730751326692</v>
      </c>
      <c r="N2147" s="16" t="n">
        <f aca="false">G2147*I2147</f>
        <v>96171.9</v>
      </c>
    </row>
    <row r="2148" customFormat="false" ht="15" hidden="false" customHeight="true" outlineLevel="0" collapsed="false">
      <c r="A2148" s="4" t="s">
        <v>2324</v>
      </c>
      <c r="B2148" s="4" t="s">
        <v>105</v>
      </c>
      <c r="C2148" s="13" t="n">
        <v>45010</v>
      </c>
      <c r="D2148" s="13" t="n">
        <v>45028</v>
      </c>
      <c r="E2148" s="13" t="n">
        <v>45030</v>
      </c>
      <c r="F2148" s="4" t="n">
        <v>391</v>
      </c>
      <c r="G2148" s="4" t="n">
        <v>374</v>
      </c>
      <c r="H2148" s="4" t="n">
        <v>685.84</v>
      </c>
      <c r="I2148" s="4" t="n">
        <v>687.96</v>
      </c>
      <c r="J2148" s="14" t="n">
        <f aca="false">E2148-D2148</f>
        <v>2</v>
      </c>
      <c r="K2148" s="14" t="n">
        <f aca="false">IF(J2148&lt;=0,1,0)</f>
        <v>0</v>
      </c>
      <c r="L2148" s="15" t="n">
        <f aca="false">IFERROR(G2148/F2148,0)</f>
        <v>0.956521739130435</v>
      </c>
      <c r="M2148" s="15" t="n">
        <f aca="false">IFERROR((I2148-H2148)/H2148,0)</f>
        <v>0.00309109996500642</v>
      </c>
      <c r="N2148" s="16" t="n">
        <f aca="false">G2148*I2148</f>
        <v>257297.04</v>
      </c>
    </row>
    <row r="2149" customFormat="false" ht="15" hidden="false" customHeight="true" outlineLevel="0" collapsed="false">
      <c r="A2149" s="4" t="s">
        <v>2325</v>
      </c>
      <c r="B2149" s="4" t="s">
        <v>109</v>
      </c>
      <c r="C2149" s="13" t="n">
        <v>45527</v>
      </c>
      <c r="D2149" s="13" t="n">
        <v>45545</v>
      </c>
      <c r="E2149" s="13" t="n">
        <v>45549</v>
      </c>
      <c r="F2149" s="4" t="n">
        <v>466</v>
      </c>
      <c r="G2149" s="4" t="n">
        <v>455</v>
      </c>
      <c r="H2149" s="4" t="n">
        <v>858.02</v>
      </c>
      <c r="I2149" s="4" t="n">
        <v>902.36</v>
      </c>
      <c r="J2149" s="14" t="n">
        <f aca="false">E2149-D2149</f>
        <v>4</v>
      </c>
      <c r="K2149" s="14" t="n">
        <f aca="false">IF(J2149&lt;=0,1,0)</f>
        <v>0</v>
      </c>
      <c r="L2149" s="15" t="n">
        <f aca="false">IFERROR(G2149/F2149,0)</f>
        <v>0.976394849785408</v>
      </c>
      <c r="M2149" s="15" t="n">
        <f aca="false">IFERROR((I2149-H2149)/H2149,0)</f>
        <v>0.0516771170835179</v>
      </c>
      <c r="N2149" s="16" t="n">
        <f aca="false">G2149*I2149</f>
        <v>410573.8</v>
      </c>
    </row>
    <row r="2150" customFormat="false" ht="15" hidden="false" customHeight="true" outlineLevel="0" collapsed="false">
      <c r="A2150" s="4" t="s">
        <v>2326</v>
      </c>
      <c r="B2150" s="4" t="s">
        <v>52</v>
      </c>
      <c r="C2150" s="13" t="n">
        <v>45622</v>
      </c>
      <c r="D2150" s="13" t="n">
        <v>45632</v>
      </c>
      <c r="E2150" s="13" t="n">
        <v>45638</v>
      </c>
      <c r="F2150" s="4" t="n">
        <v>1021</v>
      </c>
      <c r="G2150" s="4" t="n">
        <v>854</v>
      </c>
      <c r="H2150" s="4" t="n">
        <v>170.24</v>
      </c>
      <c r="I2150" s="4" t="n">
        <v>178.14</v>
      </c>
      <c r="J2150" s="14" t="n">
        <f aca="false">E2150-D2150</f>
        <v>6</v>
      </c>
      <c r="K2150" s="14" t="n">
        <f aca="false">IF(J2150&lt;=0,1,0)</f>
        <v>0</v>
      </c>
      <c r="L2150" s="15" t="n">
        <f aca="false">IFERROR(G2150/F2150,0)</f>
        <v>0.83643486777669</v>
      </c>
      <c r="M2150" s="15" t="n">
        <f aca="false">IFERROR((I2150-H2150)/H2150,0)</f>
        <v>0.0464050751879698</v>
      </c>
      <c r="N2150" s="16" t="n">
        <f aca="false">G2150*I2150</f>
        <v>152131.56</v>
      </c>
    </row>
    <row r="2151" customFormat="false" ht="15" hidden="false" customHeight="true" outlineLevel="0" collapsed="false">
      <c r="A2151" s="4" t="s">
        <v>2327</v>
      </c>
      <c r="B2151" s="4" t="s">
        <v>37</v>
      </c>
      <c r="C2151" s="13" t="n">
        <v>45466</v>
      </c>
      <c r="D2151" s="13" t="n">
        <v>45475</v>
      </c>
      <c r="E2151" s="13" t="n">
        <v>45478</v>
      </c>
      <c r="F2151" s="4" t="n">
        <v>1004</v>
      </c>
      <c r="G2151" s="4" t="n">
        <v>1004</v>
      </c>
      <c r="H2151" s="4" t="n">
        <v>22.26</v>
      </c>
      <c r="I2151" s="4" t="n">
        <v>21.16</v>
      </c>
      <c r="J2151" s="14" t="n">
        <f aca="false">E2151-D2151</f>
        <v>3</v>
      </c>
      <c r="K2151" s="14" t="n">
        <f aca="false">IF(J2151&lt;=0,1,0)</f>
        <v>0</v>
      </c>
      <c r="L2151" s="15" t="n">
        <f aca="false">IFERROR(G2151/F2151,0)</f>
        <v>1</v>
      </c>
      <c r="M2151" s="15" t="n">
        <f aca="false">IFERROR((I2151-H2151)/H2151,0)</f>
        <v>-0.0494159928122193</v>
      </c>
      <c r="N2151" s="16" t="n">
        <f aca="false">G2151*I2151</f>
        <v>21244.64</v>
      </c>
    </row>
    <row r="2152" customFormat="false" ht="15" hidden="false" customHeight="true" outlineLevel="0" collapsed="false">
      <c r="A2152" s="4" t="s">
        <v>2328</v>
      </c>
      <c r="B2152" s="4" t="s">
        <v>97</v>
      </c>
      <c r="C2152" s="13" t="n">
        <v>45151</v>
      </c>
      <c r="D2152" s="13" t="n">
        <v>45163</v>
      </c>
      <c r="E2152" s="13" t="n">
        <v>45168</v>
      </c>
      <c r="F2152" s="4" t="n">
        <v>631</v>
      </c>
      <c r="G2152" s="4" t="n">
        <v>628</v>
      </c>
      <c r="H2152" s="4" t="n">
        <v>123.04</v>
      </c>
      <c r="I2152" s="4" t="n">
        <v>122.89</v>
      </c>
      <c r="J2152" s="14" t="n">
        <f aca="false">E2152-D2152</f>
        <v>5</v>
      </c>
      <c r="K2152" s="14" t="n">
        <f aca="false">IF(J2152&lt;=0,1,0)</f>
        <v>0</v>
      </c>
      <c r="L2152" s="15" t="n">
        <f aca="false">IFERROR(G2152/F2152,0)</f>
        <v>0.995245641838352</v>
      </c>
      <c r="M2152" s="15" t="n">
        <f aca="false">IFERROR((I2152-H2152)/H2152,0)</f>
        <v>-0.00121911573472046</v>
      </c>
      <c r="N2152" s="16" t="n">
        <f aca="false">G2152*I2152</f>
        <v>77174.92</v>
      </c>
    </row>
    <row r="2153" customFormat="false" ht="15" hidden="false" customHeight="true" outlineLevel="0" collapsed="false">
      <c r="A2153" s="4" t="s">
        <v>2329</v>
      </c>
      <c r="B2153" s="4" t="s">
        <v>135</v>
      </c>
      <c r="C2153" s="13" t="n">
        <v>45645</v>
      </c>
      <c r="D2153" s="13" t="n">
        <v>45658</v>
      </c>
      <c r="E2153" s="13" t="n">
        <v>45659</v>
      </c>
      <c r="F2153" s="4" t="n">
        <v>40</v>
      </c>
      <c r="G2153" s="4" t="n">
        <v>40</v>
      </c>
      <c r="H2153" s="4" t="n">
        <v>328.06</v>
      </c>
      <c r="I2153" s="4" t="n">
        <v>321.86</v>
      </c>
      <c r="J2153" s="14" t="n">
        <f aca="false">E2153-D2153</f>
        <v>1</v>
      </c>
      <c r="K2153" s="14" t="n">
        <f aca="false">IF(J2153&lt;=0,1,0)</f>
        <v>0</v>
      </c>
      <c r="L2153" s="15" t="n">
        <f aca="false">IFERROR(G2153/F2153,0)</f>
        <v>1</v>
      </c>
      <c r="M2153" s="15" t="n">
        <f aca="false">IFERROR((I2153-H2153)/H2153,0)</f>
        <v>-0.018898981893556</v>
      </c>
      <c r="N2153" s="16" t="n">
        <f aca="false">G2153*I2153</f>
        <v>12874.4</v>
      </c>
    </row>
    <row r="2154" customFormat="false" ht="15" hidden="false" customHeight="true" outlineLevel="0" collapsed="false">
      <c r="A2154" s="4" t="s">
        <v>2330</v>
      </c>
      <c r="B2154" s="4" t="s">
        <v>107</v>
      </c>
      <c r="C2154" s="13" t="n">
        <v>45437</v>
      </c>
      <c r="D2154" s="13" t="n">
        <v>45443</v>
      </c>
      <c r="E2154" s="13" t="n">
        <v>45448</v>
      </c>
      <c r="F2154" s="4" t="n">
        <v>3218</v>
      </c>
      <c r="G2154" s="4" t="n">
        <v>3096</v>
      </c>
      <c r="H2154" s="4" t="n">
        <v>40.41</v>
      </c>
      <c r="I2154" s="4" t="n">
        <v>40.92</v>
      </c>
      <c r="J2154" s="14" t="n">
        <f aca="false">E2154-D2154</f>
        <v>5</v>
      </c>
      <c r="K2154" s="14" t="n">
        <f aca="false">IF(J2154&lt;=0,1,0)</f>
        <v>0</v>
      </c>
      <c r="L2154" s="15" t="n">
        <f aca="false">IFERROR(G2154/F2154,0)</f>
        <v>0.962088253573648</v>
      </c>
      <c r="M2154" s="15" t="n">
        <f aca="false">IFERROR((I2154-H2154)/H2154,0)</f>
        <v>0.0126206384558279</v>
      </c>
      <c r="N2154" s="16" t="n">
        <f aca="false">G2154*I2154</f>
        <v>126688.32</v>
      </c>
    </row>
    <row r="2155" customFormat="false" ht="15" hidden="false" customHeight="true" outlineLevel="0" collapsed="false">
      <c r="A2155" s="4" t="s">
        <v>2331</v>
      </c>
      <c r="B2155" s="4" t="s">
        <v>77</v>
      </c>
      <c r="C2155" s="13" t="n">
        <v>44992</v>
      </c>
      <c r="D2155" s="13" t="n">
        <v>45001</v>
      </c>
      <c r="E2155" s="13" t="n">
        <v>45020</v>
      </c>
      <c r="F2155" s="4" t="n">
        <v>872</v>
      </c>
      <c r="G2155" s="4" t="n">
        <v>853</v>
      </c>
      <c r="H2155" s="4" t="n">
        <v>36.83</v>
      </c>
      <c r="I2155" s="4" t="n">
        <v>36.69</v>
      </c>
      <c r="J2155" s="14" t="n">
        <f aca="false">E2155-D2155</f>
        <v>19</v>
      </c>
      <c r="K2155" s="14" t="n">
        <f aca="false">IF(J2155&lt;=0,1,0)</f>
        <v>0</v>
      </c>
      <c r="L2155" s="15" t="n">
        <f aca="false">IFERROR(G2155/F2155,0)</f>
        <v>0.978211009174312</v>
      </c>
      <c r="M2155" s="15" t="n">
        <f aca="false">IFERROR((I2155-H2155)/H2155,0)</f>
        <v>-0.00380124898180832</v>
      </c>
      <c r="N2155" s="16" t="n">
        <f aca="false">G2155*I2155</f>
        <v>31296.57</v>
      </c>
    </row>
    <row r="2156" customFormat="false" ht="15" hidden="false" customHeight="true" outlineLevel="0" collapsed="false">
      <c r="A2156" s="4" t="s">
        <v>2332</v>
      </c>
      <c r="B2156" s="4" t="s">
        <v>107</v>
      </c>
      <c r="C2156" s="13" t="n">
        <v>45367</v>
      </c>
      <c r="D2156" s="13" t="n">
        <v>45373</v>
      </c>
      <c r="E2156" s="13" t="n">
        <v>45374</v>
      </c>
      <c r="F2156" s="4" t="n">
        <v>2482</v>
      </c>
      <c r="G2156" s="4" t="n">
        <v>2482</v>
      </c>
      <c r="H2156" s="4" t="n">
        <v>40.41</v>
      </c>
      <c r="I2156" s="4" t="n">
        <v>39.93</v>
      </c>
      <c r="J2156" s="14" t="n">
        <f aca="false">E2156-D2156</f>
        <v>1</v>
      </c>
      <c r="K2156" s="14" t="n">
        <f aca="false">IF(J2156&lt;=0,1,0)</f>
        <v>0</v>
      </c>
      <c r="L2156" s="15" t="n">
        <f aca="false">IFERROR(G2156/F2156,0)</f>
        <v>1</v>
      </c>
      <c r="M2156" s="15" t="n">
        <f aca="false">IFERROR((I2156-H2156)/H2156,0)</f>
        <v>-0.0118782479584261</v>
      </c>
      <c r="N2156" s="16" t="n">
        <f aca="false">G2156*I2156</f>
        <v>99106.26</v>
      </c>
    </row>
    <row r="2157" customFormat="false" ht="15" hidden="false" customHeight="true" outlineLevel="0" collapsed="false">
      <c r="A2157" s="4" t="s">
        <v>2333</v>
      </c>
      <c r="B2157" s="4" t="s">
        <v>157</v>
      </c>
      <c r="C2157" s="13" t="n">
        <v>45034</v>
      </c>
      <c r="D2157" s="13" t="n">
        <v>45040</v>
      </c>
      <c r="E2157" s="13" t="n">
        <v>45043</v>
      </c>
      <c r="F2157" s="4" t="n">
        <v>2411</v>
      </c>
      <c r="G2157" s="4" t="n">
        <v>2280</v>
      </c>
      <c r="H2157" s="4" t="n">
        <v>13.1</v>
      </c>
      <c r="I2157" s="4" t="n">
        <v>13.19</v>
      </c>
      <c r="J2157" s="14" t="n">
        <f aca="false">E2157-D2157</f>
        <v>3</v>
      </c>
      <c r="K2157" s="14" t="n">
        <f aca="false">IF(J2157&lt;=0,1,0)</f>
        <v>0</v>
      </c>
      <c r="L2157" s="15" t="n">
        <f aca="false">IFERROR(G2157/F2157,0)</f>
        <v>0.945665698880133</v>
      </c>
      <c r="M2157" s="15" t="n">
        <f aca="false">IFERROR((I2157-H2157)/H2157,0)</f>
        <v>0.00687022900763358</v>
      </c>
      <c r="N2157" s="16" t="n">
        <f aca="false">G2157*I2157</f>
        <v>30073.2</v>
      </c>
    </row>
    <row r="2158" customFormat="false" ht="15" hidden="false" customHeight="true" outlineLevel="0" collapsed="false">
      <c r="A2158" s="4" t="s">
        <v>2334</v>
      </c>
      <c r="B2158" s="4" t="s">
        <v>151</v>
      </c>
      <c r="C2158" s="13" t="n">
        <v>45322</v>
      </c>
      <c r="D2158" s="13" t="n">
        <v>45326</v>
      </c>
      <c r="E2158" s="13" t="n">
        <v>45329</v>
      </c>
      <c r="F2158" s="4" t="n">
        <v>5</v>
      </c>
      <c r="G2158" s="4" t="n">
        <v>5</v>
      </c>
      <c r="H2158" s="4" t="n">
        <v>503.46</v>
      </c>
      <c r="I2158" s="4" t="n">
        <v>510.67</v>
      </c>
      <c r="J2158" s="14" t="n">
        <f aca="false">E2158-D2158</f>
        <v>3</v>
      </c>
      <c r="K2158" s="14" t="n">
        <f aca="false">IF(J2158&lt;=0,1,0)</f>
        <v>0</v>
      </c>
      <c r="L2158" s="15" t="n">
        <f aca="false">IFERROR(G2158/F2158,0)</f>
        <v>1</v>
      </c>
      <c r="M2158" s="15" t="n">
        <f aca="false">IFERROR((I2158-H2158)/H2158,0)</f>
        <v>0.014320899376316</v>
      </c>
      <c r="N2158" s="16" t="n">
        <f aca="false">G2158*I2158</f>
        <v>2553.35</v>
      </c>
    </row>
    <row r="2159" customFormat="false" ht="15" hidden="false" customHeight="true" outlineLevel="0" collapsed="false">
      <c r="A2159" s="4" t="s">
        <v>2335</v>
      </c>
      <c r="B2159" s="4" t="s">
        <v>137</v>
      </c>
      <c r="C2159" s="13" t="n">
        <v>45415</v>
      </c>
      <c r="D2159" s="13" t="n">
        <v>45432</v>
      </c>
      <c r="E2159" s="13" t="n">
        <v>45430</v>
      </c>
      <c r="F2159" s="4" t="n">
        <v>194</v>
      </c>
      <c r="G2159" s="4" t="n">
        <v>177</v>
      </c>
      <c r="H2159" s="4" t="n">
        <v>1047.25</v>
      </c>
      <c r="I2159" s="4" t="n">
        <v>1084.59</v>
      </c>
      <c r="J2159" s="14" t="n">
        <f aca="false">E2159-D2159</f>
        <v>-2</v>
      </c>
      <c r="K2159" s="14" t="n">
        <f aca="false">IF(J2159&lt;=0,1,0)</f>
        <v>1</v>
      </c>
      <c r="L2159" s="15" t="n">
        <f aca="false">IFERROR(G2159/F2159,0)</f>
        <v>0.912371134020619</v>
      </c>
      <c r="M2159" s="15" t="n">
        <f aca="false">IFERROR((I2159-H2159)/H2159,0)</f>
        <v>0.0356552876581522</v>
      </c>
      <c r="N2159" s="16" t="n">
        <f aca="false">G2159*I2159</f>
        <v>191972.43</v>
      </c>
    </row>
    <row r="2160" customFormat="false" ht="15" hidden="false" customHeight="true" outlineLevel="0" collapsed="false">
      <c r="A2160" s="4" t="s">
        <v>2336</v>
      </c>
      <c r="B2160" s="4" t="s">
        <v>145</v>
      </c>
      <c r="C2160" s="13" t="n">
        <v>45430</v>
      </c>
      <c r="D2160" s="13" t="n">
        <v>45440</v>
      </c>
      <c r="E2160" s="13" t="n">
        <v>45438</v>
      </c>
      <c r="F2160" s="4" t="n">
        <v>779</v>
      </c>
      <c r="G2160" s="4" t="n">
        <v>763</v>
      </c>
      <c r="H2160" s="4" t="n">
        <v>237.04</v>
      </c>
      <c r="I2160" s="4" t="n">
        <v>267.14</v>
      </c>
      <c r="J2160" s="14" t="n">
        <f aca="false">E2160-D2160</f>
        <v>-2</v>
      </c>
      <c r="K2160" s="14" t="n">
        <f aca="false">IF(J2160&lt;=0,1,0)</f>
        <v>1</v>
      </c>
      <c r="L2160" s="15" t="n">
        <f aca="false">IFERROR(G2160/F2160,0)</f>
        <v>0.979460847240051</v>
      </c>
      <c r="M2160" s="15" t="n">
        <f aca="false">IFERROR((I2160-H2160)/H2160,0)</f>
        <v>0.126982787715154</v>
      </c>
      <c r="N2160" s="16" t="n">
        <f aca="false">G2160*I2160</f>
        <v>203827.82</v>
      </c>
    </row>
    <row r="2161" customFormat="false" ht="15" hidden="false" customHeight="true" outlineLevel="0" collapsed="false">
      <c r="A2161" s="4" t="s">
        <v>2337</v>
      </c>
      <c r="B2161" s="4" t="s">
        <v>155</v>
      </c>
      <c r="C2161" s="13" t="n">
        <v>45007</v>
      </c>
      <c r="D2161" s="13" t="n">
        <v>45013</v>
      </c>
      <c r="E2161" s="13" t="n">
        <v>45011</v>
      </c>
      <c r="F2161" s="4" t="n">
        <v>506</v>
      </c>
      <c r="G2161" s="4" t="n">
        <v>487</v>
      </c>
      <c r="H2161" s="4" t="n">
        <v>24.04</v>
      </c>
      <c r="I2161" s="4" t="n">
        <v>23.64</v>
      </c>
      <c r="J2161" s="14" t="n">
        <f aca="false">E2161-D2161</f>
        <v>-2</v>
      </c>
      <c r="K2161" s="14" t="n">
        <f aca="false">IF(J2161&lt;=0,1,0)</f>
        <v>1</v>
      </c>
      <c r="L2161" s="15" t="n">
        <f aca="false">IFERROR(G2161/F2161,0)</f>
        <v>0.962450592885376</v>
      </c>
      <c r="M2161" s="15" t="n">
        <f aca="false">IFERROR((I2161-H2161)/H2161,0)</f>
        <v>-0.016638935108153</v>
      </c>
      <c r="N2161" s="16" t="n">
        <f aca="false">G2161*I2161</f>
        <v>11512.68</v>
      </c>
    </row>
    <row r="2162" customFormat="false" ht="15" hidden="false" customHeight="true" outlineLevel="0" collapsed="false">
      <c r="A2162" s="4" t="s">
        <v>2338</v>
      </c>
      <c r="B2162" s="4" t="s">
        <v>127</v>
      </c>
      <c r="C2162" s="13" t="n">
        <v>44974</v>
      </c>
      <c r="D2162" s="13" t="n">
        <v>44981</v>
      </c>
      <c r="E2162" s="13" t="n">
        <v>44984</v>
      </c>
      <c r="F2162" s="4" t="n">
        <v>14</v>
      </c>
      <c r="G2162" s="4" t="n">
        <v>14</v>
      </c>
      <c r="H2162" s="4" t="n">
        <v>1881</v>
      </c>
      <c r="I2162" s="4" t="n">
        <v>1874.06</v>
      </c>
      <c r="J2162" s="14" t="n">
        <f aca="false">E2162-D2162</f>
        <v>3</v>
      </c>
      <c r="K2162" s="14" t="n">
        <f aca="false">IF(J2162&lt;=0,1,0)</f>
        <v>0</v>
      </c>
      <c r="L2162" s="15" t="n">
        <f aca="false">IFERROR(G2162/F2162,0)</f>
        <v>1</v>
      </c>
      <c r="M2162" s="15" t="n">
        <f aca="false">IFERROR((I2162-H2162)/H2162,0)</f>
        <v>-0.00368952684742161</v>
      </c>
      <c r="N2162" s="16" t="n">
        <f aca="false">G2162*I2162</f>
        <v>26236.84</v>
      </c>
    </row>
    <row r="2163" customFormat="false" ht="15" hidden="false" customHeight="true" outlineLevel="0" collapsed="false">
      <c r="A2163" s="4" t="s">
        <v>2339</v>
      </c>
      <c r="B2163" s="4" t="s">
        <v>135</v>
      </c>
      <c r="C2163" s="13" t="n">
        <v>44995</v>
      </c>
      <c r="D2163" s="13" t="n">
        <v>45007</v>
      </c>
      <c r="E2163" s="13" t="n">
        <v>45007</v>
      </c>
      <c r="F2163" s="4" t="n">
        <v>107</v>
      </c>
      <c r="G2163" s="4" t="n">
        <v>106</v>
      </c>
      <c r="H2163" s="4" t="n">
        <v>328.06</v>
      </c>
      <c r="I2163" s="4" t="n">
        <v>329.79</v>
      </c>
      <c r="J2163" s="14" t="n">
        <f aca="false">E2163-D2163</f>
        <v>0</v>
      </c>
      <c r="K2163" s="14" t="n">
        <f aca="false">IF(J2163&lt;=0,1,0)</f>
        <v>1</v>
      </c>
      <c r="L2163" s="15" t="n">
        <f aca="false">IFERROR(G2163/F2163,0)</f>
        <v>0.990654205607477</v>
      </c>
      <c r="M2163" s="15" t="n">
        <f aca="false">IFERROR((I2163-H2163)/H2163,0)</f>
        <v>0.00527342559287941</v>
      </c>
      <c r="N2163" s="16" t="n">
        <f aca="false">G2163*I2163</f>
        <v>34957.74</v>
      </c>
    </row>
    <row r="2164" customFormat="false" ht="15" hidden="false" customHeight="true" outlineLevel="0" collapsed="false">
      <c r="A2164" s="4" t="s">
        <v>2340</v>
      </c>
      <c r="B2164" s="4" t="s">
        <v>77</v>
      </c>
      <c r="C2164" s="13" t="n">
        <v>45446</v>
      </c>
      <c r="D2164" s="13" t="n">
        <v>45452</v>
      </c>
      <c r="E2164" s="13" t="n">
        <v>45469</v>
      </c>
      <c r="F2164" s="4" t="n">
        <v>2217</v>
      </c>
      <c r="G2164" s="4" t="n">
        <v>2159</v>
      </c>
      <c r="H2164" s="4" t="n">
        <v>36.83</v>
      </c>
      <c r="I2164" s="4" t="n">
        <v>34.82</v>
      </c>
      <c r="J2164" s="14" t="n">
        <f aca="false">E2164-D2164</f>
        <v>17</v>
      </c>
      <c r="K2164" s="14" t="n">
        <f aca="false">IF(J2164&lt;=0,1,0)</f>
        <v>0</v>
      </c>
      <c r="L2164" s="15" t="n">
        <f aca="false">IFERROR(G2164/F2164,0)</f>
        <v>0.97383852052323</v>
      </c>
      <c r="M2164" s="15" t="n">
        <f aca="false">IFERROR((I2164-H2164)/H2164,0)</f>
        <v>-0.0545750746673907</v>
      </c>
      <c r="N2164" s="16" t="n">
        <f aca="false">G2164*I2164</f>
        <v>75176.38</v>
      </c>
    </row>
    <row r="2165" customFormat="false" ht="15" hidden="false" customHeight="true" outlineLevel="0" collapsed="false">
      <c r="A2165" s="4" t="s">
        <v>2341</v>
      </c>
      <c r="B2165" s="4" t="s">
        <v>58</v>
      </c>
      <c r="C2165" s="13" t="n">
        <v>45290</v>
      </c>
      <c r="D2165" s="13" t="n">
        <v>45303</v>
      </c>
      <c r="E2165" s="13" t="n">
        <v>45303</v>
      </c>
      <c r="F2165" s="4" t="n">
        <v>137</v>
      </c>
      <c r="G2165" s="4" t="n">
        <v>133</v>
      </c>
      <c r="H2165" s="4" t="n">
        <v>135.68</v>
      </c>
      <c r="I2165" s="4" t="n">
        <v>138.79</v>
      </c>
      <c r="J2165" s="14" t="n">
        <f aca="false">E2165-D2165</f>
        <v>0</v>
      </c>
      <c r="K2165" s="14" t="n">
        <f aca="false">IF(J2165&lt;=0,1,0)</f>
        <v>1</v>
      </c>
      <c r="L2165" s="15" t="n">
        <f aca="false">IFERROR(G2165/F2165,0)</f>
        <v>0.970802919708029</v>
      </c>
      <c r="M2165" s="15" t="n">
        <f aca="false">IFERROR((I2165-H2165)/H2165,0)</f>
        <v>0.0229215801886791</v>
      </c>
      <c r="N2165" s="16" t="n">
        <f aca="false">G2165*I2165</f>
        <v>18459.07</v>
      </c>
    </row>
    <row r="2166" customFormat="false" ht="15" hidden="false" customHeight="true" outlineLevel="0" collapsed="false">
      <c r="A2166" s="4" t="s">
        <v>2342</v>
      </c>
      <c r="B2166" s="4" t="s">
        <v>93</v>
      </c>
      <c r="C2166" s="13" t="n">
        <v>45640</v>
      </c>
      <c r="D2166" s="13" t="n">
        <v>45652</v>
      </c>
      <c r="E2166" s="13" t="n">
        <v>45654</v>
      </c>
      <c r="F2166" s="4" t="n">
        <v>1088</v>
      </c>
      <c r="G2166" s="4" t="n">
        <v>1062</v>
      </c>
      <c r="H2166" s="4" t="n">
        <v>174.25</v>
      </c>
      <c r="I2166" s="4" t="n">
        <v>190.7</v>
      </c>
      <c r="J2166" s="14" t="n">
        <f aca="false">E2166-D2166</f>
        <v>2</v>
      </c>
      <c r="K2166" s="14" t="n">
        <f aca="false">IF(J2166&lt;=0,1,0)</f>
        <v>0</v>
      </c>
      <c r="L2166" s="15" t="n">
        <f aca="false">IFERROR(G2166/F2166,0)</f>
        <v>0.976102941176471</v>
      </c>
      <c r="M2166" s="15" t="n">
        <f aca="false">IFERROR((I2166-H2166)/H2166,0)</f>
        <v>0.0944045911047345</v>
      </c>
      <c r="N2166" s="16" t="n">
        <f aca="false">G2166*I2166</f>
        <v>202523.4</v>
      </c>
    </row>
    <row r="2167" customFormat="false" ht="15" hidden="false" customHeight="true" outlineLevel="0" collapsed="false">
      <c r="A2167" s="4" t="s">
        <v>2343</v>
      </c>
      <c r="B2167" s="4" t="s">
        <v>55</v>
      </c>
      <c r="C2167" s="13" t="n">
        <v>45435</v>
      </c>
      <c r="D2167" s="13" t="n">
        <v>45452</v>
      </c>
      <c r="E2167" s="13" t="n">
        <v>45444</v>
      </c>
      <c r="F2167" s="4" t="n">
        <v>499</v>
      </c>
      <c r="G2167" s="4" t="n">
        <v>481</v>
      </c>
      <c r="H2167" s="4" t="n">
        <v>598.09</v>
      </c>
      <c r="I2167" s="4" t="n">
        <v>570.67</v>
      </c>
      <c r="J2167" s="14" t="n">
        <f aca="false">E2167-D2167</f>
        <v>-8</v>
      </c>
      <c r="K2167" s="14" t="n">
        <f aca="false">IF(J2167&lt;=0,1,0)</f>
        <v>1</v>
      </c>
      <c r="L2167" s="15" t="n">
        <f aca="false">IFERROR(G2167/F2167,0)</f>
        <v>0.963927855711423</v>
      </c>
      <c r="M2167" s="15" t="n">
        <f aca="false">IFERROR((I2167-H2167)/H2167,0)</f>
        <v>-0.04584594291829</v>
      </c>
      <c r="N2167" s="16" t="n">
        <f aca="false">G2167*I2167</f>
        <v>274492.27</v>
      </c>
    </row>
    <row r="2168" customFormat="false" ht="15" hidden="false" customHeight="true" outlineLevel="0" collapsed="false">
      <c r="A2168" s="4" t="s">
        <v>2344</v>
      </c>
      <c r="B2168" s="4" t="s">
        <v>155</v>
      </c>
      <c r="C2168" s="13" t="n">
        <v>45287</v>
      </c>
      <c r="D2168" s="13" t="n">
        <v>45295</v>
      </c>
      <c r="E2168" s="13" t="n">
        <v>45291</v>
      </c>
      <c r="F2168" s="4" t="n">
        <v>2474</v>
      </c>
      <c r="G2168" s="4" t="n">
        <v>2362</v>
      </c>
      <c r="H2168" s="4" t="n">
        <v>24.04</v>
      </c>
      <c r="I2168" s="4" t="n">
        <v>23.5</v>
      </c>
      <c r="J2168" s="14" t="n">
        <f aca="false">E2168-D2168</f>
        <v>-4</v>
      </c>
      <c r="K2168" s="14" t="n">
        <f aca="false">IF(J2168&lt;=0,1,0)</f>
        <v>1</v>
      </c>
      <c r="L2168" s="15" t="n">
        <f aca="false">IFERROR(G2168/F2168,0)</f>
        <v>0.954729183508488</v>
      </c>
      <c r="M2168" s="15" t="n">
        <f aca="false">IFERROR((I2168-H2168)/H2168,0)</f>
        <v>-0.0224625623960066</v>
      </c>
      <c r="N2168" s="16" t="n">
        <f aca="false">G2168*I2168</f>
        <v>55507</v>
      </c>
    </row>
    <row r="2169" customFormat="false" ht="15" hidden="false" customHeight="true" outlineLevel="0" collapsed="false">
      <c r="A2169" s="4" t="s">
        <v>2345</v>
      </c>
      <c r="B2169" s="4" t="s">
        <v>85</v>
      </c>
      <c r="C2169" s="13" t="n">
        <v>45158</v>
      </c>
      <c r="D2169" s="13" t="n">
        <v>45170</v>
      </c>
      <c r="E2169" s="13" t="n">
        <v>45171</v>
      </c>
      <c r="F2169" s="4" t="n">
        <v>911</v>
      </c>
      <c r="G2169" s="4" t="n">
        <v>850</v>
      </c>
      <c r="H2169" s="4" t="n">
        <v>241.88</v>
      </c>
      <c r="I2169" s="4" t="n">
        <v>237.02</v>
      </c>
      <c r="J2169" s="14" t="n">
        <f aca="false">E2169-D2169</f>
        <v>1</v>
      </c>
      <c r="K2169" s="14" t="n">
        <f aca="false">IF(J2169&lt;=0,1,0)</f>
        <v>0</v>
      </c>
      <c r="L2169" s="15" t="n">
        <f aca="false">IFERROR(G2169/F2169,0)</f>
        <v>0.933040614709111</v>
      </c>
      <c r="M2169" s="15" t="n">
        <f aca="false">IFERROR((I2169-H2169)/H2169,0)</f>
        <v>-0.0200926079047461</v>
      </c>
      <c r="N2169" s="16" t="n">
        <f aca="false">G2169*I2169</f>
        <v>201467</v>
      </c>
    </row>
    <row r="2170" customFormat="false" ht="15" hidden="false" customHeight="true" outlineLevel="0" collapsed="false">
      <c r="A2170" s="4" t="s">
        <v>2346</v>
      </c>
      <c r="B2170" s="4" t="s">
        <v>159</v>
      </c>
      <c r="C2170" s="13" t="n">
        <v>45505</v>
      </c>
      <c r="D2170" s="13" t="n">
        <v>45511</v>
      </c>
      <c r="E2170" s="13" t="n">
        <v>45512</v>
      </c>
      <c r="F2170" s="4" t="n">
        <v>2854</v>
      </c>
      <c r="G2170" s="4" t="n">
        <v>2854</v>
      </c>
      <c r="H2170" s="4" t="n">
        <v>32.91</v>
      </c>
      <c r="I2170" s="4" t="n">
        <v>33.52</v>
      </c>
      <c r="J2170" s="14" t="n">
        <f aca="false">E2170-D2170</f>
        <v>1</v>
      </c>
      <c r="K2170" s="14" t="n">
        <f aca="false">IF(J2170&lt;=0,1,0)</f>
        <v>0</v>
      </c>
      <c r="L2170" s="15" t="n">
        <f aca="false">IFERROR(G2170/F2170,0)</f>
        <v>1</v>
      </c>
      <c r="M2170" s="15" t="n">
        <f aca="false">IFERROR((I2170-H2170)/H2170,0)</f>
        <v>0.0185353995745976</v>
      </c>
      <c r="N2170" s="16" t="n">
        <f aca="false">G2170*I2170</f>
        <v>95666.08</v>
      </c>
    </row>
    <row r="2171" customFormat="false" ht="15" hidden="false" customHeight="true" outlineLevel="0" collapsed="false">
      <c r="A2171" s="4" t="s">
        <v>2347</v>
      </c>
      <c r="B2171" s="4" t="s">
        <v>72</v>
      </c>
      <c r="C2171" s="13" t="n">
        <v>44931</v>
      </c>
      <c r="D2171" s="13" t="n">
        <v>44938</v>
      </c>
      <c r="E2171" s="13" t="n">
        <v>44943</v>
      </c>
      <c r="F2171" s="4" t="n">
        <v>754</v>
      </c>
      <c r="G2171" s="4" t="n">
        <v>723</v>
      </c>
      <c r="H2171" s="4" t="n">
        <v>34.53</v>
      </c>
      <c r="I2171" s="4" t="n">
        <v>34.42</v>
      </c>
      <c r="J2171" s="14" t="n">
        <f aca="false">E2171-D2171</f>
        <v>5</v>
      </c>
      <c r="K2171" s="14" t="n">
        <f aca="false">IF(J2171&lt;=0,1,0)</f>
        <v>0</v>
      </c>
      <c r="L2171" s="15" t="n">
        <f aca="false">IFERROR(G2171/F2171,0)</f>
        <v>0.958885941644562</v>
      </c>
      <c r="M2171" s="15" t="n">
        <f aca="false">IFERROR((I2171-H2171)/H2171,0)</f>
        <v>-0.00318563567911959</v>
      </c>
      <c r="N2171" s="16" t="n">
        <f aca="false">G2171*I2171</f>
        <v>24885.66</v>
      </c>
    </row>
    <row r="2172" customFormat="false" ht="15" hidden="false" customHeight="true" outlineLevel="0" collapsed="false">
      <c r="A2172" s="4" t="s">
        <v>2348</v>
      </c>
      <c r="B2172" s="4" t="s">
        <v>93</v>
      </c>
      <c r="C2172" s="13" t="n">
        <v>45085</v>
      </c>
      <c r="D2172" s="13" t="n">
        <v>45096</v>
      </c>
      <c r="E2172" s="13" t="n">
        <v>45099</v>
      </c>
      <c r="F2172" s="4" t="n">
        <v>1283</v>
      </c>
      <c r="G2172" s="4" t="n">
        <v>1280</v>
      </c>
      <c r="H2172" s="4" t="n">
        <v>174.25</v>
      </c>
      <c r="I2172" s="4" t="n">
        <v>178.72</v>
      </c>
      <c r="J2172" s="14" t="n">
        <f aca="false">E2172-D2172</f>
        <v>3</v>
      </c>
      <c r="K2172" s="14" t="n">
        <f aca="false">IF(J2172&lt;=0,1,0)</f>
        <v>0</v>
      </c>
      <c r="L2172" s="15" t="n">
        <f aca="false">IFERROR(G2172/F2172,0)</f>
        <v>0.997661730319564</v>
      </c>
      <c r="M2172" s="15" t="n">
        <f aca="false">IFERROR((I2172-H2172)/H2172,0)</f>
        <v>0.0256527977044476</v>
      </c>
      <c r="N2172" s="16" t="n">
        <f aca="false">G2172*I2172</f>
        <v>228761.6</v>
      </c>
    </row>
    <row r="2173" customFormat="false" ht="15" hidden="false" customHeight="true" outlineLevel="0" collapsed="false">
      <c r="A2173" s="4" t="s">
        <v>2349</v>
      </c>
      <c r="B2173" s="4" t="s">
        <v>32</v>
      </c>
      <c r="C2173" s="13" t="n">
        <v>45568</v>
      </c>
      <c r="D2173" s="13" t="n">
        <v>45576</v>
      </c>
      <c r="E2173" s="13" t="n">
        <v>45575</v>
      </c>
      <c r="F2173" s="4" t="n">
        <v>4387</v>
      </c>
      <c r="G2173" s="4" t="n">
        <v>3769</v>
      </c>
      <c r="H2173" s="4" t="n">
        <v>32.49</v>
      </c>
      <c r="I2173" s="4" t="n">
        <v>33.31</v>
      </c>
      <c r="J2173" s="14" t="n">
        <f aca="false">E2173-D2173</f>
        <v>-1</v>
      </c>
      <c r="K2173" s="14" t="n">
        <f aca="false">IF(J2173&lt;=0,1,0)</f>
        <v>1</v>
      </c>
      <c r="L2173" s="15" t="n">
        <f aca="false">IFERROR(G2173/F2173,0)</f>
        <v>0.859129245498063</v>
      </c>
      <c r="M2173" s="15" t="n">
        <f aca="false">IFERROR((I2173-H2173)/H2173,0)</f>
        <v>0.0252385349338258</v>
      </c>
      <c r="N2173" s="16" t="n">
        <f aca="false">G2173*I2173</f>
        <v>125545.39</v>
      </c>
    </row>
    <row r="2174" customFormat="false" ht="15" hidden="false" customHeight="true" outlineLevel="0" collapsed="false">
      <c r="A2174" s="4" t="s">
        <v>2350</v>
      </c>
      <c r="B2174" s="4" t="s">
        <v>157</v>
      </c>
      <c r="C2174" s="13" t="n">
        <v>45496</v>
      </c>
      <c r="D2174" s="13" t="n">
        <v>45503</v>
      </c>
      <c r="E2174" s="13" t="n">
        <v>45505</v>
      </c>
      <c r="F2174" s="4" t="n">
        <v>2428</v>
      </c>
      <c r="G2174" s="4" t="n">
        <v>2365</v>
      </c>
      <c r="H2174" s="4" t="n">
        <v>13.1</v>
      </c>
      <c r="I2174" s="4" t="n">
        <v>13.52</v>
      </c>
      <c r="J2174" s="14" t="n">
        <f aca="false">E2174-D2174</f>
        <v>2</v>
      </c>
      <c r="K2174" s="14" t="n">
        <f aca="false">IF(J2174&lt;=0,1,0)</f>
        <v>0</v>
      </c>
      <c r="L2174" s="15" t="n">
        <f aca="false">IFERROR(G2174/F2174,0)</f>
        <v>0.974052718286656</v>
      </c>
      <c r="M2174" s="15" t="n">
        <f aca="false">IFERROR((I2174-H2174)/H2174,0)</f>
        <v>0.0320610687022901</v>
      </c>
      <c r="N2174" s="16" t="n">
        <f aca="false">G2174*I2174</f>
        <v>31974.8</v>
      </c>
    </row>
    <row r="2175" customFormat="false" ht="15" hidden="false" customHeight="true" outlineLevel="0" collapsed="false">
      <c r="A2175" s="4" t="s">
        <v>2351</v>
      </c>
      <c r="B2175" s="4" t="s">
        <v>89</v>
      </c>
      <c r="C2175" s="13" t="n">
        <v>45545</v>
      </c>
      <c r="D2175" s="13" t="n">
        <v>45551</v>
      </c>
      <c r="E2175" s="13" t="n">
        <v>45560</v>
      </c>
      <c r="F2175" s="4" t="n">
        <v>13</v>
      </c>
      <c r="G2175" s="4" t="n">
        <v>12</v>
      </c>
      <c r="H2175" s="4" t="n">
        <v>1929.81</v>
      </c>
      <c r="I2175" s="4" t="n">
        <v>1916.55</v>
      </c>
      <c r="J2175" s="14" t="n">
        <f aca="false">E2175-D2175</f>
        <v>9</v>
      </c>
      <c r="K2175" s="14" t="n">
        <f aca="false">IF(J2175&lt;=0,1,0)</f>
        <v>0</v>
      </c>
      <c r="L2175" s="15" t="n">
        <f aca="false">IFERROR(G2175/F2175,0)</f>
        <v>0.923076923076923</v>
      </c>
      <c r="M2175" s="15" t="n">
        <f aca="false">IFERROR((I2175-H2175)/H2175,0)</f>
        <v>-0.00687114275498624</v>
      </c>
      <c r="N2175" s="16" t="n">
        <f aca="false">G2175*I2175</f>
        <v>22998.6</v>
      </c>
    </row>
    <row r="2176" customFormat="false" ht="15" hidden="false" customHeight="true" outlineLevel="0" collapsed="false">
      <c r="A2176" s="4" t="s">
        <v>2352</v>
      </c>
      <c r="B2176" s="4" t="s">
        <v>143</v>
      </c>
      <c r="C2176" s="13" t="n">
        <v>45132</v>
      </c>
      <c r="D2176" s="13" t="n">
        <v>45139</v>
      </c>
      <c r="E2176" s="13" t="n">
        <v>45148</v>
      </c>
      <c r="F2176" s="4" t="n">
        <v>2931</v>
      </c>
      <c r="G2176" s="4" t="n">
        <v>2756</v>
      </c>
      <c r="H2176" s="4" t="n">
        <v>20.6</v>
      </c>
      <c r="I2176" s="4" t="n">
        <v>21.25</v>
      </c>
      <c r="J2176" s="14" t="n">
        <f aca="false">E2176-D2176</f>
        <v>9</v>
      </c>
      <c r="K2176" s="14" t="n">
        <f aca="false">IF(J2176&lt;=0,1,0)</f>
        <v>0</v>
      </c>
      <c r="L2176" s="15" t="n">
        <f aca="false">IFERROR(G2176/F2176,0)</f>
        <v>0.94029341521665</v>
      </c>
      <c r="M2176" s="15" t="n">
        <f aca="false">IFERROR((I2176-H2176)/H2176,0)</f>
        <v>0.0315533980582524</v>
      </c>
      <c r="N2176" s="16" t="n">
        <f aca="false">G2176*I2176</f>
        <v>58565</v>
      </c>
    </row>
    <row r="2177" customFormat="false" ht="15" hidden="false" customHeight="true" outlineLevel="0" collapsed="false">
      <c r="A2177" s="4" t="s">
        <v>2353</v>
      </c>
      <c r="B2177" s="4" t="s">
        <v>97</v>
      </c>
      <c r="C2177" s="13" t="n">
        <v>45232</v>
      </c>
      <c r="D2177" s="13" t="n">
        <v>45242</v>
      </c>
      <c r="E2177" s="13" t="n">
        <v>45247</v>
      </c>
      <c r="F2177" s="4" t="n">
        <v>596</v>
      </c>
      <c r="G2177" s="4" t="n">
        <v>564</v>
      </c>
      <c r="H2177" s="4" t="n">
        <v>123.04</v>
      </c>
      <c r="I2177" s="4" t="n">
        <v>124.37</v>
      </c>
      <c r="J2177" s="14" t="n">
        <f aca="false">E2177-D2177</f>
        <v>5</v>
      </c>
      <c r="K2177" s="14" t="n">
        <f aca="false">IF(J2177&lt;=0,1,0)</f>
        <v>0</v>
      </c>
      <c r="L2177" s="15" t="n">
        <f aca="false">IFERROR(G2177/F2177,0)</f>
        <v>0.946308724832215</v>
      </c>
      <c r="M2177" s="15" t="n">
        <f aca="false">IFERROR((I2177-H2177)/H2177,0)</f>
        <v>0.0108094928478543</v>
      </c>
      <c r="N2177" s="16" t="n">
        <f aca="false">G2177*I2177</f>
        <v>70144.68</v>
      </c>
    </row>
    <row r="2178" customFormat="false" ht="15" hidden="false" customHeight="true" outlineLevel="0" collapsed="false">
      <c r="A2178" s="4" t="s">
        <v>2354</v>
      </c>
      <c r="B2178" s="4" t="s">
        <v>127</v>
      </c>
      <c r="C2178" s="13" t="n">
        <v>45201</v>
      </c>
      <c r="D2178" s="13" t="n">
        <v>45205</v>
      </c>
      <c r="E2178" s="13" t="n">
        <v>45205</v>
      </c>
      <c r="F2178" s="4" t="n">
        <v>3</v>
      </c>
      <c r="G2178" s="4" t="n">
        <v>3</v>
      </c>
      <c r="H2178" s="4" t="n">
        <v>1881</v>
      </c>
      <c r="I2178" s="4" t="n">
        <v>1811.37</v>
      </c>
      <c r="J2178" s="14" t="n">
        <f aca="false">E2178-D2178</f>
        <v>0</v>
      </c>
      <c r="K2178" s="14" t="n">
        <f aca="false">IF(J2178&lt;=0,1,0)</f>
        <v>1</v>
      </c>
      <c r="L2178" s="15" t="n">
        <f aca="false">IFERROR(G2178/F2178,0)</f>
        <v>1</v>
      </c>
      <c r="M2178" s="15" t="n">
        <f aca="false">IFERROR((I2178-H2178)/H2178,0)</f>
        <v>-0.0370175438596492</v>
      </c>
      <c r="N2178" s="16" t="n">
        <f aca="false">G2178*I2178</f>
        <v>5434.11</v>
      </c>
    </row>
    <row r="2179" customFormat="false" ht="15" hidden="false" customHeight="true" outlineLevel="0" collapsed="false">
      <c r="A2179" s="4" t="s">
        <v>2355</v>
      </c>
      <c r="B2179" s="4" t="s">
        <v>145</v>
      </c>
      <c r="C2179" s="13" t="n">
        <v>45170</v>
      </c>
      <c r="D2179" s="13" t="n">
        <v>45179</v>
      </c>
      <c r="E2179" s="13" t="n">
        <v>45183</v>
      </c>
      <c r="F2179" s="4" t="n">
        <v>780</v>
      </c>
      <c r="G2179" s="4" t="n">
        <v>728</v>
      </c>
      <c r="H2179" s="4" t="n">
        <v>237.04</v>
      </c>
      <c r="I2179" s="4" t="n">
        <v>251.15</v>
      </c>
      <c r="J2179" s="14" t="n">
        <f aca="false">E2179-D2179</f>
        <v>4</v>
      </c>
      <c r="K2179" s="14" t="n">
        <f aca="false">IF(J2179&lt;=0,1,0)</f>
        <v>0</v>
      </c>
      <c r="L2179" s="15" t="n">
        <f aca="false">IFERROR(G2179/F2179,0)</f>
        <v>0.933333333333333</v>
      </c>
      <c r="M2179" s="15" t="n">
        <f aca="false">IFERROR((I2179-H2179)/H2179,0)</f>
        <v>0.0595258184272697</v>
      </c>
      <c r="N2179" s="16" t="n">
        <f aca="false">G2179*I2179</f>
        <v>182837.2</v>
      </c>
    </row>
    <row r="2180" customFormat="false" ht="15" hidden="false" customHeight="true" outlineLevel="0" collapsed="false">
      <c r="A2180" s="4" t="s">
        <v>2356</v>
      </c>
      <c r="B2180" s="4" t="s">
        <v>121</v>
      </c>
      <c r="C2180" s="13" t="n">
        <v>45120</v>
      </c>
      <c r="D2180" s="13" t="n">
        <v>45132</v>
      </c>
      <c r="E2180" s="13" t="n">
        <v>45136</v>
      </c>
      <c r="F2180" s="4" t="n">
        <v>1982</v>
      </c>
      <c r="G2180" s="4" t="n">
        <v>1831</v>
      </c>
      <c r="H2180" s="4" t="n">
        <v>206.07</v>
      </c>
      <c r="I2180" s="4" t="n">
        <v>215.79</v>
      </c>
      <c r="J2180" s="14" t="n">
        <f aca="false">E2180-D2180</f>
        <v>4</v>
      </c>
      <c r="K2180" s="14" t="n">
        <f aca="false">IF(J2180&lt;=0,1,0)</f>
        <v>0</v>
      </c>
      <c r="L2180" s="15" t="n">
        <f aca="false">IFERROR(G2180/F2180,0)</f>
        <v>0.923814328960646</v>
      </c>
      <c r="M2180" s="15" t="n">
        <f aca="false">IFERROR((I2180-H2180)/H2180,0)</f>
        <v>0.0471684379094482</v>
      </c>
      <c r="N2180" s="16" t="n">
        <f aca="false">G2180*I2180</f>
        <v>395111.49</v>
      </c>
    </row>
    <row r="2181" customFormat="false" ht="15" hidden="false" customHeight="true" outlineLevel="0" collapsed="false">
      <c r="A2181" s="4" t="s">
        <v>2357</v>
      </c>
      <c r="B2181" s="4" t="s">
        <v>135</v>
      </c>
      <c r="C2181" s="13" t="n">
        <v>45113</v>
      </c>
      <c r="D2181" s="13" t="n">
        <v>45124</v>
      </c>
      <c r="E2181" s="13" t="n">
        <v>45129</v>
      </c>
      <c r="F2181" s="4" t="n">
        <v>246</v>
      </c>
      <c r="G2181" s="4" t="n">
        <v>245</v>
      </c>
      <c r="H2181" s="4" t="n">
        <v>328.06</v>
      </c>
      <c r="I2181" s="4" t="n">
        <v>327.73</v>
      </c>
      <c r="J2181" s="14" t="n">
        <f aca="false">E2181-D2181</f>
        <v>5</v>
      </c>
      <c r="K2181" s="14" t="n">
        <f aca="false">IF(J2181&lt;=0,1,0)</f>
        <v>0</v>
      </c>
      <c r="L2181" s="15" t="n">
        <f aca="false">IFERROR(G2181/F2181,0)</f>
        <v>0.995934959349594</v>
      </c>
      <c r="M2181" s="15" t="n">
        <f aca="false">IFERROR((I2181-H2181)/H2181,0)</f>
        <v>-0.0010059135523989</v>
      </c>
      <c r="N2181" s="16" t="n">
        <f aca="false">G2181*I2181</f>
        <v>80293.85</v>
      </c>
    </row>
    <row r="2182" customFormat="false" ht="15" hidden="false" customHeight="true" outlineLevel="0" collapsed="false">
      <c r="A2182" s="4" t="s">
        <v>2358</v>
      </c>
      <c r="B2182" s="4" t="s">
        <v>89</v>
      </c>
      <c r="C2182" s="13" t="n">
        <v>45305</v>
      </c>
      <c r="D2182" s="13" t="n">
        <v>45309</v>
      </c>
      <c r="E2182" s="13" t="n">
        <v>45313</v>
      </c>
      <c r="F2182" s="4" t="n">
        <v>19</v>
      </c>
      <c r="G2182" s="4" t="n">
        <v>17</v>
      </c>
      <c r="H2182" s="4" t="n">
        <v>1929.81</v>
      </c>
      <c r="I2182" s="4" t="n">
        <v>1887.44</v>
      </c>
      <c r="J2182" s="14" t="n">
        <f aca="false">E2182-D2182</f>
        <v>4</v>
      </c>
      <c r="K2182" s="14" t="n">
        <f aca="false">IF(J2182&lt;=0,1,0)</f>
        <v>0</v>
      </c>
      <c r="L2182" s="15" t="n">
        <f aca="false">IFERROR(G2182/F2182,0)</f>
        <v>0.894736842105263</v>
      </c>
      <c r="M2182" s="15" t="n">
        <f aca="false">IFERROR((I2182-H2182)/H2182,0)</f>
        <v>-0.0219555293008119</v>
      </c>
      <c r="N2182" s="16" t="n">
        <f aca="false">G2182*I2182</f>
        <v>32086.48</v>
      </c>
    </row>
    <row r="2183" customFormat="false" ht="15" hidden="false" customHeight="true" outlineLevel="0" collapsed="false">
      <c r="A2183" s="4" t="s">
        <v>2359</v>
      </c>
      <c r="B2183" s="4" t="s">
        <v>155</v>
      </c>
      <c r="C2183" s="13" t="n">
        <v>44939</v>
      </c>
      <c r="D2183" s="13" t="n">
        <v>44946</v>
      </c>
      <c r="E2183" s="13" t="n">
        <v>44945</v>
      </c>
      <c r="F2183" s="4" t="n">
        <v>713</v>
      </c>
      <c r="G2183" s="4" t="n">
        <v>704</v>
      </c>
      <c r="H2183" s="4" t="n">
        <v>24.04</v>
      </c>
      <c r="I2183" s="4" t="n">
        <v>23.96</v>
      </c>
      <c r="J2183" s="14" t="n">
        <f aca="false">E2183-D2183</f>
        <v>-1</v>
      </c>
      <c r="K2183" s="14" t="n">
        <f aca="false">IF(J2183&lt;=0,1,0)</f>
        <v>1</v>
      </c>
      <c r="L2183" s="15" t="n">
        <f aca="false">IFERROR(G2183/F2183,0)</f>
        <v>0.987377279102384</v>
      </c>
      <c r="M2183" s="15" t="n">
        <f aca="false">IFERROR((I2183-H2183)/H2183,0)</f>
        <v>-0.00332778702163055</v>
      </c>
      <c r="N2183" s="16" t="n">
        <f aca="false">G2183*I2183</f>
        <v>16867.84</v>
      </c>
    </row>
    <row r="2184" customFormat="false" ht="15" hidden="false" customHeight="true" outlineLevel="0" collapsed="false">
      <c r="A2184" s="4" t="s">
        <v>2360</v>
      </c>
      <c r="B2184" s="4" t="s">
        <v>63</v>
      </c>
      <c r="C2184" s="13" t="n">
        <v>45295</v>
      </c>
      <c r="D2184" s="13" t="n">
        <v>45304</v>
      </c>
      <c r="E2184" s="13" t="n">
        <v>45316</v>
      </c>
      <c r="F2184" s="4" t="n">
        <v>1816</v>
      </c>
      <c r="G2184" s="4" t="n">
        <v>1694</v>
      </c>
      <c r="H2184" s="4" t="n">
        <v>239.8</v>
      </c>
      <c r="I2184" s="4" t="n">
        <v>255.49</v>
      </c>
      <c r="J2184" s="14" t="n">
        <f aca="false">E2184-D2184</f>
        <v>12</v>
      </c>
      <c r="K2184" s="14" t="n">
        <f aca="false">IF(J2184&lt;=0,1,0)</f>
        <v>0</v>
      </c>
      <c r="L2184" s="15" t="n">
        <f aca="false">IFERROR(G2184/F2184,0)</f>
        <v>0.932819383259912</v>
      </c>
      <c r="M2184" s="15" t="n">
        <f aca="false">IFERROR((I2184-H2184)/H2184,0)</f>
        <v>0.0654295246038365</v>
      </c>
      <c r="N2184" s="16" t="n">
        <f aca="false">G2184*I2184</f>
        <v>432800.06</v>
      </c>
    </row>
    <row r="2185" customFormat="false" ht="15" hidden="false" customHeight="true" outlineLevel="0" collapsed="false">
      <c r="A2185" s="4" t="s">
        <v>2361</v>
      </c>
      <c r="B2185" s="4" t="s">
        <v>70</v>
      </c>
      <c r="C2185" s="13" t="n">
        <v>44939</v>
      </c>
      <c r="D2185" s="13" t="n">
        <v>44948</v>
      </c>
      <c r="E2185" s="13" t="n">
        <v>44953</v>
      </c>
      <c r="F2185" s="4" t="n">
        <v>3790</v>
      </c>
      <c r="G2185" s="4" t="n">
        <v>3561</v>
      </c>
      <c r="H2185" s="4" t="n">
        <v>35.88</v>
      </c>
      <c r="I2185" s="4" t="n">
        <v>35.71</v>
      </c>
      <c r="J2185" s="14" t="n">
        <f aca="false">E2185-D2185</f>
        <v>5</v>
      </c>
      <c r="K2185" s="14" t="n">
        <f aca="false">IF(J2185&lt;=0,1,0)</f>
        <v>0</v>
      </c>
      <c r="L2185" s="15" t="n">
        <f aca="false">IFERROR(G2185/F2185,0)</f>
        <v>0.93957783641161</v>
      </c>
      <c r="M2185" s="15" t="n">
        <f aca="false">IFERROR((I2185-H2185)/H2185,0)</f>
        <v>-0.00473801560758087</v>
      </c>
      <c r="N2185" s="16" t="n">
        <f aca="false">G2185*I2185</f>
        <v>127163.31</v>
      </c>
    </row>
    <row r="2186" customFormat="false" ht="15" hidden="false" customHeight="true" outlineLevel="0" collapsed="false">
      <c r="A2186" s="4" t="s">
        <v>2362</v>
      </c>
      <c r="B2186" s="4" t="s">
        <v>50</v>
      </c>
      <c r="C2186" s="13" t="n">
        <v>45006</v>
      </c>
      <c r="D2186" s="13" t="n">
        <v>45025</v>
      </c>
      <c r="E2186" s="13" t="n">
        <v>45024</v>
      </c>
      <c r="F2186" s="4" t="n">
        <v>161</v>
      </c>
      <c r="G2186" s="4" t="n">
        <v>161</v>
      </c>
      <c r="H2186" s="4" t="n">
        <v>707.19</v>
      </c>
      <c r="I2186" s="4" t="n">
        <v>701.91</v>
      </c>
      <c r="J2186" s="14" t="n">
        <f aca="false">E2186-D2186</f>
        <v>-1</v>
      </c>
      <c r="K2186" s="14" t="n">
        <f aca="false">IF(J2186&lt;=0,1,0)</f>
        <v>1</v>
      </c>
      <c r="L2186" s="15" t="n">
        <f aca="false">IFERROR(G2186/F2186,0)</f>
        <v>1</v>
      </c>
      <c r="M2186" s="15" t="n">
        <f aca="false">IFERROR((I2186-H2186)/H2186,0)</f>
        <v>-0.00746616892207198</v>
      </c>
      <c r="N2186" s="16" t="n">
        <f aca="false">G2186*I2186</f>
        <v>113007.51</v>
      </c>
    </row>
    <row r="2187" customFormat="false" ht="15" hidden="false" customHeight="true" outlineLevel="0" collapsed="false">
      <c r="A2187" s="4" t="s">
        <v>2363</v>
      </c>
      <c r="B2187" s="4" t="s">
        <v>41</v>
      </c>
      <c r="C2187" s="13" t="n">
        <v>44996</v>
      </c>
      <c r="D2187" s="13" t="n">
        <v>45004</v>
      </c>
      <c r="E2187" s="13" t="n">
        <v>45003</v>
      </c>
      <c r="F2187" s="4" t="n">
        <v>656</v>
      </c>
      <c r="G2187" s="4" t="n">
        <v>639</v>
      </c>
      <c r="H2187" s="4" t="n">
        <v>45.51</v>
      </c>
      <c r="I2187" s="4" t="n">
        <v>46.32</v>
      </c>
      <c r="J2187" s="14" t="n">
        <f aca="false">E2187-D2187</f>
        <v>-1</v>
      </c>
      <c r="K2187" s="14" t="n">
        <f aca="false">IF(J2187&lt;=0,1,0)</f>
        <v>1</v>
      </c>
      <c r="L2187" s="15" t="n">
        <f aca="false">IFERROR(G2187/F2187,0)</f>
        <v>0.974085365853659</v>
      </c>
      <c r="M2187" s="15" t="n">
        <f aca="false">IFERROR((I2187-H2187)/H2187,0)</f>
        <v>0.0177982860909691</v>
      </c>
      <c r="N2187" s="16" t="n">
        <f aca="false">G2187*I2187</f>
        <v>29598.48</v>
      </c>
    </row>
    <row r="2188" customFormat="false" ht="15" hidden="false" customHeight="true" outlineLevel="0" collapsed="false">
      <c r="A2188" s="4" t="s">
        <v>2364</v>
      </c>
      <c r="B2188" s="4" t="s">
        <v>105</v>
      </c>
      <c r="C2188" s="13" t="n">
        <v>45434</v>
      </c>
      <c r="D2188" s="13" t="n">
        <v>45451</v>
      </c>
      <c r="E2188" s="13" t="n">
        <v>45453</v>
      </c>
      <c r="F2188" s="4" t="n">
        <v>427</v>
      </c>
      <c r="G2188" s="4" t="n">
        <v>426</v>
      </c>
      <c r="H2188" s="4" t="n">
        <v>685.84</v>
      </c>
      <c r="I2188" s="4" t="n">
        <v>708.97</v>
      </c>
      <c r="J2188" s="14" t="n">
        <f aca="false">E2188-D2188</f>
        <v>2</v>
      </c>
      <c r="K2188" s="14" t="n">
        <f aca="false">IF(J2188&lt;=0,1,0)</f>
        <v>0</v>
      </c>
      <c r="L2188" s="15" t="n">
        <f aca="false">IFERROR(G2188/F2188,0)</f>
        <v>0.997658079625293</v>
      </c>
      <c r="M2188" s="15" t="n">
        <f aca="false">IFERROR((I2188-H2188)/H2188,0)</f>
        <v>0.033725067071037</v>
      </c>
      <c r="N2188" s="16" t="n">
        <f aca="false">G2188*I2188</f>
        <v>302021.22</v>
      </c>
    </row>
    <row r="2189" customFormat="false" ht="15" hidden="false" customHeight="true" outlineLevel="0" collapsed="false">
      <c r="A2189" s="4" t="s">
        <v>2365</v>
      </c>
      <c r="B2189" s="4" t="s">
        <v>117</v>
      </c>
      <c r="C2189" s="13" t="n">
        <v>44994</v>
      </c>
      <c r="D2189" s="13" t="n">
        <v>45008</v>
      </c>
      <c r="E2189" s="13" t="n">
        <v>45014</v>
      </c>
      <c r="F2189" s="4" t="n">
        <v>41</v>
      </c>
      <c r="G2189" s="4" t="n">
        <v>40</v>
      </c>
      <c r="H2189" s="4" t="n">
        <v>396.01</v>
      </c>
      <c r="I2189" s="4" t="n">
        <v>392.43</v>
      </c>
      <c r="J2189" s="14" t="n">
        <f aca="false">E2189-D2189</f>
        <v>6</v>
      </c>
      <c r="K2189" s="14" t="n">
        <f aca="false">IF(J2189&lt;=0,1,0)</f>
        <v>0</v>
      </c>
      <c r="L2189" s="15" t="n">
        <f aca="false">IFERROR(G2189/F2189,0)</f>
        <v>0.975609756097561</v>
      </c>
      <c r="M2189" s="15" t="n">
        <f aca="false">IFERROR((I2189-H2189)/H2189,0)</f>
        <v>-0.00904017575313751</v>
      </c>
      <c r="N2189" s="16" t="n">
        <f aca="false">G2189*I2189</f>
        <v>15697.2</v>
      </c>
    </row>
    <row r="2190" customFormat="false" ht="15" hidden="false" customHeight="true" outlineLevel="0" collapsed="false">
      <c r="A2190" s="4" t="s">
        <v>2366</v>
      </c>
      <c r="B2190" s="4" t="s">
        <v>155</v>
      </c>
      <c r="C2190" s="13" t="n">
        <v>45560</v>
      </c>
      <c r="D2190" s="13" t="n">
        <v>45566</v>
      </c>
      <c r="E2190" s="13" t="n">
        <v>45564</v>
      </c>
      <c r="F2190" s="4" t="n">
        <v>946</v>
      </c>
      <c r="G2190" s="4" t="n">
        <v>926</v>
      </c>
      <c r="H2190" s="4" t="n">
        <v>24.04</v>
      </c>
      <c r="I2190" s="4" t="n">
        <v>22.52</v>
      </c>
      <c r="J2190" s="14" t="n">
        <f aca="false">E2190-D2190</f>
        <v>-2</v>
      </c>
      <c r="K2190" s="14" t="n">
        <f aca="false">IF(J2190&lt;=0,1,0)</f>
        <v>1</v>
      </c>
      <c r="L2190" s="15" t="n">
        <f aca="false">IFERROR(G2190/F2190,0)</f>
        <v>0.978858350951374</v>
      </c>
      <c r="M2190" s="15" t="n">
        <f aca="false">IFERROR((I2190-H2190)/H2190,0)</f>
        <v>-0.0632279534109817</v>
      </c>
      <c r="N2190" s="16" t="n">
        <f aca="false">G2190*I2190</f>
        <v>20853.52</v>
      </c>
    </row>
    <row r="2191" customFormat="false" ht="15" hidden="false" customHeight="true" outlineLevel="0" collapsed="false">
      <c r="A2191" s="4" t="s">
        <v>2367</v>
      </c>
      <c r="B2191" s="4" t="s">
        <v>145</v>
      </c>
      <c r="C2191" s="13" t="n">
        <v>45020</v>
      </c>
      <c r="D2191" s="13" t="n">
        <v>45030</v>
      </c>
      <c r="E2191" s="13" t="n">
        <v>45036</v>
      </c>
      <c r="F2191" s="4" t="n">
        <v>1999</v>
      </c>
      <c r="G2191" s="4" t="n">
        <v>1863</v>
      </c>
      <c r="H2191" s="4" t="n">
        <v>237.04</v>
      </c>
      <c r="I2191" s="4" t="n">
        <v>241.48</v>
      </c>
      <c r="J2191" s="14" t="n">
        <f aca="false">E2191-D2191</f>
        <v>6</v>
      </c>
      <c r="K2191" s="14" t="n">
        <f aca="false">IF(J2191&lt;=0,1,0)</f>
        <v>0</v>
      </c>
      <c r="L2191" s="15" t="n">
        <f aca="false">IFERROR(G2191/F2191,0)</f>
        <v>0.931965982991496</v>
      </c>
      <c r="M2191" s="15" t="n">
        <f aca="false">IFERROR((I2191-H2191)/H2191,0)</f>
        <v>0.0187310158623017</v>
      </c>
      <c r="N2191" s="16" t="n">
        <f aca="false">G2191*I2191</f>
        <v>449877.24</v>
      </c>
    </row>
    <row r="2192" customFormat="false" ht="15" hidden="false" customHeight="true" outlineLevel="0" collapsed="false">
      <c r="A2192" s="4" t="s">
        <v>2368</v>
      </c>
      <c r="B2192" s="4" t="s">
        <v>131</v>
      </c>
      <c r="C2192" s="13" t="n">
        <v>45043</v>
      </c>
      <c r="D2192" s="13" t="n">
        <v>45054</v>
      </c>
      <c r="E2192" s="13" t="n">
        <v>45054</v>
      </c>
      <c r="F2192" s="4" t="n">
        <v>1013</v>
      </c>
      <c r="G2192" s="4" t="n">
        <v>976</v>
      </c>
      <c r="H2192" s="4" t="n">
        <v>88.52</v>
      </c>
      <c r="I2192" s="4" t="n">
        <v>89.25</v>
      </c>
      <c r="J2192" s="14" t="n">
        <f aca="false">E2192-D2192</f>
        <v>0</v>
      </c>
      <c r="K2192" s="14" t="n">
        <f aca="false">IF(J2192&lt;=0,1,0)</f>
        <v>1</v>
      </c>
      <c r="L2192" s="15" t="n">
        <f aca="false">IFERROR(G2192/F2192,0)</f>
        <v>0.963474827245805</v>
      </c>
      <c r="M2192" s="15" t="n">
        <f aca="false">IFERROR((I2192-H2192)/H2192,0)</f>
        <v>0.00824672390420249</v>
      </c>
      <c r="N2192" s="16" t="n">
        <f aca="false">G2192*I2192</f>
        <v>87108</v>
      </c>
    </row>
    <row r="2193" customFormat="false" ht="15" hidden="false" customHeight="true" outlineLevel="0" collapsed="false">
      <c r="A2193" s="4" t="s">
        <v>2369</v>
      </c>
      <c r="B2193" s="4" t="s">
        <v>72</v>
      </c>
      <c r="C2193" s="13" t="n">
        <v>45328</v>
      </c>
      <c r="D2193" s="13" t="n">
        <v>45336</v>
      </c>
      <c r="E2193" s="13" t="n">
        <v>45347</v>
      </c>
      <c r="F2193" s="4" t="n">
        <v>3891</v>
      </c>
      <c r="G2193" s="4" t="n">
        <v>3789</v>
      </c>
      <c r="H2193" s="4" t="n">
        <v>34.53</v>
      </c>
      <c r="I2193" s="4" t="n">
        <v>36.07</v>
      </c>
      <c r="J2193" s="14" t="n">
        <f aca="false">E2193-D2193</f>
        <v>11</v>
      </c>
      <c r="K2193" s="14" t="n">
        <f aca="false">IF(J2193&lt;=0,1,0)</f>
        <v>0</v>
      </c>
      <c r="L2193" s="15" t="n">
        <f aca="false">IFERROR(G2193/F2193,0)</f>
        <v>0.97378565921357</v>
      </c>
      <c r="M2193" s="15" t="n">
        <f aca="false">IFERROR((I2193-H2193)/H2193,0)</f>
        <v>0.0445988995076745</v>
      </c>
      <c r="N2193" s="16" t="n">
        <f aca="false">G2193*I2193</f>
        <v>136669.23</v>
      </c>
    </row>
    <row r="2194" customFormat="false" ht="15" hidden="false" customHeight="true" outlineLevel="0" collapsed="false">
      <c r="A2194" s="4" t="s">
        <v>2370</v>
      </c>
      <c r="B2194" s="4" t="s">
        <v>52</v>
      </c>
      <c r="C2194" s="13" t="n">
        <v>45003</v>
      </c>
      <c r="D2194" s="13" t="n">
        <v>45014</v>
      </c>
      <c r="E2194" s="13" t="n">
        <v>45020</v>
      </c>
      <c r="F2194" s="4" t="n">
        <v>835</v>
      </c>
      <c r="G2194" s="4" t="n">
        <v>708</v>
      </c>
      <c r="H2194" s="4" t="n">
        <v>170.24</v>
      </c>
      <c r="I2194" s="4" t="n">
        <v>171.15</v>
      </c>
      <c r="J2194" s="14" t="n">
        <f aca="false">E2194-D2194</f>
        <v>6</v>
      </c>
      <c r="K2194" s="14" t="n">
        <f aca="false">IF(J2194&lt;=0,1,0)</f>
        <v>0</v>
      </c>
      <c r="L2194" s="15" t="n">
        <f aca="false">IFERROR(G2194/F2194,0)</f>
        <v>0.847904191616766</v>
      </c>
      <c r="M2194" s="15" t="n">
        <f aca="false">IFERROR((I2194-H2194)/H2194,0)</f>
        <v>0.00534539473684209</v>
      </c>
      <c r="N2194" s="16" t="n">
        <f aca="false">G2194*I2194</f>
        <v>121174.2</v>
      </c>
    </row>
    <row r="2195" customFormat="false" ht="15" hidden="false" customHeight="true" outlineLevel="0" collapsed="false">
      <c r="A2195" s="4" t="s">
        <v>2371</v>
      </c>
      <c r="B2195" s="4" t="s">
        <v>111</v>
      </c>
      <c r="C2195" s="13" t="n">
        <v>45323</v>
      </c>
      <c r="D2195" s="13" t="n">
        <v>45334</v>
      </c>
      <c r="E2195" s="13" t="n">
        <v>45337</v>
      </c>
      <c r="F2195" s="4" t="n">
        <v>924</v>
      </c>
      <c r="G2195" s="4" t="n">
        <v>885</v>
      </c>
      <c r="H2195" s="4" t="n">
        <v>148.08</v>
      </c>
      <c r="I2195" s="4" t="n">
        <v>148.47</v>
      </c>
      <c r="J2195" s="14" t="n">
        <f aca="false">E2195-D2195</f>
        <v>3</v>
      </c>
      <c r="K2195" s="14" t="n">
        <f aca="false">IF(J2195&lt;=0,1,0)</f>
        <v>0</v>
      </c>
      <c r="L2195" s="15" t="n">
        <f aca="false">IFERROR(G2195/F2195,0)</f>
        <v>0.957792207792208</v>
      </c>
      <c r="M2195" s="15" t="n">
        <f aca="false">IFERROR((I2195-H2195)/H2195,0)</f>
        <v>0.00263371150729326</v>
      </c>
      <c r="N2195" s="16" t="n">
        <f aca="false">G2195*I2195</f>
        <v>131395.95</v>
      </c>
    </row>
    <row r="2196" customFormat="false" ht="15" hidden="false" customHeight="true" outlineLevel="0" collapsed="false">
      <c r="A2196" s="4" t="s">
        <v>2372</v>
      </c>
      <c r="B2196" s="4" t="s">
        <v>151</v>
      </c>
      <c r="C2196" s="13" t="n">
        <v>45499</v>
      </c>
      <c r="D2196" s="13" t="n">
        <v>45506</v>
      </c>
      <c r="E2196" s="13" t="n">
        <v>45509</v>
      </c>
      <c r="F2196" s="4" t="n">
        <v>13</v>
      </c>
      <c r="G2196" s="4" t="n">
        <v>13</v>
      </c>
      <c r="H2196" s="4" t="n">
        <v>503.46</v>
      </c>
      <c r="I2196" s="4" t="n">
        <v>515.13</v>
      </c>
      <c r="J2196" s="14" t="n">
        <f aca="false">E2196-D2196</f>
        <v>3</v>
      </c>
      <c r="K2196" s="14" t="n">
        <f aca="false">IF(J2196&lt;=0,1,0)</f>
        <v>0</v>
      </c>
      <c r="L2196" s="15" t="n">
        <f aca="false">IFERROR(G2196/F2196,0)</f>
        <v>1</v>
      </c>
      <c r="M2196" s="15" t="n">
        <f aca="false">IFERROR((I2196-H2196)/H2196,0)</f>
        <v>0.0231795971874628</v>
      </c>
      <c r="N2196" s="16" t="n">
        <f aca="false">G2196*I2196</f>
        <v>6696.69</v>
      </c>
    </row>
    <row r="2197" customFormat="false" ht="15" hidden="false" customHeight="true" outlineLevel="0" collapsed="false">
      <c r="A2197" s="4" t="s">
        <v>2373</v>
      </c>
      <c r="B2197" s="4" t="s">
        <v>83</v>
      </c>
      <c r="C2197" s="13" t="n">
        <v>45628</v>
      </c>
      <c r="D2197" s="13" t="n">
        <v>45638</v>
      </c>
      <c r="E2197" s="13" t="n">
        <v>45638</v>
      </c>
      <c r="F2197" s="4" t="n">
        <v>687</v>
      </c>
      <c r="G2197" s="4" t="n">
        <v>683</v>
      </c>
      <c r="H2197" s="4" t="n">
        <v>101.36</v>
      </c>
      <c r="I2197" s="4" t="n">
        <v>108.07</v>
      </c>
      <c r="J2197" s="14" t="n">
        <f aca="false">E2197-D2197</f>
        <v>0</v>
      </c>
      <c r="K2197" s="14" t="n">
        <f aca="false">IF(J2197&lt;=0,1,0)</f>
        <v>1</v>
      </c>
      <c r="L2197" s="15" t="n">
        <f aca="false">IFERROR(G2197/F2197,0)</f>
        <v>0.994177583697234</v>
      </c>
      <c r="M2197" s="15" t="n">
        <f aca="false">IFERROR((I2197-H2197)/H2197,0)</f>
        <v>0.0661996842936069</v>
      </c>
      <c r="N2197" s="16" t="n">
        <f aca="false">G2197*I2197</f>
        <v>73811.81</v>
      </c>
    </row>
    <row r="2198" customFormat="false" ht="15" hidden="false" customHeight="true" outlineLevel="0" collapsed="false">
      <c r="A2198" s="4" t="s">
        <v>2374</v>
      </c>
      <c r="B2198" s="4" t="s">
        <v>37</v>
      </c>
      <c r="C2198" s="13" t="n">
        <v>45465</v>
      </c>
      <c r="D2198" s="13" t="n">
        <v>45471</v>
      </c>
      <c r="E2198" s="13" t="n">
        <v>45469</v>
      </c>
      <c r="F2198" s="4" t="n">
        <v>4371</v>
      </c>
      <c r="G2198" s="4" t="n">
        <v>4202</v>
      </c>
      <c r="H2198" s="4" t="n">
        <v>22.26</v>
      </c>
      <c r="I2198" s="4" t="n">
        <v>21.44</v>
      </c>
      <c r="J2198" s="14" t="n">
        <f aca="false">E2198-D2198</f>
        <v>-2</v>
      </c>
      <c r="K2198" s="14" t="n">
        <f aca="false">IF(J2198&lt;=0,1,0)</f>
        <v>1</v>
      </c>
      <c r="L2198" s="15" t="n">
        <f aca="false">IFERROR(G2198/F2198,0)</f>
        <v>0.961336078700526</v>
      </c>
      <c r="M2198" s="15" t="n">
        <f aca="false">IFERROR((I2198-H2198)/H2198,0)</f>
        <v>-0.036837376460018</v>
      </c>
      <c r="N2198" s="16" t="n">
        <f aca="false">G2198*I2198</f>
        <v>90090.88</v>
      </c>
    </row>
    <row r="2199" customFormat="false" ht="15" hidden="false" customHeight="true" outlineLevel="0" collapsed="false">
      <c r="A2199" s="4" t="s">
        <v>2375</v>
      </c>
      <c r="B2199" s="4" t="s">
        <v>163</v>
      </c>
      <c r="C2199" s="13" t="n">
        <v>45439</v>
      </c>
      <c r="D2199" s="13" t="n">
        <v>45456</v>
      </c>
      <c r="E2199" s="13" t="n">
        <v>45457</v>
      </c>
      <c r="F2199" s="4" t="n">
        <v>486</v>
      </c>
      <c r="G2199" s="4" t="n">
        <v>480</v>
      </c>
      <c r="H2199" s="4" t="n">
        <v>482.79</v>
      </c>
      <c r="I2199" s="4" t="n">
        <v>492.61</v>
      </c>
      <c r="J2199" s="14" t="n">
        <f aca="false">E2199-D2199</f>
        <v>1</v>
      </c>
      <c r="K2199" s="14" t="n">
        <f aca="false">IF(J2199&lt;=0,1,0)</f>
        <v>0</v>
      </c>
      <c r="L2199" s="15" t="n">
        <f aca="false">IFERROR(G2199/F2199,0)</f>
        <v>0.987654320987654</v>
      </c>
      <c r="M2199" s="15" t="n">
        <f aca="false">IFERROR((I2199-H2199)/H2199,0)</f>
        <v>0.0203401064645084</v>
      </c>
      <c r="N2199" s="16" t="n">
        <f aca="false">G2199*I2199</f>
        <v>236452.8</v>
      </c>
    </row>
    <row r="2200" customFormat="false" ht="15" hidden="false" customHeight="true" outlineLevel="0" collapsed="false">
      <c r="A2200" s="4" t="s">
        <v>2376</v>
      </c>
      <c r="B2200" s="4" t="s">
        <v>143</v>
      </c>
      <c r="C2200" s="13" t="n">
        <v>45312</v>
      </c>
      <c r="D2200" s="13" t="n">
        <v>45318</v>
      </c>
      <c r="E2200" s="13" t="n">
        <v>45332</v>
      </c>
      <c r="F2200" s="4" t="n">
        <v>1441</v>
      </c>
      <c r="G2200" s="4" t="n">
        <v>1373</v>
      </c>
      <c r="H2200" s="4" t="n">
        <v>20.6</v>
      </c>
      <c r="I2200" s="4" t="n">
        <v>21.15</v>
      </c>
      <c r="J2200" s="14" t="n">
        <f aca="false">E2200-D2200</f>
        <v>14</v>
      </c>
      <c r="K2200" s="14" t="n">
        <f aca="false">IF(J2200&lt;=0,1,0)</f>
        <v>0</v>
      </c>
      <c r="L2200" s="15" t="n">
        <f aca="false">IFERROR(G2200/F2200,0)</f>
        <v>0.952810548230396</v>
      </c>
      <c r="M2200" s="15" t="n">
        <f aca="false">IFERROR((I2200-H2200)/H2200,0)</f>
        <v>0.0266990291262135</v>
      </c>
      <c r="N2200" s="16" t="n">
        <f aca="false">G2200*I2200</f>
        <v>29038.95</v>
      </c>
    </row>
    <row r="2201" customFormat="false" ht="15" hidden="false" customHeight="true" outlineLevel="0" collapsed="false">
      <c r="A2201" s="4" t="s">
        <v>2377</v>
      </c>
      <c r="B2201" s="4" t="s">
        <v>58</v>
      </c>
      <c r="C2201" s="13" t="n">
        <v>45219</v>
      </c>
      <c r="D2201" s="13" t="n">
        <v>45230</v>
      </c>
      <c r="E2201" s="13" t="n">
        <v>45229</v>
      </c>
      <c r="F2201" s="4" t="n">
        <v>234</v>
      </c>
      <c r="G2201" s="4" t="n">
        <v>231</v>
      </c>
      <c r="H2201" s="4" t="n">
        <v>135.68</v>
      </c>
      <c r="I2201" s="4" t="n">
        <v>140.03</v>
      </c>
      <c r="J2201" s="14" t="n">
        <f aca="false">E2201-D2201</f>
        <v>-1</v>
      </c>
      <c r="K2201" s="14" t="n">
        <f aca="false">IF(J2201&lt;=0,1,0)</f>
        <v>1</v>
      </c>
      <c r="L2201" s="15" t="n">
        <f aca="false">IFERROR(G2201/F2201,0)</f>
        <v>0.987179487179487</v>
      </c>
      <c r="M2201" s="15" t="n">
        <f aca="false">IFERROR((I2201-H2201)/H2201,0)</f>
        <v>0.0320607311320754</v>
      </c>
      <c r="N2201" s="16" t="n">
        <f aca="false">G2201*I2201</f>
        <v>32346.93</v>
      </c>
    </row>
    <row r="2202" customFormat="false" ht="15" hidden="false" customHeight="true" outlineLevel="0" collapsed="false">
      <c r="A2202" s="4" t="s">
        <v>2378</v>
      </c>
      <c r="B2202" s="4" t="s">
        <v>157</v>
      </c>
      <c r="C2202" s="13" t="n">
        <v>45252</v>
      </c>
      <c r="D2202" s="13" t="n">
        <v>45258</v>
      </c>
      <c r="E2202" s="13" t="n">
        <v>45265</v>
      </c>
      <c r="F2202" s="4" t="n">
        <v>4153</v>
      </c>
      <c r="G2202" s="4" t="n">
        <v>3860</v>
      </c>
      <c r="H2202" s="4" t="n">
        <v>13.1</v>
      </c>
      <c r="I2202" s="4" t="n">
        <v>13.59</v>
      </c>
      <c r="J2202" s="14" t="n">
        <f aca="false">E2202-D2202</f>
        <v>7</v>
      </c>
      <c r="K2202" s="14" t="n">
        <f aca="false">IF(J2202&lt;=0,1,0)</f>
        <v>0</v>
      </c>
      <c r="L2202" s="15" t="n">
        <f aca="false">IFERROR(G2202/F2202,0)</f>
        <v>0.929448591379726</v>
      </c>
      <c r="M2202" s="15" t="n">
        <f aca="false">IFERROR((I2202-H2202)/H2202,0)</f>
        <v>0.0374045801526718</v>
      </c>
      <c r="N2202" s="16" t="n">
        <f aca="false">G2202*I2202</f>
        <v>52457.4</v>
      </c>
    </row>
    <row r="2203" customFormat="false" ht="15" hidden="false" customHeight="true" outlineLevel="0" collapsed="false">
      <c r="A2203" s="4" t="s">
        <v>2379</v>
      </c>
      <c r="B2203" s="4" t="s">
        <v>93</v>
      </c>
      <c r="C2203" s="13" t="n">
        <v>45498</v>
      </c>
      <c r="D2203" s="13" t="n">
        <v>45508</v>
      </c>
      <c r="E2203" s="13" t="n">
        <v>45513</v>
      </c>
      <c r="F2203" s="4" t="n">
        <v>1290</v>
      </c>
      <c r="G2203" s="4" t="n">
        <v>1290</v>
      </c>
      <c r="H2203" s="4" t="n">
        <v>174.25</v>
      </c>
      <c r="I2203" s="4" t="n">
        <v>187.18</v>
      </c>
      <c r="J2203" s="14" t="n">
        <f aca="false">E2203-D2203</f>
        <v>5</v>
      </c>
      <c r="K2203" s="14" t="n">
        <f aca="false">IF(J2203&lt;=0,1,0)</f>
        <v>0</v>
      </c>
      <c r="L2203" s="15" t="n">
        <f aca="false">IFERROR(G2203/F2203,0)</f>
        <v>1</v>
      </c>
      <c r="M2203" s="15" t="n">
        <f aca="false">IFERROR((I2203-H2203)/H2203,0)</f>
        <v>0.0742037302725969</v>
      </c>
      <c r="N2203" s="16" t="n">
        <f aca="false">G2203*I2203</f>
        <v>241462.2</v>
      </c>
    </row>
    <row r="2204" customFormat="false" ht="15" hidden="false" customHeight="true" outlineLevel="0" collapsed="false">
      <c r="A2204" s="4" t="s">
        <v>2380</v>
      </c>
      <c r="B2204" s="4" t="s">
        <v>151</v>
      </c>
      <c r="C2204" s="13" t="n">
        <v>45192</v>
      </c>
      <c r="D2204" s="13" t="n">
        <v>45199</v>
      </c>
      <c r="E2204" s="13" t="n">
        <v>45205</v>
      </c>
      <c r="F2204" s="4" t="n">
        <v>8</v>
      </c>
      <c r="G2204" s="4" t="n">
        <v>8</v>
      </c>
      <c r="H2204" s="4" t="n">
        <v>503.46</v>
      </c>
      <c r="I2204" s="4" t="n">
        <v>511.55</v>
      </c>
      <c r="J2204" s="14" t="n">
        <f aca="false">E2204-D2204</f>
        <v>6</v>
      </c>
      <c r="K2204" s="14" t="n">
        <f aca="false">IF(J2204&lt;=0,1,0)</f>
        <v>0</v>
      </c>
      <c r="L2204" s="15" t="n">
        <f aca="false">IFERROR(G2204/F2204,0)</f>
        <v>1</v>
      </c>
      <c r="M2204" s="15" t="n">
        <f aca="false">IFERROR((I2204-H2204)/H2204,0)</f>
        <v>0.01606880387717</v>
      </c>
      <c r="N2204" s="16" t="n">
        <f aca="false">G2204*I2204</f>
        <v>4092.4</v>
      </c>
    </row>
    <row r="2205" customFormat="false" ht="15" hidden="false" customHeight="true" outlineLevel="0" collapsed="false">
      <c r="A2205" s="4" t="s">
        <v>2381</v>
      </c>
      <c r="B2205" s="4" t="s">
        <v>101</v>
      </c>
      <c r="C2205" s="13" t="n">
        <v>45144</v>
      </c>
      <c r="D2205" s="13" t="n">
        <v>45161</v>
      </c>
      <c r="E2205" s="13" t="n">
        <v>45164</v>
      </c>
      <c r="F2205" s="4" t="n">
        <v>187</v>
      </c>
      <c r="G2205" s="4" t="n">
        <v>183</v>
      </c>
      <c r="H2205" s="4" t="n">
        <v>442.74</v>
      </c>
      <c r="I2205" s="4" t="n">
        <v>437.45</v>
      </c>
      <c r="J2205" s="14" t="n">
        <f aca="false">E2205-D2205</f>
        <v>3</v>
      </c>
      <c r="K2205" s="14" t="n">
        <f aca="false">IF(J2205&lt;=0,1,0)</f>
        <v>0</v>
      </c>
      <c r="L2205" s="15" t="n">
        <f aca="false">IFERROR(G2205/F2205,0)</f>
        <v>0.978609625668449</v>
      </c>
      <c r="M2205" s="15" t="n">
        <f aca="false">IFERROR((I2205-H2205)/H2205,0)</f>
        <v>-0.0119483218141573</v>
      </c>
      <c r="N2205" s="16" t="n">
        <f aca="false">G2205*I2205</f>
        <v>80053.35</v>
      </c>
    </row>
    <row r="2206" customFormat="false" ht="15" hidden="false" customHeight="true" outlineLevel="0" collapsed="false">
      <c r="A2206" s="4" t="s">
        <v>2382</v>
      </c>
      <c r="B2206" s="4" t="s">
        <v>129</v>
      </c>
      <c r="C2206" s="13" t="n">
        <v>45173</v>
      </c>
      <c r="D2206" s="13" t="n">
        <v>45190</v>
      </c>
      <c r="E2206" s="13" t="n">
        <v>45192</v>
      </c>
      <c r="F2206" s="4" t="n">
        <v>399</v>
      </c>
      <c r="G2206" s="4" t="n">
        <v>398</v>
      </c>
      <c r="H2206" s="4" t="n">
        <v>709.66</v>
      </c>
      <c r="I2206" s="4" t="n">
        <v>703.41</v>
      </c>
      <c r="J2206" s="14" t="n">
        <f aca="false">E2206-D2206</f>
        <v>2</v>
      </c>
      <c r="K2206" s="14" t="n">
        <f aca="false">IF(J2206&lt;=0,1,0)</f>
        <v>0</v>
      </c>
      <c r="L2206" s="15" t="n">
        <f aca="false">IFERROR(G2206/F2206,0)</f>
        <v>0.99749373433584</v>
      </c>
      <c r="M2206" s="15" t="n">
        <f aca="false">IFERROR((I2206-H2206)/H2206,0)</f>
        <v>-0.00880703435447961</v>
      </c>
      <c r="N2206" s="16" t="n">
        <f aca="false">G2206*I2206</f>
        <v>279957.18</v>
      </c>
    </row>
    <row r="2207" customFormat="false" ht="15" hidden="false" customHeight="true" outlineLevel="0" collapsed="false">
      <c r="A2207" s="4" t="s">
        <v>2383</v>
      </c>
      <c r="B2207" s="4" t="s">
        <v>107</v>
      </c>
      <c r="C2207" s="13" t="n">
        <v>45305</v>
      </c>
      <c r="D2207" s="13" t="n">
        <v>45311</v>
      </c>
      <c r="E2207" s="13" t="n">
        <v>45309</v>
      </c>
      <c r="F2207" s="4" t="n">
        <v>2932</v>
      </c>
      <c r="G2207" s="4" t="n">
        <v>2898</v>
      </c>
      <c r="H2207" s="4" t="n">
        <v>40.41</v>
      </c>
      <c r="I2207" s="4" t="n">
        <v>39.81</v>
      </c>
      <c r="J2207" s="14" t="n">
        <f aca="false">E2207-D2207</f>
        <v>-2</v>
      </c>
      <c r="K2207" s="14" t="n">
        <f aca="false">IF(J2207&lt;=0,1,0)</f>
        <v>1</v>
      </c>
      <c r="L2207" s="15" t="n">
        <f aca="false">IFERROR(G2207/F2207,0)</f>
        <v>0.988403819918145</v>
      </c>
      <c r="M2207" s="15" t="n">
        <f aca="false">IFERROR((I2207-H2207)/H2207,0)</f>
        <v>-0.0148478099480325</v>
      </c>
      <c r="N2207" s="16" t="n">
        <f aca="false">G2207*I2207</f>
        <v>115369.38</v>
      </c>
    </row>
    <row r="2208" customFormat="false" ht="15" hidden="false" customHeight="true" outlineLevel="0" collapsed="false">
      <c r="A2208" s="4" t="s">
        <v>2384</v>
      </c>
      <c r="B2208" s="4" t="s">
        <v>133</v>
      </c>
      <c r="C2208" s="13" t="n">
        <v>45088</v>
      </c>
      <c r="D2208" s="13" t="n">
        <v>45100</v>
      </c>
      <c r="E2208" s="13" t="n">
        <v>45106</v>
      </c>
      <c r="F2208" s="4" t="n">
        <v>1458</v>
      </c>
      <c r="G2208" s="4" t="n">
        <v>1376</v>
      </c>
      <c r="H2208" s="4" t="n">
        <v>138.21</v>
      </c>
      <c r="I2208" s="4" t="n">
        <v>137.21</v>
      </c>
      <c r="J2208" s="14" t="n">
        <f aca="false">E2208-D2208</f>
        <v>6</v>
      </c>
      <c r="K2208" s="14" t="n">
        <f aca="false">IF(J2208&lt;=0,1,0)</f>
        <v>0</v>
      </c>
      <c r="L2208" s="15" t="n">
        <f aca="false">IFERROR(G2208/F2208,0)</f>
        <v>0.943758573388203</v>
      </c>
      <c r="M2208" s="15" t="n">
        <f aca="false">IFERROR((I2208-H2208)/H2208,0)</f>
        <v>-0.00723536647131177</v>
      </c>
      <c r="N2208" s="16" t="n">
        <f aca="false">G2208*I2208</f>
        <v>188800.96</v>
      </c>
    </row>
    <row r="2209" customFormat="false" ht="15" hidden="false" customHeight="true" outlineLevel="0" collapsed="false">
      <c r="A2209" s="4" t="s">
        <v>2385</v>
      </c>
      <c r="B2209" s="4" t="s">
        <v>113</v>
      </c>
      <c r="C2209" s="13" t="n">
        <v>44964</v>
      </c>
      <c r="D2209" s="13" t="n">
        <v>44976</v>
      </c>
      <c r="E2209" s="13" t="n">
        <v>44974</v>
      </c>
      <c r="F2209" s="4" t="n">
        <v>1058</v>
      </c>
      <c r="G2209" s="4" t="n">
        <v>1056</v>
      </c>
      <c r="H2209" s="4" t="n">
        <v>170.42</v>
      </c>
      <c r="I2209" s="4" t="n">
        <v>174.67</v>
      </c>
      <c r="J2209" s="14" t="n">
        <f aca="false">E2209-D2209</f>
        <v>-2</v>
      </c>
      <c r="K2209" s="14" t="n">
        <f aca="false">IF(J2209&lt;=0,1,0)</f>
        <v>1</v>
      </c>
      <c r="L2209" s="15" t="n">
        <f aca="false">IFERROR(G2209/F2209,0)</f>
        <v>0.998109640831758</v>
      </c>
      <c r="M2209" s="15" t="n">
        <f aca="false">IFERROR((I2209-H2209)/H2209,0)</f>
        <v>0.0249383875132027</v>
      </c>
      <c r="N2209" s="16" t="n">
        <f aca="false">G2209*I2209</f>
        <v>184451.52</v>
      </c>
    </row>
    <row r="2210" customFormat="false" ht="15" hidden="false" customHeight="true" outlineLevel="0" collapsed="false">
      <c r="A2210" s="4" t="s">
        <v>2386</v>
      </c>
      <c r="B2210" s="4" t="s">
        <v>163</v>
      </c>
      <c r="C2210" s="13" t="n">
        <v>45017</v>
      </c>
      <c r="D2210" s="13" t="n">
        <v>45034</v>
      </c>
      <c r="E2210" s="13" t="n">
        <v>45035</v>
      </c>
      <c r="F2210" s="4" t="n">
        <v>256</v>
      </c>
      <c r="G2210" s="4" t="n">
        <v>256</v>
      </c>
      <c r="H2210" s="4" t="n">
        <v>482.79</v>
      </c>
      <c r="I2210" s="4" t="n">
        <v>471.46</v>
      </c>
      <c r="J2210" s="14" t="n">
        <f aca="false">E2210-D2210</f>
        <v>1</v>
      </c>
      <c r="K2210" s="14" t="n">
        <f aca="false">IF(J2210&lt;=0,1,0)</f>
        <v>0</v>
      </c>
      <c r="L2210" s="15" t="n">
        <f aca="false">IFERROR(G2210/F2210,0)</f>
        <v>1</v>
      </c>
      <c r="M2210" s="15" t="n">
        <f aca="false">IFERROR((I2210-H2210)/H2210,0)</f>
        <v>-0.0234677603098657</v>
      </c>
      <c r="N2210" s="16" t="n">
        <f aca="false">G2210*I2210</f>
        <v>120693.76</v>
      </c>
    </row>
    <row r="2211" customFormat="false" ht="15" hidden="false" customHeight="true" outlineLevel="0" collapsed="false">
      <c r="A2211" s="4" t="s">
        <v>2387</v>
      </c>
      <c r="B2211" s="4" t="s">
        <v>65</v>
      </c>
      <c r="C2211" s="13" t="n">
        <v>45432</v>
      </c>
      <c r="D2211" s="13" t="n">
        <v>45451</v>
      </c>
      <c r="E2211" s="13" t="n">
        <v>45453</v>
      </c>
      <c r="F2211" s="4" t="n">
        <v>373</v>
      </c>
      <c r="G2211" s="4" t="n">
        <v>373</v>
      </c>
      <c r="H2211" s="4" t="n">
        <v>1365.59</v>
      </c>
      <c r="I2211" s="4" t="n">
        <v>1363.45</v>
      </c>
      <c r="J2211" s="14" t="n">
        <f aca="false">E2211-D2211</f>
        <v>2</v>
      </c>
      <c r="K2211" s="14" t="n">
        <f aca="false">IF(J2211&lt;=0,1,0)</f>
        <v>0</v>
      </c>
      <c r="L2211" s="15" t="n">
        <f aca="false">IFERROR(G2211/F2211,0)</f>
        <v>1</v>
      </c>
      <c r="M2211" s="15" t="n">
        <f aca="false">IFERROR((I2211-H2211)/H2211,0)</f>
        <v>-0.00156708821827919</v>
      </c>
      <c r="N2211" s="16" t="n">
        <f aca="false">G2211*I2211</f>
        <v>508566.85</v>
      </c>
    </row>
    <row r="2212" customFormat="false" ht="15" hidden="false" customHeight="true" outlineLevel="0" collapsed="false">
      <c r="A2212" s="4" t="s">
        <v>2388</v>
      </c>
      <c r="B2212" s="4" t="s">
        <v>37</v>
      </c>
      <c r="C2212" s="13" t="n">
        <v>45561</v>
      </c>
      <c r="D2212" s="13" t="n">
        <v>45570</v>
      </c>
      <c r="E2212" s="13" t="n">
        <v>45573</v>
      </c>
      <c r="F2212" s="4" t="n">
        <v>4123</v>
      </c>
      <c r="G2212" s="4" t="n">
        <v>4123</v>
      </c>
      <c r="H2212" s="4" t="n">
        <v>22.26</v>
      </c>
      <c r="I2212" s="4" t="n">
        <v>21.46</v>
      </c>
      <c r="J2212" s="14" t="n">
        <f aca="false">E2212-D2212</f>
        <v>3</v>
      </c>
      <c r="K2212" s="14" t="n">
        <f aca="false">IF(J2212&lt;=0,1,0)</f>
        <v>0</v>
      </c>
      <c r="L2212" s="15" t="n">
        <f aca="false">IFERROR(G2212/F2212,0)</f>
        <v>1</v>
      </c>
      <c r="M2212" s="15" t="n">
        <f aca="false">IFERROR((I2212-H2212)/H2212,0)</f>
        <v>-0.0359389038634322</v>
      </c>
      <c r="N2212" s="16" t="n">
        <f aca="false">G2212*I2212</f>
        <v>88479.58</v>
      </c>
    </row>
    <row r="2213" customFormat="false" ht="15" hidden="false" customHeight="true" outlineLevel="0" collapsed="false">
      <c r="A2213" s="4" t="s">
        <v>2389</v>
      </c>
      <c r="B2213" s="4" t="s">
        <v>109</v>
      </c>
      <c r="C2213" s="13" t="n">
        <v>45005</v>
      </c>
      <c r="D2213" s="13" t="n">
        <v>45022</v>
      </c>
      <c r="E2213" s="13" t="n">
        <v>45021</v>
      </c>
      <c r="F2213" s="4" t="n">
        <v>486</v>
      </c>
      <c r="G2213" s="4" t="n">
        <v>471</v>
      </c>
      <c r="H2213" s="4" t="n">
        <v>858.02</v>
      </c>
      <c r="I2213" s="4" t="n">
        <v>870.96</v>
      </c>
      <c r="J2213" s="14" t="n">
        <f aca="false">E2213-D2213</f>
        <v>-1</v>
      </c>
      <c r="K2213" s="14" t="n">
        <f aca="false">IF(J2213&lt;=0,1,0)</f>
        <v>1</v>
      </c>
      <c r="L2213" s="15" t="n">
        <f aca="false">IFERROR(G2213/F2213,0)</f>
        <v>0.969135802469136</v>
      </c>
      <c r="M2213" s="15" t="n">
        <f aca="false">IFERROR((I2213-H2213)/H2213,0)</f>
        <v>0.0150812335376798</v>
      </c>
      <c r="N2213" s="16" t="n">
        <f aca="false">G2213*I2213</f>
        <v>410222.16</v>
      </c>
    </row>
    <row r="2214" customFormat="false" ht="15" hidden="false" customHeight="true" outlineLevel="0" collapsed="false">
      <c r="A2214" s="4" t="s">
        <v>2390</v>
      </c>
      <c r="B2214" s="4" t="s">
        <v>74</v>
      </c>
      <c r="C2214" s="13" t="n">
        <v>45554</v>
      </c>
      <c r="D2214" s="13" t="n">
        <v>45559</v>
      </c>
      <c r="E2214" s="13" t="n">
        <v>45565</v>
      </c>
      <c r="F2214" s="4" t="n">
        <v>10</v>
      </c>
      <c r="G2214" s="4" t="n">
        <v>10</v>
      </c>
      <c r="H2214" s="4" t="n">
        <v>1294.62</v>
      </c>
      <c r="I2214" s="4" t="n">
        <v>1383.16</v>
      </c>
      <c r="J2214" s="14" t="n">
        <f aca="false">E2214-D2214</f>
        <v>6</v>
      </c>
      <c r="K2214" s="14" t="n">
        <f aca="false">IF(J2214&lt;=0,1,0)</f>
        <v>0</v>
      </c>
      <c r="L2214" s="15" t="n">
        <f aca="false">IFERROR(G2214/F2214,0)</f>
        <v>1</v>
      </c>
      <c r="M2214" s="15" t="n">
        <f aca="false">IFERROR((I2214-H2214)/H2214,0)</f>
        <v>0.0683907246914154</v>
      </c>
      <c r="N2214" s="16" t="n">
        <f aca="false">G2214*I2214</f>
        <v>13831.6</v>
      </c>
    </row>
    <row r="2215" customFormat="false" ht="15" hidden="false" customHeight="true" outlineLevel="0" collapsed="false">
      <c r="A2215" s="4" t="s">
        <v>2391</v>
      </c>
      <c r="B2215" s="4" t="s">
        <v>119</v>
      </c>
      <c r="C2215" s="13" t="n">
        <v>45315</v>
      </c>
      <c r="D2215" s="13" t="n">
        <v>45322</v>
      </c>
      <c r="E2215" s="13" t="n">
        <v>45326</v>
      </c>
      <c r="F2215" s="4" t="n">
        <v>2841</v>
      </c>
      <c r="G2215" s="4" t="n">
        <v>2691</v>
      </c>
      <c r="H2215" s="4" t="n">
        <v>50.92</v>
      </c>
      <c r="I2215" s="4" t="n">
        <v>47.44</v>
      </c>
      <c r="J2215" s="14" t="n">
        <f aca="false">E2215-D2215</f>
        <v>4</v>
      </c>
      <c r="K2215" s="14" t="n">
        <f aca="false">IF(J2215&lt;=0,1,0)</f>
        <v>0</v>
      </c>
      <c r="L2215" s="15" t="n">
        <f aca="false">IFERROR(G2215/F2215,0)</f>
        <v>0.947201689545935</v>
      </c>
      <c r="M2215" s="15" t="n">
        <f aca="false">IFERROR((I2215-H2215)/H2215,0)</f>
        <v>-0.0683424980361352</v>
      </c>
      <c r="N2215" s="16" t="n">
        <f aca="false">G2215*I2215</f>
        <v>127661.04</v>
      </c>
    </row>
    <row r="2216" customFormat="false" ht="15" hidden="false" customHeight="true" outlineLevel="0" collapsed="false">
      <c r="A2216" s="4" t="s">
        <v>2392</v>
      </c>
      <c r="B2216" s="4" t="s">
        <v>141</v>
      </c>
      <c r="C2216" s="13" t="n">
        <v>45157</v>
      </c>
      <c r="D2216" s="13" t="n">
        <v>45176</v>
      </c>
      <c r="E2216" s="13" t="n">
        <v>45175</v>
      </c>
      <c r="F2216" s="4" t="n">
        <v>448</v>
      </c>
      <c r="G2216" s="4" t="n">
        <v>437</v>
      </c>
      <c r="H2216" s="4" t="n">
        <v>1252.36</v>
      </c>
      <c r="I2216" s="4" t="n">
        <v>1236.66</v>
      </c>
      <c r="J2216" s="14" t="n">
        <f aca="false">E2216-D2216</f>
        <v>-1</v>
      </c>
      <c r="K2216" s="14" t="n">
        <f aca="false">IF(J2216&lt;=0,1,0)</f>
        <v>1</v>
      </c>
      <c r="L2216" s="15" t="n">
        <f aca="false">IFERROR(G2216/F2216,0)</f>
        <v>0.975446428571429</v>
      </c>
      <c r="M2216" s="15" t="n">
        <f aca="false">IFERROR((I2216-H2216)/H2216,0)</f>
        <v>-0.0125363314063048</v>
      </c>
      <c r="N2216" s="16" t="n">
        <f aca="false">G2216*I2216</f>
        <v>540420.42</v>
      </c>
    </row>
    <row r="2217" customFormat="false" ht="15" hidden="false" customHeight="true" outlineLevel="0" collapsed="false">
      <c r="A2217" s="4" t="s">
        <v>2393</v>
      </c>
      <c r="B2217" s="4" t="s">
        <v>151</v>
      </c>
      <c r="C2217" s="13" t="n">
        <v>45127</v>
      </c>
      <c r="D2217" s="13" t="n">
        <v>45132</v>
      </c>
      <c r="E2217" s="13" t="n">
        <v>45137</v>
      </c>
      <c r="F2217" s="4" t="n">
        <v>13</v>
      </c>
      <c r="G2217" s="4" t="n">
        <v>13</v>
      </c>
      <c r="H2217" s="4" t="n">
        <v>503.46</v>
      </c>
      <c r="I2217" s="4" t="n">
        <v>506.87</v>
      </c>
      <c r="J2217" s="14" t="n">
        <f aca="false">E2217-D2217</f>
        <v>5</v>
      </c>
      <c r="K2217" s="14" t="n">
        <f aca="false">IF(J2217&lt;=0,1,0)</f>
        <v>0</v>
      </c>
      <c r="L2217" s="15" t="n">
        <f aca="false">IFERROR(G2217/F2217,0)</f>
        <v>1</v>
      </c>
      <c r="M2217" s="15" t="n">
        <f aca="false">IFERROR((I2217-H2217)/H2217,0)</f>
        <v>0.00677312994080965</v>
      </c>
      <c r="N2217" s="16" t="n">
        <f aca="false">G2217*I2217</f>
        <v>6589.31</v>
      </c>
    </row>
    <row r="2218" customFormat="false" ht="15" hidden="false" customHeight="true" outlineLevel="0" collapsed="false">
      <c r="A2218" s="4" t="s">
        <v>2394</v>
      </c>
      <c r="B2218" s="4" t="s">
        <v>159</v>
      </c>
      <c r="C2218" s="13" t="n">
        <v>45323</v>
      </c>
      <c r="D2218" s="13" t="n">
        <v>45329</v>
      </c>
      <c r="E2218" s="13" t="n">
        <v>45330</v>
      </c>
      <c r="F2218" s="4" t="n">
        <v>4244</v>
      </c>
      <c r="G2218" s="4" t="n">
        <v>4101</v>
      </c>
      <c r="H2218" s="4" t="n">
        <v>32.91</v>
      </c>
      <c r="I2218" s="4" t="n">
        <v>33.79</v>
      </c>
      <c r="J2218" s="14" t="n">
        <f aca="false">E2218-D2218</f>
        <v>1</v>
      </c>
      <c r="K2218" s="14" t="n">
        <f aca="false">IF(J2218&lt;=0,1,0)</f>
        <v>0</v>
      </c>
      <c r="L2218" s="15" t="n">
        <f aca="false">IFERROR(G2218/F2218,0)</f>
        <v>0.966305372290292</v>
      </c>
      <c r="M2218" s="15" t="n">
        <f aca="false">IFERROR((I2218-H2218)/H2218,0)</f>
        <v>0.0267395928289275</v>
      </c>
      <c r="N2218" s="16" t="n">
        <f aca="false">G2218*I2218</f>
        <v>138572.79</v>
      </c>
    </row>
    <row r="2219" customFormat="false" ht="15" hidden="false" customHeight="true" outlineLevel="0" collapsed="false">
      <c r="A2219" s="4" t="s">
        <v>2395</v>
      </c>
      <c r="B2219" s="4" t="s">
        <v>157</v>
      </c>
      <c r="C2219" s="13" t="n">
        <v>45008</v>
      </c>
      <c r="D2219" s="13" t="n">
        <v>45015</v>
      </c>
      <c r="E2219" s="13" t="n">
        <v>45014</v>
      </c>
      <c r="F2219" s="4" t="n">
        <v>4664</v>
      </c>
      <c r="G2219" s="4" t="n">
        <v>4418</v>
      </c>
      <c r="H2219" s="4" t="n">
        <v>13.1</v>
      </c>
      <c r="I2219" s="4" t="n">
        <v>12.99</v>
      </c>
      <c r="J2219" s="14" t="n">
        <f aca="false">E2219-D2219</f>
        <v>-1</v>
      </c>
      <c r="K2219" s="14" t="n">
        <f aca="false">IF(J2219&lt;=0,1,0)</f>
        <v>1</v>
      </c>
      <c r="L2219" s="15" t="n">
        <f aca="false">IFERROR(G2219/F2219,0)</f>
        <v>0.947255574614065</v>
      </c>
      <c r="M2219" s="15" t="n">
        <f aca="false">IFERROR((I2219-H2219)/H2219,0)</f>
        <v>-0.00839694656488545</v>
      </c>
      <c r="N2219" s="16" t="n">
        <f aca="false">G2219*I2219</f>
        <v>57389.82</v>
      </c>
    </row>
    <row r="2220" customFormat="false" ht="15" hidden="false" customHeight="true" outlineLevel="0" collapsed="false">
      <c r="A2220" s="4" t="s">
        <v>2396</v>
      </c>
      <c r="B2220" s="4" t="s">
        <v>119</v>
      </c>
      <c r="C2220" s="13" t="n">
        <v>45143</v>
      </c>
      <c r="D2220" s="13" t="n">
        <v>45151</v>
      </c>
      <c r="E2220" s="13" t="n">
        <v>45151</v>
      </c>
      <c r="F2220" s="4" t="n">
        <v>4781</v>
      </c>
      <c r="G2220" s="4" t="n">
        <v>4743</v>
      </c>
      <c r="H2220" s="4" t="n">
        <v>50.92</v>
      </c>
      <c r="I2220" s="4" t="n">
        <v>49.59</v>
      </c>
      <c r="J2220" s="14" t="n">
        <f aca="false">E2220-D2220</f>
        <v>0</v>
      </c>
      <c r="K2220" s="14" t="n">
        <f aca="false">IF(J2220&lt;=0,1,0)</f>
        <v>1</v>
      </c>
      <c r="L2220" s="15" t="n">
        <f aca="false">IFERROR(G2220/F2220,0)</f>
        <v>0.992051871993307</v>
      </c>
      <c r="M2220" s="15" t="n">
        <f aca="false">IFERROR((I2220-H2220)/H2220,0)</f>
        <v>-0.0261194029850746</v>
      </c>
      <c r="N2220" s="16" t="n">
        <f aca="false">G2220*I2220</f>
        <v>235205.37</v>
      </c>
    </row>
    <row r="2221" customFormat="false" ht="15" hidden="false" customHeight="true" outlineLevel="0" collapsed="false">
      <c r="A2221" s="4" t="s">
        <v>2397</v>
      </c>
      <c r="B2221" s="4" t="s">
        <v>103</v>
      </c>
      <c r="C2221" s="13" t="n">
        <v>45200</v>
      </c>
      <c r="D2221" s="13" t="n">
        <v>45218</v>
      </c>
      <c r="E2221" s="13" t="n">
        <v>45220</v>
      </c>
      <c r="F2221" s="4" t="n">
        <v>127</v>
      </c>
      <c r="G2221" s="4" t="n">
        <v>127</v>
      </c>
      <c r="H2221" s="4" t="n">
        <v>1400.22</v>
      </c>
      <c r="I2221" s="4" t="n">
        <v>1422.27</v>
      </c>
      <c r="J2221" s="14" t="n">
        <f aca="false">E2221-D2221</f>
        <v>2</v>
      </c>
      <c r="K2221" s="14" t="n">
        <f aca="false">IF(J2221&lt;=0,1,0)</f>
        <v>0</v>
      </c>
      <c r="L2221" s="15" t="n">
        <f aca="false">IFERROR(G2221/F2221,0)</f>
        <v>1</v>
      </c>
      <c r="M2221" s="15" t="n">
        <f aca="false">IFERROR((I2221-H2221)/H2221,0)</f>
        <v>0.0157475253888674</v>
      </c>
      <c r="N2221" s="16" t="n">
        <f aca="false">G2221*I2221</f>
        <v>180628.29</v>
      </c>
    </row>
    <row r="2222" customFormat="false" ht="15" hidden="false" customHeight="true" outlineLevel="0" collapsed="false">
      <c r="A2222" s="4" t="s">
        <v>2398</v>
      </c>
      <c r="B2222" s="4" t="s">
        <v>133</v>
      </c>
      <c r="C2222" s="13" t="n">
        <v>45161</v>
      </c>
      <c r="D2222" s="13" t="n">
        <v>45171</v>
      </c>
      <c r="E2222" s="13" t="n">
        <v>45176</v>
      </c>
      <c r="F2222" s="4" t="n">
        <v>1964</v>
      </c>
      <c r="G2222" s="4" t="n">
        <v>1914</v>
      </c>
      <c r="H2222" s="4" t="n">
        <v>138.21</v>
      </c>
      <c r="I2222" s="4" t="n">
        <v>137.19</v>
      </c>
      <c r="J2222" s="14" t="n">
        <f aca="false">E2222-D2222</f>
        <v>5</v>
      </c>
      <c r="K2222" s="14" t="n">
        <f aca="false">IF(J2222&lt;=0,1,0)</f>
        <v>0</v>
      </c>
      <c r="L2222" s="15" t="n">
        <f aca="false">IFERROR(G2222/F2222,0)</f>
        <v>0.974541751527495</v>
      </c>
      <c r="M2222" s="15" t="n">
        <f aca="false">IFERROR((I2222-H2222)/H2222,0)</f>
        <v>-0.00738007380073808</v>
      </c>
      <c r="N2222" s="16" t="n">
        <f aca="false">G2222*I2222</f>
        <v>262581.66</v>
      </c>
    </row>
    <row r="2223" customFormat="false" ht="15" hidden="false" customHeight="true" outlineLevel="0" collapsed="false">
      <c r="A2223" s="4" t="s">
        <v>2399</v>
      </c>
      <c r="B2223" s="4" t="s">
        <v>32</v>
      </c>
      <c r="C2223" s="13" t="n">
        <v>45333</v>
      </c>
      <c r="D2223" s="13" t="n">
        <v>45340</v>
      </c>
      <c r="E2223" s="13" t="n">
        <v>45338</v>
      </c>
      <c r="F2223" s="4" t="n">
        <v>1288</v>
      </c>
      <c r="G2223" s="4" t="n">
        <v>1161</v>
      </c>
      <c r="H2223" s="4" t="n">
        <v>32.49</v>
      </c>
      <c r="I2223" s="4" t="n">
        <v>32.91</v>
      </c>
      <c r="J2223" s="14" t="n">
        <f aca="false">E2223-D2223</f>
        <v>-2</v>
      </c>
      <c r="K2223" s="14" t="n">
        <f aca="false">IF(J2223&lt;=0,1,0)</f>
        <v>1</v>
      </c>
      <c r="L2223" s="15" t="n">
        <f aca="false">IFERROR(G2223/F2223,0)</f>
        <v>0.90139751552795</v>
      </c>
      <c r="M2223" s="15" t="n">
        <f aca="false">IFERROR((I2223-H2223)/H2223,0)</f>
        <v>0.0129270544783008</v>
      </c>
      <c r="N2223" s="16" t="n">
        <f aca="false">G2223*I2223</f>
        <v>38208.51</v>
      </c>
    </row>
    <row r="2224" customFormat="false" ht="15" hidden="false" customHeight="true" outlineLevel="0" collapsed="false">
      <c r="A2224" s="4" t="s">
        <v>2400</v>
      </c>
      <c r="B2224" s="4" t="s">
        <v>145</v>
      </c>
      <c r="C2224" s="13" t="n">
        <v>45548</v>
      </c>
      <c r="D2224" s="13" t="n">
        <v>45557</v>
      </c>
      <c r="E2224" s="13" t="n">
        <v>45558</v>
      </c>
      <c r="F2224" s="4" t="n">
        <v>1971</v>
      </c>
      <c r="G2224" s="4" t="n">
        <v>1843</v>
      </c>
      <c r="H2224" s="4" t="n">
        <v>237.04</v>
      </c>
      <c r="I2224" s="4" t="n">
        <v>268.58</v>
      </c>
      <c r="J2224" s="14" t="n">
        <f aca="false">E2224-D2224</f>
        <v>1</v>
      </c>
      <c r="K2224" s="14" t="n">
        <f aca="false">IF(J2224&lt;=0,1,0)</f>
        <v>0</v>
      </c>
      <c r="L2224" s="15" t="n">
        <f aca="false">IFERROR(G2224/F2224,0)</f>
        <v>0.93505834601725</v>
      </c>
      <c r="M2224" s="15" t="n">
        <f aca="false">IFERROR((I2224-H2224)/H2224,0)</f>
        <v>0.133057711778603</v>
      </c>
      <c r="N2224" s="16" t="n">
        <f aca="false">G2224*I2224</f>
        <v>494992.94</v>
      </c>
    </row>
    <row r="2225" customFormat="false" ht="15" hidden="false" customHeight="true" outlineLevel="0" collapsed="false">
      <c r="A2225" s="4" t="s">
        <v>2401</v>
      </c>
      <c r="B2225" s="4" t="s">
        <v>115</v>
      </c>
      <c r="C2225" s="13" t="n">
        <v>45047</v>
      </c>
      <c r="D2225" s="13" t="n">
        <v>45059</v>
      </c>
      <c r="E2225" s="13" t="n">
        <v>45062</v>
      </c>
      <c r="F2225" s="4" t="n">
        <v>253</v>
      </c>
      <c r="G2225" s="4" t="n">
        <v>235</v>
      </c>
      <c r="H2225" s="4" t="n">
        <v>115.53</v>
      </c>
      <c r="I2225" s="4" t="n">
        <v>116.18</v>
      </c>
      <c r="J2225" s="14" t="n">
        <f aca="false">E2225-D2225</f>
        <v>3</v>
      </c>
      <c r="K2225" s="14" t="n">
        <f aca="false">IF(J2225&lt;=0,1,0)</f>
        <v>0</v>
      </c>
      <c r="L2225" s="15" t="n">
        <f aca="false">IFERROR(G2225/F2225,0)</f>
        <v>0.928853754940711</v>
      </c>
      <c r="M2225" s="15" t="n">
        <f aca="false">IFERROR((I2225-H2225)/H2225,0)</f>
        <v>0.00562624426555878</v>
      </c>
      <c r="N2225" s="16" t="n">
        <f aca="false">G2225*I2225</f>
        <v>27302.3</v>
      </c>
    </row>
    <row r="2226" customFormat="false" ht="15" hidden="false" customHeight="true" outlineLevel="0" collapsed="false">
      <c r="A2226" s="4" t="s">
        <v>2402</v>
      </c>
      <c r="B2226" s="4" t="s">
        <v>70</v>
      </c>
      <c r="C2226" s="13" t="n">
        <v>45418</v>
      </c>
      <c r="D2226" s="13" t="n">
        <v>45426</v>
      </c>
      <c r="E2226" s="13" t="n">
        <v>45433</v>
      </c>
      <c r="F2226" s="4" t="n">
        <v>2068</v>
      </c>
      <c r="G2226" s="4" t="n">
        <v>1905</v>
      </c>
      <c r="H2226" s="4" t="n">
        <v>35.88</v>
      </c>
      <c r="I2226" s="4" t="n">
        <v>37.22</v>
      </c>
      <c r="J2226" s="14" t="n">
        <f aca="false">E2226-D2226</f>
        <v>7</v>
      </c>
      <c r="K2226" s="14" t="n">
        <f aca="false">IF(J2226&lt;=0,1,0)</f>
        <v>0</v>
      </c>
      <c r="L2226" s="15" t="n">
        <f aca="false">IFERROR(G2226/F2226,0)</f>
        <v>0.921179883945841</v>
      </c>
      <c r="M2226" s="15" t="n">
        <f aca="false">IFERROR((I2226-H2226)/H2226,0)</f>
        <v>0.0373467112597546</v>
      </c>
      <c r="N2226" s="16" t="n">
        <f aca="false">G2226*I2226</f>
        <v>70904.1</v>
      </c>
    </row>
    <row r="2227" customFormat="false" ht="15" hidden="false" customHeight="true" outlineLevel="0" collapsed="false">
      <c r="A2227" s="4" t="s">
        <v>2403</v>
      </c>
      <c r="B2227" s="4" t="s">
        <v>101</v>
      </c>
      <c r="C2227" s="13" t="n">
        <v>45297</v>
      </c>
      <c r="D2227" s="13" t="n">
        <v>45316</v>
      </c>
      <c r="E2227" s="13" t="n">
        <v>45319</v>
      </c>
      <c r="F2227" s="4" t="n">
        <v>442</v>
      </c>
      <c r="G2227" s="4" t="n">
        <v>429</v>
      </c>
      <c r="H2227" s="4" t="n">
        <v>442.74</v>
      </c>
      <c r="I2227" s="4" t="n">
        <v>441.67</v>
      </c>
      <c r="J2227" s="14" t="n">
        <f aca="false">E2227-D2227</f>
        <v>3</v>
      </c>
      <c r="K2227" s="14" t="n">
        <f aca="false">IF(J2227&lt;=0,1,0)</f>
        <v>0</v>
      </c>
      <c r="L2227" s="15" t="n">
        <f aca="false">IFERROR(G2227/F2227,0)</f>
        <v>0.970588235294118</v>
      </c>
      <c r="M2227" s="15" t="n">
        <f aca="false">IFERROR((I2227-H2227)/H2227,0)</f>
        <v>-0.00241676830645524</v>
      </c>
      <c r="N2227" s="16" t="n">
        <f aca="false">G2227*I2227</f>
        <v>189476.43</v>
      </c>
    </row>
    <row r="2228" customFormat="false" ht="15" hidden="false" customHeight="true" outlineLevel="0" collapsed="false">
      <c r="A2228" s="4" t="s">
        <v>2404</v>
      </c>
      <c r="B2228" s="4" t="s">
        <v>93</v>
      </c>
      <c r="C2228" s="13" t="n">
        <v>45621</v>
      </c>
      <c r="D2228" s="13" t="n">
        <v>45630</v>
      </c>
      <c r="E2228" s="13" t="n">
        <v>45633</v>
      </c>
      <c r="F2228" s="4" t="n">
        <v>1412</v>
      </c>
      <c r="G2228" s="4" t="n">
        <v>1389</v>
      </c>
      <c r="H2228" s="4" t="n">
        <v>174.25</v>
      </c>
      <c r="I2228" s="4" t="n">
        <v>191.14</v>
      </c>
      <c r="J2228" s="14" t="n">
        <f aca="false">E2228-D2228</f>
        <v>3</v>
      </c>
      <c r="K2228" s="14" t="n">
        <f aca="false">IF(J2228&lt;=0,1,0)</f>
        <v>0</v>
      </c>
      <c r="L2228" s="15" t="n">
        <f aca="false">IFERROR(G2228/F2228,0)</f>
        <v>0.98371104815864</v>
      </c>
      <c r="M2228" s="15" t="n">
        <f aca="false">IFERROR((I2228-H2228)/H2228,0)</f>
        <v>0.0969296987087517</v>
      </c>
      <c r="N2228" s="16" t="n">
        <f aca="false">G2228*I2228</f>
        <v>265493.46</v>
      </c>
    </row>
    <row r="2229" customFormat="false" ht="15" hidden="false" customHeight="true" outlineLevel="0" collapsed="false">
      <c r="A2229" s="4" t="s">
        <v>2405</v>
      </c>
      <c r="B2229" s="4" t="s">
        <v>79</v>
      </c>
      <c r="C2229" s="13" t="n">
        <v>45119</v>
      </c>
      <c r="D2229" s="13" t="n">
        <v>45139</v>
      </c>
      <c r="E2229" s="13" t="n">
        <v>45144</v>
      </c>
      <c r="F2229" s="4" t="n">
        <v>247</v>
      </c>
      <c r="G2229" s="4" t="n">
        <v>231</v>
      </c>
      <c r="H2229" s="4" t="n">
        <v>821.48</v>
      </c>
      <c r="I2229" s="4" t="n">
        <v>846.99</v>
      </c>
      <c r="J2229" s="14" t="n">
        <f aca="false">E2229-D2229</f>
        <v>5</v>
      </c>
      <c r="K2229" s="14" t="n">
        <f aca="false">IF(J2229&lt;=0,1,0)</f>
        <v>0</v>
      </c>
      <c r="L2229" s="15" t="n">
        <f aca="false">IFERROR(G2229/F2229,0)</f>
        <v>0.935222672064777</v>
      </c>
      <c r="M2229" s="15" t="n">
        <f aca="false">IFERROR((I2229-H2229)/H2229,0)</f>
        <v>0.0310537079417636</v>
      </c>
      <c r="N2229" s="16" t="n">
        <f aca="false">G2229*I2229</f>
        <v>195654.69</v>
      </c>
    </row>
    <row r="2230" customFormat="false" ht="15" hidden="false" customHeight="true" outlineLevel="0" collapsed="false">
      <c r="A2230" s="4" t="s">
        <v>2406</v>
      </c>
      <c r="B2230" s="4" t="s">
        <v>125</v>
      </c>
      <c r="C2230" s="13" t="n">
        <v>45498</v>
      </c>
      <c r="D2230" s="13" t="n">
        <v>45504</v>
      </c>
      <c r="E2230" s="13" t="n">
        <v>45510</v>
      </c>
      <c r="F2230" s="4" t="n">
        <v>15</v>
      </c>
      <c r="G2230" s="4" t="n">
        <v>13</v>
      </c>
      <c r="H2230" s="4" t="n">
        <v>729.32</v>
      </c>
      <c r="I2230" s="4" t="n">
        <v>724.33</v>
      </c>
      <c r="J2230" s="14" t="n">
        <f aca="false">E2230-D2230</f>
        <v>6</v>
      </c>
      <c r="K2230" s="14" t="n">
        <f aca="false">IF(J2230&lt;=0,1,0)</f>
        <v>0</v>
      </c>
      <c r="L2230" s="15" t="n">
        <f aca="false">IFERROR(G2230/F2230,0)</f>
        <v>0.866666666666667</v>
      </c>
      <c r="M2230" s="15" t="n">
        <f aca="false">IFERROR((I2230-H2230)/H2230,0)</f>
        <v>-0.00684198979871663</v>
      </c>
      <c r="N2230" s="16" t="n">
        <f aca="false">G2230*I2230</f>
        <v>9416.29</v>
      </c>
    </row>
    <row r="2231" customFormat="false" ht="15" hidden="false" customHeight="true" outlineLevel="0" collapsed="false">
      <c r="A2231" s="4" t="s">
        <v>2407</v>
      </c>
      <c r="B2231" s="4" t="s">
        <v>113</v>
      </c>
      <c r="C2231" s="13" t="n">
        <v>45238</v>
      </c>
      <c r="D2231" s="13" t="n">
        <v>45248</v>
      </c>
      <c r="E2231" s="13" t="n">
        <v>45255</v>
      </c>
      <c r="F2231" s="4" t="n">
        <v>637</v>
      </c>
      <c r="G2231" s="4" t="n">
        <v>637</v>
      </c>
      <c r="H2231" s="4" t="n">
        <v>170.42</v>
      </c>
      <c r="I2231" s="4" t="n">
        <v>171.85</v>
      </c>
      <c r="J2231" s="14" t="n">
        <f aca="false">E2231-D2231</f>
        <v>7</v>
      </c>
      <c r="K2231" s="14" t="n">
        <f aca="false">IF(J2231&lt;=0,1,0)</f>
        <v>0</v>
      </c>
      <c r="L2231" s="15" t="n">
        <f aca="false">IFERROR(G2231/F2231,0)</f>
        <v>1</v>
      </c>
      <c r="M2231" s="15" t="n">
        <f aca="false">IFERROR((I2231-H2231)/H2231,0)</f>
        <v>0.00839103391620706</v>
      </c>
      <c r="N2231" s="16" t="n">
        <f aca="false">G2231*I2231</f>
        <v>109468.45</v>
      </c>
    </row>
    <row r="2232" customFormat="false" ht="15" hidden="false" customHeight="true" outlineLevel="0" collapsed="false">
      <c r="A2232" s="4" t="s">
        <v>2408</v>
      </c>
      <c r="B2232" s="4" t="s">
        <v>87</v>
      </c>
      <c r="C2232" s="13" t="n">
        <v>45569</v>
      </c>
      <c r="D2232" s="13" t="n">
        <v>45578</v>
      </c>
      <c r="E2232" s="13" t="n">
        <v>45578</v>
      </c>
      <c r="F2232" s="4" t="n">
        <v>1834</v>
      </c>
      <c r="G2232" s="4" t="n">
        <v>1776</v>
      </c>
      <c r="H2232" s="4" t="n">
        <v>161.95</v>
      </c>
      <c r="I2232" s="4" t="n">
        <v>194.41</v>
      </c>
      <c r="J2232" s="14" t="n">
        <f aca="false">E2232-D2232</f>
        <v>0</v>
      </c>
      <c r="K2232" s="14" t="n">
        <f aca="false">IF(J2232&lt;=0,1,0)</f>
        <v>1</v>
      </c>
      <c r="L2232" s="15" t="n">
        <f aca="false">IFERROR(G2232/F2232,0)</f>
        <v>0.968375136314068</v>
      </c>
      <c r="M2232" s="15" t="n">
        <f aca="false">IFERROR((I2232-H2232)/H2232,0)</f>
        <v>0.200432232170423</v>
      </c>
      <c r="N2232" s="16" t="n">
        <f aca="false">G2232*I2232</f>
        <v>345272.16</v>
      </c>
    </row>
    <row r="2233" customFormat="false" ht="15" hidden="false" customHeight="true" outlineLevel="0" collapsed="false">
      <c r="A2233" s="4" t="s">
        <v>2409</v>
      </c>
      <c r="B2233" s="4" t="s">
        <v>157</v>
      </c>
      <c r="C2233" s="13" t="n">
        <v>45495</v>
      </c>
      <c r="D2233" s="13" t="n">
        <v>45502</v>
      </c>
      <c r="E2233" s="13" t="n">
        <v>45505</v>
      </c>
      <c r="F2233" s="4" t="n">
        <v>2518</v>
      </c>
      <c r="G2233" s="4" t="n">
        <v>2419</v>
      </c>
      <c r="H2233" s="4" t="n">
        <v>13.1</v>
      </c>
      <c r="I2233" s="4" t="n">
        <v>13.69</v>
      </c>
      <c r="J2233" s="14" t="n">
        <f aca="false">E2233-D2233</f>
        <v>3</v>
      </c>
      <c r="K2233" s="14" t="n">
        <f aca="false">IF(J2233&lt;=0,1,0)</f>
        <v>0</v>
      </c>
      <c r="L2233" s="15" t="n">
        <f aca="false">IFERROR(G2233/F2233,0)</f>
        <v>0.960683081810961</v>
      </c>
      <c r="M2233" s="15" t="n">
        <f aca="false">IFERROR((I2233-H2233)/H2233,0)</f>
        <v>0.0450381679389313</v>
      </c>
      <c r="N2233" s="16" t="n">
        <f aca="false">G2233*I2233</f>
        <v>33116.11</v>
      </c>
    </row>
    <row r="2234" customFormat="false" ht="15" hidden="false" customHeight="true" outlineLevel="0" collapsed="false">
      <c r="A2234" s="4" t="s">
        <v>2410</v>
      </c>
      <c r="B2234" s="4" t="s">
        <v>161</v>
      </c>
      <c r="C2234" s="13" t="n">
        <v>45178</v>
      </c>
      <c r="D2234" s="13" t="n">
        <v>45187</v>
      </c>
      <c r="E2234" s="13" t="n">
        <v>45193</v>
      </c>
      <c r="F2234" s="4" t="n">
        <v>1531</v>
      </c>
      <c r="G2234" s="4" t="n">
        <v>1531</v>
      </c>
      <c r="H2234" s="4" t="n">
        <v>101.94</v>
      </c>
      <c r="I2234" s="4" t="n">
        <v>105.54</v>
      </c>
      <c r="J2234" s="14" t="n">
        <f aca="false">E2234-D2234</f>
        <v>6</v>
      </c>
      <c r="K2234" s="14" t="n">
        <f aca="false">IF(J2234&lt;=0,1,0)</f>
        <v>0</v>
      </c>
      <c r="L2234" s="15" t="n">
        <f aca="false">IFERROR(G2234/F2234,0)</f>
        <v>1</v>
      </c>
      <c r="M2234" s="15" t="n">
        <f aca="false">IFERROR((I2234-H2234)/H2234,0)</f>
        <v>0.0353148911124192</v>
      </c>
      <c r="N2234" s="16" t="n">
        <f aca="false">G2234*I2234</f>
        <v>161581.74</v>
      </c>
    </row>
    <row r="2235" customFormat="false" ht="15" hidden="false" customHeight="true" outlineLevel="0" collapsed="false">
      <c r="A2235" s="4" t="s">
        <v>2411</v>
      </c>
      <c r="B2235" s="4" t="s">
        <v>58</v>
      </c>
      <c r="C2235" s="13" t="n">
        <v>45521</v>
      </c>
      <c r="D2235" s="13" t="n">
        <v>45535</v>
      </c>
      <c r="E2235" s="13" t="n">
        <v>45538</v>
      </c>
      <c r="F2235" s="4" t="n">
        <v>161</v>
      </c>
      <c r="G2235" s="4" t="n">
        <v>161</v>
      </c>
      <c r="H2235" s="4" t="n">
        <v>135.68</v>
      </c>
      <c r="I2235" s="4" t="n">
        <v>144.07</v>
      </c>
      <c r="J2235" s="14" t="n">
        <f aca="false">E2235-D2235</f>
        <v>3</v>
      </c>
      <c r="K2235" s="14" t="n">
        <f aca="false">IF(J2235&lt;=0,1,0)</f>
        <v>0</v>
      </c>
      <c r="L2235" s="15" t="n">
        <f aca="false">IFERROR(G2235/F2235,0)</f>
        <v>1</v>
      </c>
      <c r="M2235" s="15" t="n">
        <f aca="false">IFERROR((I2235-H2235)/H2235,0)</f>
        <v>0.0618366745283018</v>
      </c>
      <c r="N2235" s="16" t="n">
        <f aca="false">G2235*I2235</f>
        <v>23195.27</v>
      </c>
    </row>
    <row r="2236" customFormat="false" ht="15" hidden="false" customHeight="true" outlineLevel="0" collapsed="false">
      <c r="A2236" s="4" t="s">
        <v>2412</v>
      </c>
      <c r="B2236" s="4" t="s">
        <v>87</v>
      </c>
      <c r="C2236" s="13" t="n">
        <v>45019</v>
      </c>
      <c r="D2236" s="13" t="n">
        <v>45031</v>
      </c>
      <c r="E2236" s="13" t="n">
        <v>45030</v>
      </c>
      <c r="F2236" s="4" t="n">
        <v>535</v>
      </c>
      <c r="G2236" s="4" t="n">
        <v>495</v>
      </c>
      <c r="H2236" s="4" t="n">
        <v>161.95</v>
      </c>
      <c r="I2236" s="4" t="n">
        <v>167.63</v>
      </c>
      <c r="J2236" s="14" t="n">
        <f aca="false">E2236-D2236</f>
        <v>-1</v>
      </c>
      <c r="K2236" s="14" t="n">
        <f aca="false">IF(J2236&lt;=0,1,0)</f>
        <v>1</v>
      </c>
      <c r="L2236" s="15" t="n">
        <f aca="false">IFERROR(G2236/F2236,0)</f>
        <v>0.925233644859813</v>
      </c>
      <c r="M2236" s="15" t="n">
        <f aca="false">IFERROR((I2236-H2236)/H2236,0)</f>
        <v>0.0350725532571782</v>
      </c>
      <c r="N2236" s="16" t="n">
        <f aca="false">G2236*I2236</f>
        <v>82976.85</v>
      </c>
    </row>
    <row r="2237" customFormat="false" ht="15" hidden="false" customHeight="true" outlineLevel="0" collapsed="false">
      <c r="A2237" s="4" t="s">
        <v>2413</v>
      </c>
      <c r="B2237" s="4" t="s">
        <v>121</v>
      </c>
      <c r="C2237" s="13" t="n">
        <v>45583</v>
      </c>
      <c r="D2237" s="13" t="n">
        <v>45592</v>
      </c>
      <c r="E2237" s="13" t="n">
        <v>45593</v>
      </c>
      <c r="F2237" s="4" t="n">
        <v>251</v>
      </c>
      <c r="G2237" s="4" t="n">
        <v>222</v>
      </c>
      <c r="H2237" s="4" t="n">
        <v>206.07</v>
      </c>
      <c r="I2237" s="4" t="n">
        <v>231.69</v>
      </c>
      <c r="J2237" s="14" t="n">
        <f aca="false">E2237-D2237</f>
        <v>1</v>
      </c>
      <c r="K2237" s="14" t="n">
        <f aca="false">IF(J2237&lt;=0,1,0)</f>
        <v>0</v>
      </c>
      <c r="L2237" s="15" t="n">
        <f aca="false">IFERROR(G2237/F2237,0)</f>
        <v>0.884462151394422</v>
      </c>
      <c r="M2237" s="15" t="n">
        <f aca="false">IFERROR((I2237-H2237)/H2237,0)</f>
        <v>0.124326685107003</v>
      </c>
      <c r="N2237" s="16" t="n">
        <f aca="false">G2237*I2237</f>
        <v>51435.18</v>
      </c>
    </row>
    <row r="2238" customFormat="false" ht="15" hidden="false" customHeight="true" outlineLevel="0" collapsed="false">
      <c r="A2238" s="4" t="s">
        <v>2414</v>
      </c>
      <c r="B2238" s="4" t="s">
        <v>52</v>
      </c>
      <c r="C2238" s="13" t="n">
        <v>45121</v>
      </c>
      <c r="D2238" s="13" t="n">
        <v>45130</v>
      </c>
      <c r="E2238" s="13" t="n">
        <v>45138</v>
      </c>
      <c r="F2238" s="4" t="n">
        <v>1930</v>
      </c>
      <c r="G2238" s="4" t="n">
        <v>1651</v>
      </c>
      <c r="H2238" s="4" t="n">
        <v>170.24</v>
      </c>
      <c r="I2238" s="4" t="n">
        <v>171.63</v>
      </c>
      <c r="J2238" s="14" t="n">
        <f aca="false">E2238-D2238</f>
        <v>8</v>
      </c>
      <c r="K2238" s="14" t="n">
        <f aca="false">IF(J2238&lt;=0,1,0)</f>
        <v>0</v>
      </c>
      <c r="L2238" s="15" t="n">
        <f aca="false">IFERROR(G2238/F2238,0)</f>
        <v>0.855440414507772</v>
      </c>
      <c r="M2238" s="15" t="n">
        <f aca="false">IFERROR((I2238-H2238)/H2238,0)</f>
        <v>0.00816494360902248</v>
      </c>
      <c r="N2238" s="16" t="n">
        <f aca="false">G2238*I2238</f>
        <v>283361.13</v>
      </c>
    </row>
    <row r="2239" customFormat="false" ht="15" hidden="false" customHeight="true" outlineLevel="0" collapsed="false">
      <c r="A2239" s="4" t="s">
        <v>2415</v>
      </c>
      <c r="B2239" s="4" t="s">
        <v>70</v>
      </c>
      <c r="C2239" s="13" t="n">
        <v>45633</v>
      </c>
      <c r="D2239" s="13" t="n">
        <v>45641</v>
      </c>
      <c r="E2239" s="13" t="n">
        <v>45646</v>
      </c>
      <c r="F2239" s="4" t="n">
        <v>3160</v>
      </c>
      <c r="G2239" s="4" t="n">
        <v>2913</v>
      </c>
      <c r="H2239" s="4" t="n">
        <v>35.88</v>
      </c>
      <c r="I2239" s="4" t="n">
        <v>38.51</v>
      </c>
      <c r="J2239" s="14" t="n">
        <f aca="false">E2239-D2239</f>
        <v>5</v>
      </c>
      <c r="K2239" s="14" t="n">
        <f aca="false">IF(J2239&lt;=0,1,0)</f>
        <v>0</v>
      </c>
      <c r="L2239" s="15" t="n">
        <f aca="false">IFERROR(G2239/F2239,0)</f>
        <v>0.921835443037975</v>
      </c>
      <c r="M2239" s="15" t="n">
        <f aca="false">IFERROR((I2239-H2239)/H2239,0)</f>
        <v>0.0732998885172797</v>
      </c>
      <c r="N2239" s="16" t="n">
        <f aca="false">G2239*I2239</f>
        <v>112179.63</v>
      </c>
    </row>
    <row r="2240" customFormat="false" ht="15" hidden="false" customHeight="true" outlineLevel="0" collapsed="false">
      <c r="A2240" s="4" t="s">
        <v>2416</v>
      </c>
      <c r="B2240" s="4" t="s">
        <v>155</v>
      </c>
      <c r="C2240" s="13" t="n">
        <v>45036</v>
      </c>
      <c r="D2240" s="13" t="n">
        <v>45044</v>
      </c>
      <c r="E2240" s="13" t="n">
        <v>45041</v>
      </c>
      <c r="F2240" s="4" t="n">
        <v>555</v>
      </c>
      <c r="G2240" s="4" t="n">
        <v>555</v>
      </c>
      <c r="H2240" s="4" t="n">
        <v>24.04</v>
      </c>
      <c r="I2240" s="4" t="n">
        <v>23.89</v>
      </c>
      <c r="J2240" s="14" t="n">
        <f aca="false">E2240-D2240</f>
        <v>-3</v>
      </c>
      <c r="K2240" s="14" t="n">
        <f aca="false">IF(J2240&lt;=0,1,0)</f>
        <v>1</v>
      </c>
      <c r="L2240" s="15" t="n">
        <f aca="false">IFERROR(G2240/F2240,0)</f>
        <v>1</v>
      </c>
      <c r="M2240" s="15" t="n">
        <f aca="false">IFERROR((I2240-H2240)/H2240,0)</f>
        <v>-0.00623960066555735</v>
      </c>
      <c r="N2240" s="16" t="n">
        <f aca="false">G2240*I2240</f>
        <v>13258.95</v>
      </c>
    </row>
    <row r="2241" customFormat="false" ht="15" hidden="false" customHeight="true" outlineLevel="0" collapsed="false">
      <c r="A2241" s="4" t="s">
        <v>2417</v>
      </c>
      <c r="B2241" s="4" t="s">
        <v>131</v>
      </c>
      <c r="C2241" s="13" t="n">
        <v>45642</v>
      </c>
      <c r="D2241" s="13" t="n">
        <v>45652</v>
      </c>
      <c r="E2241" s="13" t="n">
        <v>45646</v>
      </c>
      <c r="F2241" s="4" t="n">
        <v>1173</v>
      </c>
      <c r="G2241" s="4" t="n">
        <v>1137</v>
      </c>
      <c r="H2241" s="4" t="n">
        <v>88.52</v>
      </c>
      <c r="I2241" s="4" t="n">
        <v>89.82</v>
      </c>
      <c r="J2241" s="14" t="n">
        <f aca="false">E2241-D2241</f>
        <v>-6</v>
      </c>
      <c r="K2241" s="14" t="n">
        <f aca="false">IF(J2241&lt;=0,1,0)</f>
        <v>1</v>
      </c>
      <c r="L2241" s="15" t="n">
        <f aca="false">IFERROR(G2241/F2241,0)</f>
        <v>0.969309462915601</v>
      </c>
      <c r="M2241" s="15" t="n">
        <f aca="false">IFERROR((I2241-H2241)/H2241,0)</f>
        <v>0.0146859466787166</v>
      </c>
      <c r="N2241" s="16" t="n">
        <f aca="false">G2241*I2241</f>
        <v>102125.34</v>
      </c>
    </row>
    <row r="2242" customFormat="false" ht="15" hidden="false" customHeight="true" outlineLevel="0" collapsed="false">
      <c r="A2242" s="4" t="s">
        <v>2418</v>
      </c>
      <c r="B2242" s="4" t="s">
        <v>145</v>
      </c>
      <c r="C2242" s="13" t="n">
        <v>45325</v>
      </c>
      <c r="D2242" s="13" t="n">
        <v>45334</v>
      </c>
      <c r="E2242" s="13" t="n">
        <v>45327</v>
      </c>
      <c r="F2242" s="4" t="n">
        <v>1257</v>
      </c>
      <c r="G2242" s="4" t="n">
        <v>1179</v>
      </c>
      <c r="H2242" s="4" t="n">
        <v>237.04</v>
      </c>
      <c r="I2242" s="4" t="n">
        <v>252.45</v>
      </c>
      <c r="J2242" s="14" t="n">
        <f aca="false">E2242-D2242</f>
        <v>-7</v>
      </c>
      <c r="K2242" s="14" t="n">
        <f aca="false">IF(J2242&lt;=0,1,0)</f>
        <v>1</v>
      </c>
      <c r="L2242" s="15" t="n">
        <f aca="false">IFERROR(G2242/F2242,0)</f>
        <v>0.937947494033413</v>
      </c>
      <c r="M2242" s="15" t="n">
        <f aca="false">IFERROR((I2242-H2242)/H2242,0)</f>
        <v>0.0650101248734391</v>
      </c>
      <c r="N2242" s="16" t="n">
        <f aca="false">G2242*I2242</f>
        <v>297638.55</v>
      </c>
    </row>
    <row r="2243" customFormat="false" ht="15" hidden="false" customHeight="true" outlineLevel="0" collapsed="false">
      <c r="A2243" s="4" t="s">
        <v>2419</v>
      </c>
      <c r="B2243" s="4" t="s">
        <v>103</v>
      </c>
      <c r="C2243" s="13" t="n">
        <v>45341</v>
      </c>
      <c r="D2243" s="13" t="n">
        <v>45358</v>
      </c>
      <c r="E2243" s="13" t="n">
        <v>45360</v>
      </c>
      <c r="F2243" s="4" t="n">
        <v>141</v>
      </c>
      <c r="G2243" s="4" t="n">
        <v>141</v>
      </c>
      <c r="H2243" s="4" t="n">
        <v>1400.22</v>
      </c>
      <c r="I2243" s="4" t="n">
        <v>1420.26</v>
      </c>
      <c r="J2243" s="14" t="n">
        <f aca="false">E2243-D2243</f>
        <v>2</v>
      </c>
      <c r="K2243" s="14" t="n">
        <f aca="false">IF(J2243&lt;=0,1,0)</f>
        <v>0</v>
      </c>
      <c r="L2243" s="15" t="n">
        <f aca="false">IFERROR(G2243/F2243,0)</f>
        <v>1</v>
      </c>
      <c r="M2243" s="15" t="n">
        <f aca="false">IFERROR((I2243-H2243)/H2243,0)</f>
        <v>0.0143120366799503</v>
      </c>
      <c r="N2243" s="16" t="n">
        <f aca="false">G2243*I2243</f>
        <v>200256.66</v>
      </c>
    </row>
    <row r="2244" customFormat="false" ht="15" hidden="false" customHeight="true" outlineLevel="0" collapsed="false">
      <c r="A2244" s="4" t="s">
        <v>2420</v>
      </c>
      <c r="B2244" s="4" t="s">
        <v>65</v>
      </c>
      <c r="C2244" s="13" t="n">
        <v>45516</v>
      </c>
      <c r="D2244" s="13" t="n">
        <v>45536</v>
      </c>
      <c r="E2244" s="13" t="n">
        <v>45533</v>
      </c>
      <c r="F2244" s="4" t="n">
        <v>253</v>
      </c>
      <c r="G2244" s="4" t="n">
        <v>250</v>
      </c>
      <c r="H2244" s="4" t="n">
        <v>1365.59</v>
      </c>
      <c r="I2244" s="4" t="n">
        <v>1365.02</v>
      </c>
      <c r="J2244" s="14" t="n">
        <f aca="false">E2244-D2244</f>
        <v>-3</v>
      </c>
      <c r="K2244" s="14" t="n">
        <f aca="false">IF(J2244&lt;=0,1,0)</f>
        <v>1</v>
      </c>
      <c r="L2244" s="15" t="n">
        <f aca="false">IFERROR(G2244/F2244,0)</f>
        <v>0.988142292490119</v>
      </c>
      <c r="M2244" s="15" t="n">
        <f aca="false">IFERROR((I2244-H2244)/H2244,0)</f>
        <v>-0.000417402002064995</v>
      </c>
      <c r="N2244" s="16" t="n">
        <f aca="false">G2244*I2244</f>
        <v>341255</v>
      </c>
    </row>
    <row r="2245" customFormat="false" ht="15" hidden="false" customHeight="true" outlineLevel="0" collapsed="false">
      <c r="A2245" s="4" t="s">
        <v>2421</v>
      </c>
      <c r="B2245" s="4" t="s">
        <v>161</v>
      </c>
      <c r="C2245" s="13" t="n">
        <v>45290</v>
      </c>
      <c r="D2245" s="13" t="n">
        <v>45302</v>
      </c>
      <c r="E2245" s="13" t="n">
        <v>45303</v>
      </c>
      <c r="F2245" s="4" t="n">
        <v>660</v>
      </c>
      <c r="G2245" s="4" t="n">
        <v>658</v>
      </c>
      <c r="H2245" s="4" t="n">
        <v>101.94</v>
      </c>
      <c r="I2245" s="4" t="n">
        <v>109.51</v>
      </c>
      <c r="J2245" s="14" t="n">
        <f aca="false">E2245-D2245</f>
        <v>1</v>
      </c>
      <c r="K2245" s="14" t="n">
        <f aca="false">IF(J2245&lt;=0,1,0)</f>
        <v>0</v>
      </c>
      <c r="L2245" s="15" t="n">
        <f aca="false">IFERROR(G2245/F2245,0)</f>
        <v>0.996969696969697</v>
      </c>
      <c r="M2245" s="15" t="n">
        <f aca="false">IFERROR((I2245-H2245)/H2245,0)</f>
        <v>0.0742593682558368</v>
      </c>
      <c r="N2245" s="16" t="n">
        <f aca="false">G2245*I2245</f>
        <v>72057.58</v>
      </c>
    </row>
    <row r="2246" customFormat="false" ht="15" hidden="false" customHeight="true" outlineLevel="0" collapsed="false">
      <c r="A2246" s="4" t="s">
        <v>2422</v>
      </c>
      <c r="B2246" s="4" t="s">
        <v>50</v>
      </c>
      <c r="C2246" s="13" t="n">
        <v>45415</v>
      </c>
      <c r="D2246" s="13" t="n">
        <v>45433</v>
      </c>
      <c r="E2246" s="13" t="n">
        <v>45433</v>
      </c>
      <c r="F2246" s="4" t="n">
        <v>58</v>
      </c>
      <c r="G2246" s="4" t="n">
        <v>57</v>
      </c>
      <c r="H2246" s="4" t="n">
        <v>707.19</v>
      </c>
      <c r="I2246" s="4" t="n">
        <v>760.81</v>
      </c>
      <c r="J2246" s="14" t="n">
        <f aca="false">E2246-D2246</f>
        <v>0</v>
      </c>
      <c r="K2246" s="14" t="n">
        <f aca="false">IF(J2246&lt;=0,1,0)</f>
        <v>1</v>
      </c>
      <c r="L2246" s="15" t="n">
        <f aca="false">IFERROR(G2246/F2246,0)</f>
        <v>0.982758620689655</v>
      </c>
      <c r="M2246" s="15" t="n">
        <f aca="false">IFERROR((I2246-H2246)/H2246,0)</f>
        <v>0.0758212078790705</v>
      </c>
      <c r="N2246" s="16" t="n">
        <f aca="false">G2246*I2246</f>
        <v>43366.17</v>
      </c>
    </row>
    <row r="2247" customFormat="false" ht="15" hidden="false" customHeight="true" outlineLevel="0" collapsed="false">
      <c r="A2247" s="4" t="s">
        <v>2423</v>
      </c>
      <c r="B2247" s="4" t="s">
        <v>43</v>
      </c>
      <c r="C2247" s="13" t="n">
        <v>45175</v>
      </c>
      <c r="D2247" s="13" t="n">
        <v>45192</v>
      </c>
      <c r="E2247" s="13" t="n">
        <v>45193</v>
      </c>
      <c r="F2247" s="4" t="n">
        <v>194</v>
      </c>
      <c r="G2247" s="4" t="n">
        <v>184</v>
      </c>
      <c r="H2247" s="4" t="n">
        <v>1321.6</v>
      </c>
      <c r="I2247" s="4" t="n">
        <v>1342.44</v>
      </c>
      <c r="J2247" s="14" t="n">
        <f aca="false">E2247-D2247</f>
        <v>1</v>
      </c>
      <c r="K2247" s="14" t="n">
        <f aca="false">IF(J2247&lt;=0,1,0)</f>
        <v>0</v>
      </c>
      <c r="L2247" s="15" t="n">
        <f aca="false">IFERROR(G2247/F2247,0)</f>
        <v>0.948453608247423</v>
      </c>
      <c r="M2247" s="15" t="n">
        <f aca="false">IFERROR((I2247-H2247)/H2247,0)</f>
        <v>0.015768765133172</v>
      </c>
      <c r="N2247" s="16" t="n">
        <f aca="false">G2247*I2247</f>
        <v>247008.96</v>
      </c>
    </row>
    <row r="2248" customFormat="false" ht="15" hidden="false" customHeight="true" outlineLevel="0" collapsed="false">
      <c r="A2248" s="4" t="s">
        <v>2424</v>
      </c>
      <c r="B2248" s="4" t="s">
        <v>97</v>
      </c>
      <c r="C2248" s="13" t="n">
        <v>44969</v>
      </c>
      <c r="D2248" s="13" t="n">
        <v>44979</v>
      </c>
      <c r="E2248" s="13" t="n">
        <v>44981</v>
      </c>
      <c r="F2248" s="4" t="n">
        <v>1139</v>
      </c>
      <c r="G2248" s="4" t="n">
        <v>1115</v>
      </c>
      <c r="H2248" s="4" t="n">
        <v>123.04</v>
      </c>
      <c r="I2248" s="4" t="n">
        <v>123.29</v>
      </c>
      <c r="J2248" s="14" t="n">
        <f aca="false">E2248-D2248</f>
        <v>2</v>
      </c>
      <c r="K2248" s="14" t="n">
        <f aca="false">IF(J2248&lt;=0,1,0)</f>
        <v>0</v>
      </c>
      <c r="L2248" s="15" t="n">
        <f aca="false">IFERROR(G2248/F2248,0)</f>
        <v>0.978928884986831</v>
      </c>
      <c r="M2248" s="15" t="n">
        <f aca="false">IFERROR((I2248-H2248)/H2248,0)</f>
        <v>0.00203185955786736</v>
      </c>
      <c r="N2248" s="16" t="n">
        <f aca="false">G2248*I2248</f>
        <v>137468.35</v>
      </c>
    </row>
    <row r="2249" customFormat="false" ht="15" hidden="false" customHeight="true" outlineLevel="0" collapsed="false">
      <c r="A2249" s="4" t="s">
        <v>2425</v>
      </c>
      <c r="B2249" s="4" t="s">
        <v>157</v>
      </c>
      <c r="C2249" s="13" t="n">
        <v>44946</v>
      </c>
      <c r="D2249" s="13" t="n">
        <v>44953</v>
      </c>
      <c r="E2249" s="13" t="n">
        <v>44953</v>
      </c>
      <c r="F2249" s="4" t="n">
        <v>773</v>
      </c>
      <c r="G2249" s="4" t="n">
        <v>725</v>
      </c>
      <c r="H2249" s="4" t="n">
        <v>13.1</v>
      </c>
      <c r="I2249" s="4" t="n">
        <v>13.08</v>
      </c>
      <c r="J2249" s="14" t="n">
        <f aca="false">E2249-D2249</f>
        <v>0</v>
      </c>
      <c r="K2249" s="14" t="n">
        <f aca="false">IF(J2249&lt;=0,1,0)</f>
        <v>1</v>
      </c>
      <c r="L2249" s="15" t="n">
        <f aca="false">IFERROR(G2249/F2249,0)</f>
        <v>0.937904269081501</v>
      </c>
      <c r="M2249" s="15" t="n">
        <f aca="false">IFERROR((I2249-H2249)/H2249,0)</f>
        <v>-0.00152671755725188</v>
      </c>
      <c r="N2249" s="16" t="n">
        <f aca="false">G2249*I2249</f>
        <v>9483</v>
      </c>
    </row>
    <row r="2250" customFormat="false" ht="15" hidden="false" customHeight="true" outlineLevel="0" collapsed="false">
      <c r="A2250" s="4" t="s">
        <v>2426</v>
      </c>
      <c r="B2250" s="4" t="s">
        <v>121</v>
      </c>
      <c r="C2250" s="13" t="n">
        <v>45319</v>
      </c>
      <c r="D2250" s="13" t="n">
        <v>45329</v>
      </c>
      <c r="E2250" s="13" t="n">
        <v>45326</v>
      </c>
      <c r="F2250" s="4" t="n">
        <v>1603</v>
      </c>
      <c r="G2250" s="4" t="n">
        <v>1438</v>
      </c>
      <c r="H2250" s="4" t="n">
        <v>206.07</v>
      </c>
      <c r="I2250" s="4" t="n">
        <v>223.1</v>
      </c>
      <c r="J2250" s="14" t="n">
        <f aca="false">E2250-D2250</f>
        <v>-3</v>
      </c>
      <c r="K2250" s="14" t="n">
        <f aca="false">IF(J2250&lt;=0,1,0)</f>
        <v>1</v>
      </c>
      <c r="L2250" s="15" t="n">
        <f aca="false">IFERROR(G2250/F2250,0)</f>
        <v>0.897067997504679</v>
      </c>
      <c r="M2250" s="15" t="n">
        <f aca="false">IFERROR((I2250-H2250)/H2250,0)</f>
        <v>0.0826418207405251</v>
      </c>
      <c r="N2250" s="16" t="n">
        <f aca="false">G2250*I2250</f>
        <v>320817.8</v>
      </c>
    </row>
    <row r="2251" customFormat="false" ht="15" hidden="false" customHeight="true" outlineLevel="0" collapsed="false">
      <c r="A2251" s="4" t="s">
        <v>2427</v>
      </c>
      <c r="B2251" s="4" t="s">
        <v>101</v>
      </c>
      <c r="C2251" s="13" t="n">
        <v>45261</v>
      </c>
      <c r="D2251" s="13" t="n">
        <v>45280</v>
      </c>
      <c r="E2251" s="13" t="n">
        <v>45281</v>
      </c>
      <c r="F2251" s="4" t="n">
        <v>468</v>
      </c>
      <c r="G2251" s="4" t="n">
        <v>460</v>
      </c>
      <c r="H2251" s="4" t="n">
        <v>442.74</v>
      </c>
      <c r="I2251" s="4" t="n">
        <v>443.36</v>
      </c>
      <c r="J2251" s="14" t="n">
        <f aca="false">E2251-D2251</f>
        <v>1</v>
      </c>
      <c r="K2251" s="14" t="n">
        <f aca="false">IF(J2251&lt;=0,1,0)</f>
        <v>0</v>
      </c>
      <c r="L2251" s="15" t="n">
        <f aca="false">IFERROR(G2251/F2251,0)</f>
        <v>0.982905982905983</v>
      </c>
      <c r="M2251" s="15" t="n">
        <f aca="false">IFERROR((I2251-H2251)/H2251,0)</f>
        <v>0.00140037042056287</v>
      </c>
      <c r="N2251" s="16" t="n">
        <f aca="false">G2251*I2251</f>
        <v>203945.6</v>
      </c>
    </row>
    <row r="2252" customFormat="false" ht="15" hidden="false" customHeight="true" outlineLevel="0" collapsed="false">
      <c r="A2252" s="4" t="s">
        <v>2428</v>
      </c>
      <c r="B2252" s="4" t="s">
        <v>74</v>
      </c>
      <c r="C2252" s="13" t="n">
        <v>45146</v>
      </c>
      <c r="D2252" s="13" t="n">
        <v>45152</v>
      </c>
      <c r="E2252" s="13" t="n">
        <v>45153</v>
      </c>
      <c r="F2252" s="4" t="n">
        <v>6</v>
      </c>
      <c r="G2252" s="4" t="n">
        <v>6</v>
      </c>
      <c r="H2252" s="4" t="n">
        <v>1294.62</v>
      </c>
      <c r="I2252" s="4" t="n">
        <v>1339.77</v>
      </c>
      <c r="J2252" s="14" t="n">
        <f aca="false">E2252-D2252</f>
        <v>1</v>
      </c>
      <c r="K2252" s="14" t="n">
        <f aca="false">IF(J2252&lt;=0,1,0)</f>
        <v>0</v>
      </c>
      <c r="L2252" s="15" t="n">
        <f aca="false">IFERROR(G2252/F2252,0)</f>
        <v>1</v>
      </c>
      <c r="M2252" s="15" t="n">
        <f aca="false">IFERROR((I2252-H2252)/H2252,0)</f>
        <v>0.0348750984844975</v>
      </c>
      <c r="N2252" s="16" t="n">
        <f aca="false">G2252*I2252</f>
        <v>8038.62</v>
      </c>
    </row>
    <row r="2253" customFormat="false" ht="15" hidden="false" customHeight="true" outlineLevel="0" collapsed="false">
      <c r="A2253" s="4" t="s">
        <v>2429</v>
      </c>
      <c r="B2253" s="4" t="s">
        <v>159</v>
      </c>
      <c r="C2253" s="13" t="n">
        <v>45597</v>
      </c>
      <c r="D2253" s="13" t="n">
        <v>45606</v>
      </c>
      <c r="E2253" s="13" t="n">
        <v>45614</v>
      </c>
      <c r="F2253" s="4" t="n">
        <v>3305</v>
      </c>
      <c r="G2253" s="4" t="n">
        <v>3226</v>
      </c>
      <c r="H2253" s="4" t="n">
        <v>32.91</v>
      </c>
      <c r="I2253" s="4" t="n">
        <v>33.58</v>
      </c>
      <c r="J2253" s="14" t="n">
        <f aca="false">E2253-D2253</f>
        <v>8</v>
      </c>
      <c r="K2253" s="14" t="n">
        <f aca="false">IF(J2253&lt;=0,1,0)</f>
        <v>0</v>
      </c>
      <c r="L2253" s="15" t="n">
        <f aca="false">IFERROR(G2253/F2253,0)</f>
        <v>0.976096822995461</v>
      </c>
      <c r="M2253" s="15" t="n">
        <f aca="false">IFERROR((I2253-H2253)/H2253,0)</f>
        <v>0.0203585536311152</v>
      </c>
      <c r="N2253" s="16" t="n">
        <f aca="false">G2253*I2253</f>
        <v>108329.08</v>
      </c>
    </row>
    <row r="2254" customFormat="false" ht="15" hidden="false" customHeight="true" outlineLevel="0" collapsed="false">
      <c r="A2254" s="4" t="s">
        <v>2430</v>
      </c>
      <c r="B2254" s="4" t="s">
        <v>99</v>
      </c>
      <c r="C2254" s="13" t="n">
        <v>45573</v>
      </c>
      <c r="D2254" s="13" t="n">
        <v>45582</v>
      </c>
      <c r="E2254" s="13" t="n">
        <v>45584</v>
      </c>
      <c r="F2254" s="4" t="n">
        <v>4452</v>
      </c>
      <c r="G2254" s="4" t="n">
        <v>4044</v>
      </c>
      <c r="H2254" s="4" t="n">
        <v>11.5</v>
      </c>
      <c r="I2254" s="4" t="n">
        <v>12.83</v>
      </c>
      <c r="J2254" s="14" t="n">
        <f aca="false">E2254-D2254</f>
        <v>2</v>
      </c>
      <c r="K2254" s="14" t="n">
        <f aca="false">IF(J2254&lt;=0,1,0)</f>
        <v>0</v>
      </c>
      <c r="L2254" s="15" t="n">
        <f aca="false">IFERROR(G2254/F2254,0)</f>
        <v>0.908355795148248</v>
      </c>
      <c r="M2254" s="15" t="n">
        <f aca="false">IFERROR((I2254-H2254)/H2254,0)</f>
        <v>0.115652173913043</v>
      </c>
      <c r="N2254" s="16" t="n">
        <f aca="false">G2254*I2254</f>
        <v>51884.52</v>
      </c>
    </row>
    <row r="2255" customFormat="false" ht="15" hidden="false" customHeight="true" outlineLevel="0" collapsed="false">
      <c r="A2255" s="4" t="s">
        <v>2431</v>
      </c>
      <c r="B2255" s="4" t="s">
        <v>101</v>
      </c>
      <c r="C2255" s="13" t="n">
        <v>45202</v>
      </c>
      <c r="D2255" s="13" t="n">
        <v>45222</v>
      </c>
      <c r="E2255" s="13" t="n">
        <v>45225</v>
      </c>
      <c r="F2255" s="4" t="n">
        <v>338</v>
      </c>
      <c r="G2255" s="4" t="n">
        <v>331</v>
      </c>
      <c r="H2255" s="4" t="n">
        <v>442.74</v>
      </c>
      <c r="I2255" s="4" t="n">
        <v>440.01</v>
      </c>
      <c r="J2255" s="14" t="n">
        <f aca="false">E2255-D2255</f>
        <v>3</v>
      </c>
      <c r="K2255" s="14" t="n">
        <f aca="false">IF(J2255&lt;=0,1,0)</f>
        <v>0</v>
      </c>
      <c r="L2255" s="15" t="n">
        <f aca="false">IFERROR(G2255/F2255,0)</f>
        <v>0.979289940828402</v>
      </c>
      <c r="M2255" s="15" t="n">
        <f aca="false">IFERROR((I2255-H2255)/H2255,0)</f>
        <v>-0.00616614717441392</v>
      </c>
      <c r="N2255" s="16" t="n">
        <f aca="false">G2255*I2255</f>
        <v>145643.31</v>
      </c>
    </row>
    <row r="2256" customFormat="false" ht="15" hidden="false" customHeight="true" outlineLevel="0" collapsed="false">
      <c r="A2256" s="4" t="s">
        <v>2432</v>
      </c>
      <c r="B2256" s="4" t="s">
        <v>83</v>
      </c>
      <c r="C2256" s="13" t="n">
        <v>45264</v>
      </c>
      <c r="D2256" s="13" t="n">
        <v>45276</v>
      </c>
      <c r="E2256" s="13" t="n">
        <v>45273</v>
      </c>
      <c r="F2256" s="4" t="n">
        <v>796</v>
      </c>
      <c r="G2256" s="4" t="n">
        <v>796</v>
      </c>
      <c r="H2256" s="4" t="n">
        <v>101.36</v>
      </c>
      <c r="I2256" s="4" t="n">
        <v>103.13</v>
      </c>
      <c r="J2256" s="14" t="n">
        <f aca="false">E2256-D2256</f>
        <v>-3</v>
      </c>
      <c r="K2256" s="14" t="n">
        <f aca="false">IF(J2256&lt;=0,1,0)</f>
        <v>1</v>
      </c>
      <c r="L2256" s="15" t="n">
        <f aca="false">IFERROR(G2256/F2256,0)</f>
        <v>1</v>
      </c>
      <c r="M2256" s="15" t="n">
        <f aca="false">IFERROR((I2256-H2256)/H2256,0)</f>
        <v>0.0174625098658247</v>
      </c>
      <c r="N2256" s="16" t="n">
        <f aca="false">G2256*I2256</f>
        <v>82091.48</v>
      </c>
    </row>
    <row r="2257" customFormat="false" ht="15" hidden="false" customHeight="true" outlineLevel="0" collapsed="false">
      <c r="A2257" s="4" t="s">
        <v>2433</v>
      </c>
      <c r="B2257" s="4" t="s">
        <v>163</v>
      </c>
      <c r="C2257" s="13" t="n">
        <v>45500</v>
      </c>
      <c r="D2257" s="13" t="n">
        <v>45517</v>
      </c>
      <c r="E2257" s="13" t="n">
        <v>45516</v>
      </c>
      <c r="F2257" s="4" t="n">
        <v>309</v>
      </c>
      <c r="G2257" s="4" t="n">
        <v>306</v>
      </c>
      <c r="H2257" s="4" t="n">
        <v>482.79</v>
      </c>
      <c r="I2257" s="4" t="n">
        <v>498.41</v>
      </c>
      <c r="J2257" s="14" t="n">
        <f aca="false">E2257-D2257</f>
        <v>-1</v>
      </c>
      <c r="K2257" s="14" t="n">
        <f aca="false">IF(J2257&lt;=0,1,0)</f>
        <v>1</v>
      </c>
      <c r="L2257" s="15" t="n">
        <f aca="false">IFERROR(G2257/F2257,0)</f>
        <v>0.990291262135922</v>
      </c>
      <c r="M2257" s="15" t="n">
        <f aca="false">IFERROR((I2257-H2257)/H2257,0)</f>
        <v>0.0323536113009797</v>
      </c>
      <c r="N2257" s="16" t="n">
        <f aca="false">G2257*I2257</f>
        <v>152513.46</v>
      </c>
    </row>
    <row r="2258" customFormat="false" ht="15" hidden="false" customHeight="true" outlineLevel="0" collapsed="false">
      <c r="A2258" s="4" t="s">
        <v>2434</v>
      </c>
      <c r="B2258" s="4" t="s">
        <v>155</v>
      </c>
      <c r="C2258" s="13" t="n">
        <v>45042</v>
      </c>
      <c r="D2258" s="13" t="n">
        <v>45050</v>
      </c>
      <c r="E2258" s="13" t="n">
        <v>45047</v>
      </c>
      <c r="F2258" s="4" t="n">
        <v>699</v>
      </c>
      <c r="G2258" s="4" t="n">
        <v>675</v>
      </c>
      <c r="H2258" s="4" t="n">
        <v>24.04</v>
      </c>
      <c r="I2258" s="4" t="n">
        <v>23.89</v>
      </c>
      <c r="J2258" s="14" t="n">
        <f aca="false">E2258-D2258</f>
        <v>-3</v>
      </c>
      <c r="K2258" s="14" t="n">
        <f aca="false">IF(J2258&lt;=0,1,0)</f>
        <v>1</v>
      </c>
      <c r="L2258" s="15" t="n">
        <f aca="false">IFERROR(G2258/F2258,0)</f>
        <v>0.965665236051502</v>
      </c>
      <c r="M2258" s="15" t="n">
        <f aca="false">IFERROR((I2258-H2258)/H2258,0)</f>
        <v>-0.00623960066555735</v>
      </c>
      <c r="N2258" s="16" t="n">
        <f aca="false">G2258*I2258</f>
        <v>16125.75</v>
      </c>
    </row>
    <row r="2259" customFormat="false" ht="15" hidden="false" customHeight="true" outlineLevel="0" collapsed="false">
      <c r="A2259" s="4" t="s">
        <v>2435</v>
      </c>
      <c r="B2259" s="4" t="s">
        <v>131</v>
      </c>
      <c r="C2259" s="13" t="n">
        <v>45000</v>
      </c>
      <c r="D2259" s="13" t="n">
        <v>45009</v>
      </c>
      <c r="E2259" s="13" t="n">
        <v>45004</v>
      </c>
      <c r="F2259" s="4" t="n">
        <v>262</v>
      </c>
      <c r="G2259" s="4" t="n">
        <v>251</v>
      </c>
      <c r="H2259" s="4" t="n">
        <v>88.52</v>
      </c>
      <c r="I2259" s="4" t="n">
        <v>89.77</v>
      </c>
      <c r="J2259" s="14" t="n">
        <f aca="false">E2259-D2259</f>
        <v>-5</v>
      </c>
      <c r="K2259" s="14" t="n">
        <f aca="false">IF(J2259&lt;=0,1,0)</f>
        <v>1</v>
      </c>
      <c r="L2259" s="15" t="n">
        <f aca="false">IFERROR(G2259/F2259,0)</f>
        <v>0.958015267175573</v>
      </c>
      <c r="M2259" s="15" t="n">
        <f aca="false">IFERROR((I2259-H2259)/H2259,0)</f>
        <v>0.0141211025756891</v>
      </c>
      <c r="N2259" s="16" t="n">
        <f aca="false">G2259*I2259</f>
        <v>22532.27</v>
      </c>
    </row>
    <row r="2260" customFormat="false" ht="15" hidden="false" customHeight="true" outlineLevel="0" collapsed="false">
      <c r="A2260" s="4" t="s">
        <v>2436</v>
      </c>
      <c r="B2260" s="4" t="s">
        <v>113</v>
      </c>
      <c r="C2260" s="13" t="n">
        <v>45417</v>
      </c>
      <c r="D2260" s="13" t="n">
        <v>45429</v>
      </c>
      <c r="E2260" s="13" t="n">
        <v>45437</v>
      </c>
      <c r="F2260" s="4" t="n">
        <v>1133</v>
      </c>
      <c r="G2260" s="4" t="n">
        <v>1109</v>
      </c>
      <c r="H2260" s="4" t="n">
        <v>170.42</v>
      </c>
      <c r="I2260" s="4" t="n">
        <v>170.41</v>
      </c>
      <c r="J2260" s="14" t="n">
        <f aca="false">E2260-D2260</f>
        <v>8</v>
      </c>
      <c r="K2260" s="14" t="n">
        <f aca="false">IF(J2260&lt;=0,1,0)</f>
        <v>0</v>
      </c>
      <c r="L2260" s="15" t="n">
        <f aca="false">IFERROR(G2260/F2260,0)</f>
        <v>0.978817299205649</v>
      </c>
      <c r="M2260" s="15" t="n">
        <f aca="false">IFERROR((I2260-H2260)/H2260,0)</f>
        <v>-5.86785588545412E-005</v>
      </c>
      <c r="N2260" s="16" t="n">
        <f aca="false">G2260*I2260</f>
        <v>188984.69</v>
      </c>
    </row>
    <row r="2261" customFormat="false" ht="15" hidden="false" customHeight="true" outlineLevel="0" collapsed="false">
      <c r="A2261" s="4" t="s">
        <v>2437</v>
      </c>
      <c r="B2261" s="4" t="s">
        <v>103</v>
      </c>
      <c r="C2261" s="13" t="n">
        <v>45593</v>
      </c>
      <c r="D2261" s="13" t="n">
        <v>45612</v>
      </c>
      <c r="E2261" s="13" t="n">
        <v>45613</v>
      </c>
      <c r="F2261" s="4" t="n">
        <v>240</v>
      </c>
      <c r="G2261" s="4" t="n">
        <v>240</v>
      </c>
      <c r="H2261" s="4" t="n">
        <v>1400.22</v>
      </c>
      <c r="I2261" s="4" t="n">
        <v>1473.36</v>
      </c>
      <c r="J2261" s="14" t="n">
        <f aca="false">E2261-D2261</f>
        <v>1</v>
      </c>
      <c r="K2261" s="14" t="n">
        <f aca="false">IF(J2261&lt;=0,1,0)</f>
        <v>0</v>
      </c>
      <c r="L2261" s="15" t="n">
        <f aca="false">IFERROR(G2261/F2261,0)</f>
        <v>1</v>
      </c>
      <c r="M2261" s="15" t="n">
        <f aca="false">IFERROR((I2261-H2261)/H2261,0)</f>
        <v>0.0522346488408963</v>
      </c>
      <c r="N2261" s="16" t="n">
        <f aca="false">G2261*I2261</f>
        <v>353606.4</v>
      </c>
    </row>
    <row r="2262" customFormat="false" ht="15" hidden="false" customHeight="true" outlineLevel="0" collapsed="false">
      <c r="A2262" s="4" t="s">
        <v>2438</v>
      </c>
      <c r="B2262" s="4" t="s">
        <v>83</v>
      </c>
      <c r="C2262" s="13" t="n">
        <v>45542</v>
      </c>
      <c r="D2262" s="13" t="n">
        <v>45553</v>
      </c>
      <c r="E2262" s="13" t="n">
        <v>45559</v>
      </c>
      <c r="F2262" s="4" t="n">
        <v>1390</v>
      </c>
      <c r="G2262" s="4" t="n">
        <v>1345</v>
      </c>
      <c r="H2262" s="4" t="n">
        <v>101.36</v>
      </c>
      <c r="I2262" s="4" t="n">
        <v>105.22</v>
      </c>
      <c r="J2262" s="14" t="n">
        <f aca="false">E2262-D2262</f>
        <v>6</v>
      </c>
      <c r="K2262" s="14" t="n">
        <f aca="false">IF(J2262&lt;=0,1,0)</f>
        <v>0</v>
      </c>
      <c r="L2262" s="15" t="n">
        <f aca="false">IFERROR(G2262/F2262,0)</f>
        <v>0.967625899280576</v>
      </c>
      <c r="M2262" s="15" t="n">
        <f aca="false">IFERROR((I2262-H2262)/H2262,0)</f>
        <v>0.0380820836621942</v>
      </c>
      <c r="N2262" s="16" t="n">
        <f aca="false">G2262*I2262</f>
        <v>141520.9</v>
      </c>
    </row>
    <row r="2263" customFormat="false" ht="15" hidden="false" customHeight="true" outlineLevel="0" collapsed="false">
      <c r="A2263" s="4" t="s">
        <v>2439</v>
      </c>
      <c r="B2263" s="4" t="s">
        <v>72</v>
      </c>
      <c r="C2263" s="13" t="n">
        <v>45456</v>
      </c>
      <c r="D2263" s="13" t="n">
        <v>45465</v>
      </c>
      <c r="E2263" s="13" t="n">
        <v>45472</v>
      </c>
      <c r="F2263" s="4" t="n">
        <v>4275</v>
      </c>
      <c r="G2263" s="4" t="n">
        <v>4253</v>
      </c>
      <c r="H2263" s="4" t="n">
        <v>34.53</v>
      </c>
      <c r="I2263" s="4" t="n">
        <v>36.18</v>
      </c>
      <c r="J2263" s="14" t="n">
        <f aca="false">E2263-D2263</f>
        <v>7</v>
      </c>
      <c r="K2263" s="14" t="n">
        <f aca="false">IF(J2263&lt;=0,1,0)</f>
        <v>0</v>
      </c>
      <c r="L2263" s="15" t="n">
        <f aca="false">IFERROR(G2263/F2263,0)</f>
        <v>0.994853801169591</v>
      </c>
      <c r="M2263" s="15" t="n">
        <f aca="false">IFERROR((I2263-H2263)/H2263,0)</f>
        <v>0.0477845351867941</v>
      </c>
      <c r="N2263" s="16" t="n">
        <f aca="false">G2263*I2263</f>
        <v>153873.54</v>
      </c>
    </row>
    <row r="2264" customFormat="false" ht="15" hidden="false" customHeight="true" outlineLevel="0" collapsed="false">
      <c r="A2264" s="4" t="s">
        <v>2440</v>
      </c>
      <c r="B2264" s="4" t="s">
        <v>135</v>
      </c>
      <c r="C2264" s="13" t="n">
        <v>45013</v>
      </c>
      <c r="D2264" s="13" t="n">
        <v>45024</v>
      </c>
      <c r="E2264" s="13" t="n">
        <v>45027</v>
      </c>
      <c r="F2264" s="4" t="n">
        <v>208</v>
      </c>
      <c r="G2264" s="4" t="n">
        <v>208</v>
      </c>
      <c r="H2264" s="4" t="n">
        <v>328.06</v>
      </c>
      <c r="I2264" s="4" t="n">
        <v>327.08</v>
      </c>
      <c r="J2264" s="14" t="n">
        <f aca="false">E2264-D2264</f>
        <v>3</v>
      </c>
      <c r="K2264" s="14" t="n">
        <f aca="false">IF(J2264&lt;=0,1,0)</f>
        <v>0</v>
      </c>
      <c r="L2264" s="15" t="n">
        <f aca="false">IFERROR(G2264/F2264,0)</f>
        <v>1</v>
      </c>
      <c r="M2264" s="15" t="n">
        <f aca="false">IFERROR((I2264-H2264)/H2264,0)</f>
        <v>-0.00298725842833634</v>
      </c>
      <c r="N2264" s="16" t="n">
        <f aca="false">G2264*I2264</f>
        <v>68032.64</v>
      </c>
    </row>
    <row r="2265" customFormat="false" ht="15" hidden="false" customHeight="true" outlineLevel="0" collapsed="false">
      <c r="A2265" s="4" t="s">
        <v>2441</v>
      </c>
      <c r="B2265" s="4" t="s">
        <v>157</v>
      </c>
      <c r="C2265" s="13" t="n">
        <v>45105</v>
      </c>
      <c r="D2265" s="13" t="n">
        <v>45114</v>
      </c>
      <c r="E2265" s="13" t="n">
        <v>45118</v>
      </c>
      <c r="F2265" s="4" t="n">
        <v>1860</v>
      </c>
      <c r="G2265" s="4" t="n">
        <v>1822</v>
      </c>
      <c r="H2265" s="4" t="n">
        <v>13.1</v>
      </c>
      <c r="I2265" s="4" t="n">
        <v>13.3</v>
      </c>
      <c r="J2265" s="14" t="n">
        <f aca="false">E2265-D2265</f>
        <v>4</v>
      </c>
      <c r="K2265" s="14" t="n">
        <f aca="false">IF(J2265&lt;=0,1,0)</f>
        <v>0</v>
      </c>
      <c r="L2265" s="15" t="n">
        <f aca="false">IFERROR(G2265/F2265,0)</f>
        <v>0.979569892473118</v>
      </c>
      <c r="M2265" s="15" t="n">
        <f aca="false">IFERROR((I2265-H2265)/H2265,0)</f>
        <v>0.0152671755725192</v>
      </c>
      <c r="N2265" s="16" t="n">
        <f aca="false">G2265*I2265</f>
        <v>24232.6</v>
      </c>
    </row>
    <row r="2266" customFormat="false" ht="15" hidden="false" customHeight="true" outlineLevel="0" collapsed="false">
      <c r="A2266" s="4" t="s">
        <v>2442</v>
      </c>
      <c r="B2266" s="4" t="s">
        <v>55</v>
      </c>
      <c r="C2266" s="13" t="n">
        <v>45027</v>
      </c>
      <c r="D2266" s="13" t="n">
        <v>45047</v>
      </c>
      <c r="E2266" s="13" t="n">
        <v>45054</v>
      </c>
      <c r="F2266" s="4" t="n">
        <v>129</v>
      </c>
      <c r="G2266" s="4" t="n">
        <v>121</v>
      </c>
      <c r="H2266" s="4" t="n">
        <v>598.09</v>
      </c>
      <c r="I2266" s="4" t="n">
        <v>585.82</v>
      </c>
      <c r="J2266" s="14" t="n">
        <f aca="false">E2266-D2266</f>
        <v>7</v>
      </c>
      <c r="K2266" s="14" t="n">
        <f aca="false">IF(J2266&lt;=0,1,0)</f>
        <v>0</v>
      </c>
      <c r="L2266" s="15" t="n">
        <f aca="false">IFERROR(G2266/F2266,0)</f>
        <v>0.937984496124031</v>
      </c>
      <c r="M2266" s="15" t="n">
        <f aca="false">IFERROR((I2266-H2266)/H2266,0)</f>
        <v>-0.0205153070608102</v>
      </c>
      <c r="N2266" s="16" t="n">
        <f aca="false">G2266*I2266</f>
        <v>70884.22</v>
      </c>
    </row>
    <row r="2267" customFormat="false" ht="15" hidden="false" customHeight="true" outlineLevel="0" collapsed="false">
      <c r="A2267" s="4" t="s">
        <v>2443</v>
      </c>
      <c r="B2267" s="4" t="s">
        <v>77</v>
      </c>
      <c r="C2267" s="13" t="n">
        <v>45046</v>
      </c>
      <c r="D2267" s="13" t="n">
        <v>45053</v>
      </c>
      <c r="E2267" s="13" t="n">
        <v>45061</v>
      </c>
      <c r="F2267" s="4" t="n">
        <v>4916</v>
      </c>
      <c r="G2267" s="4" t="n">
        <v>4860</v>
      </c>
      <c r="H2267" s="4" t="n">
        <v>36.83</v>
      </c>
      <c r="I2267" s="4" t="n">
        <v>36.08</v>
      </c>
      <c r="J2267" s="14" t="n">
        <f aca="false">E2267-D2267</f>
        <v>8</v>
      </c>
      <c r="K2267" s="14" t="n">
        <f aca="false">IF(J2267&lt;=0,1,0)</f>
        <v>0</v>
      </c>
      <c r="L2267" s="15" t="n">
        <f aca="false">IFERROR(G2267/F2267,0)</f>
        <v>0.988608624898291</v>
      </c>
      <c r="M2267" s="15" t="n">
        <f aca="false">IFERROR((I2267-H2267)/H2267,0)</f>
        <v>-0.0203638338311159</v>
      </c>
      <c r="N2267" s="16" t="n">
        <f aca="false">G2267*I2267</f>
        <v>175348.8</v>
      </c>
    </row>
    <row r="2268" customFormat="false" ht="15" hidden="false" customHeight="true" outlineLevel="0" collapsed="false">
      <c r="A2268" s="4" t="s">
        <v>2444</v>
      </c>
      <c r="B2268" s="4" t="s">
        <v>37</v>
      </c>
      <c r="C2268" s="13" t="n">
        <v>45380</v>
      </c>
      <c r="D2268" s="13" t="n">
        <v>45387</v>
      </c>
      <c r="E2268" s="13" t="n">
        <v>45386</v>
      </c>
      <c r="F2268" s="4" t="n">
        <v>1122</v>
      </c>
      <c r="G2268" s="4" t="n">
        <v>1080</v>
      </c>
      <c r="H2268" s="4" t="n">
        <v>22.26</v>
      </c>
      <c r="I2268" s="4" t="n">
        <v>21.4</v>
      </c>
      <c r="J2268" s="14" t="n">
        <f aca="false">E2268-D2268</f>
        <v>-1</v>
      </c>
      <c r="K2268" s="14" t="n">
        <f aca="false">IF(J2268&lt;=0,1,0)</f>
        <v>1</v>
      </c>
      <c r="L2268" s="15" t="n">
        <f aca="false">IFERROR(G2268/F2268,0)</f>
        <v>0.962566844919786</v>
      </c>
      <c r="M2268" s="15" t="n">
        <f aca="false">IFERROR((I2268-H2268)/H2268,0)</f>
        <v>-0.0386343216531897</v>
      </c>
      <c r="N2268" s="16" t="n">
        <f aca="false">G2268*I2268</f>
        <v>23112</v>
      </c>
    </row>
    <row r="2269" customFormat="false" ht="15" hidden="false" customHeight="true" outlineLevel="0" collapsed="false">
      <c r="A2269" s="4" t="s">
        <v>2445</v>
      </c>
      <c r="B2269" s="4" t="s">
        <v>52</v>
      </c>
      <c r="C2269" s="13" t="n">
        <v>45507</v>
      </c>
      <c r="D2269" s="13" t="n">
        <v>45518</v>
      </c>
      <c r="E2269" s="13" t="n">
        <v>45525</v>
      </c>
      <c r="F2269" s="4" t="n">
        <v>942</v>
      </c>
      <c r="G2269" s="4" t="n">
        <v>813</v>
      </c>
      <c r="H2269" s="4" t="n">
        <v>170.24</v>
      </c>
      <c r="I2269" s="4" t="n">
        <v>178.25</v>
      </c>
      <c r="J2269" s="14" t="n">
        <f aca="false">E2269-D2269</f>
        <v>7</v>
      </c>
      <c r="K2269" s="14" t="n">
        <f aca="false">IF(J2269&lt;=0,1,0)</f>
        <v>0</v>
      </c>
      <c r="L2269" s="15" t="n">
        <f aca="false">IFERROR(G2269/F2269,0)</f>
        <v>0.863057324840764</v>
      </c>
      <c r="M2269" s="15" t="n">
        <f aca="false">IFERROR((I2269-H2269)/H2269,0)</f>
        <v>0.0470512218045112</v>
      </c>
      <c r="N2269" s="16" t="n">
        <f aca="false">G2269*I2269</f>
        <v>144917.25</v>
      </c>
    </row>
    <row r="2270" customFormat="false" ht="15" hidden="false" customHeight="true" outlineLevel="0" collapsed="false">
      <c r="A2270" s="4" t="s">
        <v>2446</v>
      </c>
      <c r="B2270" s="4" t="s">
        <v>58</v>
      </c>
      <c r="C2270" s="13" t="n">
        <v>45054</v>
      </c>
      <c r="D2270" s="13" t="n">
        <v>45067</v>
      </c>
      <c r="E2270" s="13" t="n">
        <v>45068</v>
      </c>
      <c r="F2270" s="4" t="n">
        <v>66</v>
      </c>
      <c r="G2270" s="4" t="n">
        <v>66</v>
      </c>
      <c r="H2270" s="4" t="n">
        <v>135.68</v>
      </c>
      <c r="I2270" s="4" t="n">
        <v>136.48</v>
      </c>
      <c r="J2270" s="14" t="n">
        <f aca="false">E2270-D2270</f>
        <v>1</v>
      </c>
      <c r="K2270" s="14" t="n">
        <f aca="false">IF(J2270&lt;=0,1,0)</f>
        <v>0</v>
      </c>
      <c r="L2270" s="15" t="n">
        <f aca="false">IFERROR(G2270/F2270,0)</f>
        <v>1</v>
      </c>
      <c r="M2270" s="15" t="n">
        <f aca="false">IFERROR((I2270-H2270)/H2270,0)</f>
        <v>0.00589622641509421</v>
      </c>
      <c r="N2270" s="16" t="n">
        <f aca="false">G2270*I2270</f>
        <v>9007.68</v>
      </c>
    </row>
    <row r="2271" customFormat="false" ht="15" hidden="false" customHeight="true" outlineLevel="0" collapsed="false">
      <c r="A2271" s="4" t="s">
        <v>2447</v>
      </c>
      <c r="B2271" s="4" t="s">
        <v>61</v>
      </c>
      <c r="C2271" s="13" t="n">
        <v>45137</v>
      </c>
      <c r="D2271" s="13" t="n">
        <v>45147</v>
      </c>
      <c r="E2271" s="13" t="n">
        <v>45158</v>
      </c>
      <c r="F2271" s="4" t="n">
        <v>698</v>
      </c>
      <c r="G2271" s="4" t="n">
        <v>675</v>
      </c>
      <c r="H2271" s="4" t="n">
        <v>107.41</v>
      </c>
      <c r="I2271" s="4" t="n">
        <v>107.24</v>
      </c>
      <c r="J2271" s="14" t="n">
        <f aca="false">E2271-D2271</f>
        <v>11</v>
      </c>
      <c r="K2271" s="14" t="n">
        <f aca="false">IF(J2271&lt;=0,1,0)</f>
        <v>0</v>
      </c>
      <c r="L2271" s="15" t="n">
        <f aca="false">IFERROR(G2271/F2271,0)</f>
        <v>0.967048710601719</v>
      </c>
      <c r="M2271" s="15" t="n">
        <f aca="false">IFERROR((I2271-H2271)/H2271,0)</f>
        <v>-0.0015827204170934</v>
      </c>
      <c r="N2271" s="16" t="n">
        <f aca="false">G2271*I2271</f>
        <v>72387</v>
      </c>
    </row>
    <row r="2272" customFormat="false" ht="15" hidden="false" customHeight="true" outlineLevel="0" collapsed="false">
      <c r="A2272" s="4" t="s">
        <v>2448</v>
      </c>
      <c r="B2272" s="4" t="s">
        <v>52</v>
      </c>
      <c r="C2272" s="13" t="n">
        <v>45378</v>
      </c>
      <c r="D2272" s="13" t="n">
        <v>45388</v>
      </c>
      <c r="E2272" s="13" t="n">
        <v>45393</v>
      </c>
      <c r="F2272" s="4" t="n">
        <v>1226</v>
      </c>
      <c r="G2272" s="4" t="n">
        <v>1042</v>
      </c>
      <c r="H2272" s="4" t="n">
        <v>170.24</v>
      </c>
      <c r="I2272" s="4" t="n">
        <v>176.25</v>
      </c>
      <c r="J2272" s="14" t="n">
        <f aca="false">E2272-D2272</f>
        <v>5</v>
      </c>
      <c r="K2272" s="14" t="n">
        <f aca="false">IF(J2272&lt;=0,1,0)</f>
        <v>0</v>
      </c>
      <c r="L2272" s="15" t="n">
        <f aca="false">IFERROR(G2272/F2272,0)</f>
        <v>0.849918433931485</v>
      </c>
      <c r="M2272" s="15" t="n">
        <f aca="false">IFERROR((I2272-H2272)/H2272,0)</f>
        <v>0.0353031015037593</v>
      </c>
      <c r="N2272" s="16" t="n">
        <f aca="false">G2272*I2272</f>
        <v>183652.5</v>
      </c>
    </row>
    <row r="2273" customFormat="false" ht="15" hidden="false" customHeight="true" outlineLevel="0" collapsed="false">
      <c r="A2273" s="4" t="s">
        <v>2449</v>
      </c>
      <c r="B2273" s="4" t="s">
        <v>61</v>
      </c>
      <c r="C2273" s="13" t="n">
        <v>45418</v>
      </c>
      <c r="D2273" s="13" t="n">
        <v>45427</v>
      </c>
      <c r="E2273" s="13" t="n">
        <v>45430</v>
      </c>
      <c r="F2273" s="4" t="n">
        <v>1886</v>
      </c>
      <c r="G2273" s="4" t="n">
        <v>1876</v>
      </c>
      <c r="H2273" s="4" t="n">
        <v>107.41</v>
      </c>
      <c r="I2273" s="4" t="n">
        <v>105.93</v>
      </c>
      <c r="J2273" s="14" t="n">
        <f aca="false">E2273-D2273</f>
        <v>3</v>
      </c>
      <c r="K2273" s="14" t="n">
        <f aca="false">IF(J2273&lt;=0,1,0)</f>
        <v>0</v>
      </c>
      <c r="L2273" s="15" t="n">
        <f aca="false">IFERROR(G2273/F2273,0)</f>
        <v>0.994697773064687</v>
      </c>
      <c r="M2273" s="15" t="n">
        <f aca="false">IFERROR((I2273-H2273)/H2273,0)</f>
        <v>-0.0137789777488129</v>
      </c>
      <c r="N2273" s="16" t="n">
        <f aca="false">G2273*I2273</f>
        <v>198724.68</v>
      </c>
    </row>
    <row r="2274" customFormat="false" ht="15" hidden="false" customHeight="true" outlineLevel="0" collapsed="false">
      <c r="A2274" s="4" t="s">
        <v>2450</v>
      </c>
      <c r="B2274" s="4" t="s">
        <v>55</v>
      </c>
      <c r="C2274" s="13" t="n">
        <v>45408</v>
      </c>
      <c r="D2274" s="13" t="n">
        <v>45428</v>
      </c>
      <c r="E2274" s="13" t="n">
        <v>45426</v>
      </c>
      <c r="F2274" s="4" t="n">
        <v>415</v>
      </c>
      <c r="G2274" s="4" t="n">
        <v>407</v>
      </c>
      <c r="H2274" s="4" t="n">
        <v>598.09</v>
      </c>
      <c r="I2274" s="4" t="n">
        <v>563.14</v>
      </c>
      <c r="J2274" s="14" t="n">
        <f aca="false">E2274-D2274</f>
        <v>-2</v>
      </c>
      <c r="K2274" s="14" t="n">
        <f aca="false">IF(J2274&lt;=0,1,0)</f>
        <v>1</v>
      </c>
      <c r="L2274" s="15" t="n">
        <f aca="false">IFERROR(G2274/F2274,0)</f>
        <v>0.980722891566265</v>
      </c>
      <c r="M2274" s="15" t="n">
        <f aca="false">IFERROR((I2274-H2274)/H2274,0)</f>
        <v>-0.0584360213345818</v>
      </c>
      <c r="N2274" s="16" t="n">
        <f aca="false">G2274*I2274</f>
        <v>229197.98</v>
      </c>
    </row>
    <row r="2275" customFormat="false" ht="15" hidden="false" customHeight="true" outlineLevel="0" collapsed="false">
      <c r="A2275" s="4" t="s">
        <v>2451</v>
      </c>
      <c r="B2275" s="4" t="s">
        <v>157</v>
      </c>
      <c r="C2275" s="13" t="n">
        <v>45636</v>
      </c>
      <c r="D2275" s="13" t="n">
        <v>45645</v>
      </c>
      <c r="E2275" s="13" t="n">
        <v>45645</v>
      </c>
      <c r="F2275" s="4" t="n">
        <v>3917</v>
      </c>
      <c r="G2275" s="4" t="n">
        <v>3785</v>
      </c>
      <c r="H2275" s="4" t="n">
        <v>13.1</v>
      </c>
      <c r="I2275" s="4" t="n">
        <v>13.78</v>
      </c>
      <c r="J2275" s="14" t="n">
        <f aca="false">E2275-D2275</f>
        <v>0</v>
      </c>
      <c r="K2275" s="14" t="n">
        <f aca="false">IF(J2275&lt;=0,1,0)</f>
        <v>1</v>
      </c>
      <c r="L2275" s="15" t="n">
        <f aca="false">IFERROR(G2275/F2275,0)</f>
        <v>0.966300740362522</v>
      </c>
      <c r="M2275" s="15" t="n">
        <f aca="false">IFERROR((I2275-H2275)/H2275,0)</f>
        <v>0.0519083969465649</v>
      </c>
      <c r="N2275" s="16" t="n">
        <f aca="false">G2275*I2275</f>
        <v>52157.3</v>
      </c>
    </row>
    <row r="2276" customFormat="false" ht="15" hidden="false" customHeight="true" outlineLevel="0" collapsed="false">
      <c r="A2276" s="4" t="s">
        <v>2452</v>
      </c>
      <c r="B2276" s="4" t="s">
        <v>127</v>
      </c>
      <c r="C2276" s="13" t="n">
        <v>45135</v>
      </c>
      <c r="D2276" s="13" t="n">
        <v>45140</v>
      </c>
      <c r="E2276" s="13" t="n">
        <v>45144</v>
      </c>
      <c r="F2276" s="4" t="n">
        <v>4</v>
      </c>
      <c r="G2276" s="4" t="n">
        <v>4</v>
      </c>
      <c r="H2276" s="4" t="n">
        <v>1881</v>
      </c>
      <c r="I2276" s="4" t="n">
        <v>1864.96</v>
      </c>
      <c r="J2276" s="14" t="n">
        <f aca="false">E2276-D2276</f>
        <v>4</v>
      </c>
      <c r="K2276" s="14" t="n">
        <f aca="false">IF(J2276&lt;=0,1,0)</f>
        <v>0</v>
      </c>
      <c r="L2276" s="15" t="n">
        <f aca="false">IFERROR(G2276/F2276,0)</f>
        <v>1</v>
      </c>
      <c r="M2276" s="15" t="n">
        <f aca="false">IFERROR((I2276-H2276)/H2276,0)</f>
        <v>-0.00852737905369482</v>
      </c>
      <c r="N2276" s="16" t="n">
        <f aca="false">G2276*I2276</f>
        <v>7459.84</v>
      </c>
    </row>
    <row r="2277" customFormat="false" ht="15" hidden="false" customHeight="true" outlineLevel="0" collapsed="false">
      <c r="A2277" s="4" t="s">
        <v>2453</v>
      </c>
      <c r="B2277" s="4" t="s">
        <v>145</v>
      </c>
      <c r="C2277" s="13" t="n">
        <v>45588</v>
      </c>
      <c r="D2277" s="13" t="n">
        <v>45599</v>
      </c>
      <c r="E2277" s="13" t="n">
        <v>45600</v>
      </c>
      <c r="F2277" s="4" t="n">
        <v>1146</v>
      </c>
      <c r="G2277" s="4" t="n">
        <v>1056</v>
      </c>
      <c r="H2277" s="4" t="n">
        <v>237.04</v>
      </c>
      <c r="I2277" s="4" t="n">
        <v>274.57</v>
      </c>
      <c r="J2277" s="14" t="n">
        <f aca="false">E2277-D2277</f>
        <v>1</v>
      </c>
      <c r="K2277" s="14" t="n">
        <f aca="false">IF(J2277&lt;=0,1,0)</f>
        <v>0</v>
      </c>
      <c r="L2277" s="15" t="n">
        <f aca="false">IFERROR(G2277/F2277,0)</f>
        <v>0.921465968586387</v>
      </c>
      <c r="M2277" s="15" t="n">
        <f aca="false">IFERROR((I2277-H2277)/H2277,0)</f>
        <v>0.158327708403645</v>
      </c>
      <c r="N2277" s="16" t="n">
        <f aca="false">G2277*I2277</f>
        <v>289945.92</v>
      </c>
    </row>
    <row r="2278" customFormat="false" ht="15" hidden="false" customHeight="true" outlineLevel="0" collapsed="false">
      <c r="A2278" s="4" t="s">
        <v>2454</v>
      </c>
      <c r="B2278" s="4" t="s">
        <v>65</v>
      </c>
      <c r="C2278" s="13" t="n">
        <v>45417</v>
      </c>
      <c r="D2278" s="13" t="n">
        <v>45435</v>
      </c>
      <c r="E2278" s="13" t="n">
        <v>45435</v>
      </c>
      <c r="F2278" s="4" t="n">
        <v>77</v>
      </c>
      <c r="G2278" s="4" t="n">
        <v>74</v>
      </c>
      <c r="H2278" s="4" t="n">
        <v>1365.59</v>
      </c>
      <c r="I2278" s="4" t="n">
        <v>1367.81</v>
      </c>
      <c r="J2278" s="14" t="n">
        <f aca="false">E2278-D2278</f>
        <v>0</v>
      </c>
      <c r="K2278" s="14" t="n">
        <f aca="false">IF(J2278&lt;=0,1,0)</f>
        <v>1</v>
      </c>
      <c r="L2278" s="15" t="n">
        <f aca="false">IFERROR(G2278/F2278,0)</f>
        <v>0.961038961038961</v>
      </c>
      <c r="M2278" s="15" t="n">
        <f aca="false">IFERROR((I2278-H2278)/H2278,0)</f>
        <v>0.00162567095541123</v>
      </c>
      <c r="N2278" s="16" t="n">
        <f aca="false">G2278*I2278</f>
        <v>101217.94</v>
      </c>
    </row>
    <row r="2279" customFormat="false" ht="15" hidden="false" customHeight="true" outlineLevel="0" collapsed="false">
      <c r="A2279" s="4" t="s">
        <v>2455</v>
      </c>
      <c r="B2279" s="4" t="s">
        <v>50</v>
      </c>
      <c r="C2279" s="13" t="n">
        <v>45302</v>
      </c>
      <c r="D2279" s="13" t="n">
        <v>45319</v>
      </c>
      <c r="E2279" s="13" t="n">
        <v>45316</v>
      </c>
      <c r="F2279" s="4" t="n">
        <v>328</v>
      </c>
      <c r="G2279" s="4" t="n">
        <v>328</v>
      </c>
      <c r="H2279" s="4" t="n">
        <v>707.19</v>
      </c>
      <c r="I2279" s="4" t="n">
        <v>745.74</v>
      </c>
      <c r="J2279" s="14" t="n">
        <f aca="false">E2279-D2279</f>
        <v>-3</v>
      </c>
      <c r="K2279" s="14" t="n">
        <f aca="false">IF(J2279&lt;=0,1,0)</f>
        <v>1</v>
      </c>
      <c r="L2279" s="15" t="n">
        <f aca="false">IFERROR(G2279/F2279,0)</f>
        <v>1</v>
      </c>
      <c r="M2279" s="15" t="n">
        <f aca="false">IFERROR((I2279-H2279)/H2279,0)</f>
        <v>0.0545115174139905</v>
      </c>
      <c r="N2279" s="16" t="n">
        <f aca="false">G2279*I2279</f>
        <v>244602.72</v>
      </c>
    </row>
    <row r="2280" customFormat="false" ht="15" hidden="false" customHeight="true" outlineLevel="0" collapsed="false">
      <c r="A2280" s="4" t="s">
        <v>2456</v>
      </c>
      <c r="B2280" s="4" t="s">
        <v>125</v>
      </c>
      <c r="C2280" s="13" t="n">
        <v>45280</v>
      </c>
      <c r="D2280" s="13" t="n">
        <v>45287</v>
      </c>
      <c r="E2280" s="13" t="n">
        <v>45291</v>
      </c>
      <c r="F2280" s="4" t="n">
        <v>13</v>
      </c>
      <c r="G2280" s="4" t="n">
        <v>11</v>
      </c>
      <c r="H2280" s="4" t="n">
        <v>729.32</v>
      </c>
      <c r="I2280" s="4" t="n">
        <v>741.67</v>
      </c>
      <c r="J2280" s="14" t="n">
        <f aca="false">E2280-D2280</f>
        <v>4</v>
      </c>
      <c r="K2280" s="14" t="n">
        <f aca="false">IF(J2280&lt;=0,1,0)</f>
        <v>0</v>
      </c>
      <c r="L2280" s="15" t="n">
        <f aca="false">IFERROR(G2280/F2280,0)</f>
        <v>0.846153846153846</v>
      </c>
      <c r="M2280" s="15" t="n">
        <f aca="false">IFERROR((I2280-H2280)/H2280,0)</f>
        <v>0.0169335819667634</v>
      </c>
      <c r="N2280" s="16" t="n">
        <f aca="false">G2280*I2280</f>
        <v>8158.37</v>
      </c>
    </row>
    <row r="2281" customFormat="false" ht="15" hidden="false" customHeight="true" outlineLevel="0" collapsed="false">
      <c r="A2281" s="4" t="s">
        <v>2457</v>
      </c>
      <c r="B2281" s="4" t="s">
        <v>37</v>
      </c>
      <c r="C2281" s="13" t="n">
        <v>45523</v>
      </c>
      <c r="D2281" s="13" t="n">
        <v>45532</v>
      </c>
      <c r="E2281" s="13" t="n">
        <v>45532</v>
      </c>
      <c r="F2281" s="4" t="n">
        <v>1716</v>
      </c>
      <c r="G2281" s="4" t="n">
        <v>1716</v>
      </c>
      <c r="H2281" s="4" t="n">
        <v>22.26</v>
      </c>
      <c r="I2281" s="4" t="n">
        <v>20.66</v>
      </c>
      <c r="J2281" s="14" t="n">
        <f aca="false">E2281-D2281</f>
        <v>0</v>
      </c>
      <c r="K2281" s="14" t="n">
        <f aca="false">IF(J2281&lt;=0,1,0)</f>
        <v>1</v>
      </c>
      <c r="L2281" s="15" t="n">
        <f aca="false">IFERROR(G2281/F2281,0)</f>
        <v>1</v>
      </c>
      <c r="M2281" s="15" t="n">
        <f aca="false">IFERROR((I2281-H2281)/H2281,0)</f>
        <v>-0.0718778077268644</v>
      </c>
      <c r="N2281" s="16" t="n">
        <f aca="false">G2281*I2281</f>
        <v>35452.56</v>
      </c>
    </row>
    <row r="2282" customFormat="false" ht="15" hidden="false" customHeight="true" outlineLevel="0" collapsed="false">
      <c r="A2282" s="4" t="s">
        <v>2458</v>
      </c>
      <c r="B2282" s="4" t="s">
        <v>119</v>
      </c>
      <c r="C2282" s="13" t="n">
        <v>45161</v>
      </c>
      <c r="D2282" s="13" t="n">
        <v>45168</v>
      </c>
      <c r="E2282" s="13" t="n">
        <v>45171</v>
      </c>
      <c r="F2282" s="4" t="n">
        <v>2987</v>
      </c>
      <c r="G2282" s="4" t="n">
        <v>2907</v>
      </c>
      <c r="H2282" s="4" t="n">
        <v>50.92</v>
      </c>
      <c r="I2282" s="4" t="n">
        <v>49.01</v>
      </c>
      <c r="J2282" s="14" t="n">
        <f aca="false">E2282-D2282</f>
        <v>3</v>
      </c>
      <c r="K2282" s="14" t="n">
        <f aca="false">IF(J2282&lt;=0,1,0)</f>
        <v>0</v>
      </c>
      <c r="L2282" s="15" t="n">
        <f aca="false">IFERROR(G2282/F2282,0)</f>
        <v>0.973217274857717</v>
      </c>
      <c r="M2282" s="15" t="n">
        <f aca="false">IFERROR((I2282-H2282)/H2282,0)</f>
        <v>-0.0375098193244306</v>
      </c>
      <c r="N2282" s="16" t="n">
        <f aca="false">G2282*I2282</f>
        <v>142472.07</v>
      </c>
    </row>
    <row r="2283" customFormat="false" ht="15" hidden="false" customHeight="true" outlineLevel="0" collapsed="false">
      <c r="A2283" s="4" t="s">
        <v>2459</v>
      </c>
      <c r="B2283" s="4" t="s">
        <v>55</v>
      </c>
      <c r="C2283" s="13" t="n">
        <v>45078</v>
      </c>
      <c r="D2283" s="13" t="n">
        <v>45098</v>
      </c>
      <c r="E2283" s="13" t="n">
        <v>45094</v>
      </c>
      <c r="F2283" s="4" t="n">
        <v>456</v>
      </c>
      <c r="G2283" s="4" t="n">
        <v>431</v>
      </c>
      <c r="H2283" s="4" t="n">
        <v>598.09</v>
      </c>
      <c r="I2283" s="4" t="n">
        <v>594.72</v>
      </c>
      <c r="J2283" s="14" t="n">
        <f aca="false">E2283-D2283</f>
        <v>-4</v>
      </c>
      <c r="K2283" s="14" t="n">
        <f aca="false">IF(J2283&lt;=0,1,0)</f>
        <v>1</v>
      </c>
      <c r="L2283" s="15" t="n">
        <f aca="false">IFERROR(G2283/F2283,0)</f>
        <v>0.945175438596491</v>
      </c>
      <c r="M2283" s="15" t="n">
        <f aca="false">IFERROR((I2283-H2283)/H2283,0)</f>
        <v>-0.00563460348776941</v>
      </c>
      <c r="N2283" s="16" t="n">
        <f aca="false">G2283*I2283</f>
        <v>256324.32</v>
      </c>
    </row>
    <row r="2284" customFormat="false" ht="15" hidden="false" customHeight="true" outlineLevel="0" collapsed="false">
      <c r="A2284" s="4" t="s">
        <v>2460</v>
      </c>
      <c r="B2284" s="4" t="s">
        <v>125</v>
      </c>
      <c r="C2284" s="13" t="n">
        <v>45037</v>
      </c>
      <c r="D2284" s="13" t="n">
        <v>45043</v>
      </c>
      <c r="E2284" s="13" t="n">
        <v>45046</v>
      </c>
      <c r="F2284" s="4" t="n">
        <v>11</v>
      </c>
      <c r="G2284" s="4" t="n">
        <v>9</v>
      </c>
      <c r="H2284" s="4" t="n">
        <v>729.32</v>
      </c>
      <c r="I2284" s="4" t="n">
        <v>721.89</v>
      </c>
      <c r="J2284" s="14" t="n">
        <f aca="false">E2284-D2284</f>
        <v>3</v>
      </c>
      <c r="K2284" s="14" t="n">
        <f aca="false">IF(J2284&lt;=0,1,0)</f>
        <v>0</v>
      </c>
      <c r="L2284" s="15" t="n">
        <f aca="false">IFERROR(G2284/F2284,0)</f>
        <v>0.818181818181818</v>
      </c>
      <c r="M2284" s="15" t="n">
        <f aca="false">IFERROR((I2284-H2284)/H2284,0)</f>
        <v>-0.0101875719848627</v>
      </c>
      <c r="N2284" s="16" t="n">
        <f aca="false">G2284*I2284</f>
        <v>6497.01</v>
      </c>
    </row>
    <row r="2285" customFormat="false" ht="15" hidden="false" customHeight="true" outlineLevel="0" collapsed="false">
      <c r="A2285" s="4" t="s">
        <v>2461</v>
      </c>
      <c r="B2285" s="4" t="s">
        <v>117</v>
      </c>
      <c r="C2285" s="13" t="n">
        <v>45467</v>
      </c>
      <c r="D2285" s="13" t="n">
        <v>45480</v>
      </c>
      <c r="E2285" s="13" t="n">
        <v>45484</v>
      </c>
      <c r="F2285" s="4" t="n">
        <v>97</v>
      </c>
      <c r="G2285" s="4" t="n">
        <v>93</v>
      </c>
      <c r="H2285" s="4" t="n">
        <v>396.01</v>
      </c>
      <c r="I2285" s="4" t="n">
        <v>386.31</v>
      </c>
      <c r="J2285" s="14" t="n">
        <f aca="false">E2285-D2285</f>
        <v>4</v>
      </c>
      <c r="K2285" s="14" t="n">
        <f aca="false">IF(J2285&lt;=0,1,0)</f>
        <v>0</v>
      </c>
      <c r="L2285" s="15" t="n">
        <f aca="false">IFERROR(G2285/F2285,0)</f>
        <v>0.958762886597938</v>
      </c>
      <c r="M2285" s="15" t="n">
        <f aca="false">IFERROR((I2285-H2285)/H2285,0)</f>
        <v>-0.0244943309512386</v>
      </c>
      <c r="N2285" s="16" t="n">
        <f aca="false">G2285*I2285</f>
        <v>35926.83</v>
      </c>
    </row>
    <row r="2286" customFormat="false" ht="15" hidden="false" customHeight="true" outlineLevel="0" collapsed="false">
      <c r="A2286" s="4" t="s">
        <v>2462</v>
      </c>
      <c r="B2286" s="4" t="s">
        <v>89</v>
      </c>
      <c r="C2286" s="13" t="n">
        <v>45575</v>
      </c>
      <c r="D2286" s="13" t="n">
        <v>45580</v>
      </c>
      <c r="E2286" s="13" t="n">
        <v>45581</v>
      </c>
      <c r="F2286" s="4" t="n">
        <v>3</v>
      </c>
      <c r="G2286" s="4" t="n">
        <v>3</v>
      </c>
      <c r="H2286" s="4" t="n">
        <v>1929.81</v>
      </c>
      <c r="I2286" s="4" t="n">
        <v>1928.03</v>
      </c>
      <c r="J2286" s="14" t="n">
        <f aca="false">E2286-D2286</f>
        <v>1</v>
      </c>
      <c r="K2286" s="14" t="n">
        <f aca="false">IF(J2286&lt;=0,1,0)</f>
        <v>0</v>
      </c>
      <c r="L2286" s="15" t="n">
        <f aca="false">IFERROR(G2286/F2286,0)</f>
        <v>1</v>
      </c>
      <c r="M2286" s="15" t="n">
        <f aca="false">IFERROR((I2286-H2286)/H2286,0)</f>
        <v>-0.000922370596069029</v>
      </c>
      <c r="N2286" s="16" t="n">
        <f aca="false">G2286*I2286</f>
        <v>5784.09</v>
      </c>
    </row>
    <row r="2287" customFormat="false" ht="15" hidden="false" customHeight="true" outlineLevel="0" collapsed="false">
      <c r="A2287" s="4" t="s">
        <v>2463</v>
      </c>
      <c r="B2287" s="4" t="s">
        <v>121</v>
      </c>
      <c r="C2287" s="13" t="n">
        <v>45240</v>
      </c>
      <c r="D2287" s="13" t="n">
        <v>45251</v>
      </c>
      <c r="E2287" s="13" t="n">
        <v>45252</v>
      </c>
      <c r="F2287" s="4" t="n">
        <v>1307</v>
      </c>
      <c r="G2287" s="4" t="n">
        <v>1198</v>
      </c>
      <c r="H2287" s="4" t="n">
        <v>206.07</v>
      </c>
      <c r="I2287" s="4" t="n">
        <v>219.95</v>
      </c>
      <c r="J2287" s="14" t="n">
        <f aca="false">E2287-D2287</f>
        <v>1</v>
      </c>
      <c r="K2287" s="14" t="n">
        <f aca="false">IF(J2287&lt;=0,1,0)</f>
        <v>0</v>
      </c>
      <c r="L2287" s="15" t="n">
        <f aca="false">IFERROR(G2287/F2287,0)</f>
        <v>0.916602907421576</v>
      </c>
      <c r="M2287" s="15" t="n">
        <f aca="false">IFERROR((I2287-H2287)/H2287,0)</f>
        <v>0.0673557528995002</v>
      </c>
      <c r="N2287" s="16" t="n">
        <f aca="false">G2287*I2287</f>
        <v>263500.1</v>
      </c>
    </row>
    <row r="2288" customFormat="false" ht="15" hidden="false" customHeight="true" outlineLevel="0" collapsed="false">
      <c r="A2288" s="4" t="s">
        <v>2464</v>
      </c>
      <c r="B2288" s="4" t="s">
        <v>121</v>
      </c>
      <c r="C2288" s="13" t="n">
        <v>45612</v>
      </c>
      <c r="D2288" s="13" t="n">
        <v>45621</v>
      </c>
      <c r="E2288" s="13" t="n">
        <v>45624</v>
      </c>
      <c r="F2288" s="4" t="n">
        <v>1103</v>
      </c>
      <c r="G2288" s="4" t="n">
        <v>1004</v>
      </c>
      <c r="H2288" s="4" t="n">
        <v>206.07</v>
      </c>
      <c r="I2288" s="4" t="n">
        <v>229.78</v>
      </c>
      <c r="J2288" s="14" t="n">
        <f aca="false">E2288-D2288</f>
        <v>3</v>
      </c>
      <c r="K2288" s="14" t="n">
        <f aca="false">IF(J2288&lt;=0,1,0)</f>
        <v>0</v>
      </c>
      <c r="L2288" s="15" t="n">
        <f aca="false">IFERROR(G2288/F2288,0)</f>
        <v>0.910244786944696</v>
      </c>
      <c r="M2288" s="15" t="n">
        <f aca="false">IFERROR((I2288-H2288)/H2288,0)</f>
        <v>0.115057990003397</v>
      </c>
      <c r="N2288" s="16" t="n">
        <f aca="false">G2288*I2288</f>
        <v>230699.12</v>
      </c>
    </row>
    <row r="2289" customFormat="false" ht="15" hidden="false" customHeight="true" outlineLevel="0" collapsed="false">
      <c r="A2289" s="4" t="s">
        <v>2465</v>
      </c>
      <c r="B2289" s="4" t="s">
        <v>131</v>
      </c>
      <c r="C2289" s="13" t="n">
        <v>45124</v>
      </c>
      <c r="D2289" s="13" t="n">
        <v>45133</v>
      </c>
      <c r="E2289" s="13" t="n">
        <v>45134</v>
      </c>
      <c r="F2289" s="4" t="n">
        <v>987</v>
      </c>
      <c r="G2289" s="4" t="n">
        <v>972</v>
      </c>
      <c r="H2289" s="4" t="n">
        <v>88.52</v>
      </c>
      <c r="I2289" s="4" t="n">
        <v>89.16</v>
      </c>
      <c r="J2289" s="14" t="n">
        <f aca="false">E2289-D2289</f>
        <v>1</v>
      </c>
      <c r="K2289" s="14" t="n">
        <f aca="false">IF(J2289&lt;=0,1,0)</f>
        <v>0</v>
      </c>
      <c r="L2289" s="15" t="n">
        <f aca="false">IFERROR(G2289/F2289,0)</f>
        <v>0.984802431610942</v>
      </c>
      <c r="M2289" s="15" t="n">
        <f aca="false">IFERROR((I2289-H2289)/H2289,0)</f>
        <v>0.00723000451875283</v>
      </c>
      <c r="N2289" s="16" t="n">
        <f aca="false">G2289*I2289</f>
        <v>86663.52</v>
      </c>
    </row>
    <row r="2290" customFormat="false" ht="15" hidden="false" customHeight="true" outlineLevel="0" collapsed="false">
      <c r="A2290" s="4" t="s">
        <v>2466</v>
      </c>
      <c r="B2290" s="4" t="s">
        <v>77</v>
      </c>
      <c r="C2290" s="13" t="n">
        <v>45148</v>
      </c>
      <c r="D2290" s="13" t="n">
        <v>45155</v>
      </c>
      <c r="E2290" s="13" t="n">
        <v>45169</v>
      </c>
      <c r="F2290" s="4" t="n">
        <v>544</v>
      </c>
      <c r="G2290" s="4" t="n">
        <v>530</v>
      </c>
      <c r="H2290" s="4" t="n">
        <v>36.83</v>
      </c>
      <c r="I2290" s="4" t="n">
        <v>35.26</v>
      </c>
      <c r="J2290" s="14" t="n">
        <f aca="false">E2290-D2290</f>
        <v>14</v>
      </c>
      <c r="K2290" s="14" t="n">
        <f aca="false">IF(J2290&lt;=0,1,0)</f>
        <v>0</v>
      </c>
      <c r="L2290" s="15" t="n">
        <f aca="false">IFERROR(G2290/F2290,0)</f>
        <v>0.974264705882353</v>
      </c>
      <c r="M2290" s="15" t="n">
        <f aca="false">IFERROR((I2290-H2290)/H2290,0)</f>
        <v>-0.042628292153136</v>
      </c>
      <c r="N2290" s="16" t="n">
        <f aca="false">G2290*I2290</f>
        <v>18687.8</v>
      </c>
    </row>
    <row r="2291" customFormat="false" ht="15" hidden="false" customHeight="true" outlineLevel="0" collapsed="false">
      <c r="A2291" s="4" t="s">
        <v>2467</v>
      </c>
      <c r="B2291" s="4" t="s">
        <v>77</v>
      </c>
      <c r="C2291" s="13" t="n">
        <v>44956</v>
      </c>
      <c r="D2291" s="13" t="n">
        <v>44962</v>
      </c>
      <c r="E2291" s="13" t="n">
        <v>44977</v>
      </c>
      <c r="F2291" s="4" t="n">
        <v>974</v>
      </c>
      <c r="G2291" s="4" t="n">
        <v>974</v>
      </c>
      <c r="H2291" s="4" t="n">
        <v>36.83</v>
      </c>
      <c r="I2291" s="4" t="n">
        <v>36.59</v>
      </c>
      <c r="J2291" s="14" t="n">
        <f aca="false">E2291-D2291</f>
        <v>15</v>
      </c>
      <c r="K2291" s="14" t="n">
        <f aca="false">IF(J2291&lt;=0,1,0)</f>
        <v>0</v>
      </c>
      <c r="L2291" s="15" t="n">
        <f aca="false">IFERROR(G2291/F2291,0)</f>
        <v>1</v>
      </c>
      <c r="M2291" s="15" t="n">
        <f aca="false">IFERROR((I2291-H2291)/H2291,0)</f>
        <v>-0.00651642682595696</v>
      </c>
      <c r="N2291" s="16" t="n">
        <f aca="false">G2291*I2291</f>
        <v>35638.66</v>
      </c>
    </row>
    <row r="2292" customFormat="false" ht="15" hidden="false" customHeight="true" outlineLevel="0" collapsed="false">
      <c r="A2292" s="4" t="s">
        <v>2468</v>
      </c>
      <c r="B2292" s="4" t="s">
        <v>151</v>
      </c>
      <c r="C2292" s="13" t="n">
        <v>45084</v>
      </c>
      <c r="D2292" s="13" t="n">
        <v>45090</v>
      </c>
      <c r="E2292" s="13" t="n">
        <v>45093</v>
      </c>
      <c r="F2292" s="4" t="n">
        <v>1</v>
      </c>
      <c r="G2292" s="4" t="n">
        <v>1</v>
      </c>
      <c r="H2292" s="4" t="n">
        <v>503.46</v>
      </c>
      <c r="I2292" s="4" t="n">
        <v>508.36</v>
      </c>
      <c r="J2292" s="14" t="n">
        <f aca="false">E2292-D2292</f>
        <v>3</v>
      </c>
      <c r="K2292" s="14" t="n">
        <f aca="false">IF(J2292&lt;=0,1,0)</f>
        <v>0</v>
      </c>
      <c r="L2292" s="15" t="n">
        <f aca="false">IFERROR(G2292/F2292,0)</f>
        <v>1</v>
      </c>
      <c r="M2292" s="15" t="n">
        <f aca="false">IFERROR((I2292-H2292)/H2292,0)</f>
        <v>0.00973265006157398</v>
      </c>
      <c r="N2292" s="16" t="n">
        <f aca="false">G2292*I2292</f>
        <v>508.36</v>
      </c>
    </row>
    <row r="2293" customFormat="false" ht="15" hidden="false" customHeight="true" outlineLevel="0" collapsed="false">
      <c r="A2293" s="4" t="s">
        <v>2469</v>
      </c>
      <c r="B2293" s="4" t="s">
        <v>83</v>
      </c>
      <c r="C2293" s="13" t="n">
        <v>45557</v>
      </c>
      <c r="D2293" s="13" t="n">
        <v>45566</v>
      </c>
      <c r="E2293" s="13" t="n">
        <v>45565</v>
      </c>
      <c r="F2293" s="4" t="n">
        <v>1754</v>
      </c>
      <c r="G2293" s="4" t="n">
        <v>1754</v>
      </c>
      <c r="H2293" s="4" t="n">
        <v>101.36</v>
      </c>
      <c r="I2293" s="4" t="n">
        <v>105.98</v>
      </c>
      <c r="J2293" s="14" t="n">
        <f aca="false">E2293-D2293</f>
        <v>-1</v>
      </c>
      <c r="K2293" s="14" t="n">
        <f aca="false">IF(J2293&lt;=0,1,0)</f>
        <v>1</v>
      </c>
      <c r="L2293" s="15" t="n">
        <f aca="false">IFERROR(G2293/F2293,0)</f>
        <v>1</v>
      </c>
      <c r="M2293" s="15" t="n">
        <f aca="false">IFERROR((I2293-H2293)/H2293,0)</f>
        <v>0.0455801104972376</v>
      </c>
      <c r="N2293" s="16" t="n">
        <f aca="false">G2293*I2293</f>
        <v>185888.92</v>
      </c>
    </row>
    <row r="2294" customFormat="false" ht="15" hidden="false" customHeight="true" outlineLevel="0" collapsed="false">
      <c r="A2294" s="4" t="s">
        <v>2470</v>
      </c>
      <c r="B2294" s="4" t="s">
        <v>70</v>
      </c>
      <c r="C2294" s="13" t="n">
        <v>45654</v>
      </c>
      <c r="D2294" s="13" t="n">
        <v>45661</v>
      </c>
      <c r="E2294" s="13" t="n">
        <v>45666</v>
      </c>
      <c r="F2294" s="4" t="n">
        <v>3032</v>
      </c>
      <c r="G2294" s="4" t="n">
        <v>2841</v>
      </c>
      <c r="H2294" s="4" t="n">
        <v>35.88</v>
      </c>
      <c r="I2294" s="4" t="n">
        <v>39.2</v>
      </c>
      <c r="J2294" s="14" t="n">
        <f aca="false">E2294-D2294</f>
        <v>5</v>
      </c>
      <c r="K2294" s="14" t="n">
        <f aca="false">IF(J2294&lt;=0,1,0)</f>
        <v>0</v>
      </c>
      <c r="L2294" s="15" t="n">
        <f aca="false">IFERROR(G2294/F2294,0)</f>
        <v>0.937005277044855</v>
      </c>
      <c r="M2294" s="15" t="n">
        <f aca="false">IFERROR((I2294-H2294)/H2294,0)</f>
        <v>0.0925306577480491</v>
      </c>
      <c r="N2294" s="16" t="n">
        <f aca="false">G2294*I2294</f>
        <v>111367.2</v>
      </c>
    </row>
    <row r="2295" customFormat="false" ht="15" hidden="false" customHeight="true" outlineLevel="0" collapsed="false">
      <c r="A2295" s="4" t="s">
        <v>2471</v>
      </c>
      <c r="B2295" s="4" t="s">
        <v>72</v>
      </c>
      <c r="C2295" s="13" t="n">
        <v>45554</v>
      </c>
      <c r="D2295" s="13" t="n">
        <v>45560</v>
      </c>
      <c r="E2295" s="13" t="n">
        <v>45565</v>
      </c>
      <c r="F2295" s="4" t="n">
        <v>939</v>
      </c>
      <c r="G2295" s="4" t="n">
        <v>920</v>
      </c>
      <c r="H2295" s="4" t="n">
        <v>34.53</v>
      </c>
      <c r="I2295" s="4" t="n">
        <v>36.29</v>
      </c>
      <c r="J2295" s="14" t="n">
        <f aca="false">E2295-D2295</f>
        <v>5</v>
      </c>
      <c r="K2295" s="14" t="n">
        <f aca="false">IF(J2295&lt;=0,1,0)</f>
        <v>0</v>
      </c>
      <c r="L2295" s="15" t="n">
        <f aca="false">IFERROR(G2295/F2295,0)</f>
        <v>0.979765708200213</v>
      </c>
      <c r="M2295" s="15" t="n">
        <f aca="false">IFERROR((I2295-H2295)/H2295,0)</f>
        <v>0.0509701708659136</v>
      </c>
      <c r="N2295" s="16" t="n">
        <f aca="false">G2295*I2295</f>
        <v>33386.8</v>
      </c>
    </row>
    <row r="2296" customFormat="false" ht="15" hidden="false" customHeight="true" outlineLevel="0" collapsed="false">
      <c r="A2296" s="4" t="s">
        <v>2472</v>
      </c>
      <c r="B2296" s="4" t="s">
        <v>58</v>
      </c>
      <c r="C2296" s="13" t="n">
        <v>44996</v>
      </c>
      <c r="D2296" s="13" t="n">
        <v>45010</v>
      </c>
      <c r="E2296" s="13" t="n">
        <v>45012</v>
      </c>
      <c r="F2296" s="4" t="n">
        <v>294</v>
      </c>
      <c r="G2296" s="4" t="n">
        <v>290</v>
      </c>
      <c r="H2296" s="4" t="n">
        <v>135.68</v>
      </c>
      <c r="I2296" s="4" t="n">
        <v>136.48</v>
      </c>
      <c r="J2296" s="14" t="n">
        <f aca="false">E2296-D2296</f>
        <v>2</v>
      </c>
      <c r="K2296" s="14" t="n">
        <f aca="false">IF(J2296&lt;=0,1,0)</f>
        <v>0</v>
      </c>
      <c r="L2296" s="15" t="n">
        <f aca="false">IFERROR(G2296/F2296,0)</f>
        <v>0.986394557823129</v>
      </c>
      <c r="M2296" s="15" t="n">
        <f aca="false">IFERROR((I2296-H2296)/H2296,0)</f>
        <v>0.00589622641509421</v>
      </c>
      <c r="N2296" s="16" t="n">
        <f aca="false">G2296*I2296</f>
        <v>39579.2</v>
      </c>
    </row>
    <row r="2297" customFormat="false" ht="15" hidden="false" customHeight="true" outlineLevel="0" collapsed="false">
      <c r="A2297" s="4" t="s">
        <v>2473</v>
      </c>
      <c r="B2297" s="4" t="s">
        <v>163</v>
      </c>
      <c r="C2297" s="13" t="n">
        <v>45288</v>
      </c>
      <c r="D2297" s="13" t="n">
        <v>45308</v>
      </c>
      <c r="E2297" s="13" t="n">
        <v>45314</v>
      </c>
      <c r="F2297" s="4" t="n">
        <v>337</v>
      </c>
      <c r="G2297" s="4" t="n">
        <v>331</v>
      </c>
      <c r="H2297" s="4" t="n">
        <v>482.79</v>
      </c>
      <c r="I2297" s="4" t="n">
        <v>498.87</v>
      </c>
      <c r="J2297" s="14" t="n">
        <f aca="false">E2297-D2297</f>
        <v>6</v>
      </c>
      <c r="K2297" s="14" t="n">
        <f aca="false">IF(J2297&lt;=0,1,0)</f>
        <v>0</v>
      </c>
      <c r="L2297" s="15" t="n">
        <f aca="false">IFERROR(G2297/F2297,0)</f>
        <v>0.982195845697329</v>
      </c>
      <c r="M2297" s="15" t="n">
        <f aca="false">IFERROR((I2297-H2297)/H2297,0)</f>
        <v>0.0333064065121481</v>
      </c>
      <c r="N2297" s="16" t="n">
        <f aca="false">G2297*I2297</f>
        <v>165125.97</v>
      </c>
    </row>
    <row r="2298" customFormat="false" ht="15" hidden="false" customHeight="true" outlineLevel="0" collapsed="false">
      <c r="A2298" s="4" t="s">
        <v>2474</v>
      </c>
      <c r="B2298" s="4" t="s">
        <v>119</v>
      </c>
      <c r="C2298" s="13" t="n">
        <v>45497</v>
      </c>
      <c r="D2298" s="13" t="n">
        <v>45503</v>
      </c>
      <c r="E2298" s="13" t="n">
        <v>45509</v>
      </c>
      <c r="F2298" s="4" t="n">
        <v>4070</v>
      </c>
      <c r="G2298" s="4" t="n">
        <v>3988</v>
      </c>
      <c r="H2298" s="4" t="n">
        <v>50.92</v>
      </c>
      <c r="I2298" s="4" t="n">
        <v>46.67</v>
      </c>
      <c r="J2298" s="14" t="n">
        <f aca="false">E2298-D2298</f>
        <v>6</v>
      </c>
      <c r="K2298" s="14" t="n">
        <f aca="false">IF(J2298&lt;=0,1,0)</f>
        <v>0</v>
      </c>
      <c r="L2298" s="15" t="n">
        <f aca="false">IFERROR(G2298/F2298,0)</f>
        <v>0.97985257985258</v>
      </c>
      <c r="M2298" s="15" t="n">
        <f aca="false">IFERROR((I2298-H2298)/H2298,0)</f>
        <v>-0.0834642576590731</v>
      </c>
      <c r="N2298" s="16" t="n">
        <f aca="false">G2298*I2298</f>
        <v>186119.96</v>
      </c>
    </row>
    <row r="2299" customFormat="false" ht="15" hidden="false" customHeight="true" outlineLevel="0" collapsed="false">
      <c r="A2299" s="4" t="s">
        <v>2475</v>
      </c>
      <c r="B2299" s="4" t="s">
        <v>43</v>
      </c>
      <c r="C2299" s="13" t="n">
        <v>45648</v>
      </c>
      <c r="D2299" s="13" t="n">
        <v>45668</v>
      </c>
      <c r="E2299" s="13" t="n">
        <v>45671</v>
      </c>
      <c r="F2299" s="4" t="n">
        <v>394</v>
      </c>
      <c r="G2299" s="4" t="n">
        <v>373</v>
      </c>
      <c r="H2299" s="4" t="n">
        <v>1321.6</v>
      </c>
      <c r="I2299" s="4" t="n">
        <v>1319.47</v>
      </c>
      <c r="J2299" s="14" t="n">
        <f aca="false">E2299-D2299</f>
        <v>3</v>
      </c>
      <c r="K2299" s="14" t="n">
        <f aca="false">IF(J2299&lt;=0,1,0)</f>
        <v>0</v>
      </c>
      <c r="L2299" s="15" t="n">
        <f aca="false">IFERROR(G2299/F2299,0)</f>
        <v>0.946700507614213</v>
      </c>
      <c r="M2299" s="15" t="n">
        <f aca="false">IFERROR((I2299-H2299)/H2299,0)</f>
        <v>-0.00161168280871662</v>
      </c>
      <c r="N2299" s="16" t="n">
        <f aca="false">G2299*I2299</f>
        <v>492162.31</v>
      </c>
    </row>
    <row r="2300" customFormat="false" ht="15" hidden="false" customHeight="true" outlineLevel="0" collapsed="false">
      <c r="A2300" s="4" t="s">
        <v>2476</v>
      </c>
      <c r="B2300" s="4" t="s">
        <v>131</v>
      </c>
      <c r="C2300" s="13" t="n">
        <v>45134</v>
      </c>
      <c r="D2300" s="13" t="n">
        <v>45144</v>
      </c>
      <c r="E2300" s="13" t="n">
        <v>45144</v>
      </c>
      <c r="F2300" s="4" t="n">
        <v>745</v>
      </c>
      <c r="G2300" s="4" t="n">
        <v>743</v>
      </c>
      <c r="H2300" s="4" t="n">
        <v>88.52</v>
      </c>
      <c r="I2300" s="4" t="n">
        <v>87.34</v>
      </c>
      <c r="J2300" s="14" t="n">
        <f aca="false">E2300-D2300</f>
        <v>0</v>
      </c>
      <c r="K2300" s="14" t="n">
        <f aca="false">IF(J2300&lt;=0,1,0)</f>
        <v>1</v>
      </c>
      <c r="L2300" s="15" t="n">
        <f aca="false">IFERROR(G2300/F2300,0)</f>
        <v>0.997315436241611</v>
      </c>
      <c r="M2300" s="15" t="n">
        <f aca="false">IFERROR((I2300-H2300)/H2300,0)</f>
        <v>-0.0133303208314504</v>
      </c>
      <c r="N2300" s="16" t="n">
        <f aca="false">G2300*I2300</f>
        <v>64893.62</v>
      </c>
    </row>
    <row r="2301" customFormat="false" ht="15" hidden="false" customHeight="true" outlineLevel="0" collapsed="false">
      <c r="A2301" s="4" t="s">
        <v>2477</v>
      </c>
      <c r="B2301" s="4" t="s">
        <v>93</v>
      </c>
      <c r="C2301" s="13" t="n">
        <v>45457</v>
      </c>
      <c r="D2301" s="13" t="n">
        <v>45469</v>
      </c>
      <c r="E2301" s="13" t="n">
        <v>45474</v>
      </c>
      <c r="F2301" s="4" t="n">
        <v>1860</v>
      </c>
      <c r="G2301" s="4" t="n">
        <v>1827</v>
      </c>
      <c r="H2301" s="4" t="n">
        <v>174.25</v>
      </c>
      <c r="I2301" s="4" t="n">
        <v>181.53</v>
      </c>
      <c r="J2301" s="14" t="n">
        <f aca="false">E2301-D2301</f>
        <v>5</v>
      </c>
      <c r="K2301" s="14" t="n">
        <f aca="false">IF(J2301&lt;=0,1,0)</f>
        <v>0</v>
      </c>
      <c r="L2301" s="15" t="n">
        <f aca="false">IFERROR(G2301/F2301,0)</f>
        <v>0.982258064516129</v>
      </c>
      <c r="M2301" s="15" t="n">
        <f aca="false">IFERROR((I2301-H2301)/H2301,0)</f>
        <v>0.0417790530846485</v>
      </c>
      <c r="N2301" s="16" t="n">
        <f aca="false">G2301*I2301</f>
        <v>331655.31</v>
      </c>
    </row>
    <row r="2302" customFormat="false" ht="15" hidden="false" customHeight="true" outlineLevel="0" collapsed="false">
      <c r="A2302" s="4" t="s">
        <v>2478</v>
      </c>
      <c r="B2302" s="4" t="s">
        <v>47</v>
      </c>
      <c r="C2302" s="13" t="n">
        <v>45396</v>
      </c>
      <c r="D2302" s="13" t="n">
        <v>45407</v>
      </c>
      <c r="E2302" s="13" t="n">
        <v>45405</v>
      </c>
      <c r="F2302" s="4" t="n">
        <v>512</v>
      </c>
      <c r="G2302" s="4" t="n">
        <v>508</v>
      </c>
      <c r="H2302" s="4" t="n">
        <v>228.68</v>
      </c>
      <c r="I2302" s="4" t="n">
        <v>234.35</v>
      </c>
      <c r="J2302" s="14" t="n">
        <f aca="false">E2302-D2302</f>
        <v>-2</v>
      </c>
      <c r="K2302" s="14" t="n">
        <f aca="false">IF(J2302&lt;=0,1,0)</f>
        <v>1</v>
      </c>
      <c r="L2302" s="15" t="n">
        <f aca="false">IFERROR(G2302/F2302,0)</f>
        <v>0.9921875</v>
      </c>
      <c r="M2302" s="15" t="n">
        <f aca="false">IFERROR((I2302-H2302)/H2302,0)</f>
        <v>0.0247944726255028</v>
      </c>
      <c r="N2302" s="16" t="n">
        <f aca="false">G2302*I2302</f>
        <v>119049.8</v>
      </c>
    </row>
    <row r="2303" customFormat="false" ht="15" hidden="false" customHeight="true" outlineLevel="0" collapsed="false">
      <c r="A2303" s="4" t="s">
        <v>2479</v>
      </c>
      <c r="B2303" s="4" t="s">
        <v>52</v>
      </c>
      <c r="C2303" s="13" t="n">
        <v>45477</v>
      </c>
      <c r="D2303" s="13" t="n">
        <v>45487</v>
      </c>
      <c r="E2303" s="13" t="n">
        <v>45496</v>
      </c>
      <c r="F2303" s="4" t="n">
        <v>1556</v>
      </c>
      <c r="G2303" s="4" t="n">
        <v>1345</v>
      </c>
      <c r="H2303" s="4" t="n">
        <v>170.24</v>
      </c>
      <c r="I2303" s="4" t="n">
        <v>176.47</v>
      </c>
      <c r="J2303" s="14" t="n">
        <f aca="false">E2303-D2303</f>
        <v>9</v>
      </c>
      <c r="K2303" s="14" t="n">
        <f aca="false">IF(J2303&lt;=0,1,0)</f>
        <v>0</v>
      </c>
      <c r="L2303" s="15" t="n">
        <f aca="false">IFERROR(G2303/F2303,0)</f>
        <v>0.86439588688946</v>
      </c>
      <c r="M2303" s="15" t="n">
        <f aca="false">IFERROR((I2303-H2303)/H2303,0)</f>
        <v>0.036595394736842</v>
      </c>
      <c r="N2303" s="16" t="n">
        <f aca="false">G2303*I2303</f>
        <v>237352.15</v>
      </c>
    </row>
    <row r="2304" customFormat="false" ht="15" hidden="false" customHeight="true" outlineLevel="0" collapsed="false">
      <c r="A2304" s="4" t="s">
        <v>2480</v>
      </c>
      <c r="B2304" s="4" t="s">
        <v>74</v>
      </c>
      <c r="C2304" s="13" t="n">
        <v>45066</v>
      </c>
      <c r="D2304" s="13" t="n">
        <v>45073</v>
      </c>
      <c r="E2304" s="13" t="n">
        <v>45067</v>
      </c>
      <c r="F2304" s="4" t="n">
        <v>8</v>
      </c>
      <c r="G2304" s="4" t="n">
        <v>8</v>
      </c>
      <c r="H2304" s="4" t="n">
        <v>1294.62</v>
      </c>
      <c r="I2304" s="4" t="n">
        <v>1327.83</v>
      </c>
      <c r="J2304" s="14" t="n">
        <f aca="false">E2304-D2304</f>
        <v>-6</v>
      </c>
      <c r="K2304" s="14" t="n">
        <f aca="false">IF(J2304&lt;=0,1,0)</f>
        <v>1</v>
      </c>
      <c r="L2304" s="15" t="n">
        <f aca="false">IFERROR(G2304/F2304,0)</f>
        <v>1</v>
      </c>
      <c r="M2304" s="15" t="n">
        <f aca="false">IFERROR((I2304-H2304)/H2304,0)</f>
        <v>0.0256523149650091</v>
      </c>
      <c r="N2304" s="16" t="n">
        <f aca="false">G2304*I2304</f>
        <v>10622.64</v>
      </c>
    </row>
    <row r="2305" customFormat="false" ht="15" hidden="false" customHeight="true" outlineLevel="0" collapsed="false">
      <c r="A2305" s="4" t="s">
        <v>2481</v>
      </c>
      <c r="B2305" s="4" t="s">
        <v>125</v>
      </c>
      <c r="C2305" s="13" t="n">
        <v>45356</v>
      </c>
      <c r="D2305" s="13" t="n">
        <v>45360</v>
      </c>
      <c r="E2305" s="13" t="n">
        <v>45369</v>
      </c>
      <c r="F2305" s="4" t="n">
        <v>15</v>
      </c>
      <c r="G2305" s="4" t="n">
        <v>13</v>
      </c>
      <c r="H2305" s="4" t="n">
        <v>729.32</v>
      </c>
      <c r="I2305" s="4" t="n">
        <v>738.79</v>
      </c>
      <c r="J2305" s="14" t="n">
        <f aca="false">E2305-D2305</f>
        <v>9</v>
      </c>
      <c r="K2305" s="14" t="n">
        <f aca="false">IF(J2305&lt;=0,1,0)</f>
        <v>0</v>
      </c>
      <c r="L2305" s="15" t="n">
        <f aca="false">IFERROR(G2305/F2305,0)</f>
        <v>0.866666666666667</v>
      </c>
      <c r="M2305" s="15" t="n">
        <f aca="false">IFERROR((I2305-H2305)/H2305,0)</f>
        <v>0.012984698074919</v>
      </c>
      <c r="N2305" s="16" t="n">
        <f aca="false">G2305*I2305</f>
        <v>9604.27</v>
      </c>
    </row>
    <row r="2306" customFormat="false" ht="15" hidden="false" customHeight="true" outlineLevel="0" collapsed="false">
      <c r="A2306" s="4" t="s">
        <v>2482</v>
      </c>
      <c r="B2306" s="4" t="s">
        <v>145</v>
      </c>
      <c r="C2306" s="13" t="n">
        <v>45214</v>
      </c>
      <c r="D2306" s="13" t="n">
        <v>45223</v>
      </c>
      <c r="E2306" s="13" t="n">
        <v>45224</v>
      </c>
      <c r="F2306" s="4" t="n">
        <v>1955</v>
      </c>
      <c r="G2306" s="4" t="n">
        <v>1880</v>
      </c>
      <c r="H2306" s="4" t="n">
        <v>237.04</v>
      </c>
      <c r="I2306" s="4" t="n">
        <v>253.45</v>
      </c>
      <c r="J2306" s="14" t="n">
        <f aca="false">E2306-D2306</f>
        <v>1</v>
      </c>
      <c r="K2306" s="14" t="n">
        <f aca="false">IF(J2306&lt;=0,1,0)</f>
        <v>0</v>
      </c>
      <c r="L2306" s="15" t="n">
        <f aca="false">IFERROR(G2306/F2306,0)</f>
        <v>0.961636828644501</v>
      </c>
      <c r="M2306" s="15" t="n">
        <f aca="false">IFERROR((I2306-H2306)/H2306,0)</f>
        <v>0.0692288221397232</v>
      </c>
      <c r="N2306" s="16" t="n">
        <f aca="false">G2306*I2306</f>
        <v>476486</v>
      </c>
    </row>
    <row r="2307" customFormat="false" ht="15" hidden="false" customHeight="true" outlineLevel="0" collapsed="false">
      <c r="A2307" s="4" t="s">
        <v>2483</v>
      </c>
      <c r="B2307" s="4" t="s">
        <v>72</v>
      </c>
      <c r="C2307" s="13" t="n">
        <v>45636</v>
      </c>
      <c r="D2307" s="13" t="n">
        <v>45645</v>
      </c>
      <c r="E2307" s="13" t="n">
        <v>45646</v>
      </c>
      <c r="F2307" s="4" t="n">
        <v>1664</v>
      </c>
      <c r="G2307" s="4" t="n">
        <v>1627</v>
      </c>
      <c r="H2307" s="4" t="n">
        <v>34.53</v>
      </c>
      <c r="I2307" s="4" t="n">
        <v>37.44</v>
      </c>
      <c r="J2307" s="14" t="n">
        <f aca="false">E2307-D2307</f>
        <v>1</v>
      </c>
      <c r="K2307" s="14" t="n">
        <f aca="false">IF(J2307&lt;=0,1,0)</f>
        <v>0</v>
      </c>
      <c r="L2307" s="15" t="n">
        <f aca="false">IFERROR(G2307/F2307,0)</f>
        <v>0.977764423076923</v>
      </c>
      <c r="M2307" s="15" t="n">
        <f aca="false">IFERROR((I2307-H2307)/H2307,0)</f>
        <v>0.0842745438748913</v>
      </c>
      <c r="N2307" s="16" t="n">
        <f aca="false">G2307*I2307</f>
        <v>60914.88</v>
      </c>
    </row>
    <row r="2308" customFormat="false" ht="15" hidden="false" customHeight="true" outlineLevel="0" collapsed="false">
      <c r="A2308" s="4" t="s">
        <v>2484</v>
      </c>
      <c r="B2308" s="4" t="s">
        <v>99</v>
      </c>
      <c r="C2308" s="13" t="n">
        <v>45526</v>
      </c>
      <c r="D2308" s="13" t="n">
        <v>45533</v>
      </c>
      <c r="E2308" s="13" t="n">
        <v>45533</v>
      </c>
      <c r="F2308" s="4" t="n">
        <v>518</v>
      </c>
      <c r="G2308" s="4" t="n">
        <v>488</v>
      </c>
      <c r="H2308" s="4" t="n">
        <v>11.5</v>
      </c>
      <c r="I2308" s="4" t="n">
        <v>12.56</v>
      </c>
      <c r="J2308" s="14" t="n">
        <f aca="false">E2308-D2308</f>
        <v>0</v>
      </c>
      <c r="K2308" s="14" t="n">
        <f aca="false">IF(J2308&lt;=0,1,0)</f>
        <v>1</v>
      </c>
      <c r="L2308" s="15" t="n">
        <f aca="false">IFERROR(G2308/F2308,0)</f>
        <v>0.942084942084942</v>
      </c>
      <c r="M2308" s="15" t="n">
        <f aca="false">IFERROR((I2308-H2308)/H2308,0)</f>
        <v>0.0921739130434783</v>
      </c>
      <c r="N2308" s="16" t="n">
        <f aca="false">G2308*I2308</f>
        <v>6129.28</v>
      </c>
    </row>
    <row r="2309" customFormat="false" ht="15" hidden="false" customHeight="true" outlineLevel="0" collapsed="false">
      <c r="A2309" s="4" t="s">
        <v>2485</v>
      </c>
      <c r="B2309" s="4" t="s">
        <v>99</v>
      </c>
      <c r="C2309" s="13" t="n">
        <v>45532</v>
      </c>
      <c r="D2309" s="13" t="n">
        <v>45541</v>
      </c>
      <c r="E2309" s="13" t="n">
        <v>45541</v>
      </c>
      <c r="F2309" s="4" t="n">
        <v>2952</v>
      </c>
      <c r="G2309" s="4" t="n">
        <v>2806</v>
      </c>
      <c r="H2309" s="4" t="n">
        <v>11.5</v>
      </c>
      <c r="I2309" s="4" t="n">
        <v>12.83</v>
      </c>
      <c r="J2309" s="14" t="n">
        <f aca="false">E2309-D2309</f>
        <v>0</v>
      </c>
      <c r="K2309" s="14" t="n">
        <f aca="false">IF(J2309&lt;=0,1,0)</f>
        <v>1</v>
      </c>
      <c r="L2309" s="15" t="n">
        <f aca="false">IFERROR(G2309/F2309,0)</f>
        <v>0.950542005420054</v>
      </c>
      <c r="M2309" s="15" t="n">
        <f aca="false">IFERROR((I2309-H2309)/H2309,0)</f>
        <v>0.115652173913043</v>
      </c>
      <c r="N2309" s="16" t="n">
        <f aca="false">G2309*I2309</f>
        <v>36000.98</v>
      </c>
    </row>
    <row r="2310" customFormat="false" ht="15" hidden="false" customHeight="true" outlineLevel="0" collapsed="false">
      <c r="A2310" s="4" t="s">
        <v>2486</v>
      </c>
      <c r="B2310" s="4" t="s">
        <v>123</v>
      </c>
      <c r="C2310" s="13" t="n">
        <v>45066</v>
      </c>
      <c r="D2310" s="13" t="n">
        <v>45079</v>
      </c>
      <c r="E2310" s="13" t="n">
        <v>45077</v>
      </c>
      <c r="F2310" s="4" t="n">
        <v>24</v>
      </c>
      <c r="G2310" s="4" t="n">
        <v>24</v>
      </c>
      <c r="H2310" s="4" t="n">
        <v>214.07</v>
      </c>
      <c r="I2310" s="4" t="n">
        <v>221.5</v>
      </c>
      <c r="J2310" s="14" t="n">
        <f aca="false">E2310-D2310</f>
        <v>-2</v>
      </c>
      <c r="K2310" s="14" t="n">
        <f aca="false">IF(J2310&lt;=0,1,0)</f>
        <v>1</v>
      </c>
      <c r="L2310" s="15" t="n">
        <f aca="false">IFERROR(G2310/F2310,0)</f>
        <v>1</v>
      </c>
      <c r="M2310" s="15" t="n">
        <f aca="false">IFERROR((I2310-H2310)/H2310,0)</f>
        <v>0.0347082729948148</v>
      </c>
      <c r="N2310" s="16" t="n">
        <f aca="false">G2310*I2310</f>
        <v>5316</v>
      </c>
    </row>
    <row r="2311" customFormat="false" ht="15" hidden="false" customHeight="true" outlineLevel="0" collapsed="false">
      <c r="A2311" s="4" t="s">
        <v>2487</v>
      </c>
      <c r="B2311" s="4" t="s">
        <v>119</v>
      </c>
      <c r="C2311" s="13" t="n">
        <v>45345</v>
      </c>
      <c r="D2311" s="13" t="n">
        <v>45352</v>
      </c>
      <c r="E2311" s="13" t="n">
        <v>45353</v>
      </c>
      <c r="F2311" s="4" t="n">
        <v>3040</v>
      </c>
      <c r="G2311" s="4" t="n">
        <v>3040</v>
      </c>
      <c r="H2311" s="4" t="n">
        <v>50.92</v>
      </c>
      <c r="I2311" s="4" t="n">
        <v>47.93</v>
      </c>
      <c r="J2311" s="14" t="n">
        <f aca="false">E2311-D2311</f>
        <v>1</v>
      </c>
      <c r="K2311" s="14" t="n">
        <f aca="false">IF(J2311&lt;=0,1,0)</f>
        <v>0</v>
      </c>
      <c r="L2311" s="15" t="n">
        <f aca="false">IFERROR(G2311/F2311,0)</f>
        <v>1</v>
      </c>
      <c r="M2311" s="15" t="n">
        <f aca="false">IFERROR((I2311-H2311)/H2311,0)</f>
        <v>-0.0587195600942656</v>
      </c>
      <c r="N2311" s="16" t="n">
        <f aca="false">G2311*I2311</f>
        <v>145707.2</v>
      </c>
    </row>
    <row r="2312" customFormat="false" ht="15" hidden="false" customHeight="true" outlineLevel="0" collapsed="false">
      <c r="A2312" s="4" t="s">
        <v>2488</v>
      </c>
      <c r="B2312" s="4" t="s">
        <v>147</v>
      </c>
      <c r="C2312" s="13" t="n">
        <v>45559</v>
      </c>
      <c r="D2312" s="13" t="n">
        <v>45570</v>
      </c>
      <c r="E2312" s="13" t="n">
        <v>45573</v>
      </c>
      <c r="F2312" s="4" t="n">
        <v>235</v>
      </c>
      <c r="G2312" s="4" t="n">
        <v>229</v>
      </c>
      <c r="H2312" s="4" t="n">
        <v>203.3</v>
      </c>
      <c r="I2312" s="4" t="n">
        <v>214.24</v>
      </c>
      <c r="J2312" s="14" t="n">
        <f aca="false">E2312-D2312</f>
        <v>3</v>
      </c>
      <c r="K2312" s="14" t="n">
        <f aca="false">IF(J2312&lt;=0,1,0)</f>
        <v>0</v>
      </c>
      <c r="L2312" s="15" t="n">
        <f aca="false">IFERROR(G2312/F2312,0)</f>
        <v>0.974468085106383</v>
      </c>
      <c r="M2312" s="15" t="n">
        <f aca="false">IFERROR((I2312-H2312)/H2312,0)</f>
        <v>0.0538121003443187</v>
      </c>
      <c r="N2312" s="16" t="n">
        <f aca="false">G2312*I2312</f>
        <v>49060.96</v>
      </c>
    </row>
    <row r="2313" customFormat="false" ht="15" hidden="false" customHeight="true" outlineLevel="0" collapsed="false">
      <c r="A2313" s="4" t="s">
        <v>2489</v>
      </c>
      <c r="B2313" s="4" t="s">
        <v>58</v>
      </c>
      <c r="C2313" s="13" t="n">
        <v>45500</v>
      </c>
      <c r="D2313" s="13" t="n">
        <v>45511</v>
      </c>
      <c r="E2313" s="13" t="n">
        <v>45510</v>
      </c>
      <c r="F2313" s="4" t="n">
        <v>269</v>
      </c>
      <c r="G2313" s="4" t="n">
        <v>263</v>
      </c>
      <c r="H2313" s="4" t="n">
        <v>135.68</v>
      </c>
      <c r="I2313" s="4" t="n">
        <v>145.73</v>
      </c>
      <c r="J2313" s="14" t="n">
        <f aca="false">E2313-D2313</f>
        <v>-1</v>
      </c>
      <c r="K2313" s="14" t="n">
        <f aca="false">IF(J2313&lt;=0,1,0)</f>
        <v>1</v>
      </c>
      <c r="L2313" s="15" t="n">
        <f aca="false">IFERROR(G2313/F2313,0)</f>
        <v>0.977695167286245</v>
      </c>
      <c r="M2313" s="15" t="n">
        <f aca="false">IFERROR((I2313-H2313)/H2313,0)</f>
        <v>0.0740713443396225</v>
      </c>
      <c r="N2313" s="16" t="n">
        <f aca="false">G2313*I2313</f>
        <v>38326.99</v>
      </c>
    </row>
    <row r="2314" customFormat="false" ht="15" hidden="false" customHeight="true" outlineLevel="0" collapsed="false">
      <c r="A2314" s="4" t="s">
        <v>2490</v>
      </c>
      <c r="B2314" s="4" t="s">
        <v>141</v>
      </c>
      <c r="C2314" s="13" t="n">
        <v>45118</v>
      </c>
      <c r="D2314" s="13" t="n">
        <v>45136</v>
      </c>
      <c r="E2314" s="13" t="n">
        <v>45139</v>
      </c>
      <c r="F2314" s="4" t="n">
        <v>92</v>
      </c>
      <c r="G2314" s="4" t="n">
        <v>92</v>
      </c>
      <c r="H2314" s="4" t="n">
        <v>1252.36</v>
      </c>
      <c r="I2314" s="4" t="n">
        <v>1257.58</v>
      </c>
      <c r="J2314" s="14" t="n">
        <f aca="false">E2314-D2314</f>
        <v>3</v>
      </c>
      <c r="K2314" s="14" t="n">
        <f aca="false">IF(J2314&lt;=0,1,0)</f>
        <v>0</v>
      </c>
      <c r="L2314" s="15" t="n">
        <f aca="false">IFERROR(G2314/F2314,0)</f>
        <v>1</v>
      </c>
      <c r="M2314" s="15" t="n">
        <f aca="false">IFERROR((I2314-H2314)/H2314,0)</f>
        <v>0.00416813056948484</v>
      </c>
      <c r="N2314" s="16" t="n">
        <f aca="false">G2314*I2314</f>
        <v>115697.36</v>
      </c>
    </row>
    <row r="2315" customFormat="false" ht="15" hidden="false" customHeight="true" outlineLevel="0" collapsed="false">
      <c r="A2315" s="4" t="s">
        <v>2491</v>
      </c>
      <c r="B2315" s="4" t="s">
        <v>37</v>
      </c>
      <c r="C2315" s="13" t="n">
        <v>45221</v>
      </c>
      <c r="D2315" s="13" t="n">
        <v>45228</v>
      </c>
      <c r="E2315" s="13" t="n">
        <v>45226</v>
      </c>
      <c r="F2315" s="4" t="n">
        <v>2515</v>
      </c>
      <c r="G2315" s="4" t="n">
        <v>2498</v>
      </c>
      <c r="H2315" s="4" t="n">
        <v>22.26</v>
      </c>
      <c r="I2315" s="4" t="n">
        <v>21.41</v>
      </c>
      <c r="J2315" s="14" t="n">
        <f aca="false">E2315-D2315</f>
        <v>-2</v>
      </c>
      <c r="K2315" s="14" t="n">
        <f aca="false">IF(J2315&lt;=0,1,0)</f>
        <v>1</v>
      </c>
      <c r="L2315" s="15" t="n">
        <f aca="false">IFERROR(G2315/F2315,0)</f>
        <v>0.99324055666004</v>
      </c>
      <c r="M2315" s="15" t="n">
        <f aca="false">IFERROR((I2315-H2315)/H2315,0)</f>
        <v>-0.0381850853548967</v>
      </c>
      <c r="N2315" s="16" t="n">
        <f aca="false">G2315*I2315</f>
        <v>53482.18</v>
      </c>
    </row>
    <row r="2316" customFormat="false" ht="15" hidden="false" customHeight="true" outlineLevel="0" collapsed="false">
      <c r="A2316" s="4" t="s">
        <v>2492</v>
      </c>
      <c r="B2316" s="4" t="s">
        <v>61</v>
      </c>
      <c r="C2316" s="13" t="n">
        <v>45549</v>
      </c>
      <c r="D2316" s="13" t="n">
        <v>45561</v>
      </c>
      <c r="E2316" s="13" t="n">
        <v>45565</v>
      </c>
      <c r="F2316" s="4" t="n">
        <v>678</v>
      </c>
      <c r="G2316" s="4" t="n">
        <v>661</v>
      </c>
      <c r="H2316" s="4" t="n">
        <v>107.41</v>
      </c>
      <c r="I2316" s="4" t="n">
        <v>106.8</v>
      </c>
      <c r="J2316" s="14" t="n">
        <f aca="false">E2316-D2316</f>
        <v>4</v>
      </c>
      <c r="K2316" s="14" t="n">
        <f aca="false">IF(J2316&lt;=0,1,0)</f>
        <v>0</v>
      </c>
      <c r="L2316" s="15" t="n">
        <f aca="false">IFERROR(G2316/F2316,0)</f>
        <v>0.974926253687316</v>
      </c>
      <c r="M2316" s="15" t="n">
        <f aca="false">IFERROR((I2316-H2316)/H2316,0)</f>
        <v>-0.00567917326133507</v>
      </c>
      <c r="N2316" s="16" t="n">
        <f aca="false">G2316*I2316</f>
        <v>70594.8</v>
      </c>
    </row>
    <row r="2317" customFormat="false" ht="15" hidden="false" customHeight="true" outlineLevel="0" collapsed="false">
      <c r="A2317" s="4" t="s">
        <v>2493</v>
      </c>
      <c r="B2317" s="4" t="s">
        <v>155</v>
      </c>
      <c r="C2317" s="13" t="n">
        <v>45513</v>
      </c>
      <c r="D2317" s="13" t="n">
        <v>45521</v>
      </c>
      <c r="E2317" s="13" t="n">
        <v>45520</v>
      </c>
      <c r="F2317" s="4" t="n">
        <v>3713</v>
      </c>
      <c r="G2317" s="4" t="n">
        <v>3687</v>
      </c>
      <c r="H2317" s="4" t="n">
        <v>24.04</v>
      </c>
      <c r="I2317" s="4" t="n">
        <v>22.77</v>
      </c>
      <c r="J2317" s="14" t="n">
        <f aca="false">E2317-D2317</f>
        <v>-1</v>
      </c>
      <c r="K2317" s="14" t="n">
        <f aca="false">IF(J2317&lt;=0,1,0)</f>
        <v>1</v>
      </c>
      <c r="L2317" s="15" t="n">
        <f aca="false">IFERROR(G2317/F2317,0)</f>
        <v>0.992997576084029</v>
      </c>
      <c r="M2317" s="15" t="n">
        <f aca="false">IFERROR((I2317-H2317)/H2317,0)</f>
        <v>-0.052828618968386</v>
      </c>
      <c r="N2317" s="16" t="n">
        <f aca="false">G2317*I2317</f>
        <v>83952.99</v>
      </c>
    </row>
    <row r="2318" customFormat="false" ht="15" hidden="false" customHeight="true" outlineLevel="0" collapsed="false">
      <c r="A2318" s="4" t="s">
        <v>2494</v>
      </c>
      <c r="B2318" s="4" t="s">
        <v>161</v>
      </c>
      <c r="C2318" s="13" t="n">
        <v>45213</v>
      </c>
      <c r="D2318" s="13" t="n">
        <v>45225</v>
      </c>
      <c r="E2318" s="13" t="n">
        <v>45225</v>
      </c>
      <c r="F2318" s="4" t="n">
        <v>1259</v>
      </c>
      <c r="G2318" s="4" t="n">
        <v>1230</v>
      </c>
      <c r="H2318" s="4" t="n">
        <v>101.94</v>
      </c>
      <c r="I2318" s="4" t="n">
        <v>107.62</v>
      </c>
      <c r="J2318" s="14" t="n">
        <f aca="false">E2318-D2318</f>
        <v>0</v>
      </c>
      <c r="K2318" s="14" t="n">
        <f aca="false">IF(J2318&lt;=0,1,0)</f>
        <v>1</v>
      </c>
      <c r="L2318" s="15" t="n">
        <f aca="false">IFERROR(G2318/F2318,0)</f>
        <v>0.976965845909452</v>
      </c>
      <c r="M2318" s="15" t="n">
        <f aca="false">IFERROR((I2318-H2318)/H2318,0)</f>
        <v>0.0557190504218168</v>
      </c>
      <c r="N2318" s="16" t="n">
        <f aca="false">G2318*I2318</f>
        <v>132372.6</v>
      </c>
    </row>
    <row r="2319" customFormat="false" ht="15" hidden="false" customHeight="true" outlineLevel="0" collapsed="false">
      <c r="A2319" s="4" t="s">
        <v>2495</v>
      </c>
      <c r="B2319" s="4" t="s">
        <v>125</v>
      </c>
      <c r="C2319" s="13" t="n">
        <v>45242</v>
      </c>
      <c r="D2319" s="13" t="n">
        <v>45247</v>
      </c>
      <c r="E2319" s="13" t="n">
        <v>45255</v>
      </c>
      <c r="F2319" s="4" t="n">
        <v>11</v>
      </c>
      <c r="G2319" s="4" t="n">
        <v>9</v>
      </c>
      <c r="H2319" s="4" t="n">
        <v>729.32</v>
      </c>
      <c r="I2319" s="4" t="n">
        <v>732.93</v>
      </c>
      <c r="J2319" s="14" t="n">
        <f aca="false">E2319-D2319</f>
        <v>8</v>
      </c>
      <c r="K2319" s="14" t="n">
        <f aca="false">IF(J2319&lt;=0,1,0)</f>
        <v>0</v>
      </c>
      <c r="L2319" s="15" t="n">
        <f aca="false">IFERROR(G2319/F2319,0)</f>
        <v>0.818181818181818</v>
      </c>
      <c r="M2319" s="15" t="n">
        <f aca="false">IFERROR((I2319-H2319)/H2319,0)</f>
        <v>0.00494981626720767</v>
      </c>
      <c r="N2319" s="16" t="n">
        <f aca="false">G2319*I2319</f>
        <v>6596.37</v>
      </c>
    </row>
    <row r="2320" customFormat="false" ht="15" hidden="false" customHeight="true" outlineLevel="0" collapsed="false">
      <c r="A2320" s="4" t="s">
        <v>2496</v>
      </c>
      <c r="B2320" s="4" t="s">
        <v>99</v>
      </c>
      <c r="C2320" s="13" t="n">
        <v>45339</v>
      </c>
      <c r="D2320" s="13" t="n">
        <v>45348</v>
      </c>
      <c r="E2320" s="13" t="n">
        <v>45350</v>
      </c>
      <c r="F2320" s="4" t="n">
        <v>985</v>
      </c>
      <c r="G2320" s="4" t="n">
        <v>891</v>
      </c>
      <c r="H2320" s="4" t="n">
        <v>11.5</v>
      </c>
      <c r="I2320" s="4" t="n">
        <v>12.4</v>
      </c>
      <c r="J2320" s="14" t="n">
        <f aca="false">E2320-D2320</f>
        <v>2</v>
      </c>
      <c r="K2320" s="14" t="n">
        <f aca="false">IF(J2320&lt;=0,1,0)</f>
        <v>0</v>
      </c>
      <c r="L2320" s="15" t="n">
        <f aca="false">IFERROR(G2320/F2320,0)</f>
        <v>0.904568527918782</v>
      </c>
      <c r="M2320" s="15" t="n">
        <f aca="false">IFERROR((I2320-H2320)/H2320,0)</f>
        <v>0.0782608695652174</v>
      </c>
      <c r="N2320" s="16" t="n">
        <f aca="false">G2320*I2320</f>
        <v>11048.4</v>
      </c>
    </row>
    <row r="2321" customFormat="false" ht="15" hidden="false" customHeight="true" outlineLevel="0" collapsed="false">
      <c r="A2321" s="4" t="s">
        <v>2497</v>
      </c>
      <c r="B2321" s="4" t="s">
        <v>137</v>
      </c>
      <c r="C2321" s="13" t="n">
        <v>45309</v>
      </c>
      <c r="D2321" s="13" t="n">
        <v>45329</v>
      </c>
      <c r="E2321" s="13" t="n">
        <v>45331</v>
      </c>
      <c r="F2321" s="4" t="n">
        <v>72</v>
      </c>
      <c r="G2321" s="4" t="n">
        <v>66</v>
      </c>
      <c r="H2321" s="4" t="n">
        <v>1047.25</v>
      </c>
      <c r="I2321" s="4" t="n">
        <v>1081.81</v>
      </c>
      <c r="J2321" s="14" t="n">
        <f aca="false">E2321-D2321</f>
        <v>2</v>
      </c>
      <c r="K2321" s="14" t="n">
        <f aca="false">IF(J2321&lt;=0,1,0)</f>
        <v>0</v>
      </c>
      <c r="L2321" s="15" t="n">
        <f aca="false">IFERROR(G2321/F2321,0)</f>
        <v>0.916666666666667</v>
      </c>
      <c r="M2321" s="15" t="n">
        <f aca="false">IFERROR((I2321-H2321)/H2321,0)</f>
        <v>0.033000716161375</v>
      </c>
      <c r="N2321" s="16" t="n">
        <f aca="false">G2321*I2321</f>
        <v>71399.46</v>
      </c>
    </row>
    <row r="2322" customFormat="false" ht="15" hidden="false" customHeight="true" outlineLevel="0" collapsed="false">
      <c r="A2322" s="4" t="s">
        <v>2498</v>
      </c>
      <c r="B2322" s="4" t="s">
        <v>155</v>
      </c>
      <c r="C2322" s="13" t="n">
        <v>45297</v>
      </c>
      <c r="D2322" s="13" t="n">
        <v>45305</v>
      </c>
      <c r="E2322" s="13" t="n">
        <v>45302</v>
      </c>
      <c r="F2322" s="4" t="n">
        <v>2765</v>
      </c>
      <c r="G2322" s="4" t="n">
        <v>2676</v>
      </c>
      <c r="H2322" s="4" t="n">
        <v>24.04</v>
      </c>
      <c r="I2322" s="4" t="n">
        <v>23.76</v>
      </c>
      <c r="J2322" s="14" t="n">
        <f aca="false">E2322-D2322</f>
        <v>-3</v>
      </c>
      <c r="K2322" s="14" t="n">
        <f aca="false">IF(J2322&lt;=0,1,0)</f>
        <v>1</v>
      </c>
      <c r="L2322" s="15" t="n">
        <f aca="false">IFERROR(G2322/F2322,0)</f>
        <v>0.967811934900543</v>
      </c>
      <c r="M2322" s="15" t="n">
        <f aca="false">IFERROR((I2322-H2322)/H2322,0)</f>
        <v>-0.0116472545757071</v>
      </c>
      <c r="N2322" s="16" t="n">
        <f aca="false">G2322*I2322</f>
        <v>63581.76</v>
      </c>
    </row>
    <row r="2323" customFormat="false" ht="15" hidden="false" customHeight="true" outlineLevel="0" collapsed="false">
      <c r="A2323" s="4" t="s">
        <v>2499</v>
      </c>
      <c r="B2323" s="4" t="s">
        <v>125</v>
      </c>
      <c r="C2323" s="13" t="n">
        <v>45359</v>
      </c>
      <c r="D2323" s="13" t="n">
        <v>45365</v>
      </c>
      <c r="E2323" s="13" t="n">
        <v>45370</v>
      </c>
      <c r="F2323" s="4" t="n">
        <v>3</v>
      </c>
      <c r="G2323" s="4" t="n">
        <v>3</v>
      </c>
      <c r="H2323" s="4" t="n">
        <v>729.32</v>
      </c>
      <c r="I2323" s="4" t="n">
        <v>724.91</v>
      </c>
      <c r="J2323" s="14" t="n">
        <f aca="false">E2323-D2323</f>
        <v>5</v>
      </c>
      <c r="K2323" s="14" t="n">
        <f aca="false">IF(J2323&lt;=0,1,0)</f>
        <v>0</v>
      </c>
      <c r="L2323" s="15" t="n">
        <f aca="false">IFERROR(G2323/F2323,0)</f>
        <v>1</v>
      </c>
      <c r="M2323" s="15" t="n">
        <f aca="false">IFERROR((I2323-H2323)/H2323,0)</f>
        <v>-0.00604672845938694</v>
      </c>
      <c r="N2323" s="16" t="n">
        <f aca="false">G2323*I2323</f>
        <v>2174.73</v>
      </c>
    </row>
    <row r="2324" customFormat="false" ht="15" hidden="false" customHeight="true" outlineLevel="0" collapsed="false">
      <c r="A2324" s="4" t="s">
        <v>2500</v>
      </c>
      <c r="B2324" s="4" t="s">
        <v>103</v>
      </c>
      <c r="C2324" s="13" t="n">
        <v>45603</v>
      </c>
      <c r="D2324" s="13" t="n">
        <v>45623</v>
      </c>
      <c r="E2324" s="13" t="n">
        <v>45627</v>
      </c>
      <c r="F2324" s="4" t="n">
        <v>276</v>
      </c>
      <c r="G2324" s="4" t="n">
        <v>276</v>
      </c>
      <c r="H2324" s="4" t="n">
        <v>1400.22</v>
      </c>
      <c r="I2324" s="4" t="n">
        <v>1485.09</v>
      </c>
      <c r="J2324" s="14" t="n">
        <f aca="false">E2324-D2324</f>
        <v>4</v>
      </c>
      <c r="K2324" s="14" t="n">
        <f aca="false">IF(J2324&lt;=0,1,0)</f>
        <v>0</v>
      </c>
      <c r="L2324" s="15" t="n">
        <f aca="false">IFERROR(G2324/F2324,0)</f>
        <v>1</v>
      </c>
      <c r="M2324" s="15" t="n">
        <f aca="false">IFERROR((I2324-H2324)/H2324,0)</f>
        <v>0.0606119038436816</v>
      </c>
      <c r="N2324" s="16" t="n">
        <f aca="false">G2324*I2324</f>
        <v>409884.84</v>
      </c>
    </row>
    <row r="2325" customFormat="false" ht="15" hidden="false" customHeight="true" outlineLevel="0" collapsed="false">
      <c r="A2325" s="4" t="s">
        <v>2501</v>
      </c>
      <c r="B2325" s="4" t="s">
        <v>91</v>
      </c>
      <c r="C2325" s="13" t="n">
        <v>45214</v>
      </c>
      <c r="D2325" s="13" t="n">
        <v>45232</v>
      </c>
      <c r="E2325" s="13" t="n">
        <v>45229</v>
      </c>
      <c r="F2325" s="4" t="n">
        <v>484</v>
      </c>
      <c r="G2325" s="4" t="n">
        <v>472</v>
      </c>
      <c r="H2325" s="4" t="n">
        <v>496.29</v>
      </c>
      <c r="I2325" s="4" t="n">
        <v>489.11</v>
      </c>
      <c r="J2325" s="14" t="n">
        <f aca="false">E2325-D2325</f>
        <v>-3</v>
      </c>
      <c r="K2325" s="14" t="n">
        <f aca="false">IF(J2325&lt;=0,1,0)</f>
        <v>1</v>
      </c>
      <c r="L2325" s="15" t="n">
        <f aca="false">IFERROR(G2325/F2325,0)</f>
        <v>0.975206611570248</v>
      </c>
      <c r="M2325" s="15" t="n">
        <f aca="false">IFERROR((I2325-H2325)/H2325,0)</f>
        <v>-0.014467347720083</v>
      </c>
      <c r="N2325" s="16" t="n">
        <f aca="false">G2325*I2325</f>
        <v>230859.92</v>
      </c>
    </row>
    <row r="2326" customFormat="false" ht="15" hidden="false" customHeight="true" outlineLevel="0" collapsed="false">
      <c r="A2326" s="4" t="s">
        <v>2502</v>
      </c>
      <c r="B2326" s="4" t="s">
        <v>61</v>
      </c>
      <c r="C2326" s="13" t="n">
        <v>45599</v>
      </c>
      <c r="D2326" s="13" t="n">
        <v>45609</v>
      </c>
      <c r="E2326" s="13" t="n">
        <v>45615</v>
      </c>
      <c r="F2326" s="4" t="n">
        <v>1575</v>
      </c>
      <c r="G2326" s="4" t="n">
        <v>1542</v>
      </c>
      <c r="H2326" s="4" t="n">
        <v>107.41</v>
      </c>
      <c r="I2326" s="4" t="n">
        <v>109.24</v>
      </c>
      <c r="J2326" s="14" t="n">
        <f aca="false">E2326-D2326</f>
        <v>6</v>
      </c>
      <c r="K2326" s="14" t="n">
        <f aca="false">IF(J2326&lt;=0,1,0)</f>
        <v>0</v>
      </c>
      <c r="L2326" s="15" t="n">
        <f aca="false">IFERROR(G2326/F2326,0)</f>
        <v>0.979047619047619</v>
      </c>
      <c r="M2326" s="15" t="n">
        <f aca="false">IFERROR((I2326-H2326)/H2326,0)</f>
        <v>0.0170375197840052</v>
      </c>
      <c r="N2326" s="16" t="n">
        <f aca="false">G2326*I2326</f>
        <v>168448.08</v>
      </c>
    </row>
    <row r="2327" customFormat="false" ht="15" hidden="false" customHeight="true" outlineLevel="0" collapsed="false">
      <c r="A2327" s="4" t="s">
        <v>2503</v>
      </c>
      <c r="B2327" s="4" t="s">
        <v>125</v>
      </c>
      <c r="C2327" s="13" t="n">
        <v>45500</v>
      </c>
      <c r="D2327" s="13" t="n">
        <v>45505</v>
      </c>
      <c r="E2327" s="13" t="n">
        <v>45510</v>
      </c>
      <c r="F2327" s="4" t="n">
        <v>6</v>
      </c>
      <c r="G2327" s="4" t="n">
        <v>5</v>
      </c>
      <c r="H2327" s="4" t="n">
        <v>729.32</v>
      </c>
      <c r="I2327" s="4" t="n">
        <v>743.09</v>
      </c>
      <c r="J2327" s="14" t="n">
        <f aca="false">E2327-D2327</f>
        <v>5</v>
      </c>
      <c r="K2327" s="14" t="n">
        <f aca="false">IF(J2327&lt;=0,1,0)</f>
        <v>0</v>
      </c>
      <c r="L2327" s="15" t="n">
        <f aca="false">IFERROR(G2327/F2327,0)</f>
        <v>0.833333333333333</v>
      </c>
      <c r="M2327" s="15" t="n">
        <f aca="false">IFERROR((I2327-H2327)/H2327,0)</f>
        <v>0.0188806011078813</v>
      </c>
      <c r="N2327" s="16" t="n">
        <f aca="false">G2327*I2327</f>
        <v>3715.45</v>
      </c>
    </row>
    <row r="2328" customFormat="false" ht="15" hidden="false" customHeight="true" outlineLevel="0" collapsed="false">
      <c r="A2328" s="4" t="s">
        <v>2504</v>
      </c>
      <c r="B2328" s="4" t="s">
        <v>133</v>
      </c>
      <c r="C2328" s="13" t="n">
        <v>45025</v>
      </c>
      <c r="D2328" s="13" t="n">
        <v>45037</v>
      </c>
      <c r="E2328" s="13" t="n">
        <v>45043</v>
      </c>
      <c r="F2328" s="4" t="n">
        <v>377</v>
      </c>
      <c r="G2328" s="4" t="n">
        <v>374</v>
      </c>
      <c r="H2328" s="4" t="n">
        <v>138.21</v>
      </c>
      <c r="I2328" s="4" t="n">
        <v>139.18</v>
      </c>
      <c r="J2328" s="14" t="n">
        <f aca="false">E2328-D2328</f>
        <v>6</v>
      </c>
      <c r="K2328" s="14" t="n">
        <f aca="false">IF(J2328&lt;=0,1,0)</f>
        <v>0</v>
      </c>
      <c r="L2328" s="15" t="n">
        <f aca="false">IFERROR(G2328/F2328,0)</f>
        <v>0.992042440318302</v>
      </c>
      <c r="M2328" s="15" t="n">
        <f aca="false">IFERROR((I2328-H2328)/H2328,0)</f>
        <v>0.00701830547717241</v>
      </c>
      <c r="N2328" s="16" t="n">
        <f aca="false">G2328*I2328</f>
        <v>52053.32</v>
      </c>
    </row>
    <row r="2329" customFormat="false" ht="15" hidden="false" customHeight="true" outlineLevel="0" collapsed="false">
      <c r="A2329" s="4" t="s">
        <v>2505</v>
      </c>
      <c r="B2329" s="4" t="s">
        <v>151</v>
      </c>
      <c r="C2329" s="13" t="n">
        <v>45140</v>
      </c>
      <c r="D2329" s="13" t="n">
        <v>45147</v>
      </c>
      <c r="E2329" s="13" t="n">
        <v>45151</v>
      </c>
      <c r="F2329" s="4" t="n">
        <v>2</v>
      </c>
      <c r="G2329" s="4" t="n">
        <v>2</v>
      </c>
      <c r="H2329" s="4" t="n">
        <v>503.46</v>
      </c>
      <c r="I2329" s="4" t="n">
        <v>507.55</v>
      </c>
      <c r="J2329" s="14" t="n">
        <f aca="false">E2329-D2329</f>
        <v>4</v>
      </c>
      <c r="K2329" s="14" t="n">
        <f aca="false">IF(J2329&lt;=0,1,0)</f>
        <v>0</v>
      </c>
      <c r="L2329" s="15" t="n">
        <f aca="false">IFERROR(G2329/F2329,0)</f>
        <v>1</v>
      </c>
      <c r="M2329" s="15" t="n">
        <f aca="false">IFERROR((I2329-H2329)/H2329,0)</f>
        <v>0.00812378341874237</v>
      </c>
      <c r="N2329" s="16" t="n">
        <f aca="false">G2329*I2329</f>
        <v>1015.1</v>
      </c>
    </row>
    <row r="2330" customFormat="false" ht="15" hidden="false" customHeight="true" outlineLevel="0" collapsed="false">
      <c r="A2330" s="4" t="s">
        <v>2506</v>
      </c>
      <c r="B2330" s="4" t="s">
        <v>121</v>
      </c>
      <c r="C2330" s="13" t="n">
        <v>45418</v>
      </c>
      <c r="D2330" s="13" t="n">
        <v>45427</v>
      </c>
      <c r="E2330" s="13" t="n">
        <v>45427</v>
      </c>
      <c r="F2330" s="4" t="n">
        <v>537</v>
      </c>
      <c r="G2330" s="4" t="n">
        <v>513</v>
      </c>
      <c r="H2330" s="4" t="n">
        <v>206.07</v>
      </c>
      <c r="I2330" s="4" t="n">
        <v>223.94</v>
      </c>
      <c r="J2330" s="14" t="n">
        <f aca="false">E2330-D2330</f>
        <v>0</v>
      </c>
      <c r="K2330" s="14" t="n">
        <f aca="false">IF(J2330&lt;=0,1,0)</f>
        <v>1</v>
      </c>
      <c r="L2330" s="15" t="n">
        <f aca="false">IFERROR(G2330/F2330,0)</f>
        <v>0.955307262569832</v>
      </c>
      <c r="M2330" s="15" t="n">
        <f aca="false">IFERROR((I2330-H2330)/H2330,0)</f>
        <v>0.0867181054981317</v>
      </c>
      <c r="N2330" s="16" t="n">
        <f aca="false">G2330*I2330</f>
        <v>114881.22</v>
      </c>
    </row>
    <row r="2331" customFormat="false" ht="15" hidden="false" customHeight="true" outlineLevel="0" collapsed="false">
      <c r="A2331" s="4" t="s">
        <v>2507</v>
      </c>
      <c r="B2331" s="4" t="s">
        <v>63</v>
      </c>
      <c r="C2331" s="13" t="n">
        <v>45454</v>
      </c>
      <c r="D2331" s="13" t="n">
        <v>45465</v>
      </c>
      <c r="E2331" s="13" t="n">
        <v>45476</v>
      </c>
      <c r="F2331" s="4" t="n">
        <v>1283</v>
      </c>
      <c r="G2331" s="4" t="n">
        <v>1183</v>
      </c>
      <c r="H2331" s="4" t="n">
        <v>239.8</v>
      </c>
      <c r="I2331" s="4" t="n">
        <v>264.19</v>
      </c>
      <c r="J2331" s="14" t="n">
        <f aca="false">E2331-D2331</f>
        <v>11</v>
      </c>
      <c r="K2331" s="14" t="n">
        <f aca="false">IF(J2331&lt;=0,1,0)</f>
        <v>0</v>
      </c>
      <c r="L2331" s="15" t="n">
        <f aca="false">IFERROR(G2331/F2331,0)</f>
        <v>0.922057677318784</v>
      </c>
      <c r="M2331" s="15" t="n">
        <f aca="false">IFERROR((I2331-H2331)/H2331,0)</f>
        <v>0.101709758131776</v>
      </c>
      <c r="N2331" s="16" t="n">
        <f aca="false">G2331*I2331</f>
        <v>312536.77</v>
      </c>
    </row>
    <row r="2332" customFormat="false" ht="15" hidden="false" customHeight="true" outlineLevel="0" collapsed="false">
      <c r="A2332" s="4" t="s">
        <v>2508</v>
      </c>
      <c r="B2332" s="4" t="s">
        <v>133</v>
      </c>
      <c r="C2332" s="13" t="n">
        <v>44964</v>
      </c>
      <c r="D2332" s="13" t="n">
        <v>44973</v>
      </c>
      <c r="E2332" s="13" t="n">
        <v>44976</v>
      </c>
      <c r="F2332" s="4" t="n">
        <v>247</v>
      </c>
      <c r="G2332" s="4" t="n">
        <v>231</v>
      </c>
      <c r="H2332" s="4" t="n">
        <v>138.21</v>
      </c>
      <c r="I2332" s="4" t="n">
        <v>140.34</v>
      </c>
      <c r="J2332" s="14" t="n">
        <f aca="false">E2332-D2332</f>
        <v>3</v>
      </c>
      <c r="K2332" s="14" t="n">
        <f aca="false">IF(J2332&lt;=0,1,0)</f>
        <v>0</v>
      </c>
      <c r="L2332" s="15" t="n">
        <f aca="false">IFERROR(G2332/F2332,0)</f>
        <v>0.935222672064777</v>
      </c>
      <c r="M2332" s="15" t="n">
        <f aca="false">IFERROR((I2332-H2332)/H2332,0)</f>
        <v>0.015411330583894</v>
      </c>
      <c r="N2332" s="16" t="n">
        <f aca="false">G2332*I2332</f>
        <v>32418.54</v>
      </c>
    </row>
    <row r="2333" customFormat="false" ht="15" hidden="false" customHeight="true" outlineLevel="0" collapsed="false">
      <c r="A2333" s="4" t="s">
        <v>2509</v>
      </c>
      <c r="B2333" s="4" t="s">
        <v>155</v>
      </c>
      <c r="C2333" s="13" t="n">
        <v>45123</v>
      </c>
      <c r="D2333" s="13" t="n">
        <v>45132</v>
      </c>
      <c r="E2333" s="13" t="n">
        <v>45129</v>
      </c>
      <c r="F2333" s="4" t="n">
        <v>2247</v>
      </c>
      <c r="G2333" s="4" t="n">
        <v>2177</v>
      </c>
      <c r="H2333" s="4" t="n">
        <v>24.04</v>
      </c>
      <c r="I2333" s="4" t="n">
        <v>23.5</v>
      </c>
      <c r="J2333" s="14" t="n">
        <f aca="false">E2333-D2333</f>
        <v>-3</v>
      </c>
      <c r="K2333" s="14" t="n">
        <f aca="false">IF(J2333&lt;=0,1,0)</f>
        <v>1</v>
      </c>
      <c r="L2333" s="15" t="n">
        <f aca="false">IFERROR(G2333/F2333,0)</f>
        <v>0.968847352024922</v>
      </c>
      <c r="M2333" s="15" t="n">
        <f aca="false">IFERROR((I2333-H2333)/H2333,0)</f>
        <v>-0.0224625623960066</v>
      </c>
      <c r="N2333" s="16" t="n">
        <f aca="false">G2333*I2333</f>
        <v>51159.5</v>
      </c>
    </row>
    <row r="2334" customFormat="false" ht="15" hidden="false" customHeight="true" outlineLevel="0" collapsed="false">
      <c r="A2334" s="4" t="s">
        <v>2510</v>
      </c>
      <c r="B2334" s="4" t="s">
        <v>107</v>
      </c>
      <c r="C2334" s="13" t="n">
        <v>45061</v>
      </c>
      <c r="D2334" s="13" t="n">
        <v>45067</v>
      </c>
      <c r="E2334" s="13" t="n">
        <v>45064</v>
      </c>
      <c r="F2334" s="4" t="n">
        <v>3668</v>
      </c>
      <c r="G2334" s="4" t="n">
        <v>3519</v>
      </c>
      <c r="H2334" s="4" t="n">
        <v>40.41</v>
      </c>
      <c r="I2334" s="4" t="n">
        <v>40.86</v>
      </c>
      <c r="J2334" s="14" t="n">
        <f aca="false">E2334-D2334</f>
        <v>-3</v>
      </c>
      <c r="K2334" s="14" t="n">
        <f aca="false">IF(J2334&lt;=0,1,0)</f>
        <v>1</v>
      </c>
      <c r="L2334" s="15" t="n">
        <f aca="false">IFERROR(G2334/F2334,0)</f>
        <v>0.95937840785169</v>
      </c>
      <c r="M2334" s="15" t="n">
        <f aca="false">IFERROR((I2334-H2334)/H2334,0)</f>
        <v>0.0111358574610246</v>
      </c>
      <c r="N2334" s="16" t="n">
        <f aca="false">G2334*I2334</f>
        <v>143786.34</v>
      </c>
    </row>
    <row r="2335" customFormat="false" ht="15" hidden="false" customHeight="true" outlineLevel="0" collapsed="false">
      <c r="A2335" s="4" t="s">
        <v>2511</v>
      </c>
      <c r="B2335" s="4" t="s">
        <v>87</v>
      </c>
      <c r="C2335" s="13" t="n">
        <v>45141</v>
      </c>
      <c r="D2335" s="13" t="n">
        <v>45152</v>
      </c>
      <c r="E2335" s="13" t="n">
        <v>45153</v>
      </c>
      <c r="F2335" s="4" t="n">
        <v>329</v>
      </c>
      <c r="G2335" s="4" t="n">
        <v>311</v>
      </c>
      <c r="H2335" s="4" t="n">
        <v>161.95</v>
      </c>
      <c r="I2335" s="4" t="n">
        <v>173.54</v>
      </c>
      <c r="J2335" s="14" t="n">
        <f aca="false">E2335-D2335</f>
        <v>1</v>
      </c>
      <c r="K2335" s="14" t="n">
        <f aca="false">IF(J2335&lt;=0,1,0)</f>
        <v>0</v>
      </c>
      <c r="L2335" s="15" t="n">
        <f aca="false">IFERROR(G2335/F2335,0)</f>
        <v>0.945288753799392</v>
      </c>
      <c r="M2335" s="15" t="n">
        <f aca="false">IFERROR((I2335-H2335)/H2335,0)</f>
        <v>0.0715652979314604</v>
      </c>
      <c r="N2335" s="16" t="n">
        <f aca="false">G2335*I2335</f>
        <v>53970.94</v>
      </c>
    </row>
    <row r="2336" customFormat="false" ht="15" hidden="false" customHeight="true" outlineLevel="0" collapsed="false">
      <c r="A2336" s="4" t="s">
        <v>2512</v>
      </c>
      <c r="B2336" s="4" t="s">
        <v>72</v>
      </c>
      <c r="C2336" s="13" t="n">
        <v>45134</v>
      </c>
      <c r="D2336" s="13" t="n">
        <v>45142</v>
      </c>
      <c r="E2336" s="13" t="n">
        <v>45148</v>
      </c>
      <c r="F2336" s="4" t="n">
        <v>4569</v>
      </c>
      <c r="G2336" s="4" t="n">
        <v>4460</v>
      </c>
      <c r="H2336" s="4" t="n">
        <v>34.53</v>
      </c>
      <c r="I2336" s="4" t="n">
        <v>35.47</v>
      </c>
      <c r="J2336" s="14" t="n">
        <f aca="false">E2336-D2336</f>
        <v>6</v>
      </c>
      <c r="K2336" s="14" t="n">
        <f aca="false">IF(J2336&lt;=0,1,0)</f>
        <v>0</v>
      </c>
      <c r="L2336" s="15" t="n">
        <f aca="false">IFERROR(G2336/F2336,0)</f>
        <v>0.976143576274896</v>
      </c>
      <c r="M2336" s="15" t="n">
        <f aca="false">IFERROR((I2336-H2336)/H2336,0)</f>
        <v>0.0272227048942948</v>
      </c>
      <c r="N2336" s="16" t="n">
        <f aca="false">G2336*I2336</f>
        <v>158196.2</v>
      </c>
    </row>
    <row r="2337" customFormat="false" ht="15" hidden="false" customHeight="true" outlineLevel="0" collapsed="false">
      <c r="A2337" s="4" t="s">
        <v>2513</v>
      </c>
      <c r="B2337" s="4" t="s">
        <v>125</v>
      </c>
      <c r="C2337" s="13" t="n">
        <v>45472</v>
      </c>
      <c r="D2337" s="13" t="n">
        <v>45478</v>
      </c>
      <c r="E2337" s="13" t="n">
        <v>45489</v>
      </c>
      <c r="F2337" s="4" t="n">
        <v>19</v>
      </c>
      <c r="G2337" s="4" t="n">
        <v>17</v>
      </c>
      <c r="H2337" s="4" t="n">
        <v>729.32</v>
      </c>
      <c r="I2337" s="4" t="n">
        <v>735.25</v>
      </c>
      <c r="J2337" s="14" t="n">
        <f aca="false">E2337-D2337</f>
        <v>11</v>
      </c>
      <c r="K2337" s="14" t="n">
        <f aca="false">IF(J2337&lt;=0,1,0)</f>
        <v>0</v>
      </c>
      <c r="L2337" s="15" t="n">
        <f aca="false">IFERROR(G2337/F2337,0)</f>
        <v>0.894736842105263</v>
      </c>
      <c r="M2337" s="15" t="n">
        <f aca="false">IFERROR((I2337-H2337)/H2337,0)</f>
        <v>0.00813086162452689</v>
      </c>
      <c r="N2337" s="16" t="n">
        <f aca="false">G2337*I2337</f>
        <v>12499.25</v>
      </c>
    </row>
    <row r="2338" customFormat="false" ht="15" hidden="false" customHeight="true" outlineLevel="0" collapsed="false">
      <c r="A2338" s="4" t="s">
        <v>2514</v>
      </c>
      <c r="B2338" s="4" t="s">
        <v>125</v>
      </c>
      <c r="C2338" s="13" t="n">
        <v>45230</v>
      </c>
      <c r="D2338" s="13" t="n">
        <v>45235</v>
      </c>
      <c r="E2338" s="13" t="n">
        <v>45238</v>
      </c>
      <c r="F2338" s="4" t="n">
        <v>8</v>
      </c>
      <c r="G2338" s="4" t="n">
        <v>7</v>
      </c>
      <c r="H2338" s="4" t="n">
        <v>729.32</v>
      </c>
      <c r="I2338" s="4" t="n">
        <v>734.51</v>
      </c>
      <c r="J2338" s="14" t="n">
        <f aca="false">E2338-D2338</f>
        <v>3</v>
      </c>
      <c r="K2338" s="14" t="n">
        <f aca="false">IF(J2338&lt;=0,1,0)</f>
        <v>0</v>
      </c>
      <c r="L2338" s="15" t="n">
        <f aca="false">IFERROR(G2338/F2338,0)</f>
        <v>0.875</v>
      </c>
      <c r="M2338" s="15" t="n">
        <f aca="false">IFERROR((I2338-H2338)/H2338,0)</f>
        <v>0.00711621784676129</v>
      </c>
      <c r="N2338" s="16" t="n">
        <f aca="false">G2338*I2338</f>
        <v>5141.57</v>
      </c>
    </row>
    <row r="2339" customFormat="false" ht="15" hidden="false" customHeight="true" outlineLevel="0" collapsed="false">
      <c r="A2339" s="4" t="s">
        <v>2515</v>
      </c>
      <c r="B2339" s="4" t="s">
        <v>79</v>
      </c>
      <c r="C2339" s="13" t="n">
        <v>44948</v>
      </c>
      <c r="D2339" s="13" t="n">
        <v>44967</v>
      </c>
      <c r="E2339" s="13" t="n">
        <v>44968</v>
      </c>
      <c r="F2339" s="4" t="n">
        <v>217</v>
      </c>
      <c r="G2339" s="4" t="n">
        <v>200</v>
      </c>
      <c r="H2339" s="4" t="n">
        <v>821.48</v>
      </c>
      <c r="I2339" s="4" t="n">
        <v>824.21</v>
      </c>
      <c r="J2339" s="14" t="n">
        <f aca="false">E2339-D2339</f>
        <v>1</v>
      </c>
      <c r="K2339" s="14" t="n">
        <f aca="false">IF(J2339&lt;=0,1,0)</f>
        <v>0</v>
      </c>
      <c r="L2339" s="15" t="n">
        <f aca="false">IFERROR(G2339/F2339,0)</f>
        <v>0.921658986175115</v>
      </c>
      <c r="M2339" s="15" t="n">
        <f aca="false">IFERROR((I2339-H2339)/H2339,0)</f>
        <v>0.00332327019525736</v>
      </c>
      <c r="N2339" s="16" t="n">
        <f aca="false">G2339*I2339</f>
        <v>164842</v>
      </c>
    </row>
    <row r="2340" customFormat="false" ht="15" hidden="false" customHeight="true" outlineLevel="0" collapsed="false">
      <c r="A2340" s="4" t="s">
        <v>2516</v>
      </c>
      <c r="B2340" s="4" t="s">
        <v>153</v>
      </c>
      <c r="C2340" s="13" t="n">
        <v>45331</v>
      </c>
      <c r="D2340" s="13" t="n">
        <v>45351</v>
      </c>
      <c r="E2340" s="13" t="n">
        <v>45351</v>
      </c>
      <c r="F2340" s="4" t="n">
        <v>184</v>
      </c>
      <c r="G2340" s="4" t="n">
        <v>176</v>
      </c>
      <c r="H2340" s="4" t="n">
        <v>1492.04</v>
      </c>
      <c r="I2340" s="4" t="n">
        <v>1551.73</v>
      </c>
      <c r="J2340" s="14" t="n">
        <f aca="false">E2340-D2340</f>
        <v>0</v>
      </c>
      <c r="K2340" s="14" t="n">
        <f aca="false">IF(J2340&lt;=0,1,0)</f>
        <v>1</v>
      </c>
      <c r="L2340" s="15" t="n">
        <f aca="false">IFERROR(G2340/F2340,0)</f>
        <v>0.956521739130435</v>
      </c>
      <c r="M2340" s="15" t="n">
        <f aca="false">IFERROR((I2340-H2340)/H2340,0)</f>
        <v>0.0400056298758747</v>
      </c>
      <c r="N2340" s="16" t="n">
        <f aca="false">G2340*I2340</f>
        <v>273104.48</v>
      </c>
    </row>
    <row r="2341" customFormat="false" ht="15" hidden="false" customHeight="true" outlineLevel="0" collapsed="false">
      <c r="A2341" s="4" t="s">
        <v>2517</v>
      </c>
      <c r="B2341" s="4" t="s">
        <v>159</v>
      </c>
      <c r="C2341" s="13" t="n">
        <v>45630</v>
      </c>
      <c r="D2341" s="13" t="n">
        <v>45637</v>
      </c>
      <c r="E2341" s="13" t="n">
        <v>45634</v>
      </c>
      <c r="F2341" s="4" t="n">
        <v>1450</v>
      </c>
      <c r="G2341" s="4" t="n">
        <v>1433</v>
      </c>
      <c r="H2341" s="4" t="n">
        <v>32.91</v>
      </c>
      <c r="I2341" s="4" t="n">
        <v>33.67</v>
      </c>
      <c r="J2341" s="14" t="n">
        <f aca="false">E2341-D2341</f>
        <v>-3</v>
      </c>
      <c r="K2341" s="14" t="n">
        <f aca="false">IF(J2341&lt;=0,1,0)</f>
        <v>1</v>
      </c>
      <c r="L2341" s="15" t="n">
        <f aca="false">IFERROR(G2341/F2341,0)</f>
        <v>0.988275862068966</v>
      </c>
      <c r="M2341" s="15" t="n">
        <f aca="false">IFERROR((I2341-H2341)/H2341,0)</f>
        <v>0.023093284715892</v>
      </c>
      <c r="N2341" s="16" t="n">
        <f aca="false">G2341*I2341</f>
        <v>48249.11</v>
      </c>
    </row>
    <row r="2342" customFormat="false" ht="15" hidden="false" customHeight="true" outlineLevel="0" collapsed="false">
      <c r="A2342" s="4" t="s">
        <v>2518</v>
      </c>
      <c r="B2342" s="4" t="s">
        <v>113</v>
      </c>
      <c r="C2342" s="13" t="n">
        <v>45313</v>
      </c>
      <c r="D2342" s="13" t="n">
        <v>45322</v>
      </c>
      <c r="E2342" s="13" t="n">
        <v>45323</v>
      </c>
      <c r="F2342" s="4" t="n">
        <v>1304</v>
      </c>
      <c r="G2342" s="4" t="n">
        <v>1265</v>
      </c>
      <c r="H2342" s="4" t="n">
        <v>170.42</v>
      </c>
      <c r="I2342" s="4" t="n">
        <v>170.16</v>
      </c>
      <c r="J2342" s="14" t="n">
        <f aca="false">E2342-D2342</f>
        <v>1</v>
      </c>
      <c r="K2342" s="14" t="n">
        <f aca="false">IF(J2342&lt;=0,1,0)</f>
        <v>0</v>
      </c>
      <c r="L2342" s="15" t="n">
        <f aca="false">IFERROR(G2342/F2342,0)</f>
        <v>0.970092024539877</v>
      </c>
      <c r="M2342" s="15" t="n">
        <f aca="false">IFERROR((I2342-H2342)/H2342,0)</f>
        <v>-0.0015256425302194</v>
      </c>
      <c r="N2342" s="16" t="n">
        <f aca="false">G2342*I2342</f>
        <v>215252.4</v>
      </c>
    </row>
    <row r="2343" customFormat="false" ht="15" hidden="false" customHeight="true" outlineLevel="0" collapsed="false">
      <c r="A2343" s="4" t="s">
        <v>2519</v>
      </c>
      <c r="B2343" s="4" t="s">
        <v>61</v>
      </c>
      <c r="C2343" s="13" t="n">
        <v>45028</v>
      </c>
      <c r="D2343" s="13" t="n">
        <v>45039</v>
      </c>
      <c r="E2343" s="13" t="n">
        <v>45047</v>
      </c>
      <c r="F2343" s="4" t="n">
        <v>602</v>
      </c>
      <c r="G2343" s="4" t="n">
        <v>587</v>
      </c>
      <c r="H2343" s="4" t="n">
        <v>107.41</v>
      </c>
      <c r="I2343" s="4" t="n">
        <v>106.36</v>
      </c>
      <c r="J2343" s="14" t="n">
        <f aca="false">E2343-D2343</f>
        <v>8</v>
      </c>
      <c r="K2343" s="14" t="n">
        <f aca="false">IF(J2343&lt;=0,1,0)</f>
        <v>0</v>
      </c>
      <c r="L2343" s="15" t="n">
        <f aca="false">IFERROR(G2343/F2343,0)</f>
        <v>0.975083056478405</v>
      </c>
      <c r="M2343" s="15" t="n">
        <f aca="false">IFERROR((I2343-H2343)/H2343,0)</f>
        <v>-0.00977562610557674</v>
      </c>
      <c r="N2343" s="16" t="n">
        <f aca="false">G2343*I2343</f>
        <v>62433.32</v>
      </c>
    </row>
    <row r="2344" customFormat="false" ht="15" hidden="false" customHeight="true" outlineLevel="0" collapsed="false">
      <c r="A2344" s="4" t="s">
        <v>2520</v>
      </c>
      <c r="B2344" s="4" t="s">
        <v>89</v>
      </c>
      <c r="C2344" s="13" t="n">
        <v>44971</v>
      </c>
      <c r="D2344" s="13" t="n">
        <v>44977</v>
      </c>
      <c r="E2344" s="13" t="n">
        <v>44980</v>
      </c>
      <c r="F2344" s="4" t="n">
        <v>7</v>
      </c>
      <c r="G2344" s="4" t="n">
        <v>6</v>
      </c>
      <c r="H2344" s="4" t="n">
        <v>1929.81</v>
      </c>
      <c r="I2344" s="4" t="n">
        <v>1901.56</v>
      </c>
      <c r="J2344" s="14" t="n">
        <f aca="false">E2344-D2344</f>
        <v>3</v>
      </c>
      <c r="K2344" s="14" t="n">
        <f aca="false">IF(J2344&lt;=0,1,0)</f>
        <v>0</v>
      </c>
      <c r="L2344" s="15" t="n">
        <f aca="false">IFERROR(G2344/F2344,0)</f>
        <v>0.857142857142857</v>
      </c>
      <c r="M2344" s="15" t="n">
        <f aca="false">IFERROR((I2344-H2344)/H2344,0)</f>
        <v>-0.0146387468196351</v>
      </c>
      <c r="N2344" s="16" t="n">
        <f aca="false">G2344*I2344</f>
        <v>11409.36</v>
      </c>
    </row>
    <row r="2345" customFormat="false" ht="15" hidden="false" customHeight="true" outlineLevel="0" collapsed="false">
      <c r="A2345" s="4" t="s">
        <v>2521</v>
      </c>
      <c r="B2345" s="4" t="s">
        <v>50</v>
      </c>
      <c r="C2345" s="13" t="n">
        <v>45575</v>
      </c>
      <c r="D2345" s="13" t="n">
        <v>45592</v>
      </c>
      <c r="E2345" s="13" t="n">
        <v>45591</v>
      </c>
      <c r="F2345" s="4" t="n">
        <v>158</v>
      </c>
      <c r="G2345" s="4" t="n">
        <v>154</v>
      </c>
      <c r="H2345" s="4" t="n">
        <v>707.19</v>
      </c>
      <c r="I2345" s="4" t="n">
        <v>765.15</v>
      </c>
      <c r="J2345" s="14" t="n">
        <f aca="false">E2345-D2345</f>
        <v>-1</v>
      </c>
      <c r="K2345" s="14" t="n">
        <f aca="false">IF(J2345&lt;=0,1,0)</f>
        <v>1</v>
      </c>
      <c r="L2345" s="15" t="n">
        <f aca="false">IFERROR(G2345/F2345,0)</f>
        <v>0.974683544303797</v>
      </c>
      <c r="M2345" s="15" t="n">
        <f aca="false">IFERROR((I2345-H2345)/H2345,0)</f>
        <v>0.0819581724854706</v>
      </c>
      <c r="N2345" s="16" t="n">
        <f aca="false">G2345*I2345</f>
        <v>117833.1</v>
      </c>
    </row>
    <row r="2346" customFormat="false" ht="15" hidden="false" customHeight="true" outlineLevel="0" collapsed="false">
      <c r="A2346" s="4" t="s">
        <v>2522</v>
      </c>
      <c r="B2346" s="4" t="s">
        <v>129</v>
      </c>
      <c r="C2346" s="13" t="n">
        <v>45234</v>
      </c>
      <c r="D2346" s="13" t="n">
        <v>45252</v>
      </c>
      <c r="E2346" s="13" t="n">
        <v>45256</v>
      </c>
      <c r="F2346" s="4" t="n">
        <v>381</v>
      </c>
      <c r="G2346" s="4" t="n">
        <v>376</v>
      </c>
      <c r="H2346" s="4" t="n">
        <v>709.66</v>
      </c>
      <c r="I2346" s="4" t="n">
        <v>720.35</v>
      </c>
      <c r="J2346" s="14" t="n">
        <f aca="false">E2346-D2346</f>
        <v>4</v>
      </c>
      <c r="K2346" s="14" t="n">
        <f aca="false">IF(J2346&lt;=0,1,0)</f>
        <v>0</v>
      </c>
      <c r="L2346" s="15" t="n">
        <f aca="false">IFERROR(G2346/F2346,0)</f>
        <v>0.986876640419948</v>
      </c>
      <c r="M2346" s="15" t="n">
        <f aca="false">IFERROR((I2346-H2346)/H2346,0)</f>
        <v>0.015063551559902</v>
      </c>
      <c r="N2346" s="16" t="n">
        <f aca="false">G2346*I2346</f>
        <v>270851.6</v>
      </c>
    </row>
    <row r="2347" customFormat="false" ht="15" hidden="false" customHeight="true" outlineLevel="0" collapsed="false">
      <c r="A2347" s="4" t="s">
        <v>2523</v>
      </c>
      <c r="B2347" s="4" t="s">
        <v>101</v>
      </c>
      <c r="C2347" s="13" t="n">
        <v>44976</v>
      </c>
      <c r="D2347" s="13" t="n">
        <v>44996</v>
      </c>
      <c r="E2347" s="13" t="n">
        <v>44997</v>
      </c>
      <c r="F2347" s="4" t="n">
        <v>359</v>
      </c>
      <c r="G2347" s="4" t="n">
        <v>345</v>
      </c>
      <c r="H2347" s="4" t="n">
        <v>442.74</v>
      </c>
      <c r="I2347" s="4" t="n">
        <v>441.24</v>
      </c>
      <c r="J2347" s="14" t="n">
        <f aca="false">E2347-D2347</f>
        <v>1</v>
      </c>
      <c r="K2347" s="14" t="n">
        <f aca="false">IF(J2347&lt;=0,1,0)</f>
        <v>0</v>
      </c>
      <c r="L2347" s="15" t="n">
        <f aca="false">IFERROR(G2347/F2347,0)</f>
        <v>0.96100278551532</v>
      </c>
      <c r="M2347" s="15" t="n">
        <f aca="false">IFERROR((I2347-H2347)/H2347,0)</f>
        <v>-0.00338799295297466</v>
      </c>
      <c r="N2347" s="16" t="n">
        <f aca="false">G2347*I2347</f>
        <v>152227.8</v>
      </c>
    </row>
    <row r="2348" customFormat="false" ht="15" hidden="false" customHeight="true" outlineLevel="0" collapsed="false">
      <c r="A2348" s="4" t="s">
        <v>2524</v>
      </c>
      <c r="B2348" s="4" t="s">
        <v>93</v>
      </c>
      <c r="C2348" s="13" t="n">
        <v>45161</v>
      </c>
      <c r="D2348" s="13" t="n">
        <v>45172</v>
      </c>
      <c r="E2348" s="13" t="n">
        <v>45175</v>
      </c>
      <c r="F2348" s="4" t="n">
        <v>257</v>
      </c>
      <c r="G2348" s="4" t="n">
        <v>248</v>
      </c>
      <c r="H2348" s="4" t="n">
        <v>174.25</v>
      </c>
      <c r="I2348" s="4" t="n">
        <v>175.03</v>
      </c>
      <c r="J2348" s="14" t="n">
        <f aca="false">E2348-D2348</f>
        <v>3</v>
      </c>
      <c r="K2348" s="14" t="n">
        <f aca="false">IF(J2348&lt;=0,1,0)</f>
        <v>0</v>
      </c>
      <c r="L2348" s="15" t="n">
        <f aca="false">IFERROR(G2348/F2348,0)</f>
        <v>0.964980544747082</v>
      </c>
      <c r="M2348" s="15" t="n">
        <f aca="false">IFERROR((I2348-H2348)/H2348,0)</f>
        <v>0.00447632711621235</v>
      </c>
      <c r="N2348" s="16" t="n">
        <f aca="false">G2348*I2348</f>
        <v>43407.44</v>
      </c>
    </row>
    <row r="2349" customFormat="false" ht="15" hidden="false" customHeight="true" outlineLevel="0" collapsed="false">
      <c r="A2349" s="4" t="s">
        <v>2525</v>
      </c>
      <c r="B2349" s="4" t="s">
        <v>141</v>
      </c>
      <c r="C2349" s="13" t="n">
        <v>45457</v>
      </c>
      <c r="D2349" s="13" t="n">
        <v>45474</v>
      </c>
      <c r="E2349" s="13" t="n">
        <v>45473</v>
      </c>
      <c r="F2349" s="4" t="n">
        <v>139</v>
      </c>
      <c r="G2349" s="4" t="n">
        <v>136</v>
      </c>
      <c r="H2349" s="4" t="n">
        <v>1252.36</v>
      </c>
      <c r="I2349" s="4" t="n">
        <v>1203.52</v>
      </c>
      <c r="J2349" s="14" t="n">
        <f aca="false">E2349-D2349</f>
        <v>-1</v>
      </c>
      <c r="K2349" s="14" t="n">
        <f aca="false">IF(J2349&lt;=0,1,0)</f>
        <v>1</v>
      </c>
      <c r="L2349" s="15" t="n">
        <f aca="false">IFERROR(G2349/F2349,0)</f>
        <v>0.97841726618705</v>
      </c>
      <c r="M2349" s="15" t="n">
        <f aca="false">IFERROR((I2349-H2349)/H2349,0)</f>
        <v>-0.0389983710754096</v>
      </c>
      <c r="N2349" s="16" t="n">
        <f aca="false">G2349*I2349</f>
        <v>163678.72</v>
      </c>
    </row>
    <row r="2350" customFormat="false" ht="15" hidden="false" customHeight="true" outlineLevel="0" collapsed="false">
      <c r="A2350" s="4" t="s">
        <v>2526</v>
      </c>
      <c r="B2350" s="4" t="s">
        <v>113</v>
      </c>
      <c r="C2350" s="13" t="n">
        <v>45324</v>
      </c>
      <c r="D2350" s="13" t="n">
        <v>45335</v>
      </c>
      <c r="E2350" s="13" t="n">
        <v>45334</v>
      </c>
      <c r="F2350" s="4" t="n">
        <v>1109</v>
      </c>
      <c r="G2350" s="4" t="n">
        <v>1097</v>
      </c>
      <c r="H2350" s="4" t="n">
        <v>170.42</v>
      </c>
      <c r="I2350" s="4" t="n">
        <v>170.5</v>
      </c>
      <c r="J2350" s="14" t="n">
        <f aca="false">E2350-D2350</f>
        <v>-1</v>
      </c>
      <c r="K2350" s="14" t="n">
        <f aca="false">IF(J2350&lt;=0,1,0)</f>
        <v>1</v>
      </c>
      <c r="L2350" s="15" t="n">
        <f aca="false">IFERROR(G2350/F2350,0)</f>
        <v>0.989179440937782</v>
      </c>
      <c r="M2350" s="15" t="n">
        <f aca="false">IFERROR((I2350-H2350)/H2350,0)</f>
        <v>0.00046942847083683</v>
      </c>
      <c r="N2350" s="16" t="n">
        <f aca="false">G2350*I2350</f>
        <v>187038.5</v>
      </c>
    </row>
    <row r="2351" customFormat="false" ht="15" hidden="false" customHeight="true" outlineLevel="0" collapsed="false">
      <c r="A2351" s="4" t="s">
        <v>2527</v>
      </c>
      <c r="B2351" s="4" t="s">
        <v>77</v>
      </c>
      <c r="C2351" s="13" t="n">
        <v>45596</v>
      </c>
      <c r="D2351" s="13" t="n">
        <v>45602</v>
      </c>
      <c r="E2351" s="13" t="n">
        <v>45612</v>
      </c>
      <c r="F2351" s="4" t="n">
        <v>3337</v>
      </c>
      <c r="G2351" s="4" t="n">
        <v>3315</v>
      </c>
      <c r="H2351" s="4" t="n">
        <v>36.83</v>
      </c>
      <c r="I2351" s="4" t="n">
        <v>34.45</v>
      </c>
      <c r="J2351" s="14" t="n">
        <f aca="false">E2351-D2351</f>
        <v>10</v>
      </c>
      <c r="K2351" s="14" t="n">
        <f aca="false">IF(J2351&lt;=0,1,0)</f>
        <v>0</v>
      </c>
      <c r="L2351" s="15" t="n">
        <f aca="false">IFERROR(G2351/F2351,0)</f>
        <v>0.993407252022775</v>
      </c>
      <c r="M2351" s="15" t="n">
        <f aca="false">IFERROR((I2351-H2351)/H2351,0)</f>
        <v>-0.0646212326907411</v>
      </c>
      <c r="N2351" s="16" t="n">
        <f aca="false">G2351*I2351</f>
        <v>114201.75</v>
      </c>
    </row>
    <row r="2352" customFormat="false" ht="15" hidden="false" customHeight="true" outlineLevel="0" collapsed="false">
      <c r="A2352" s="4" t="s">
        <v>2528</v>
      </c>
      <c r="B2352" s="4" t="s">
        <v>119</v>
      </c>
      <c r="C2352" s="13" t="n">
        <v>45086</v>
      </c>
      <c r="D2352" s="13" t="n">
        <v>45095</v>
      </c>
      <c r="E2352" s="13" t="n">
        <v>45097</v>
      </c>
      <c r="F2352" s="4" t="n">
        <v>543</v>
      </c>
      <c r="G2352" s="4" t="n">
        <v>529</v>
      </c>
      <c r="H2352" s="4" t="n">
        <v>50.92</v>
      </c>
      <c r="I2352" s="4" t="n">
        <v>49.62</v>
      </c>
      <c r="J2352" s="14" t="n">
        <f aca="false">E2352-D2352</f>
        <v>2</v>
      </c>
      <c r="K2352" s="14" t="n">
        <f aca="false">IF(J2352&lt;=0,1,0)</f>
        <v>0</v>
      </c>
      <c r="L2352" s="15" t="n">
        <f aca="false">IFERROR(G2352/F2352,0)</f>
        <v>0.974217311233886</v>
      </c>
      <c r="M2352" s="15" t="n">
        <f aca="false">IFERROR((I2352-H2352)/H2352,0)</f>
        <v>-0.025530243519246</v>
      </c>
      <c r="N2352" s="16" t="n">
        <f aca="false">G2352*I2352</f>
        <v>26248.98</v>
      </c>
    </row>
    <row r="2353" customFormat="false" ht="15" hidden="false" customHeight="true" outlineLevel="0" collapsed="false">
      <c r="A2353" s="4" t="s">
        <v>2529</v>
      </c>
      <c r="B2353" s="4" t="s">
        <v>125</v>
      </c>
      <c r="C2353" s="13" t="n">
        <v>44932</v>
      </c>
      <c r="D2353" s="13" t="n">
        <v>44938</v>
      </c>
      <c r="E2353" s="13" t="n">
        <v>44941</v>
      </c>
      <c r="F2353" s="4" t="n">
        <v>16</v>
      </c>
      <c r="G2353" s="4" t="n">
        <v>14</v>
      </c>
      <c r="H2353" s="4" t="n">
        <v>729.32</v>
      </c>
      <c r="I2353" s="4" t="n">
        <v>738.4</v>
      </c>
      <c r="J2353" s="14" t="n">
        <f aca="false">E2353-D2353</f>
        <v>3</v>
      </c>
      <c r="K2353" s="14" t="n">
        <f aca="false">IF(J2353&lt;=0,1,0)</f>
        <v>0</v>
      </c>
      <c r="L2353" s="15" t="n">
        <f aca="false">IFERROR(G2353/F2353,0)</f>
        <v>0.875</v>
      </c>
      <c r="M2353" s="15" t="n">
        <f aca="false">IFERROR((I2353-H2353)/H2353,0)</f>
        <v>0.0124499533812317</v>
      </c>
      <c r="N2353" s="16" t="n">
        <f aca="false">G2353*I2353</f>
        <v>10337.6</v>
      </c>
    </row>
    <row r="2354" customFormat="false" ht="15" hidden="false" customHeight="true" outlineLevel="0" collapsed="false">
      <c r="A2354" s="4" t="s">
        <v>2530</v>
      </c>
      <c r="B2354" s="4" t="s">
        <v>74</v>
      </c>
      <c r="C2354" s="13" t="n">
        <v>44932</v>
      </c>
      <c r="D2354" s="13" t="n">
        <v>44936</v>
      </c>
      <c r="E2354" s="13" t="n">
        <v>44932</v>
      </c>
      <c r="F2354" s="4" t="n">
        <v>1</v>
      </c>
      <c r="G2354" s="4" t="n">
        <v>1</v>
      </c>
      <c r="H2354" s="4" t="n">
        <v>1294.62</v>
      </c>
      <c r="I2354" s="4" t="n">
        <v>1277.28</v>
      </c>
      <c r="J2354" s="14" t="n">
        <f aca="false">E2354-D2354</f>
        <v>-4</v>
      </c>
      <c r="K2354" s="14" t="n">
        <f aca="false">IF(J2354&lt;=0,1,0)</f>
        <v>1</v>
      </c>
      <c r="L2354" s="15" t="n">
        <f aca="false">IFERROR(G2354/F2354,0)</f>
        <v>1</v>
      </c>
      <c r="M2354" s="15" t="n">
        <f aca="false">IFERROR((I2354-H2354)/H2354,0)</f>
        <v>-0.01339389164388</v>
      </c>
      <c r="N2354" s="16" t="n">
        <f aca="false">G2354*I2354</f>
        <v>1277.28</v>
      </c>
    </row>
    <row r="2355" customFormat="false" ht="15" hidden="false" customHeight="true" outlineLevel="0" collapsed="false">
      <c r="A2355" s="4" t="s">
        <v>2531</v>
      </c>
      <c r="B2355" s="4" t="s">
        <v>50</v>
      </c>
      <c r="C2355" s="13" t="n">
        <v>44937</v>
      </c>
      <c r="D2355" s="13" t="n">
        <v>44957</v>
      </c>
      <c r="E2355" s="13" t="n">
        <v>44952</v>
      </c>
      <c r="F2355" s="4" t="n">
        <v>420</v>
      </c>
      <c r="G2355" s="4" t="n">
        <v>411</v>
      </c>
      <c r="H2355" s="4" t="n">
        <v>707.19</v>
      </c>
      <c r="I2355" s="4" t="n">
        <v>718.2</v>
      </c>
      <c r="J2355" s="14" t="n">
        <f aca="false">E2355-D2355</f>
        <v>-5</v>
      </c>
      <c r="K2355" s="14" t="n">
        <f aca="false">IF(J2355&lt;=0,1,0)</f>
        <v>1</v>
      </c>
      <c r="L2355" s="15" t="n">
        <f aca="false">IFERROR(G2355/F2355,0)</f>
        <v>0.978571428571429</v>
      </c>
      <c r="M2355" s="15" t="n">
        <f aca="false">IFERROR((I2355-H2355)/H2355,0)</f>
        <v>0.015568659059093</v>
      </c>
      <c r="N2355" s="16" t="n">
        <f aca="false">G2355*I2355</f>
        <v>295180.2</v>
      </c>
    </row>
    <row r="2356" customFormat="false" ht="15" hidden="false" customHeight="true" outlineLevel="0" collapsed="false">
      <c r="A2356" s="4" t="s">
        <v>2532</v>
      </c>
      <c r="B2356" s="4" t="s">
        <v>117</v>
      </c>
      <c r="C2356" s="13" t="n">
        <v>45497</v>
      </c>
      <c r="D2356" s="13" t="n">
        <v>45508</v>
      </c>
      <c r="E2356" s="13" t="n">
        <v>45516</v>
      </c>
      <c r="F2356" s="4" t="n">
        <v>152</v>
      </c>
      <c r="G2356" s="4" t="n">
        <v>143</v>
      </c>
      <c r="H2356" s="4" t="n">
        <v>396.01</v>
      </c>
      <c r="I2356" s="4" t="n">
        <v>381.47</v>
      </c>
      <c r="J2356" s="14" t="n">
        <f aca="false">E2356-D2356</f>
        <v>8</v>
      </c>
      <c r="K2356" s="14" t="n">
        <f aca="false">IF(J2356&lt;=0,1,0)</f>
        <v>0</v>
      </c>
      <c r="L2356" s="15" t="n">
        <f aca="false">IFERROR(G2356/F2356,0)</f>
        <v>0.940789473684211</v>
      </c>
      <c r="M2356" s="15" t="n">
        <f aca="false">IFERROR((I2356-H2356)/H2356,0)</f>
        <v>-0.0367162445392792</v>
      </c>
      <c r="N2356" s="16" t="n">
        <f aca="false">G2356*I2356</f>
        <v>54550.21</v>
      </c>
    </row>
    <row r="2357" customFormat="false" ht="15" hidden="false" customHeight="true" outlineLevel="0" collapsed="false">
      <c r="A2357" s="4" t="s">
        <v>2533</v>
      </c>
      <c r="B2357" s="4" t="s">
        <v>77</v>
      </c>
      <c r="C2357" s="13" t="n">
        <v>45058</v>
      </c>
      <c r="D2357" s="13" t="n">
        <v>45067</v>
      </c>
      <c r="E2357" s="13" t="n">
        <v>45081</v>
      </c>
      <c r="F2357" s="4" t="n">
        <v>3643</v>
      </c>
      <c r="G2357" s="4" t="n">
        <v>3607</v>
      </c>
      <c r="H2357" s="4" t="n">
        <v>36.83</v>
      </c>
      <c r="I2357" s="4" t="n">
        <v>36.7</v>
      </c>
      <c r="J2357" s="14" t="n">
        <f aca="false">E2357-D2357</f>
        <v>14</v>
      </c>
      <c r="K2357" s="14" t="n">
        <f aca="false">IF(J2357&lt;=0,1,0)</f>
        <v>0</v>
      </c>
      <c r="L2357" s="15" t="n">
        <f aca="false">IFERROR(G2357/F2357,0)</f>
        <v>0.990118034586879</v>
      </c>
      <c r="M2357" s="15" t="n">
        <f aca="false">IFERROR((I2357-H2357)/H2357,0)</f>
        <v>-0.00352973119739331</v>
      </c>
      <c r="N2357" s="16" t="n">
        <f aca="false">G2357*I2357</f>
        <v>132376.9</v>
      </c>
    </row>
    <row r="2358" customFormat="false" ht="15" hidden="false" customHeight="true" outlineLevel="0" collapsed="false">
      <c r="A2358" s="4" t="s">
        <v>2534</v>
      </c>
      <c r="B2358" s="4" t="s">
        <v>58</v>
      </c>
      <c r="C2358" s="13" t="n">
        <v>45250</v>
      </c>
      <c r="D2358" s="13" t="n">
        <v>45263</v>
      </c>
      <c r="E2358" s="13" t="n">
        <v>45261</v>
      </c>
      <c r="F2358" s="4" t="n">
        <v>82</v>
      </c>
      <c r="G2358" s="4" t="n">
        <v>77</v>
      </c>
      <c r="H2358" s="4" t="n">
        <v>135.68</v>
      </c>
      <c r="I2358" s="4" t="n">
        <v>138.61</v>
      </c>
      <c r="J2358" s="14" t="n">
        <f aca="false">E2358-D2358</f>
        <v>-2</v>
      </c>
      <c r="K2358" s="14" t="n">
        <f aca="false">IF(J2358&lt;=0,1,0)</f>
        <v>1</v>
      </c>
      <c r="L2358" s="15" t="n">
        <f aca="false">IFERROR(G2358/F2358,0)</f>
        <v>0.939024390243902</v>
      </c>
      <c r="M2358" s="15" t="n">
        <f aca="false">IFERROR((I2358-H2358)/H2358,0)</f>
        <v>0.0215949292452831</v>
      </c>
      <c r="N2358" s="16" t="n">
        <f aca="false">G2358*I2358</f>
        <v>10672.97</v>
      </c>
    </row>
    <row r="2359" customFormat="false" ht="15" hidden="false" customHeight="true" outlineLevel="0" collapsed="false">
      <c r="A2359" s="4" t="s">
        <v>2535</v>
      </c>
      <c r="B2359" s="4" t="s">
        <v>99</v>
      </c>
      <c r="C2359" s="13" t="n">
        <v>45514</v>
      </c>
      <c r="D2359" s="13" t="n">
        <v>45522</v>
      </c>
      <c r="E2359" s="13" t="n">
        <v>45525</v>
      </c>
      <c r="F2359" s="4" t="n">
        <v>2182</v>
      </c>
      <c r="G2359" s="4" t="n">
        <v>1915</v>
      </c>
      <c r="H2359" s="4" t="n">
        <v>11.5</v>
      </c>
      <c r="I2359" s="4" t="n">
        <v>12.68</v>
      </c>
      <c r="J2359" s="14" t="n">
        <f aca="false">E2359-D2359</f>
        <v>3</v>
      </c>
      <c r="K2359" s="14" t="n">
        <f aca="false">IF(J2359&lt;=0,1,0)</f>
        <v>0</v>
      </c>
      <c r="L2359" s="15" t="n">
        <f aca="false">IFERROR(G2359/F2359,0)</f>
        <v>0.877635197066911</v>
      </c>
      <c r="M2359" s="15" t="n">
        <f aca="false">IFERROR((I2359-H2359)/H2359,0)</f>
        <v>0.102608695652174</v>
      </c>
      <c r="N2359" s="16" t="n">
        <f aca="false">G2359*I2359</f>
        <v>24282.2</v>
      </c>
    </row>
    <row r="2360" customFormat="false" ht="15" hidden="false" customHeight="true" outlineLevel="0" collapsed="false">
      <c r="A2360" s="4" t="s">
        <v>2536</v>
      </c>
      <c r="B2360" s="4" t="s">
        <v>99</v>
      </c>
      <c r="C2360" s="13" t="n">
        <v>45293</v>
      </c>
      <c r="D2360" s="13" t="n">
        <v>45299</v>
      </c>
      <c r="E2360" s="13" t="n">
        <v>45306</v>
      </c>
      <c r="F2360" s="4" t="n">
        <v>1948</v>
      </c>
      <c r="G2360" s="4" t="n">
        <v>1751</v>
      </c>
      <c r="H2360" s="4" t="n">
        <v>11.5</v>
      </c>
      <c r="I2360" s="4" t="n">
        <v>12.37</v>
      </c>
      <c r="J2360" s="14" t="n">
        <f aca="false">E2360-D2360</f>
        <v>7</v>
      </c>
      <c r="K2360" s="14" t="n">
        <f aca="false">IF(J2360&lt;=0,1,0)</f>
        <v>0</v>
      </c>
      <c r="L2360" s="15" t="n">
        <f aca="false">IFERROR(G2360/F2360,0)</f>
        <v>0.898870636550308</v>
      </c>
      <c r="M2360" s="15" t="n">
        <f aca="false">IFERROR((I2360-H2360)/H2360,0)</f>
        <v>0.0756521739130434</v>
      </c>
      <c r="N2360" s="16" t="n">
        <f aca="false">G2360*I2360</f>
        <v>21659.87</v>
      </c>
    </row>
    <row r="2361" customFormat="false" ht="15" hidden="false" customHeight="true" outlineLevel="0" collapsed="false">
      <c r="A2361" s="4" t="s">
        <v>2537</v>
      </c>
      <c r="B2361" s="4" t="s">
        <v>74</v>
      </c>
      <c r="C2361" s="13" t="n">
        <v>45386</v>
      </c>
      <c r="D2361" s="13" t="n">
        <v>45393</v>
      </c>
      <c r="E2361" s="13" t="n">
        <v>45395</v>
      </c>
      <c r="F2361" s="4" t="n">
        <v>15</v>
      </c>
      <c r="G2361" s="4" t="n">
        <v>15</v>
      </c>
      <c r="H2361" s="4" t="n">
        <v>1294.62</v>
      </c>
      <c r="I2361" s="4" t="n">
        <v>1345.35</v>
      </c>
      <c r="J2361" s="14" t="n">
        <f aca="false">E2361-D2361</f>
        <v>2</v>
      </c>
      <c r="K2361" s="14" t="n">
        <f aca="false">IF(J2361&lt;=0,1,0)</f>
        <v>0</v>
      </c>
      <c r="L2361" s="15" t="n">
        <f aca="false">IFERROR(G2361/F2361,0)</f>
        <v>1</v>
      </c>
      <c r="M2361" s="15" t="n">
        <f aca="false">IFERROR((I2361-H2361)/H2361,0)</f>
        <v>0.0391852435463688</v>
      </c>
      <c r="N2361" s="16" t="n">
        <f aca="false">G2361*I2361</f>
        <v>20180.25</v>
      </c>
    </row>
    <row r="2362" customFormat="false" ht="15" hidden="false" customHeight="true" outlineLevel="0" collapsed="false">
      <c r="A2362" s="4" t="s">
        <v>2538</v>
      </c>
      <c r="B2362" s="4" t="s">
        <v>103</v>
      </c>
      <c r="C2362" s="13" t="n">
        <v>45215</v>
      </c>
      <c r="D2362" s="13" t="n">
        <v>45232</v>
      </c>
      <c r="E2362" s="13" t="n">
        <v>45238</v>
      </c>
      <c r="F2362" s="4" t="n">
        <v>277</v>
      </c>
      <c r="G2362" s="4" t="n">
        <v>277</v>
      </c>
      <c r="H2362" s="4" t="n">
        <v>1400.22</v>
      </c>
      <c r="I2362" s="4" t="n">
        <v>1433.52</v>
      </c>
      <c r="J2362" s="14" t="n">
        <f aca="false">E2362-D2362</f>
        <v>6</v>
      </c>
      <c r="K2362" s="14" t="n">
        <f aca="false">IF(J2362&lt;=0,1,0)</f>
        <v>0</v>
      </c>
      <c r="L2362" s="15" t="n">
        <f aca="false">IFERROR(G2362/F2362,0)</f>
        <v>1</v>
      </c>
      <c r="M2362" s="15" t="n">
        <f aca="false">IFERROR((I2362-H2362)/H2362,0)</f>
        <v>0.0237819771178814</v>
      </c>
      <c r="N2362" s="16" t="n">
        <f aca="false">G2362*I2362</f>
        <v>397085.04</v>
      </c>
    </row>
    <row r="2363" customFormat="false" ht="15" hidden="false" customHeight="true" outlineLevel="0" collapsed="false">
      <c r="A2363" s="4" t="s">
        <v>2539</v>
      </c>
      <c r="B2363" s="4" t="s">
        <v>109</v>
      </c>
      <c r="C2363" s="13" t="n">
        <v>45482</v>
      </c>
      <c r="D2363" s="13" t="n">
        <v>45499</v>
      </c>
      <c r="E2363" s="13" t="n">
        <v>45498</v>
      </c>
      <c r="F2363" s="4" t="n">
        <v>155</v>
      </c>
      <c r="G2363" s="4" t="n">
        <v>153</v>
      </c>
      <c r="H2363" s="4" t="n">
        <v>858.02</v>
      </c>
      <c r="I2363" s="4" t="n">
        <v>892.81</v>
      </c>
      <c r="J2363" s="14" t="n">
        <f aca="false">E2363-D2363</f>
        <v>-1</v>
      </c>
      <c r="K2363" s="14" t="n">
        <f aca="false">IF(J2363&lt;=0,1,0)</f>
        <v>1</v>
      </c>
      <c r="L2363" s="15" t="n">
        <f aca="false">IFERROR(G2363/F2363,0)</f>
        <v>0.987096774193548</v>
      </c>
      <c r="M2363" s="15" t="n">
        <f aca="false">IFERROR((I2363-H2363)/H2363,0)</f>
        <v>0.0405468403999906</v>
      </c>
      <c r="N2363" s="16" t="n">
        <f aca="false">G2363*I2363</f>
        <v>136599.93</v>
      </c>
    </row>
    <row r="2364" customFormat="false" ht="15" hidden="false" customHeight="true" outlineLevel="0" collapsed="false">
      <c r="A2364" s="4" t="s">
        <v>2540</v>
      </c>
      <c r="B2364" s="4" t="s">
        <v>123</v>
      </c>
      <c r="C2364" s="13" t="n">
        <v>45136</v>
      </c>
      <c r="D2364" s="13" t="n">
        <v>45147</v>
      </c>
      <c r="E2364" s="13" t="n">
        <v>45145</v>
      </c>
      <c r="F2364" s="4" t="n">
        <v>191</v>
      </c>
      <c r="G2364" s="4" t="n">
        <v>186</v>
      </c>
      <c r="H2364" s="4" t="n">
        <v>214.07</v>
      </c>
      <c r="I2364" s="4" t="n">
        <v>225.63</v>
      </c>
      <c r="J2364" s="14" t="n">
        <f aca="false">E2364-D2364</f>
        <v>-2</v>
      </c>
      <c r="K2364" s="14" t="n">
        <f aca="false">IF(J2364&lt;=0,1,0)</f>
        <v>1</v>
      </c>
      <c r="L2364" s="15" t="n">
        <f aca="false">IFERROR(G2364/F2364,0)</f>
        <v>0.973821989528796</v>
      </c>
      <c r="M2364" s="15" t="n">
        <f aca="false">IFERROR((I2364-H2364)/H2364,0)</f>
        <v>0.0540010277012192</v>
      </c>
      <c r="N2364" s="16" t="n">
        <f aca="false">G2364*I2364</f>
        <v>41967.18</v>
      </c>
    </row>
    <row r="2365" customFormat="false" ht="15" hidden="false" customHeight="true" outlineLevel="0" collapsed="false">
      <c r="A2365" s="4" t="s">
        <v>2541</v>
      </c>
      <c r="B2365" s="4" t="s">
        <v>113</v>
      </c>
      <c r="C2365" s="13" t="n">
        <v>44944</v>
      </c>
      <c r="D2365" s="13" t="n">
        <v>44954</v>
      </c>
      <c r="E2365" s="13" t="n">
        <v>44953</v>
      </c>
      <c r="F2365" s="4" t="n">
        <v>362</v>
      </c>
      <c r="G2365" s="4" t="n">
        <v>353</v>
      </c>
      <c r="H2365" s="4" t="n">
        <v>170.42</v>
      </c>
      <c r="I2365" s="4" t="n">
        <v>169.76</v>
      </c>
      <c r="J2365" s="14" t="n">
        <f aca="false">E2365-D2365</f>
        <v>-1</v>
      </c>
      <c r="K2365" s="14" t="n">
        <f aca="false">IF(J2365&lt;=0,1,0)</f>
        <v>1</v>
      </c>
      <c r="L2365" s="15" t="n">
        <f aca="false">IFERROR(G2365/F2365,0)</f>
        <v>0.975138121546961</v>
      </c>
      <c r="M2365" s="15" t="n">
        <f aca="false">IFERROR((I2365-H2365)/H2365,0)</f>
        <v>-0.00387278488440322</v>
      </c>
      <c r="N2365" s="16" t="n">
        <f aca="false">G2365*I2365</f>
        <v>59925.28</v>
      </c>
    </row>
    <row r="2366" customFormat="false" ht="15" hidden="false" customHeight="true" outlineLevel="0" collapsed="false">
      <c r="A2366" s="4" t="s">
        <v>2542</v>
      </c>
      <c r="B2366" s="4" t="s">
        <v>58</v>
      </c>
      <c r="C2366" s="13" t="n">
        <v>45278</v>
      </c>
      <c r="D2366" s="13" t="n">
        <v>45292</v>
      </c>
      <c r="E2366" s="13" t="n">
        <v>45291</v>
      </c>
      <c r="F2366" s="4" t="n">
        <v>238</v>
      </c>
      <c r="G2366" s="4" t="n">
        <v>229</v>
      </c>
      <c r="H2366" s="4" t="n">
        <v>135.68</v>
      </c>
      <c r="I2366" s="4" t="n">
        <v>140.85</v>
      </c>
      <c r="J2366" s="14" t="n">
        <f aca="false">E2366-D2366</f>
        <v>-1</v>
      </c>
      <c r="K2366" s="14" t="n">
        <f aca="false">IF(J2366&lt;=0,1,0)</f>
        <v>1</v>
      </c>
      <c r="L2366" s="15" t="n">
        <f aca="false">IFERROR(G2366/F2366,0)</f>
        <v>0.96218487394958</v>
      </c>
      <c r="M2366" s="15" t="n">
        <f aca="false">IFERROR((I2366-H2366)/H2366,0)</f>
        <v>0.0381043632075471</v>
      </c>
      <c r="N2366" s="16" t="n">
        <f aca="false">G2366*I2366</f>
        <v>32254.65</v>
      </c>
    </row>
    <row r="2367" customFormat="false" ht="15" hidden="false" customHeight="true" outlineLevel="0" collapsed="false">
      <c r="A2367" s="4" t="s">
        <v>2543</v>
      </c>
      <c r="B2367" s="4" t="s">
        <v>131</v>
      </c>
      <c r="C2367" s="13" t="n">
        <v>44931</v>
      </c>
      <c r="D2367" s="13" t="n">
        <v>44942</v>
      </c>
      <c r="E2367" s="13" t="n">
        <v>44937</v>
      </c>
      <c r="F2367" s="4" t="n">
        <v>1304</v>
      </c>
      <c r="G2367" s="4" t="n">
        <v>1261</v>
      </c>
      <c r="H2367" s="4" t="n">
        <v>88.52</v>
      </c>
      <c r="I2367" s="4" t="n">
        <v>88.6</v>
      </c>
      <c r="J2367" s="14" t="n">
        <f aca="false">E2367-D2367</f>
        <v>-5</v>
      </c>
      <c r="K2367" s="14" t="n">
        <f aca="false">IF(J2367&lt;=0,1,0)</f>
        <v>1</v>
      </c>
      <c r="L2367" s="15" t="n">
        <f aca="false">IFERROR(G2367/F2367,0)</f>
        <v>0.967024539877301</v>
      </c>
      <c r="M2367" s="15" t="n">
        <f aca="false">IFERROR((I2367-H2367)/H2367,0)</f>
        <v>0.000903750564844084</v>
      </c>
      <c r="N2367" s="16" t="n">
        <f aca="false">G2367*I2367</f>
        <v>111724.6</v>
      </c>
    </row>
    <row r="2368" customFormat="false" ht="15" hidden="false" customHeight="true" outlineLevel="0" collapsed="false">
      <c r="A2368" s="4" t="s">
        <v>2544</v>
      </c>
      <c r="B2368" s="4" t="s">
        <v>127</v>
      </c>
      <c r="C2368" s="13" t="n">
        <v>45223</v>
      </c>
      <c r="D2368" s="13" t="n">
        <v>45229</v>
      </c>
      <c r="E2368" s="13" t="n">
        <v>45231</v>
      </c>
      <c r="F2368" s="4" t="n">
        <v>6</v>
      </c>
      <c r="G2368" s="4" t="n">
        <v>6</v>
      </c>
      <c r="H2368" s="4" t="n">
        <v>1881</v>
      </c>
      <c r="I2368" s="4" t="n">
        <v>1866.47</v>
      </c>
      <c r="J2368" s="14" t="n">
        <f aca="false">E2368-D2368</f>
        <v>2</v>
      </c>
      <c r="K2368" s="14" t="n">
        <f aca="false">IF(J2368&lt;=0,1,0)</f>
        <v>0</v>
      </c>
      <c r="L2368" s="15" t="n">
        <f aca="false">IFERROR(G2368/F2368,0)</f>
        <v>1</v>
      </c>
      <c r="M2368" s="15" t="n">
        <f aca="false">IFERROR((I2368-H2368)/H2368,0)</f>
        <v>-0.00772461456671982</v>
      </c>
      <c r="N2368" s="16" t="n">
        <f aca="false">G2368*I2368</f>
        <v>11198.82</v>
      </c>
    </row>
    <row r="2369" customFormat="false" ht="15" hidden="false" customHeight="true" outlineLevel="0" collapsed="false">
      <c r="A2369" s="4" t="s">
        <v>2545</v>
      </c>
      <c r="B2369" s="4" t="s">
        <v>127</v>
      </c>
      <c r="C2369" s="13" t="n">
        <v>45531</v>
      </c>
      <c r="D2369" s="13" t="n">
        <v>45535</v>
      </c>
      <c r="E2369" s="13" t="n">
        <v>45539</v>
      </c>
      <c r="F2369" s="4" t="n">
        <v>3</v>
      </c>
      <c r="G2369" s="4" t="n">
        <v>3</v>
      </c>
      <c r="H2369" s="4" t="n">
        <v>1881</v>
      </c>
      <c r="I2369" s="4" t="n">
        <v>1759.94</v>
      </c>
      <c r="J2369" s="14" t="n">
        <f aca="false">E2369-D2369</f>
        <v>4</v>
      </c>
      <c r="K2369" s="14" t="n">
        <f aca="false">IF(J2369&lt;=0,1,0)</f>
        <v>0</v>
      </c>
      <c r="L2369" s="15" t="n">
        <f aca="false">IFERROR(G2369/F2369,0)</f>
        <v>1</v>
      </c>
      <c r="M2369" s="15" t="n">
        <f aca="false">IFERROR((I2369-H2369)/H2369,0)</f>
        <v>-0.0643593833067517</v>
      </c>
      <c r="N2369" s="16" t="n">
        <f aca="false">G2369*I2369</f>
        <v>5279.82</v>
      </c>
    </row>
    <row r="2370" customFormat="false" ht="15" hidden="false" customHeight="true" outlineLevel="0" collapsed="false">
      <c r="A2370" s="4" t="s">
        <v>2546</v>
      </c>
      <c r="B2370" s="4" t="s">
        <v>41</v>
      </c>
      <c r="C2370" s="13" t="n">
        <v>45567</v>
      </c>
      <c r="D2370" s="13" t="n">
        <v>45575</v>
      </c>
      <c r="E2370" s="13" t="n">
        <v>45577</v>
      </c>
      <c r="F2370" s="4" t="n">
        <v>4000</v>
      </c>
      <c r="G2370" s="4" t="n">
        <v>3976</v>
      </c>
      <c r="H2370" s="4" t="n">
        <v>45.51</v>
      </c>
      <c r="I2370" s="4" t="n">
        <v>44.41</v>
      </c>
      <c r="J2370" s="14" t="n">
        <f aca="false">E2370-D2370</f>
        <v>2</v>
      </c>
      <c r="K2370" s="14" t="n">
        <f aca="false">IF(J2370&lt;=0,1,0)</f>
        <v>0</v>
      </c>
      <c r="L2370" s="15" t="n">
        <f aca="false">IFERROR(G2370/F2370,0)</f>
        <v>0.994</v>
      </c>
      <c r="M2370" s="15" t="n">
        <f aca="false">IFERROR((I2370-H2370)/H2370,0)</f>
        <v>-0.0241705119753901</v>
      </c>
      <c r="N2370" s="16" t="n">
        <f aca="false">G2370*I2370</f>
        <v>176574.16</v>
      </c>
    </row>
    <row r="2371" customFormat="false" ht="15" hidden="false" customHeight="true" outlineLevel="0" collapsed="false">
      <c r="A2371" s="4" t="s">
        <v>2547</v>
      </c>
      <c r="B2371" s="4" t="s">
        <v>93</v>
      </c>
      <c r="C2371" s="13" t="n">
        <v>45032</v>
      </c>
      <c r="D2371" s="13" t="n">
        <v>45043</v>
      </c>
      <c r="E2371" s="13" t="n">
        <v>45044</v>
      </c>
      <c r="F2371" s="4" t="n">
        <v>1472</v>
      </c>
      <c r="G2371" s="4" t="n">
        <v>1472</v>
      </c>
      <c r="H2371" s="4" t="n">
        <v>174.25</v>
      </c>
      <c r="I2371" s="4" t="n">
        <v>176</v>
      </c>
      <c r="J2371" s="14" t="n">
        <f aca="false">E2371-D2371</f>
        <v>1</v>
      </c>
      <c r="K2371" s="14" t="n">
        <f aca="false">IF(J2371&lt;=0,1,0)</f>
        <v>0</v>
      </c>
      <c r="L2371" s="15" t="n">
        <f aca="false">IFERROR(G2371/F2371,0)</f>
        <v>1</v>
      </c>
      <c r="M2371" s="15" t="n">
        <f aca="false">IFERROR((I2371-H2371)/H2371,0)</f>
        <v>0.0100430416068867</v>
      </c>
      <c r="N2371" s="16" t="n">
        <f aca="false">G2371*I2371</f>
        <v>259072</v>
      </c>
    </row>
    <row r="2372" customFormat="false" ht="15" hidden="false" customHeight="true" outlineLevel="0" collapsed="false">
      <c r="A2372" s="4" t="s">
        <v>2548</v>
      </c>
      <c r="B2372" s="4" t="s">
        <v>85</v>
      </c>
      <c r="C2372" s="13" t="n">
        <v>45482</v>
      </c>
      <c r="D2372" s="13" t="n">
        <v>45493</v>
      </c>
      <c r="E2372" s="13" t="n">
        <v>45496</v>
      </c>
      <c r="F2372" s="4" t="n">
        <v>1119</v>
      </c>
      <c r="G2372" s="4" t="n">
        <v>1072</v>
      </c>
      <c r="H2372" s="4" t="n">
        <v>241.88</v>
      </c>
      <c r="I2372" s="4" t="n">
        <v>232.7</v>
      </c>
      <c r="J2372" s="14" t="n">
        <f aca="false">E2372-D2372</f>
        <v>3</v>
      </c>
      <c r="K2372" s="14" t="n">
        <f aca="false">IF(J2372&lt;=0,1,0)</f>
        <v>0</v>
      </c>
      <c r="L2372" s="15" t="n">
        <f aca="false">IFERROR(G2372/F2372,0)</f>
        <v>0.957998212689902</v>
      </c>
      <c r="M2372" s="15" t="n">
        <f aca="false">IFERROR((I2372-H2372)/H2372,0)</f>
        <v>-0.0379527038200761</v>
      </c>
      <c r="N2372" s="16" t="n">
        <f aca="false">G2372*I2372</f>
        <v>249454.4</v>
      </c>
    </row>
    <row r="2373" customFormat="false" ht="15" hidden="false" customHeight="true" outlineLevel="0" collapsed="false">
      <c r="A2373" s="4" t="s">
        <v>2549</v>
      </c>
      <c r="B2373" s="4" t="s">
        <v>55</v>
      </c>
      <c r="C2373" s="13" t="n">
        <v>45094</v>
      </c>
      <c r="D2373" s="13" t="n">
        <v>45111</v>
      </c>
      <c r="E2373" s="13" t="n">
        <v>45107</v>
      </c>
      <c r="F2373" s="4" t="n">
        <v>198</v>
      </c>
      <c r="G2373" s="4" t="n">
        <v>191</v>
      </c>
      <c r="H2373" s="4" t="n">
        <v>598.09</v>
      </c>
      <c r="I2373" s="4" t="n">
        <v>591.65</v>
      </c>
      <c r="J2373" s="14" t="n">
        <f aca="false">E2373-D2373</f>
        <v>-4</v>
      </c>
      <c r="K2373" s="14" t="n">
        <f aca="false">IF(J2373&lt;=0,1,0)</f>
        <v>1</v>
      </c>
      <c r="L2373" s="15" t="n">
        <f aca="false">IFERROR(G2373/F2373,0)</f>
        <v>0.964646464646465</v>
      </c>
      <c r="M2373" s="15" t="n">
        <f aca="false">IFERROR((I2373-H2373)/H2373,0)</f>
        <v>-0.0107676102258858</v>
      </c>
      <c r="N2373" s="16" t="n">
        <f aca="false">G2373*I2373</f>
        <v>113005.15</v>
      </c>
    </row>
    <row r="2374" customFormat="false" ht="15" hidden="false" customHeight="true" outlineLevel="0" collapsed="false">
      <c r="A2374" s="4" t="s">
        <v>2550</v>
      </c>
      <c r="B2374" s="4" t="s">
        <v>85</v>
      </c>
      <c r="C2374" s="13" t="n">
        <v>45017</v>
      </c>
      <c r="D2374" s="13" t="n">
        <v>45027</v>
      </c>
      <c r="E2374" s="13" t="n">
        <v>45037</v>
      </c>
      <c r="F2374" s="4" t="n">
        <v>1757</v>
      </c>
      <c r="G2374" s="4" t="n">
        <v>1648</v>
      </c>
      <c r="H2374" s="4" t="n">
        <v>241.88</v>
      </c>
      <c r="I2374" s="4" t="n">
        <v>238.02</v>
      </c>
      <c r="J2374" s="14" t="n">
        <f aca="false">E2374-D2374</f>
        <v>10</v>
      </c>
      <c r="K2374" s="14" t="n">
        <f aca="false">IF(J2374&lt;=0,1,0)</f>
        <v>0</v>
      </c>
      <c r="L2374" s="15" t="n">
        <f aca="false">IFERROR(G2374/F2374,0)</f>
        <v>0.937962435970404</v>
      </c>
      <c r="M2374" s="15" t="n">
        <f aca="false">IFERROR((I2374-H2374)/H2374,0)</f>
        <v>-0.0159583264428642</v>
      </c>
      <c r="N2374" s="16" t="n">
        <f aca="false">G2374*I2374</f>
        <v>392256.96</v>
      </c>
    </row>
    <row r="2375" customFormat="false" ht="15" hidden="false" customHeight="true" outlineLevel="0" collapsed="false">
      <c r="A2375" s="4" t="s">
        <v>2551</v>
      </c>
      <c r="B2375" s="4" t="s">
        <v>99</v>
      </c>
      <c r="C2375" s="13" t="n">
        <v>45449</v>
      </c>
      <c r="D2375" s="13" t="n">
        <v>45457</v>
      </c>
      <c r="E2375" s="13" t="n">
        <v>45460</v>
      </c>
      <c r="F2375" s="4" t="n">
        <v>3155</v>
      </c>
      <c r="G2375" s="4" t="n">
        <v>2860</v>
      </c>
      <c r="H2375" s="4" t="n">
        <v>11.5</v>
      </c>
      <c r="I2375" s="4" t="n">
        <v>12.43</v>
      </c>
      <c r="J2375" s="14" t="n">
        <f aca="false">E2375-D2375</f>
        <v>3</v>
      </c>
      <c r="K2375" s="14" t="n">
        <f aca="false">IF(J2375&lt;=0,1,0)</f>
        <v>0</v>
      </c>
      <c r="L2375" s="15" t="n">
        <f aca="false">IFERROR(G2375/F2375,0)</f>
        <v>0.906497622820919</v>
      </c>
      <c r="M2375" s="15" t="n">
        <f aca="false">IFERROR((I2375-H2375)/H2375,0)</f>
        <v>0.0808695652173913</v>
      </c>
      <c r="N2375" s="16" t="n">
        <f aca="false">G2375*I2375</f>
        <v>35549.8</v>
      </c>
    </row>
    <row r="2376" customFormat="false" ht="15" hidden="false" customHeight="true" outlineLevel="0" collapsed="false">
      <c r="A2376" s="4" t="s">
        <v>2552</v>
      </c>
      <c r="B2376" s="4" t="s">
        <v>55</v>
      </c>
      <c r="C2376" s="13" t="n">
        <v>45225</v>
      </c>
      <c r="D2376" s="13" t="n">
        <v>45242</v>
      </c>
      <c r="E2376" s="13" t="n">
        <v>45240</v>
      </c>
      <c r="F2376" s="4" t="n">
        <v>325</v>
      </c>
      <c r="G2376" s="4" t="n">
        <v>305</v>
      </c>
      <c r="H2376" s="4" t="n">
        <v>598.09</v>
      </c>
      <c r="I2376" s="4" t="n">
        <v>586.17</v>
      </c>
      <c r="J2376" s="14" t="n">
        <f aca="false">E2376-D2376</f>
        <v>-2</v>
      </c>
      <c r="K2376" s="14" t="n">
        <f aca="false">IF(J2376&lt;=0,1,0)</f>
        <v>1</v>
      </c>
      <c r="L2376" s="15" t="n">
        <f aca="false">IFERROR(G2376/F2376,0)</f>
        <v>0.938461538461539</v>
      </c>
      <c r="M2376" s="15" t="n">
        <f aca="false">IFERROR((I2376-H2376)/H2376,0)</f>
        <v>-0.0199301108528818</v>
      </c>
      <c r="N2376" s="16" t="n">
        <f aca="false">G2376*I2376</f>
        <v>178781.85</v>
      </c>
    </row>
    <row r="2377" customFormat="false" ht="15" hidden="false" customHeight="true" outlineLevel="0" collapsed="false">
      <c r="A2377" s="4" t="s">
        <v>2553</v>
      </c>
      <c r="B2377" s="4" t="s">
        <v>123</v>
      </c>
      <c r="C2377" s="13" t="n">
        <v>45150</v>
      </c>
      <c r="D2377" s="13" t="n">
        <v>45163</v>
      </c>
      <c r="E2377" s="13" t="n">
        <v>45163</v>
      </c>
      <c r="F2377" s="4" t="n">
        <v>54</v>
      </c>
      <c r="G2377" s="4" t="n">
        <v>53</v>
      </c>
      <c r="H2377" s="4" t="n">
        <v>214.07</v>
      </c>
      <c r="I2377" s="4" t="n">
        <v>226.07</v>
      </c>
      <c r="J2377" s="14" t="n">
        <f aca="false">E2377-D2377</f>
        <v>0</v>
      </c>
      <c r="K2377" s="14" t="n">
        <f aca="false">IF(J2377&lt;=0,1,0)</f>
        <v>1</v>
      </c>
      <c r="L2377" s="15" t="n">
        <f aca="false">IFERROR(G2377/F2377,0)</f>
        <v>0.981481481481482</v>
      </c>
      <c r="M2377" s="15" t="n">
        <f aca="false">IFERROR((I2377-H2377)/H2377,0)</f>
        <v>0.0560564301396739</v>
      </c>
      <c r="N2377" s="16" t="n">
        <f aca="false">G2377*I2377</f>
        <v>11981.71</v>
      </c>
    </row>
    <row r="2378" customFormat="false" ht="15" hidden="false" customHeight="true" outlineLevel="0" collapsed="false">
      <c r="A2378" s="4" t="s">
        <v>2554</v>
      </c>
      <c r="B2378" s="4" t="s">
        <v>79</v>
      </c>
      <c r="C2378" s="13" t="n">
        <v>45578</v>
      </c>
      <c r="D2378" s="13" t="n">
        <v>45598</v>
      </c>
      <c r="E2378" s="13" t="n">
        <v>45599</v>
      </c>
      <c r="F2378" s="4" t="n">
        <v>82</v>
      </c>
      <c r="G2378" s="4" t="n">
        <v>80</v>
      </c>
      <c r="H2378" s="4" t="n">
        <v>821.48</v>
      </c>
      <c r="I2378" s="4" t="n">
        <v>868.96</v>
      </c>
      <c r="J2378" s="14" t="n">
        <f aca="false">E2378-D2378</f>
        <v>1</v>
      </c>
      <c r="K2378" s="14" t="n">
        <f aca="false">IF(J2378&lt;=0,1,0)</f>
        <v>0</v>
      </c>
      <c r="L2378" s="15" t="n">
        <f aca="false">IFERROR(G2378/F2378,0)</f>
        <v>0.975609756097561</v>
      </c>
      <c r="M2378" s="15" t="n">
        <f aca="false">IFERROR((I2378-H2378)/H2378,0)</f>
        <v>0.0577981204655013</v>
      </c>
      <c r="N2378" s="16" t="n">
        <f aca="false">G2378*I2378</f>
        <v>69516.8</v>
      </c>
    </row>
    <row r="2379" customFormat="false" ht="15" hidden="false" customHeight="true" outlineLevel="0" collapsed="false">
      <c r="A2379" s="4" t="s">
        <v>2555</v>
      </c>
      <c r="B2379" s="4" t="s">
        <v>85</v>
      </c>
      <c r="C2379" s="13" t="n">
        <v>45455</v>
      </c>
      <c r="D2379" s="13" t="n">
        <v>45467</v>
      </c>
      <c r="E2379" s="13" t="n">
        <v>45472</v>
      </c>
      <c r="F2379" s="4" t="n">
        <v>1813</v>
      </c>
      <c r="G2379" s="4" t="n">
        <v>1704</v>
      </c>
      <c r="H2379" s="4" t="n">
        <v>241.88</v>
      </c>
      <c r="I2379" s="4" t="n">
        <v>234.5</v>
      </c>
      <c r="J2379" s="14" t="n">
        <f aca="false">E2379-D2379</f>
        <v>5</v>
      </c>
      <c r="K2379" s="14" t="n">
        <f aca="false">IF(J2379&lt;=0,1,0)</f>
        <v>0</v>
      </c>
      <c r="L2379" s="15" t="n">
        <f aca="false">IFERROR(G2379/F2379,0)</f>
        <v>0.939878654164368</v>
      </c>
      <c r="M2379" s="15" t="n">
        <f aca="false">IFERROR((I2379-H2379)/H2379,0)</f>
        <v>-0.0305109971886886</v>
      </c>
      <c r="N2379" s="16" t="n">
        <f aca="false">G2379*I2379</f>
        <v>399588</v>
      </c>
    </row>
    <row r="2380" customFormat="false" ht="15" hidden="false" customHeight="true" outlineLevel="0" collapsed="false">
      <c r="A2380" s="4" t="s">
        <v>2556</v>
      </c>
      <c r="B2380" s="4" t="s">
        <v>137</v>
      </c>
      <c r="C2380" s="13" t="n">
        <v>44977</v>
      </c>
      <c r="D2380" s="13" t="n">
        <v>44997</v>
      </c>
      <c r="E2380" s="13" t="n">
        <v>44989</v>
      </c>
      <c r="F2380" s="4" t="n">
        <v>372</v>
      </c>
      <c r="G2380" s="4" t="n">
        <v>336</v>
      </c>
      <c r="H2380" s="4" t="n">
        <v>1047.25</v>
      </c>
      <c r="I2380" s="4" t="n">
        <v>1066.28</v>
      </c>
      <c r="J2380" s="14" t="n">
        <f aca="false">E2380-D2380</f>
        <v>-8</v>
      </c>
      <c r="K2380" s="14" t="n">
        <f aca="false">IF(J2380&lt;=0,1,0)</f>
        <v>1</v>
      </c>
      <c r="L2380" s="15" t="n">
        <f aca="false">IFERROR(G2380/F2380,0)</f>
        <v>0.903225806451613</v>
      </c>
      <c r="M2380" s="15" t="n">
        <f aca="false">IFERROR((I2380-H2380)/H2380,0)</f>
        <v>0.0181714012890905</v>
      </c>
      <c r="N2380" s="16" t="n">
        <f aca="false">G2380*I2380</f>
        <v>358270.08</v>
      </c>
    </row>
    <row r="2381" customFormat="false" ht="15" hidden="false" customHeight="true" outlineLevel="0" collapsed="false">
      <c r="A2381" s="4" t="s">
        <v>2557</v>
      </c>
      <c r="B2381" s="4" t="s">
        <v>163</v>
      </c>
      <c r="C2381" s="13" t="n">
        <v>45451</v>
      </c>
      <c r="D2381" s="13" t="n">
        <v>45468</v>
      </c>
      <c r="E2381" s="13" t="n">
        <v>45477</v>
      </c>
      <c r="F2381" s="4" t="n">
        <v>213</v>
      </c>
      <c r="G2381" s="4" t="n">
        <v>200</v>
      </c>
      <c r="H2381" s="4" t="n">
        <v>482.79</v>
      </c>
      <c r="I2381" s="4" t="n">
        <v>503.56</v>
      </c>
      <c r="J2381" s="14" t="n">
        <f aca="false">E2381-D2381</f>
        <v>9</v>
      </c>
      <c r="K2381" s="14" t="n">
        <f aca="false">IF(J2381&lt;=0,1,0)</f>
        <v>0</v>
      </c>
      <c r="L2381" s="15" t="n">
        <f aca="false">IFERROR(G2381/F2381,0)</f>
        <v>0.938967136150235</v>
      </c>
      <c r="M2381" s="15" t="n">
        <f aca="false">IFERROR((I2381-H2381)/H2381,0)</f>
        <v>0.0430207750781913</v>
      </c>
      <c r="N2381" s="16" t="n">
        <f aca="false">G2381*I2381</f>
        <v>100712</v>
      </c>
    </row>
    <row r="2382" customFormat="false" ht="15" hidden="false" customHeight="true" outlineLevel="0" collapsed="false">
      <c r="A2382" s="4" t="s">
        <v>2558</v>
      </c>
      <c r="B2382" s="4" t="s">
        <v>68</v>
      </c>
      <c r="C2382" s="13" t="n">
        <v>45547</v>
      </c>
      <c r="D2382" s="13" t="n">
        <v>45564</v>
      </c>
      <c r="E2382" s="13" t="n">
        <v>45564</v>
      </c>
      <c r="F2382" s="4" t="n">
        <v>164</v>
      </c>
      <c r="G2382" s="4" t="n">
        <v>145</v>
      </c>
      <c r="H2382" s="4" t="n">
        <v>1232.83</v>
      </c>
      <c r="I2382" s="4" t="n">
        <v>1227.11</v>
      </c>
      <c r="J2382" s="14" t="n">
        <f aca="false">E2382-D2382</f>
        <v>0</v>
      </c>
      <c r="K2382" s="14" t="n">
        <f aca="false">IF(J2382&lt;=0,1,0)</f>
        <v>1</v>
      </c>
      <c r="L2382" s="15" t="n">
        <f aca="false">IFERROR(G2382/F2382,0)</f>
        <v>0.884146341463415</v>
      </c>
      <c r="M2382" s="15" t="n">
        <f aca="false">IFERROR((I2382-H2382)/H2382,0)</f>
        <v>-0.00463973134982117</v>
      </c>
      <c r="N2382" s="16" t="n">
        <f aca="false">G2382*I2382</f>
        <v>177930.95</v>
      </c>
    </row>
    <row r="2383" customFormat="false" ht="15" hidden="false" customHeight="true" outlineLevel="0" collapsed="false">
      <c r="A2383" s="4" t="s">
        <v>2559</v>
      </c>
      <c r="B2383" s="4" t="s">
        <v>135</v>
      </c>
      <c r="C2383" s="13" t="n">
        <v>45543</v>
      </c>
      <c r="D2383" s="13" t="n">
        <v>45556</v>
      </c>
      <c r="E2383" s="13" t="n">
        <v>45556</v>
      </c>
      <c r="F2383" s="4" t="n">
        <v>97</v>
      </c>
      <c r="G2383" s="4" t="n">
        <v>93</v>
      </c>
      <c r="H2383" s="4" t="n">
        <v>328.06</v>
      </c>
      <c r="I2383" s="4" t="n">
        <v>314.64</v>
      </c>
      <c r="J2383" s="14" t="n">
        <f aca="false">E2383-D2383</f>
        <v>0</v>
      </c>
      <c r="K2383" s="14" t="n">
        <f aca="false">IF(J2383&lt;=0,1,0)</f>
        <v>1</v>
      </c>
      <c r="L2383" s="15" t="n">
        <f aca="false">IFERROR(G2383/F2383,0)</f>
        <v>0.958762886597938</v>
      </c>
      <c r="M2383" s="15" t="n">
        <f aca="false">IFERROR((I2383-H2383)/H2383,0)</f>
        <v>-0.0409071511308907</v>
      </c>
      <c r="N2383" s="16" t="n">
        <f aca="false">G2383*I2383</f>
        <v>29261.52</v>
      </c>
    </row>
    <row r="2384" customFormat="false" ht="15" hidden="false" customHeight="true" outlineLevel="0" collapsed="false">
      <c r="A2384" s="4" t="s">
        <v>2560</v>
      </c>
      <c r="B2384" s="4" t="s">
        <v>121</v>
      </c>
      <c r="C2384" s="13" t="n">
        <v>45259</v>
      </c>
      <c r="D2384" s="13" t="n">
        <v>45271</v>
      </c>
      <c r="E2384" s="13" t="n">
        <v>45270</v>
      </c>
      <c r="F2384" s="4" t="n">
        <v>537</v>
      </c>
      <c r="G2384" s="4" t="n">
        <v>486</v>
      </c>
      <c r="H2384" s="4" t="n">
        <v>206.07</v>
      </c>
      <c r="I2384" s="4" t="n">
        <v>218.25</v>
      </c>
      <c r="J2384" s="14" t="n">
        <f aca="false">E2384-D2384</f>
        <v>-1</v>
      </c>
      <c r="K2384" s="14" t="n">
        <f aca="false">IF(J2384&lt;=0,1,0)</f>
        <v>1</v>
      </c>
      <c r="L2384" s="15" t="n">
        <f aca="false">IFERROR(G2384/F2384,0)</f>
        <v>0.905027932960894</v>
      </c>
      <c r="M2384" s="15" t="n">
        <f aca="false">IFERROR((I2384-H2384)/H2384,0)</f>
        <v>0.0591061289852963</v>
      </c>
      <c r="N2384" s="16" t="n">
        <f aca="false">G2384*I2384</f>
        <v>106069.5</v>
      </c>
    </row>
    <row r="2385" customFormat="false" ht="15" hidden="false" customHeight="true" outlineLevel="0" collapsed="false">
      <c r="A2385" s="4" t="s">
        <v>2561</v>
      </c>
      <c r="B2385" s="4" t="s">
        <v>125</v>
      </c>
      <c r="C2385" s="13" t="n">
        <v>45655</v>
      </c>
      <c r="D2385" s="13" t="n">
        <v>45662</v>
      </c>
      <c r="E2385" s="13" t="n">
        <v>45664</v>
      </c>
      <c r="F2385" s="4" t="n">
        <v>7</v>
      </c>
      <c r="G2385" s="4" t="n">
        <v>6</v>
      </c>
      <c r="H2385" s="4" t="n">
        <v>729.32</v>
      </c>
      <c r="I2385" s="4" t="n">
        <v>738.58</v>
      </c>
      <c r="J2385" s="14" t="n">
        <f aca="false">E2385-D2385</f>
        <v>2</v>
      </c>
      <c r="K2385" s="14" t="n">
        <f aca="false">IF(J2385&lt;=0,1,0)</f>
        <v>0</v>
      </c>
      <c r="L2385" s="15" t="n">
        <f aca="false">IFERROR(G2385/F2385,0)</f>
        <v>0.857142857142857</v>
      </c>
      <c r="M2385" s="15" t="n">
        <f aca="false">IFERROR((I2385-H2385)/H2385,0)</f>
        <v>0.0126967586244721</v>
      </c>
      <c r="N2385" s="16" t="n">
        <f aca="false">G2385*I2385</f>
        <v>4431.48</v>
      </c>
    </row>
    <row r="2386" customFormat="false" ht="15" hidden="false" customHeight="true" outlineLevel="0" collapsed="false">
      <c r="A2386" s="4" t="s">
        <v>2562</v>
      </c>
      <c r="B2386" s="4" t="s">
        <v>89</v>
      </c>
      <c r="C2386" s="13" t="n">
        <v>45319</v>
      </c>
      <c r="D2386" s="13" t="n">
        <v>45326</v>
      </c>
      <c r="E2386" s="13" t="n">
        <v>45327</v>
      </c>
      <c r="F2386" s="4" t="n">
        <v>11</v>
      </c>
      <c r="G2386" s="4" t="n">
        <v>10</v>
      </c>
      <c r="H2386" s="4" t="n">
        <v>1929.81</v>
      </c>
      <c r="I2386" s="4" t="n">
        <v>1926.6</v>
      </c>
      <c r="J2386" s="14" t="n">
        <f aca="false">E2386-D2386</f>
        <v>1</v>
      </c>
      <c r="K2386" s="14" t="n">
        <f aca="false">IF(J2386&lt;=0,1,0)</f>
        <v>0</v>
      </c>
      <c r="L2386" s="15" t="n">
        <f aca="false">IFERROR(G2386/F2386,0)</f>
        <v>0.909090909090909</v>
      </c>
      <c r="M2386" s="15" t="n">
        <f aca="false">IFERROR((I2386-H2386)/H2386,0)</f>
        <v>-0.00166337618729307</v>
      </c>
      <c r="N2386" s="16" t="n">
        <f aca="false">G2386*I2386</f>
        <v>19266</v>
      </c>
    </row>
    <row r="2387" customFormat="false" ht="15" hidden="false" customHeight="true" outlineLevel="0" collapsed="false">
      <c r="A2387" s="4" t="s">
        <v>2563</v>
      </c>
      <c r="B2387" s="4" t="s">
        <v>105</v>
      </c>
      <c r="C2387" s="13" t="n">
        <v>45631</v>
      </c>
      <c r="D2387" s="13" t="n">
        <v>45648</v>
      </c>
      <c r="E2387" s="13" t="n">
        <v>45651</v>
      </c>
      <c r="F2387" s="4" t="n">
        <v>98</v>
      </c>
      <c r="G2387" s="4" t="n">
        <v>93</v>
      </c>
      <c r="H2387" s="4" t="n">
        <v>685.84</v>
      </c>
      <c r="I2387" s="4" t="n">
        <v>715.87</v>
      </c>
      <c r="J2387" s="14" t="n">
        <f aca="false">E2387-D2387</f>
        <v>3</v>
      </c>
      <c r="K2387" s="14" t="n">
        <f aca="false">IF(J2387&lt;=0,1,0)</f>
        <v>0</v>
      </c>
      <c r="L2387" s="15" t="n">
        <f aca="false">IFERROR(G2387/F2387,0)</f>
        <v>0.948979591836735</v>
      </c>
      <c r="M2387" s="15" t="n">
        <f aca="false">IFERROR((I2387-H2387)/H2387,0)</f>
        <v>0.0437857226175201</v>
      </c>
      <c r="N2387" s="16" t="n">
        <f aca="false">G2387*I2387</f>
        <v>66575.91</v>
      </c>
    </row>
    <row r="2388" customFormat="false" ht="15" hidden="false" customHeight="true" outlineLevel="0" collapsed="false">
      <c r="A2388" s="4" t="s">
        <v>2564</v>
      </c>
      <c r="B2388" s="4" t="s">
        <v>58</v>
      </c>
      <c r="C2388" s="13" t="n">
        <v>45151</v>
      </c>
      <c r="D2388" s="13" t="n">
        <v>45162</v>
      </c>
      <c r="E2388" s="13" t="n">
        <v>45161</v>
      </c>
      <c r="F2388" s="4" t="n">
        <v>161</v>
      </c>
      <c r="G2388" s="4" t="n">
        <v>157</v>
      </c>
      <c r="H2388" s="4" t="n">
        <v>135.68</v>
      </c>
      <c r="I2388" s="4" t="n">
        <v>136.4</v>
      </c>
      <c r="J2388" s="14" t="n">
        <f aca="false">E2388-D2388</f>
        <v>-1</v>
      </c>
      <c r="K2388" s="14" t="n">
        <f aca="false">IF(J2388&lt;=0,1,0)</f>
        <v>1</v>
      </c>
      <c r="L2388" s="15" t="n">
        <f aca="false">IFERROR(G2388/F2388,0)</f>
        <v>0.975155279503106</v>
      </c>
      <c r="M2388" s="15" t="n">
        <f aca="false">IFERROR((I2388-H2388)/H2388,0)</f>
        <v>0.0053066037735849</v>
      </c>
      <c r="N2388" s="16" t="n">
        <f aca="false">G2388*I2388</f>
        <v>21414.8</v>
      </c>
    </row>
    <row r="2389" customFormat="false" ht="15" hidden="false" customHeight="true" outlineLevel="0" collapsed="false">
      <c r="A2389" s="4" t="s">
        <v>2565</v>
      </c>
      <c r="B2389" s="4" t="s">
        <v>70</v>
      </c>
      <c r="C2389" s="13" t="n">
        <v>45039</v>
      </c>
      <c r="D2389" s="13" t="n">
        <v>45048</v>
      </c>
      <c r="E2389" s="13" t="n">
        <v>45050</v>
      </c>
      <c r="F2389" s="4" t="n">
        <v>4443</v>
      </c>
      <c r="G2389" s="4" t="n">
        <v>4124</v>
      </c>
      <c r="H2389" s="4" t="n">
        <v>35.88</v>
      </c>
      <c r="I2389" s="4" t="n">
        <v>36.06</v>
      </c>
      <c r="J2389" s="14" t="n">
        <f aca="false">E2389-D2389</f>
        <v>2</v>
      </c>
      <c r="K2389" s="14" t="n">
        <f aca="false">IF(J2389&lt;=0,1,0)</f>
        <v>0</v>
      </c>
      <c r="L2389" s="15" t="n">
        <f aca="false">IFERROR(G2389/F2389,0)</f>
        <v>0.928201665541301</v>
      </c>
      <c r="M2389" s="15" t="n">
        <f aca="false">IFERROR((I2389-H2389)/H2389,0)</f>
        <v>0.00501672240802675</v>
      </c>
      <c r="N2389" s="16" t="n">
        <f aca="false">G2389*I2389</f>
        <v>148711.44</v>
      </c>
    </row>
    <row r="2390" customFormat="false" ht="15" hidden="false" customHeight="true" outlineLevel="0" collapsed="false">
      <c r="A2390" s="4" t="s">
        <v>2566</v>
      </c>
      <c r="B2390" s="4" t="s">
        <v>43</v>
      </c>
      <c r="C2390" s="13" t="n">
        <v>45276</v>
      </c>
      <c r="D2390" s="13" t="n">
        <v>45296</v>
      </c>
      <c r="E2390" s="13" t="n">
        <v>45298</v>
      </c>
      <c r="F2390" s="4" t="n">
        <v>371</v>
      </c>
      <c r="G2390" s="4" t="n">
        <v>364</v>
      </c>
      <c r="H2390" s="4" t="n">
        <v>1321.6</v>
      </c>
      <c r="I2390" s="4" t="n">
        <v>1343.38</v>
      </c>
      <c r="J2390" s="14" t="n">
        <f aca="false">E2390-D2390</f>
        <v>2</v>
      </c>
      <c r="K2390" s="14" t="n">
        <f aca="false">IF(J2390&lt;=0,1,0)</f>
        <v>0</v>
      </c>
      <c r="L2390" s="15" t="n">
        <f aca="false">IFERROR(G2390/F2390,0)</f>
        <v>0.981132075471698</v>
      </c>
      <c r="M2390" s="15" t="n">
        <f aca="false">IFERROR((I2390-H2390)/H2390,0)</f>
        <v>0.0164800242130752</v>
      </c>
      <c r="N2390" s="16" t="n">
        <f aca="false">G2390*I2390</f>
        <v>488990.32</v>
      </c>
    </row>
    <row r="2391" customFormat="false" ht="15" hidden="false" customHeight="true" outlineLevel="0" collapsed="false">
      <c r="A2391" s="4" t="s">
        <v>2567</v>
      </c>
      <c r="B2391" s="4" t="s">
        <v>93</v>
      </c>
      <c r="C2391" s="13" t="n">
        <v>45628</v>
      </c>
      <c r="D2391" s="13" t="n">
        <v>45638</v>
      </c>
      <c r="E2391" s="13" t="n">
        <v>45642</v>
      </c>
      <c r="F2391" s="4" t="n">
        <v>327</v>
      </c>
      <c r="G2391" s="4" t="n">
        <v>327</v>
      </c>
      <c r="H2391" s="4" t="n">
        <v>174.25</v>
      </c>
      <c r="I2391" s="4" t="n">
        <v>188.47</v>
      </c>
      <c r="J2391" s="14" t="n">
        <f aca="false">E2391-D2391</f>
        <v>4</v>
      </c>
      <c r="K2391" s="14" t="n">
        <f aca="false">IF(J2391&lt;=0,1,0)</f>
        <v>0</v>
      </c>
      <c r="L2391" s="15" t="n">
        <f aca="false">IFERROR(G2391/F2391,0)</f>
        <v>1</v>
      </c>
      <c r="M2391" s="15" t="n">
        <f aca="false">IFERROR((I2391-H2391)/H2391,0)</f>
        <v>0.0816068866571019</v>
      </c>
      <c r="N2391" s="16" t="n">
        <f aca="false">G2391*I2391</f>
        <v>61629.69</v>
      </c>
    </row>
    <row r="2392" customFormat="false" ht="15" hidden="false" customHeight="true" outlineLevel="0" collapsed="false">
      <c r="A2392" s="4" t="s">
        <v>2568</v>
      </c>
      <c r="B2392" s="4" t="s">
        <v>119</v>
      </c>
      <c r="C2392" s="13" t="n">
        <v>45630</v>
      </c>
      <c r="D2392" s="13" t="n">
        <v>45638</v>
      </c>
      <c r="E2392" s="13" t="n">
        <v>45640</v>
      </c>
      <c r="F2392" s="4" t="n">
        <v>529</v>
      </c>
      <c r="G2392" s="4" t="n">
        <v>517</v>
      </c>
      <c r="H2392" s="4" t="n">
        <v>50.92</v>
      </c>
      <c r="I2392" s="4" t="n">
        <v>45.49</v>
      </c>
      <c r="J2392" s="14" t="n">
        <f aca="false">E2392-D2392</f>
        <v>2</v>
      </c>
      <c r="K2392" s="14" t="n">
        <f aca="false">IF(J2392&lt;=0,1,0)</f>
        <v>0</v>
      </c>
      <c r="L2392" s="15" t="n">
        <f aca="false">IFERROR(G2392/F2392,0)</f>
        <v>0.977315689981096</v>
      </c>
      <c r="M2392" s="15" t="n">
        <f aca="false">IFERROR((I2392-H2392)/H2392,0)</f>
        <v>-0.106637863315004</v>
      </c>
      <c r="N2392" s="16" t="n">
        <f aca="false">G2392*I2392</f>
        <v>23518.33</v>
      </c>
    </row>
    <row r="2393" customFormat="false" ht="15" hidden="false" customHeight="true" outlineLevel="0" collapsed="false">
      <c r="A2393" s="4" t="s">
        <v>2569</v>
      </c>
      <c r="B2393" s="4" t="s">
        <v>109</v>
      </c>
      <c r="C2393" s="13" t="n">
        <v>45630</v>
      </c>
      <c r="D2393" s="13" t="n">
        <v>45649</v>
      </c>
      <c r="E2393" s="13" t="n">
        <v>45651</v>
      </c>
      <c r="F2393" s="4" t="n">
        <v>254</v>
      </c>
      <c r="G2393" s="4" t="n">
        <v>246</v>
      </c>
      <c r="H2393" s="4" t="n">
        <v>858.02</v>
      </c>
      <c r="I2393" s="4" t="n">
        <v>928.04</v>
      </c>
      <c r="J2393" s="14" t="n">
        <f aca="false">E2393-D2393</f>
        <v>2</v>
      </c>
      <c r="K2393" s="14" t="n">
        <f aca="false">IF(J2393&lt;=0,1,0)</f>
        <v>0</v>
      </c>
      <c r="L2393" s="15" t="n">
        <f aca="false">IFERROR(G2393/F2393,0)</f>
        <v>0.968503937007874</v>
      </c>
      <c r="M2393" s="15" t="n">
        <f aca="false">IFERROR((I2393-H2393)/H2393,0)</f>
        <v>0.0816064893592224</v>
      </c>
      <c r="N2393" s="16" t="n">
        <f aca="false">G2393*I2393</f>
        <v>228297.84</v>
      </c>
    </row>
    <row r="2394" customFormat="false" ht="15" hidden="false" customHeight="true" outlineLevel="0" collapsed="false">
      <c r="A2394" s="4" t="s">
        <v>2570</v>
      </c>
      <c r="B2394" s="4" t="s">
        <v>109</v>
      </c>
      <c r="C2394" s="13" t="n">
        <v>44971</v>
      </c>
      <c r="D2394" s="13" t="n">
        <v>44991</v>
      </c>
      <c r="E2394" s="13" t="n">
        <v>44986</v>
      </c>
      <c r="F2394" s="4" t="n">
        <v>211</v>
      </c>
      <c r="G2394" s="4" t="n">
        <v>211</v>
      </c>
      <c r="H2394" s="4" t="n">
        <v>858.02</v>
      </c>
      <c r="I2394" s="4" t="n">
        <v>858.59</v>
      </c>
      <c r="J2394" s="14" t="n">
        <f aca="false">E2394-D2394</f>
        <v>-5</v>
      </c>
      <c r="K2394" s="14" t="n">
        <f aca="false">IF(J2394&lt;=0,1,0)</f>
        <v>1</v>
      </c>
      <c r="L2394" s="15" t="n">
        <f aca="false">IFERROR(G2394/F2394,0)</f>
        <v>1</v>
      </c>
      <c r="M2394" s="15" t="n">
        <f aca="false">IFERROR((I2394-H2394)/H2394,0)</f>
        <v>0.000664320179016864</v>
      </c>
      <c r="N2394" s="16" t="n">
        <f aca="false">G2394*I2394</f>
        <v>181162.49</v>
      </c>
    </row>
    <row r="2395" customFormat="false" ht="15" hidden="false" customHeight="true" outlineLevel="0" collapsed="false">
      <c r="A2395" s="4" t="s">
        <v>2571</v>
      </c>
      <c r="B2395" s="4" t="s">
        <v>157</v>
      </c>
      <c r="C2395" s="13" t="n">
        <v>45481</v>
      </c>
      <c r="D2395" s="13" t="n">
        <v>45487</v>
      </c>
      <c r="E2395" s="13" t="n">
        <v>45490</v>
      </c>
      <c r="F2395" s="4" t="n">
        <v>2869</v>
      </c>
      <c r="G2395" s="4" t="n">
        <v>2787</v>
      </c>
      <c r="H2395" s="4" t="n">
        <v>13.1</v>
      </c>
      <c r="I2395" s="4" t="n">
        <v>13.42</v>
      </c>
      <c r="J2395" s="14" t="n">
        <f aca="false">E2395-D2395</f>
        <v>3</v>
      </c>
      <c r="K2395" s="14" t="n">
        <f aca="false">IF(J2395&lt;=0,1,0)</f>
        <v>0</v>
      </c>
      <c r="L2395" s="15" t="n">
        <f aca="false">IFERROR(G2395/F2395,0)</f>
        <v>0.971418612757058</v>
      </c>
      <c r="M2395" s="15" t="n">
        <f aca="false">IFERROR((I2395-H2395)/H2395,0)</f>
        <v>0.0244274809160306</v>
      </c>
      <c r="N2395" s="16" t="n">
        <f aca="false">G2395*I2395</f>
        <v>37401.54</v>
      </c>
    </row>
    <row r="2396" customFormat="false" ht="15" hidden="false" customHeight="true" outlineLevel="0" collapsed="false">
      <c r="A2396" s="4" t="s">
        <v>2572</v>
      </c>
      <c r="B2396" s="4" t="s">
        <v>99</v>
      </c>
      <c r="C2396" s="13" t="n">
        <v>45127</v>
      </c>
      <c r="D2396" s="13" t="n">
        <v>45136</v>
      </c>
      <c r="E2396" s="13" t="n">
        <v>45138</v>
      </c>
      <c r="F2396" s="4" t="n">
        <v>2921</v>
      </c>
      <c r="G2396" s="4" t="n">
        <v>2748</v>
      </c>
      <c r="H2396" s="4" t="n">
        <v>11.5</v>
      </c>
      <c r="I2396" s="4" t="n">
        <v>11.89</v>
      </c>
      <c r="J2396" s="14" t="n">
        <f aca="false">E2396-D2396</f>
        <v>2</v>
      </c>
      <c r="K2396" s="14" t="n">
        <f aca="false">IF(J2396&lt;=0,1,0)</f>
        <v>0</v>
      </c>
      <c r="L2396" s="15" t="n">
        <f aca="false">IFERROR(G2396/F2396,0)</f>
        <v>0.940773707634372</v>
      </c>
      <c r="M2396" s="15" t="n">
        <f aca="false">IFERROR((I2396-H2396)/H2396,0)</f>
        <v>0.0339130434782609</v>
      </c>
      <c r="N2396" s="16" t="n">
        <f aca="false">G2396*I2396</f>
        <v>32673.72</v>
      </c>
    </row>
    <row r="2397" customFormat="false" ht="15" hidden="false" customHeight="true" outlineLevel="0" collapsed="false">
      <c r="A2397" s="4" t="s">
        <v>2573</v>
      </c>
      <c r="B2397" s="4" t="s">
        <v>157</v>
      </c>
      <c r="C2397" s="13" t="n">
        <v>45445</v>
      </c>
      <c r="D2397" s="13" t="n">
        <v>45452</v>
      </c>
      <c r="E2397" s="13" t="n">
        <v>45450</v>
      </c>
      <c r="F2397" s="4" t="n">
        <v>3984</v>
      </c>
      <c r="G2397" s="4" t="n">
        <v>3822</v>
      </c>
      <c r="H2397" s="4" t="n">
        <v>13.1</v>
      </c>
      <c r="I2397" s="4" t="n">
        <v>13.9</v>
      </c>
      <c r="J2397" s="14" t="n">
        <f aca="false">E2397-D2397</f>
        <v>-2</v>
      </c>
      <c r="K2397" s="14" t="n">
        <f aca="false">IF(J2397&lt;=0,1,0)</f>
        <v>1</v>
      </c>
      <c r="L2397" s="15" t="n">
        <f aca="false">IFERROR(G2397/F2397,0)</f>
        <v>0.95933734939759</v>
      </c>
      <c r="M2397" s="15" t="n">
        <f aca="false">IFERROR((I2397-H2397)/H2397,0)</f>
        <v>0.0610687022900764</v>
      </c>
      <c r="N2397" s="16" t="n">
        <f aca="false">G2397*I2397</f>
        <v>53125.8</v>
      </c>
    </row>
    <row r="2398" customFormat="false" ht="15" hidden="false" customHeight="true" outlineLevel="0" collapsed="false">
      <c r="A2398" s="4" t="s">
        <v>2574</v>
      </c>
      <c r="B2398" s="4" t="s">
        <v>129</v>
      </c>
      <c r="C2398" s="13" t="n">
        <v>44957</v>
      </c>
      <c r="D2398" s="13" t="n">
        <v>44975</v>
      </c>
      <c r="E2398" s="13" t="n">
        <v>44977</v>
      </c>
      <c r="F2398" s="4" t="n">
        <v>122</v>
      </c>
      <c r="G2398" s="4" t="n">
        <v>120</v>
      </c>
      <c r="H2398" s="4" t="n">
        <v>709.66</v>
      </c>
      <c r="I2398" s="4" t="n">
        <v>708.79</v>
      </c>
      <c r="J2398" s="14" t="n">
        <f aca="false">E2398-D2398</f>
        <v>2</v>
      </c>
      <c r="K2398" s="14" t="n">
        <f aca="false">IF(J2398&lt;=0,1,0)</f>
        <v>0</v>
      </c>
      <c r="L2398" s="15" t="n">
        <f aca="false">IFERROR(G2398/F2398,0)</f>
        <v>0.983606557377049</v>
      </c>
      <c r="M2398" s="15" t="n">
        <f aca="false">IFERROR((I2398-H2398)/H2398,0)</f>
        <v>-0.00122593918214357</v>
      </c>
      <c r="N2398" s="16" t="n">
        <f aca="false">G2398*I2398</f>
        <v>85054.8</v>
      </c>
    </row>
    <row r="2399" customFormat="false" ht="15" hidden="false" customHeight="true" outlineLevel="0" collapsed="false">
      <c r="A2399" s="4" t="s">
        <v>2575</v>
      </c>
      <c r="B2399" s="4" t="s">
        <v>157</v>
      </c>
      <c r="C2399" s="13" t="n">
        <v>45420</v>
      </c>
      <c r="D2399" s="13" t="n">
        <v>45428</v>
      </c>
      <c r="E2399" s="13" t="n">
        <v>45425</v>
      </c>
      <c r="F2399" s="4" t="n">
        <v>2753</v>
      </c>
      <c r="G2399" s="4" t="n">
        <v>2688</v>
      </c>
      <c r="H2399" s="4" t="n">
        <v>13.1</v>
      </c>
      <c r="I2399" s="4" t="n">
        <v>13.61</v>
      </c>
      <c r="J2399" s="14" t="n">
        <f aca="false">E2399-D2399</f>
        <v>-3</v>
      </c>
      <c r="K2399" s="14" t="n">
        <f aca="false">IF(J2399&lt;=0,1,0)</f>
        <v>1</v>
      </c>
      <c r="L2399" s="15" t="n">
        <f aca="false">IFERROR(G2399/F2399,0)</f>
        <v>0.97638939338903</v>
      </c>
      <c r="M2399" s="15" t="n">
        <f aca="false">IFERROR((I2399-H2399)/H2399,0)</f>
        <v>0.0389312977099237</v>
      </c>
      <c r="N2399" s="16" t="n">
        <f aca="false">G2399*I2399</f>
        <v>36583.68</v>
      </c>
    </row>
    <row r="2400" customFormat="false" ht="15" hidden="false" customHeight="true" outlineLevel="0" collapsed="false">
      <c r="A2400" s="4" t="s">
        <v>2576</v>
      </c>
      <c r="B2400" s="4" t="s">
        <v>107</v>
      </c>
      <c r="C2400" s="13" t="n">
        <v>45599</v>
      </c>
      <c r="D2400" s="13" t="n">
        <v>45605</v>
      </c>
      <c r="E2400" s="13" t="n">
        <v>45606</v>
      </c>
      <c r="F2400" s="4" t="n">
        <v>2933</v>
      </c>
      <c r="G2400" s="4" t="n">
        <v>2911</v>
      </c>
      <c r="H2400" s="4" t="n">
        <v>40.41</v>
      </c>
      <c r="I2400" s="4" t="n">
        <v>40.05</v>
      </c>
      <c r="J2400" s="14" t="n">
        <f aca="false">E2400-D2400</f>
        <v>1</v>
      </c>
      <c r="K2400" s="14" t="n">
        <f aca="false">IF(J2400&lt;=0,1,0)</f>
        <v>0</v>
      </c>
      <c r="L2400" s="15" t="n">
        <f aca="false">IFERROR(G2400/F2400,0)</f>
        <v>0.992499147630413</v>
      </c>
      <c r="M2400" s="15" t="n">
        <f aca="false">IFERROR((I2400-H2400)/H2400,0)</f>
        <v>-0.00890868596881959</v>
      </c>
      <c r="N2400" s="16" t="n">
        <f aca="false">G2400*I2400</f>
        <v>116585.55</v>
      </c>
    </row>
    <row r="2401" customFormat="false" ht="15" hidden="false" customHeight="true" outlineLevel="0" collapsed="false">
      <c r="A2401" s="4" t="s">
        <v>2577</v>
      </c>
      <c r="B2401" s="4" t="s">
        <v>77</v>
      </c>
      <c r="C2401" s="13" t="n">
        <v>45097</v>
      </c>
      <c r="D2401" s="13" t="n">
        <v>45106</v>
      </c>
      <c r="E2401" s="13" t="n">
        <v>45116</v>
      </c>
      <c r="F2401" s="4" t="n">
        <v>2237</v>
      </c>
      <c r="G2401" s="4" t="n">
        <v>2237</v>
      </c>
      <c r="H2401" s="4" t="n">
        <v>36.83</v>
      </c>
      <c r="I2401" s="4" t="n">
        <v>36.45</v>
      </c>
      <c r="J2401" s="14" t="n">
        <f aca="false">E2401-D2401</f>
        <v>10</v>
      </c>
      <c r="K2401" s="14" t="n">
        <f aca="false">IF(J2401&lt;=0,1,0)</f>
        <v>0</v>
      </c>
      <c r="L2401" s="15" t="n">
        <f aca="false">IFERROR(G2401/F2401,0)</f>
        <v>1</v>
      </c>
      <c r="M2401" s="15" t="n">
        <f aca="false">IFERROR((I2401-H2401)/H2401,0)</f>
        <v>-0.0103176758077653</v>
      </c>
      <c r="N2401" s="16" t="n">
        <f aca="false">G2401*I2401</f>
        <v>81538.65</v>
      </c>
    </row>
    <row r="2402" customFormat="false" ht="15" hidden="false" customHeight="true" outlineLevel="0" collapsed="false">
      <c r="A2402" s="4" t="s">
        <v>2578</v>
      </c>
      <c r="B2402" s="4" t="s">
        <v>43</v>
      </c>
      <c r="C2402" s="13" t="n">
        <v>45041</v>
      </c>
      <c r="D2402" s="13" t="n">
        <v>45061</v>
      </c>
      <c r="E2402" s="13" t="n">
        <v>45064</v>
      </c>
      <c r="F2402" s="4" t="n">
        <v>70</v>
      </c>
      <c r="G2402" s="4" t="n">
        <v>69</v>
      </c>
      <c r="H2402" s="4" t="n">
        <v>1321.6</v>
      </c>
      <c r="I2402" s="4" t="n">
        <v>1317.57</v>
      </c>
      <c r="J2402" s="14" t="n">
        <f aca="false">E2402-D2402</f>
        <v>3</v>
      </c>
      <c r="K2402" s="14" t="n">
        <f aca="false">IF(J2402&lt;=0,1,0)</f>
        <v>0</v>
      </c>
      <c r="L2402" s="15" t="n">
        <f aca="false">IFERROR(G2402/F2402,0)</f>
        <v>0.985714285714286</v>
      </c>
      <c r="M2402" s="15" t="n">
        <f aca="false">IFERROR((I2402-H2402)/H2402,0)</f>
        <v>-0.00304933414043582</v>
      </c>
      <c r="N2402" s="16" t="n">
        <f aca="false">G2402*I2402</f>
        <v>90912.33</v>
      </c>
    </row>
    <row r="2403" customFormat="false" ht="15" hidden="false" customHeight="true" outlineLevel="0" collapsed="false">
      <c r="A2403" s="4" t="s">
        <v>2579</v>
      </c>
      <c r="B2403" s="4" t="s">
        <v>83</v>
      </c>
      <c r="C2403" s="13" t="n">
        <v>45469</v>
      </c>
      <c r="D2403" s="13" t="n">
        <v>45481</v>
      </c>
      <c r="E2403" s="13" t="n">
        <v>45485</v>
      </c>
      <c r="F2403" s="4" t="n">
        <v>1814</v>
      </c>
      <c r="G2403" s="4" t="n">
        <v>1803</v>
      </c>
      <c r="H2403" s="4" t="n">
        <v>101.36</v>
      </c>
      <c r="I2403" s="4" t="n">
        <v>103.78</v>
      </c>
      <c r="J2403" s="14" t="n">
        <f aca="false">E2403-D2403</f>
        <v>4</v>
      </c>
      <c r="K2403" s="14" t="n">
        <f aca="false">IF(J2403&lt;=0,1,0)</f>
        <v>0</v>
      </c>
      <c r="L2403" s="15" t="n">
        <f aca="false">IFERROR(G2403/F2403,0)</f>
        <v>0.99393605292172</v>
      </c>
      <c r="M2403" s="15" t="n">
        <f aca="false">IFERROR((I2403-H2403)/H2403,0)</f>
        <v>0.0238752959747435</v>
      </c>
      <c r="N2403" s="16" t="n">
        <f aca="false">G2403*I2403</f>
        <v>187115.34</v>
      </c>
    </row>
    <row r="2404" customFormat="false" ht="15" hidden="false" customHeight="true" outlineLevel="0" collapsed="false">
      <c r="A2404" s="4" t="s">
        <v>2580</v>
      </c>
      <c r="B2404" s="4" t="s">
        <v>68</v>
      </c>
      <c r="C2404" s="13" t="n">
        <v>45109</v>
      </c>
      <c r="D2404" s="13" t="n">
        <v>45128</v>
      </c>
      <c r="E2404" s="13" t="n">
        <v>45127</v>
      </c>
      <c r="F2404" s="4" t="n">
        <v>166</v>
      </c>
      <c r="G2404" s="4" t="n">
        <v>153</v>
      </c>
      <c r="H2404" s="4" t="n">
        <v>1232.83</v>
      </c>
      <c r="I2404" s="4" t="n">
        <v>1232.07</v>
      </c>
      <c r="J2404" s="14" t="n">
        <f aca="false">E2404-D2404</f>
        <v>-1</v>
      </c>
      <c r="K2404" s="14" t="n">
        <f aca="false">IF(J2404&lt;=0,1,0)</f>
        <v>1</v>
      </c>
      <c r="L2404" s="15" t="n">
        <f aca="false">IFERROR(G2404/F2404,0)</f>
        <v>0.921686746987952</v>
      </c>
      <c r="M2404" s="15" t="n">
        <f aca="false">IFERROR((I2404-H2404)/H2404,0)</f>
        <v>-0.00061646780172448</v>
      </c>
      <c r="N2404" s="16" t="n">
        <f aca="false">G2404*I2404</f>
        <v>188506.71</v>
      </c>
    </row>
    <row r="2405" customFormat="false" ht="15" hidden="false" customHeight="true" outlineLevel="0" collapsed="false">
      <c r="A2405" s="4" t="s">
        <v>2581</v>
      </c>
      <c r="B2405" s="4" t="s">
        <v>70</v>
      </c>
      <c r="C2405" s="13" t="n">
        <v>45538</v>
      </c>
      <c r="D2405" s="13" t="n">
        <v>45544</v>
      </c>
      <c r="E2405" s="13" t="n">
        <v>45546</v>
      </c>
      <c r="F2405" s="4" t="n">
        <v>928</v>
      </c>
      <c r="G2405" s="4" t="n">
        <v>873</v>
      </c>
      <c r="H2405" s="4" t="n">
        <v>35.88</v>
      </c>
      <c r="I2405" s="4" t="n">
        <v>38.17</v>
      </c>
      <c r="J2405" s="14" t="n">
        <f aca="false">E2405-D2405</f>
        <v>2</v>
      </c>
      <c r="K2405" s="14" t="n">
        <f aca="false">IF(J2405&lt;=0,1,0)</f>
        <v>0</v>
      </c>
      <c r="L2405" s="15" t="n">
        <f aca="false">IFERROR(G2405/F2405,0)</f>
        <v>0.94073275862069</v>
      </c>
      <c r="M2405" s="15" t="n">
        <f aca="false">IFERROR((I2405-H2405)/H2405,0)</f>
        <v>0.0638238573021182</v>
      </c>
      <c r="N2405" s="16" t="n">
        <f aca="false">G2405*I2405</f>
        <v>33322.41</v>
      </c>
    </row>
    <row r="2406" customFormat="false" ht="15" hidden="false" customHeight="true" outlineLevel="0" collapsed="false">
      <c r="A2406" s="4" t="s">
        <v>2582</v>
      </c>
      <c r="B2406" s="4" t="s">
        <v>113</v>
      </c>
      <c r="C2406" s="13" t="n">
        <v>45012</v>
      </c>
      <c r="D2406" s="13" t="n">
        <v>45021</v>
      </c>
      <c r="E2406" s="13" t="n">
        <v>45022</v>
      </c>
      <c r="F2406" s="4" t="n">
        <v>1304</v>
      </c>
      <c r="G2406" s="4" t="n">
        <v>1285</v>
      </c>
      <c r="H2406" s="4" t="n">
        <v>170.42</v>
      </c>
      <c r="I2406" s="4" t="n">
        <v>168.54</v>
      </c>
      <c r="J2406" s="14" t="n">
        <f aca="false">E2406-D2406</f>
        <v>1</v>
      </c>
      <c r="K2406" s="14" t="n">
        <f aca="false">IF(J2406&lt;=0,1,0)</f>
        <v>0</v>
      </c>
      <c r="L2406" s="15" t="n">
        <f aca="false">IFERROR(G2406/F2406,0)</f>
        <v>0.985429447852761</v>
      </c>
      <c r="M2406" s="15" t="n">
        <f aca="false">IFERROR((I2406-H2406)/H2406,0)</f>
        <v>-0.0110315690646637</v>
      </c>
      <c r="N2406" s="16" t="n">
        <f aca="false">G2406*I2406</f>
        <v>216573.9</v>
      </c>
    </row>
    <row r="2407" customFormat="false" ht="15" hidden="false" customHeight="true" outlineLevel="0" collapsed="false">
      <c r="A2407" s="4" t="s">
        <v>2583</v>
      </c>
      <c r="B2407" s="4" t="s">
        <v>41</v>
      </c>
      <c r="C2407" s="13" t="n">
        <v>45243</v>
      </c>
      <c r="D2407" s="13" t="n">
        <v>45251</v>
      </c>
      <c r="E2407" s="13" t="n">
        <v>45252</v>
      </c>
      <c r="F2407" s="4" t="n">
        <v>3583</v>
      </c>
      <c r="G2407" s="4" t="n">
        <v>3583</v>
      </c>
      <c r="H2407" s="4" t="n">
        <v>45.51</v>
      </c>
      <c r="I2407" s="4" t="n">
        <v>44.82</v>
      </c>
      <c r="J2407" s="14" t="n">
        <f aca="false">E2407-D2407</f>
        <v>1</v>
      </c>
      <c r="K2407" s="14" t="n">
        <f aca="false">IF(J2407&lt;=0,1,0)</f>
        <v>0</v>
      </c>
      <c r="L2407" s="15" t="n">
        <f aca="false">IFERROR(G2407/F2407,0)</f>
        <v>1</v>
      </c>
      <c r="M2407" s="15" t="n">
        <f aca="false">IFERROR((I2407-H2407)/H2407,0)</f>
        <v>-0.015161502966381</v>
      </c>
      <c r="N2407" s="16" t="n">
        <f aca="false">G2407*I2407</f>
        <v>160590.06</v>
      </c>
    </row>
    <row r="2408" customFormat="false" ht="15" hidden="false" customHeight="true" outlineLevel="0" collapsed="false">
      <c r="A2408" s="4" t="s">
        <v>2584</v>
      </c>
      <c r="B2408" s="4" t="s">
        <v>81</v>
      </c>
      <c r="C2408" s="13" t="n">
        <v>45270</v>
      </c>
      <c r="D2408" s="13" t="n">
        <v>45275</v>
      </c>
      <c r="E2408" s="13" t="n">
        <v>45280</v>
      </c>
      <c r="F2408" s="4" t="n">
        <v>1</v>
      </c>
      <c r="G2408" s="4" t="n">
        <v>1</v>
      </c>
      <c r="H2408" s="4" t="n">
        <v>697.63</v>
      </c>
      <c r="I2408" s="4" t="n">
        <v>686.14</v>
      </c>
      <c r="J2408" s="14" t="n">
        <f aca="false">E2408-D2408</f>
        <v>5</v>
      </c>
      <c r="K2408" s="14" t="n">
        <f aca="false">IF(J2408&lt;=0,1,0)</f>
        <v>0</v>
      </c>
      <c r="L2408" s="15" t="n">
        <f aca="false">IFERROR(G2408/F2408,0)</f>
        <v>1</v>
      </c>
      <c r="M2408" s="15" t="n">
        <f aca="false">IFERROR((I2408-H2408)/H2408,0)</f>
        <v>-0.0164700485930938</v>
      </c>
      <c r="N2408" s="16" t="n">
        <f aca="false">G2408*I2408</f>
        <v>686.14</v>
      </c>
    </row>
    <row r="2409" customFormat="false" ht="15" hidden="false" customHeight="true" outlineLevel="0" collapsed="false">
      <c r="A2409" s="4" t="s">
        <v>2585</v>
      </c>
      <c r="B2409" s="4" t="s">
        <v>87</v>
      </c>
      <c r="C2409" s="13" t="n">
        <v>45278</v>
      </c>
      <c r="D2409" s="13" t="n">
        <v>45287</v>
      </c>
      <c r="E2409" s="13" t="n">
        <v>45284</v>
      </c>
      <c r="F2409" s="4" t="n">
        <v>1491</v>
      </c>
      <c r="G2409" s="4" t="n">
        <v>1324</v>
      </c>
      <c r="H2409" s="4" t="n">
        <v>161.95</v>
      </c>
      <c r="I2409" s="4" t="n">
        <v>180.66</v>
      </c>
      <c r="J2409" s="14" t="n">
        <f aca="false">E2409-D2409</f>
        <v>-3</v>
      </c>
      <c r="K2409" s="14" t="n">
        <f aca="false">IF(J2409&lt;=0,1,0)</f>
        <v>1</v>
      </c>
      <c r="L2409" s="15" t="n">
        <f aca="false">IFERROR(G2409/F2409,0)</f>
        <v>0.887994634473508</v>
      </c>
      <c r="M2409" s="15" t="n">
        <f aca="false">IFERROR((I2409-H2409)/H2409,0)</f>
        <v>0.115529484408768</v>
      </c>
      <c r="N2409" s="16" t="n">
        <f aca="false">G2409*I2409</f>
        <v>239193.84</v>
      </c>
    </row>
    <row r="2410" customFormat="false" ht="15" hidden="false" customHeight="true" outlineLevel="0" collapsed="false">
      <c r="A2410" s="4" t="s">
        <v>2586</v>
      </c>
      <c r="B2410" s="4" t="s">
        <v>97</v>
      </c>
      <c r="C2410" s="13" t="n">
        <v>45274</v>
      </c>
      <c r="D2410" s="13" t="n">
        <v>45286</v>
      </c>
      <c r="E2410" s="13" t="n">
        <v>45288</v>
      </c>
      <c r="F2410" s="4" t="n">
        <v>863</v>
      </c>
      <c r="G2410" s="4" t="n">
        <v>863</v>
      </c>
      <c r="H2410" s="4" t="n">
        <v>123.04</v>
      </c>
      <c r="I2410" s="4" t="n">
        <v>123.59</v>
      </c>
      <c r="J2410" s="14" t="n">
        <f aca="false">E2410-D2410</f>
        <v>2</v>
      </c>
      <c r="K2410" s="14" t="n">
        <f aca="false">IF(J2410&lt;=0,1,0)</f>
        <v>0</v>
      </c>
      <c r="L2410" s="15" t="n">
        <f aca="false">IFERROR(G2410/F2410,0)</f>
        <v>1</v>
      </c>
      <c r="M2410" s="15" t="n">
        <f aca="false">IFERROR((I2410-H2410)/H2410,0)</f>
        <v>0.00447009102730817</v>
      </c>
      <c r="N2410" s="16" t="n">
        <f aca="false">G2410*I2410</f>
        <v>106658.17</v>
      </c>
    </row>
    <row r="2411" customFormat="false" ht="15" hidden="false" customHeight="true" outlineLevel="0" collapsed="false">
      <c r="A2411" s="4" t="s">
        <v>2587</v>
      </c>
      <c r="B2411" s="4" t="s">
        <v>129</v>
      </c>
      <c r="C2411" s="13" t="n">
        <v>45503</v>
      </c>
      <c r="D2411" s="13" t="n">
        <v>45520</v>
      </c>
      <c r="E2411" s="13" t="n">
        <v>45522</v>
      </c>
      <c r="F2411" s="4" t="n">
        <v>61</v>
      </c>
      <c r="G2411" s="4" t="n">
        <v>60</v>
      </c>
      <c r="H2411" s="4" t="n">
        <v>709.66</v>
      </c>
      <c r="I2411" s="4" t="n">
        <v>712.09</v>
      </c>
      <c r="J2411" s="14" t="n">
        <f aca="false">E2411-D2411</f>
        <v>2</v>
      </c>
      <c r="K2411" s="14" t="n">
        <f aca="false">IF(J2411&lt;=0,1,0)</f>
        <v>0</v>
      </c>
      <c r="L2411" s="15" t="n">
        <f aca="false">IFERROR(G2411/F2411,0)</f>
        <v>0.983606557377049</v>
      </c>
      <c r="M2411" s="15" t="n">
        <f aca="false">IFERROR((I2411-H2411)/H2411,0)</f>
        <v>0.00342417495702176</v>
      </c>
      <c r="N2411" s="16" t="n">
        <f aca="false">G2411*I2411</f>
        <v>42725.4</v>
      </c>
    </row>
    <row r="2412" customFormat="false" ht="15" hidden="false" customHeight="true" outlineLevel="0" collapsed="false">
      <c r="A2412" s="4" t="s">
        <v>2588</v>
      </c>
      <c r="B2412" s="4" t="s">
        <v>147</v>
      </c>
      <c r="C2412" s="13" t="n">
        <v>45121</v>
      </c>
      <c r="D2412" s="13" t="n">
        <v>45134</v>
      </c>
      <c r="E2412" s="13" t="n">
        <v>45135</v>
      </c>
      <c r="F2412" s="4" t="n">
        <v>217</v>
      </c>
      <c r="G2412" s="4" t="n">
        <v>217</v>
      </c>
      <c r="H2412" s="4" t="n">
        <v>203.3</v>
      </c>
      <c r="I2412" s="4" t="n">
        <v>209.21</v>
      </c>
      <c r="J2412" s="14" t="n">
        <f aca="false">E2412-D2412</f>
        <v>1</v>
      </c>
      <c r="K2412" s="14" t="n">
        <f aca="false">IF(J2412&lt;=0,1,0)</f>
        <v>0</v>
      </c>
      <c r="L2412" s="15" t="n">
        <f aca="false">IFERROR(G2412/F2412,0)</f>
        <v>1</v>
      </c>
      <c r="M2412" s="15" t="n">
        <f aca="false">IFERROR((I2412-H2412)/H2412,0)</f>
        <v>0.0290703393999016</v>
      </c>
      <c r="N2412" s="16" t="n">
        <f aca="false">G2412*I2412</f>
        <v>45398.57</v>
      </c>
    </row>
    <row r="2413" customFormat="false" ht="15" hidden="false" customHeight="true" outlineLevel="0" collapsed="false">
      <c r="A2413" s="4" t="s">
        <v>2589</v>
      </c>
      <c r="B2413" s="4" t="s">
        <v>37</v>
      </c>
      <c r="C2413" s="13" t="n">
        <v>45381</v>
      </c>
      <c r="D2413" s="13" t="n">
        <v>45388</v>
      </c>
      <c r="E2413" s="13" t="n">
        <v>45390</v>
      </c>
      <c r="F2413" s="4" t="n">
        <v>4873</v>
      </c>
      <c r="G2413" s="4" t="n">
        <v>4873</v>
      </c>
      <c r="H2413" s="4" t="n">
        <v>22.26</v>
      </c>
      <c r="I2413" s="4" t="n">
        <v>21.21</v>
      </c>
      <c r="J2413" s="14" t="n">
        <f aca="false">E2413-D2413</f>
        <v>2</v>
      </c>
      <c r="K2413" s="14" t="n">
        <f aca="false">IF(J2413&lt;=0,1,0)</f>
        <v>0</v>
      </c>
      <c r="L2413" s="15" t="n">
        <f aca="false">IFERROR(G2413/F2413,0)</f>
        <v>1</v>
      </c>
      <c r="M2413" s="15" t="n">
        <f aca="false">IFERROR((I2413-H2413)/H2413,0)</f>
        <v>-0.0471698113207548</v>
      </c>
      <c r="N2413" s="16" t="n">
        <f aca="false">G2413*I2413</f>
        <v>103356.33</v>
      </c>
    </row>
    <row r="2414" customFormat="false" ht="15" hidden="false" customHeight="true" outlineLevel="0" collapsed="false">
      <c r="A2414" s="4" t="s">
        <v>2590</v>
      </c>
      <c r="B2414" s="4" t="s">
        <v>50</v>
      </c>
      <c r="C2414" s="13" t="n">
        <v>45307</v>
      </c>
      <c r="D2414" s="13" t="n">
        <v>45327</v>
      </c>
      <c r="E2414" s="13" t="n">
        <v>45325</v>
      </c>
      <c r="F2414" s="4" t="n">
        <v>218</v>
      </c>
      <c r="G2414" s="4" t="n">
        <v>205</v>
      </c>
      <c r="H2414" s="4" t="n">
        <v>707.19</v>
      </c>
      <c r="I2414" s="4" t="n">
        <v>746.29</v>
      </c>
      <c r="J2414" s="14" t="n">
        <f aca="false">E2414-D2414</f>
        <v>-2</v>
      </c>
      <c r="K2414" s="14" t="n">
        <f aca="false">IF(J2414&lt;=0,1,0)</f>
        <v>1</v>
      </c>
      <c r="L2414" s="15" t="n">
        <f aca="false">IFERROR(G2414/F2414,0)</f>
        <v>0.940366972477064</v>
      </c>
      <c r="M2414" s="15" t="n">
        <f aca="false">IFERROR((I2414-H2414)/H2414,0)</f>
        <v>0.0552892433433729</v>
      </c>
      <c r="N2414" s="16" t="n">
        <f aca="false">G2414*I2414</f>
        <v>152989.45</v>
      </c>
    </row>
    <row r="2415" customFormat="false" ht="15" hidden="false" customHeight="true" outlineLevel="0" collapsed="false">
      <c r="A2415" s="4" t="s">
        <v>2591</v>
      </c>
      <c r="B2415" s="4" t="s">
        <v>135</v>
      </c>
      <c r="C2415" s="13" t="n">
        <v>45559</v>
      </c>
      <c r="D2415" s="13" t="n">
        <v>45572</v>
      </c>
      <c r="E2415" s="13" t="n">
        <v>45573</v>
      </c>
      <c r="F2415" s="4" t="n">
        <v>226</v>
      </c>
      <c r="G2415" s="4" t="n">
        <v>220</v>
      </c>
      <c r="H2415" s="4" t="n">
        <v>328.06</v>
      </c>
      <c r="I2415" s="4" t="n">
        <v>316.39</v>
      </c>
      <c r="J2415" s="14" t="n">
        <f aca="false">E2415-D2415</f>
        <v>1</v>
      </c>
      <c r="K2415" s="14" t="n">
        <f aca="false">IF(J2415&lt;=0,1,0)</f>
        <v>0</v>
      </c>
      <c r="L2415" s="15" t="n">
        <f aca="false">IFERROR(G2415/F2415,0)</f>
        <v>0.973451327433628</v>
      </c>
      <c r="M2415" s="15" t="n">
        <f aca="false">IFERROR((I2415-H2415)/H2415,0)</f>
        <v>-0.0355727610802902</v>
      </c>
      <c r="N2415" s="16" t="n">
        <f aca="false">G2415*I2415</f>
        <v>69605.8</v>
      </c>
    </row>
    <row r="2416" customFormat="false" ht="15" hidden="false" customHeight="true" outlineLevel="0" collapsed="false">
      <c r="A2416" s="4" t="s">
        <v>2592</v>
      </c>
      <c r="B2416" s="4" t="s">
        <v>89</v>
      </c>
      <c r="C2416" s="13" t="n">
        <v>45172</v>
      </c>
      <c r="D2416" s="13" t="n">
        <v>45177</v>
      </c>
      <c r="E2416" s="13" t="n">
        <v>45180</v>
      </c>
      <c r="F2416" s="4" t="n">
        <v>9</v>
      </c>
      <c r="G2416" s="4" t="n">
        <v>8</v>
      </c>
      <c r="H2416" s="4" t="n">
        <v>1929.81</v>
      </c>
      <c r="I2416" s="4" t="n">
        <v>1942.15</v>
      </c>
      <c r="J2416" s="14" t="n">
        <f aca="false">E2416-D2416</f>
        <v>3</v>
      </c>
      <c r="K2416" s="14" t="n">
        <f aca="false">IF(J2416&lt;=0,1,0)</f>
        <v>0</v>
      </c>
      <c r="L2416" s="15" t="n">
        <f aca="false">IFERROR(G2416/F2416,0)</f>
        <v>0.888888888888889</v>
      </c>
      <c r="M2416" s="15" t="n">
        <f aca="false">IFERROR((I2416-H2416)/H2416,0)</f>
        <v>0.00639441188510794</v>
      </c>
      <c r="N2416" s="16" t="n">
        <f aca="false">G2416*I2416</f>
        <v>15537.2</v>
      </c>
    </row>
    <row r="2417" customFormat="false" ht="15" hidden="false" customHeight="true" outlineLevel="0" collapsed="false">
      <c r="A2417" s="4" t="s">
        <v>2593</v>
      </c>
      <c r="B2417" s="4" t="s">
        <v>52</v>
      </c>
      <c r="C2417" s="13" t="n">
        <v>45406</v>
      </c>
      <c r="D2417" s="13" t="n">
        <v>45416</v>
      </c>
      <c r="E2417" s="13" t="n">
        <v>45421</v>
      </c>
      <c r="F2417" s="4" t="n">
        <v>255</v>
      </c>
      <c r="G2417" s="4" t="n">
        <v>214</v>
      </c>
      <c r="H2417" s="4" t="n">
        <v>170.24</v>
      </c>
      <c r="I2417" s="4" t="n">
        <v>178.26</v>
      </c>
      <c r="J2417" s="14" t="n">
        <f aca="false">E2417-D2417</f>
        <v>5</v>
      </c>
      <c r="K2417" s="14" t="n">
        <f aca="false">IF(J2417&lt;=0,1,0)</f>
        <v>0</v>
      </c>
      <c r="L2417" s="15" t="n">
        <f aca="false">IFERROR(G2417/F2417,0)</f>
        <v>0.83921568627451</v>
      </c>
      <c r="M2417" s="15" t="n">
        <f aca="false">IFERROR((I2417-H2417)/H2417,0)</f>
        <v>0.0471099624060149</v>
      </c>
      <c r="N2417" s="16" t="n">
        <f aca="false">G2417*I2417</f>
        <v>38147.64</v>
      </c>
    </row>
    <row r="2418" customFormat="false" ht="15" hidden="false" customHeight="true" outlineLevel="0" collapsed="false">
      <c r="A2418" s="4" t="s">
        <v>2594</v>
      </c>
      <c r="B2418" s="4" t="s">
        <v>157</v>
      </c>
      <c r="C2418" s="13" t="n">
        <v>45148</v>
      </c>
      <c r="D2418" s="13" t="n">
        <v>45156</v>
      </c>
      <c r="E2418" s="13" t="n">
        <v>45160</v>
      </c>
      <c r="F2418" s="4" t="n">
        <v>3021</v>
      </c>
      <c r="G2418" s="4" t="n">
        <v>2899</v>
      </c>
      <c r="H2418" s="4" t="n">
        <v>13.1</v>
      </c>
      <c r="I2418" s="4" t="n">
        <v>13.43</v>
      </c>
      <c r="J2418" s="14" t="n">
        <f aca="false">E2418-D2418</f>
        <v>4</v>
      </c>
      <c r="K2418" s="14" t="n">
        <f aca="false">IF(J2418&lt;=0,1,0)</f>
        <v>0</v>
      </c>
      <c r="L2418" s="15" t="n">
        <f aca="false">IFERROR(G2418/F2418,0)</f>
        <v>0.959616021185038</v>
      </c>
      <c r="M2418" s="15" t="n">
        <f aca="false">IFERROR((I2418-H2418)/H2418,0)</f>
        <v>0.0251908396946565</v>
      </c>
      <c r="N2418" s="16" t="n">
        <f aca="false">G2418*I2418</f>
        <v>38933.57</v>
      </c>
    </row>
    <row r="2419" customFormat="false" ht="15" hidden="false" customHeight="true" outlineLevel="0" collapsed="false">
      <c r="A2419" s="4" t="s">
        <v>2595</v>
      </c>
      <c r="B2419" s="4" t="s">
        <v>155</v>
      </c>
      <c r="C2419" s="13" t="n">
        <v>45089</v>
      </c>
      <c r="D2419" s="13" t="n">
        <v>45095</v>
      </c>
      <c r="E2419" s="13" t="n">
        <v>45091</v>
      </c>
      <c r="F2419" s="4" t="n">
        <v>4481</v>
      </c>
      <c r="G2419" s="4" t="n">
        <v>4258</v>
      </c>
      <c r="H2419" s="4" t="n">
        <v>24.04</v>
      </c>
      <c r="I2419" s="4" t="n">
        <v>23.3</v>
      </c>
      <c r="J2419" s="14" t="n">
        <f aca="false">E2419-D2419</f>
        <v>-4</v>
      </c>
      <c r="K2419" s="14" t="n">
        <f aca="false">IF(J2419&lt;=0,1,0)</f>
        <v>1</v>
      </c>
      <c r="L2419" s="15" t="n">
        <f aca="false">IFERROR(G2419/F2419,0)</f>
        <v>0.950234322695827</v>
      </c>
      <c r="M2419" s="15" t="n">
        <f aca="false">IFERROR((I2419-H2419)/H2419,0)</f>
        <v>-0.0307820299500831</v>
      </c>
      <c r="N2419" s="16" t="n">
        <f aca="false">G2419*I2419</f>
        <v>99211.4</v>
      </c>
    </row>
    <row r="2420" customFormat="false" ht="15" hidden="false" customHeight="true" outlineLevel="0" collapsed="false">
      <c r="A2420" s="4" t="s">
        <v>2596</v>
      </c>
      <c r="B2420" s="4" t="s">
        <v>74</v>
      </c>
      <c r="C2420" s="13" t="n">
        <v>45076</v>
      </c>
      <c r="D2420" s="13" t="n">
        <v>45080</v>
      </c>
      <c r="E2420" s="13" t="n">
        <v>45080</v>
      </c>
      <c r="F2420" s="4" t="n">
        <v>3</v>
      </c>
      <c r="G2420" s="4" t="n">
        <v>3</v>
      </c>
      <c r="H2420" s="4" t="n">
        <v>1294.62</v>
      </c>
      <c r="I2420" s="4" t="n">
        <v>1320.4</v>
      </c>
      <c r="J2420" s="14" t="n">
        <f aca="false">E2420-D2420</f>
        <v>0</v>
      </c>
      <c r="K2420" s="14" t="n">
        <f aca="false">IF(J2420&lt;=0,1,0)</f>
        <v>1</v>
      </c>
      <c r="L2420" s="15" t="n">
        <f aca="false">IFERROR(G2420/F2420,0)</f>
        <v>1</v>
      </c>
      <c r="M2420" s="15" t="n">
        <f aca="false">IFERROR((I2420-H2420)/H2420,0)</f>
        <v>0.0199131791568184</v>
      </c>
      <c r="N2420" s="16" t="n">
        <f aca="false">G2420*I2420</f>
        <v>3961.2</v>
      </c>
    </row>
    <row r="2421" customFormat="false" ht="15" hidden="false" customHeight="true" outlineLevel="0" collapsed="false">
      <c r="A2421" s="4" t="s">
        <v>2597</v>
      </c>
      <c r="B2421" s="4" t="s">
        <v>83</v>
      </c>
      <c r="C2421" s="13" t="n">
        <v>45541</v>
      </c>
      <c r="D2421" s="13" t="n">
        <v>45550</v>
      </c>
      <c r="E2421" s="13" t="n">
        <v>45553</v>
      </c>
      <c r="F2421" s="4" t="n">
        <v>954</v>
      </c>
      <c r="G2421" s="4" t="n">
        <v>918</v>
      </c>
      <c r="H2421" s="4" t="n">
        <v>101.36</v>
      </c>
      <c r="I2421" s="4" t="n">
        <v>106.5</v>
      </c>
      <c r="J2421" s="14" t="n">
        <f aca="false">E2421-D2421</f>
        <v>3</v>
      </c>
      <c r="K2421" s="14" t="n">
        <f aca="false">IF(J2421&lt;=0,1,0)</f>
        <v>0</v>
      </c>
      <c r="L2421" s="15" t="n">
        <f aca="false">IFERROR(G2421/F2421,0)</f>
        <v>0.962264150943396</v>
      </c>
      <c r="M2421" s="15" t="n">
        <f aca="false">IFERROR((I2421-H2421)/H2421,0)</f>
        <v>0.0507103393843725</v>
      </c>
      <c r="N2421" s="16" t="n">
        <f aca="false">G2421*I2421</f>
        <v>97767</v>
      </c>
    </row>
    <row r="2422" customFormat="false" ht="15" hidden="false" customHeight="true" outlineLevel="0" collapsed="false">
      <c r="A2422" s="4" t="s">
        <v>2598</v>
      </c>
      <c r="B2422" s="4" t="s">
        <v>157</v>
      </c>
      <c r="C2422" s="13" t="n">
        <v>45352</v>
      </c>
      <c r="D2422" s="13" t="n">
        <v>45358</v>
      </c>
      <c r="E2422" s="13" t="n">
        <v>45360</v>
      </c>
      <c r="F2422" s="4" t="n">
        <v>4347</v>
      </c>
      <c r="G2422" s="4" t="n">
        <v>4005</v>
      </c>
      <c r="H2422" s="4" t="n">
        <v>13.1</v>
      </c>
      <c r="I2422" s="4" t="n">
        <v>13.62</v>
      </c>
      <c r="J2422" s="14" t="n">
        <f aca="false">E2422-D2422</f>
        <v>2</v>
      </c>
      <c r="K2422" s="14" t="n">
        <f aca="false">IF(J2422&lt;=0,1,0)</f>
        <v>0</v>
      </c>
      <c r="L2422" s="15" t="n">
        <f aca="false">IFERROR(G2422/F2422,0)</f>
        <v>0.921325051759834</v>
      </c>
      <c r="M2422" s="15" t="n">
        <f aca="false">IFERROR((I2422-H2422)/H2422,0)</f>
        <v>0.0396946564885496</v>
      </c>
      <c r="N2422" s="16" t="n">
        <f aca="false">G2422*I2422</f>
        <v>54548.1</v>
      </c>
    </row>
    <row r="2423" customFormat="false" ht="15" hidden="false" customHeight="true" outlineLevel="0" collapsed="false">
      <c r="A2423" s="4" t="s">
        <v>2599</v>
      </c>
      <c r="B2423" s="4" t="s">
        <v>161</v>
      </c>
      <c r="C2423" s="13" t="n">
        <v>45530</v>
      </c>
      <c r="D2423" s="13" t="n">
        <v>45539</v>
      </c>
      <c r="E2423" s="13" t="n">
        <v>45544</v>
      </c>
      <c r="F2423" s="4" t="n">
        <v>1519</v>
      </c>
      <c r="G2423" s="4" t="n">
        <v>1474</v>
      </c>
      <c r="H2423" s="4" t="n">
        <v>101.94</v>
      </c>
      <c r="I2423" s="4" t="n">
        <v>114.2</v>
      </c>
      <c r="J2423" s="14" t="n">
        <f aca="false">E2423-D2423</f>
        <v>5</v>
      </c>
      <c r="K2423" s="14" t="n">
        <f aca="false">IF(J2423&lt;=0,1,0)</f>
        <v>0</v>
      </c>
      <c r="L2423" s="15" t="n">
        <f aca="false">IFERROR(G2423/F2423,0)</f>
        <v>0.970375246872943</v>
      </c>
      <c r="M2423" s="15" t="n">
        <f aca="false">IFERROR((I2423-H2423)/H2423,0)</f>
        <v>0.120266823621738</v>
      </c>
      <c r="N2423" s="16" t="n">
        <f aca="false">G2423*I2423</f>
        <v>168330.8</v>
      </c>
    </row>
    <row r="2424" customFormat="false" ht="15" hidden="false" customHeight="true" outlineLevel="0" collapsed="false">
      <c r="A2424" s="4" t="s">
        <v>2600</v>
      </c>
      <c r="B2424" s="4" t="s">
        <v>129</v>
      </c>
      <c r="C2424" s="13" t="n">
        <v>45392</v>
      </c>
      <c r="D2424" s="13" t="n">
        <v>45410</v>
      </c>
      <c r="E2424" s="13" t="n">
        <v>45408</v>
      </c>
      <c r="F2424" s="4" t="n">
        <v>164</v>
      </c>
      <c r="G2424" s="4" t="n">
        <v>158</v>
      </c>
      <c r="H2424" s="4" t="n">
        <v>709.66</v>
      </c>
      <c r="I2424" s="4" t="n">
        <v>732.87</v>
      </c>
      <c r="J2424" s="14" t="n">
        <f aca="false">E2424-D2424</f>
        <v>-2</v>
      </c>
      <c r="K2424" s="14" t="n">
        <f aca="false">IF(J2424&lt;=0,1,0)</f>
        <v>1</v>
      </c>
      <c r="L2424" s="15" t="n">
        <f aca="false">IFERROR(G2424/F2424,0)</f>
        <v>0.963414634146341</v>
      </c>
      <c r="M2424" s="15" t="n">
        <f aca="false">IFERROR((I2424-H2424)/H2424,0)</f>
        <v>0.0327058027787955</v>
      </c>
      <c r="N2424" s="16" t="n">
        <f aca="false">G2424*I2424</f>
        <v>115793.46</v>
      </c>
    </row>
    <row r="2425" customFormat="false" ht="15" hidden="false" customHeight="true" outlineLevel="0" collapsed="false">
      <c r="A2425" s="4" t="s">
        <v>2601</v>
      </c>
      <c r="B2425" s="4" t="s">
        <v>109</v>
      </c>
      <c r="C2425" s="13" t="n">
        <v>44933</v>
      </c>
      <c r="D2425" s="13" t="n">
        <v>44952</v>
      </c>
      <c r="E2425" s="13" t="n">
        <v>44950</v>
      </c>
      <c r="F2425" s="4" t="n">
        <v>285</v>
      </c>
      <c r="G2425" s="4" t="n">
        <v>281</v>
      </c>
      <c r="H2425" s="4" t="n">
        <v>858.02</v>
      </c>
      <c r="I2425" s="4" t="n">
        <v>869.59</v>
      </c>
      <c r="J2425" s="14" t="n">
        <f aca="false">E2425-D2425</f>
        <v>-2</v>
      </c>
      <c r="K2425" s="14" t="n">
        <f aca="false">IF(J2425&lt;=0,1,0)</f>
        <v>1</v>
      </c>
      <c r="L2425" s="15" t="n">
        <f aca="false">IFERROR(G2425/F2425,0)</f>
        <v>0.985964912280702</v>
      </c>
      <c r="M2425" s="15" t="n">
        <f aca="false">IFERROR((I2425-H2425)/H2425,0)</f>
        <v>0.0134845341600429</v>
      </c>
      <c r="N2425" s="16" t="n">
        <f aca="false">G2425*I2425</f>
        <v>244354.79</v>
      </c>
    </row>
    <row r="2426" customFormat="false" ht="15" hidden="false" customHeight="true" outlineLevel="0" collapsed="false">
      <c r="A2426" s="4" t="s">
        <v>2602</v>
      </c>
      <c r="B2426" s="4" t="s">
        <v>107</v>
      </c>
      <c r="C2426" s="13" t="n">
        <v>45645</v>
      </c>
      <c r="D2426" s="13" t="n">
        <v>45653</v>
      </c>
      <c r="E2426" s="13" t="n">
        <v>45658</v>
      </c>
      <c r="F2426" s="4" t="n">
        <v>3678</v>
      </c>
      <c r="G2426" s="4" t="n">
        <v>3678</v>
      </c>
      <c r="H2426" s="4" t="n">
        <v>40.41</v>
      </c>
      <c r="I2426" s="4" t="n">
        <v>41.04</v>
      </c>
      <c r="J2426" s="14" t="n">
        <f aca="false">E2426-D2426</f>
        <v>5</v>
      </c>
      <c r="K2426" s="14" t="n">
        <f aca="false">IF(J2426&lt;=0,1,0)</f>
        <v>0</v>
      </c>
      <c r="L2426" s="15" t="n">
        <f aca="false">IFERROR(G2426/F2426,0)</f>
        <v>1</v>
      </c>
      <c r="M2426" s="15" t="n">
        <f aca="false">IFERROR((I2426-H2426)/H2426,0)</f>
        <v>0.0155902004454344</v>
      </c>
      <c r="N2426" s="16" t="n">
        <f aca="false">G2426*I2426</f>
        <v>150945.12</v>
      </c>
    </row>
    <row r="2427" customFormat="false" ht="15" hidden="false" customHeight="true" outlineLevel="0" collapsed="false">
      <c r="A2427" s="4" t="s">
        <v>2603</v>
      </c>
      <c r="B2427" s="4" t="s">
        <v>95</v>
      </c>
      <c r="C2427" s="13" t="n">
        <v>45408</v>
      </c>
      <c r="D2427" s="13" t="n">
        <v>45416</v>
      </c>
      <c r="E2427" s="13" t="n">
        <v>45412</v>
      </c>
      <c r="F2427" s="4" t="n">
        <v>1492</v>
      </c>
      <c r="G2427" s="4" t="n">
        <v>1461</v>
      </c>
      <c r="H2427" s="4" t="n">
        <v>20.39</v>
      </c>
      <c r="I2427" s="4" t="n">
        <v>21.27</v>
      </c>
      <c r="J2427" s="14" t="n">
        <f aca="false">E2427-D2427</f>
        <v>-4</v>
      </c>
      <c r="K2427" s="14" t="n">
        <f aca="false">IF(J2427&lt;=0,1,0)</f>
        <v>1</v>
      </c>
      <c r="L2427" s="15" t="n">
        <f aca="false">IFERROR(G2427/F2427,0)</f>
        <v>0.979222520107239</v>
      </c>
      <c r="M2427" s="15" t="n">
        <f aca="false">IFERROR((I2427-H2427)/H2427,0)</f>
        <v>0.0431584109857773</v>
      </c>
      <c r="N2427" s="16" t="n">
        <f aca="false">G2427*I2427</f>
        <v>31075.47</v>
      </c>
    </row>
    <row r="2428" customFormat="false" ht="15" hidden="false" customHeight="true" outlineLevel="0" collapsed="false">
      <c r="A2428" s="4" t="s">
        <v>2604</v>
      </c>
      <c r="B2428" s="4" t="s">
        <v>145</v>
      </c>
      <c r="C2428" s="13" t="n">
        <v>45028</v>
      </c>
      <c r="D2428" s="13" t="n">
        <v>45040</v>
      </c>
      <c r="E2428" s="13" t="n">
        <v>45047</v>
      </c>
      <c r="F2428" s="4" t="n">
        <v>1468</v>
      </c>
      <c r="G2428" s="4" t="n">
        <v>1352</v>
      </c>
      <c r="H2428" s="4" t="n">
        <v>237.04</v>
      </c>
      <c r="I2428" s="4" t="n">
        <v>240.26</v>
      </c>
      <c r="J2428" s="14" t="n">
        <f aca="false">E2428-D2428</f>
        <v>7</v>
      </c>
      <c r="K2428" s="14" t="n">
        <f aca="false">IF(J2428&lt;=0,1,0)</f>
        <v>0</v>
      </c>
      <c r="L2428" s="15" t="n">
        <f aca="false">IFERROR(G2428/F2428,0)</f>
        <v>0.920980926430518</v>
      </c>
      <c r="M2428" s="15" t="n">
        <f aca="false">IFERROR((I2428-H2428)/H2428,0)</f>
        <v>0.013584205197435</v>
      </c>
      <c r="N2428" s="16" t="n">
        <f aca="false">G2428*I2428</f>
        <v>324831.52</v>
      </c>
    </row>
    <row r="2429" customFormat="false" ht="15" hidden="false" customHeight="true" outlineLevel="0" collapsed="false">
      <c r="A2429" s="4" t="s">
        <v>2605</v>
      </c>
      <c r="B2429" s="4" t="s">
        <v>113</v>
      </c>
      <c r="C2429" s="13" t="n">
        <v>45639</v>
      </c>
      <c r="D2429" s="13" t="n">
        <v>45649</v>
      </c>
      <c r="E2429" s="13" t="n">
        <v>45656</v>
      </c>
      <c r="F2429" s="4" t="n">
        <v>1085</v>
      </c>
      <c r="G2429" s="4" t="n">
        <v>1085</v>
      </c>
      <c r="H2429" s="4" t="n">
        <v>170.42</v>
      </c>
      <c r="I2429" s="4" t="n">
        <v>172.06</v>
      </c>
      <c r="J2429" s="14" t="n">
        <f aca="false">E2429-D2429</f>
        <v>7</v>
      </c>
      <c r="K2429" s="14" t="n">
        <f aca="false">IF(J2429&lt;=0,1,0)</f>
        <v>0</v>
      </c>
      <c r="L2429" s="15" t="n">
        <f aca="false">IFERROR(G2429/F2429,0)</f>
        <v>1</v>
      </c>
      <c r="M2429" s="15" t="n">
        <f aca="false">IFERROR((I2429-H2429)/H2429,0)</f>
        <v>0.00962328365215359</v>
      </c>
      <c r="N2429" s="16" t="n">
        <f aca="false">G2429*I2429</f>
        <v>186685.1</v>
      </c>
    </row>
    <row r="2430" customFormat="false" ht="15" hidden="false" customHeight="true" outlineLevel="0" collapsed="false">
      <c r="A2430" s="4" t="s">
        <v>2606</v>
      </c>
      <c r="B2430" s="4" t="s">
        <v>107</v>
      </c>
      <c r="C2430" s="13" t="n">
        <v>45377</v>
      </c>
      <c r="D2430" s="13" t="n">
        <v>45383</v>
      </c>
      <c r="E2430" s="13" t="n">
        <v>45386</v>
      </c>
      <c r="F2430" s="4" t="n">
        <v>4694</v>
      </c>
      <c r="G2430" s="4" t="n">
        <v>4598</v>
      </c>
      <c r="H2430" s="4" t="n">
        <v>40.41</v>
      </c>
      <c r="I2430" s="4" t="n">
        <v>40.26</v>
      </c>
      <c r="J2430" s="14" t="n">
        <f aca="false">E2430-D2430</f>
        <v>3</v>
      </c>
      <c r="K2430" s="14" t="n">
        <f aca="false">IF(J2430&lt;=0,1,0)</f>
        <v>0</v>
      </c>
      <c r="L2430" s="15" t="n">
        <f aca="false">IFERROR(G2430/F2430,0)</f>
        <v>0.97954835960801</v>
      </c>
      <c r="M2430" s="15" t="n">
        <f aca="false">IFERROR((I2430-H2430)/H2430,0)</f>
        <v>-0.00371195248700813</v>
      </c>
      <c r="N2430" s="16" t="n">
        <f aca="false">G2430*I2430</f>
        <v>185115.48</v>
      </c>
    </row>
    <row r="2431" customFormat="false" ht="15" hidden="false" customHeight="true" outlineLevel="0" collapsed="false">
      <c r="A2431" s="4" t="s">
        <v>2607</v>
      </c>
      <c r="B2431" s="4" t="s">
        <v>159</v>
      </c>
      <c r="C2431" s="13" t="n">
        <v>45046</v>
      </c>
      <c r="D2431" s="13" t="n">
        <v>45053</v>
      </c>
      <c r="E2431" s="13" t="n">
        <v>45054</v>
      </c>
      <c r="F2431" s="4" t="n">
        <v>3524</v>
      </c>
      <c r="G2431" s="4" t="n">
        <v>3472</v>
      </c>
      <c r="H2431" s="4" t="n">
        <v>32.91</v>
      </c>
      <c r="I2431" s="4" t="n">
        <v>33.78</v>
      </c>
      <c r="J2431" s="14" t="n">
        <f aca="false">E2431-D2431</f>
        <v>1</v>
      </c>
      <c r="K2431" s="14" t="n">
        <f aca="false">IF(J2431&lt;=0,1,0)</f>
        <v>0</v>
      </c>
      <c r="L2431" s="15" t="n">
        <f aca="false">IFERROR(G2431/F2431,0)</f>
        <v>0.985244040862656</v>
      </c>
      <c r="M2431" s="15" t="n">
        <f aca="false">IFERROR((I2431-H2431)/H2431,0)</f>
        <v>0.0264357338195079</v>
      </c>
      <c r="N2431" s="16" t="n">
        <f aca="false">G2431*I2431</f>
        <v>117284.16</v>
      </c>
    </row>
    <row r="2432" customFormat="false" ht="15" hidden="false" customHeight="true" outlineLevel="0" collapsed="false">
      <c r="A2432" s="4" t="s">
        <v>2608</v>
      </c>
      <c r="B2432" s="4" t="s">
        <v>77</v>
      </c>
      <c r="C2432" s="13" t="n">
        <v>45077</v>
      </c>
      <c r="D2432" s="13" t="n">
        <v>45083</v>
      </c>
      <c r="E2432" s="13" t="n">
        <v>45097</v>
      </c>
      <c r="F2432" s="4" t="n">
        <v>4092</v>
      </c>
      <c r="G2432" s="4" t="n">
        <v>4057</v>
      </c>
      <c r="H2432" s="4" t="n">
        <v>36.83</v>
      </c>
      <c r="I2432" s="4" t="n">
        <v>36.26</v>
      </c>
      <c r="J2432" s="14" t="n">
        <f aca="false">E2432-D2432</f>
        <v>14</v>
      </c>
      <c r="K2432" s="14" t="n">
        <f aca="false">IF(J2432&lt;=0,1,0)</f>
        <v>0</v>
      </c>
      <c r="L2432" s="15" t="n">
        <f aca="false">IFERROR(G2432/F2432,0)</f>
        <v>0.991446725317693</v>
      </c>
      <c r="M2432" s="15" t="n">
        <f aca="false">IFERROR((I2432-H2432)/H2432,0)</f>
        <v>-0.0154765137116481</v>
      </c>
      <c r="N2432" s="16" t="n">
        <f aca="false">G2432*I2432</f>
        <v>147106.82</v>
      </c>
    </row>
    <row r="2433" customFormat="false" ht="15" hidden="false" customHeight="true" outlineLevel="0" collapsed="false">
      <c r="A2433" s="4" t="s">
        <v>2609</v>
      </c>
      <c r="B2433" s="4" t="s">
        <v>147</v>
      </c>
      <c r="C2433" s="13" t="n">
        <v>45356</v>
      </c>
      <c r="D2433" s="13" t="n">
        <v>45370</v>
      </c>
      <c r="E2433" s="13" t="n">
        <v>45369</v>
      </c>
      <c r="F2433" s="4" t="n">
        <v>267</v>
      </c>
      <c r="G2433" s="4" t="n">
        <v>263</v>
      </c>
      <c r="H2433" s="4" t="n">
        <v>203.3</v>
      </c>
      <c r="I2433" s="4" t="n">
        <v>209.75</v>
      </c>
      <c r="J2433" s="14" t="n">
        <f aca="false">E2433-D2433</f>
        <v>-1</v>
      </c>
      <c r="K2433" s="14" t="n">
        <f aca="false">IF(J2433&lt;=0,1,0)</f>
        <v>1</v>
      </c>
      <c r="L2433" s="15" t="n">
        <f aca="false">IFERROR(G2433/F2433,0)</f>
        <v>0.98501872659176</v>
      </c>
      <c r="M2433" s="15" t="n">
        <f aca="false">IFERROR((I2433-H2433)/H2433,0)</f>
        <v>0.0317265125430398</v>
      </c>
      <c r="N2433" s="16" t="n">
        <f aca="false">G2433*I2433</f>
        <v>55164.25</v>
      </c>
    </row>
    <row r="2434" customFormat="false" ht="15" hidden="false" customHeight="true" outlineLevel="0" collapsed="false">
      <c r="A2434" s="4" t="s">
        <v>2610</v>
      </c>
      <c r="B2434" s="4" t="s">
        <v>127</v>
      </c>
      <c r="C2434" s="13" t="n">
        <v>45625</v>
      </c>
      <c r="D2434" s="13" t="n">
        <v>45632</v>
      </c>
      <c r="E2434" s="13" t="n">
        <v>45632</v>
      </c>
      <c r="F2434" s="4" t="n">
        <v>9</v>
      </c>
      <c r="G2434" s="4" t="n">
        <v>9</v>
      </c>
      <c r="H2434" s="4" t="n">
        <v>1881</v>
      </c>
      <c r="I2434" s="4" t="n">
        <v>1762.32</v>
      </c>
      <c r="J2434" s="14" t="n">
        <f aca="false">E2434-D2434</f>
        <v>0</v>
      </c>
      <c r="K2434" s="14" t="n">
        <f aca="false">IF(J2434&lt;=0,1,0)</f>
        <v>1</v>
      </c>
      <c r="L2434" s="15" t="n">
        <f aca="false">IFERROR(G2434/F2434,0)</f>
        <v>1</v>
      </c>
      <c r="M2434" s="15" t="n">
        <f aca="false">IFERROR((I2434-H2434)/H2434,0)</f>
        <v>-0.0630940988835726</v>
      </c>
      <c r="N2434" s="16" t="n">
        <f aca="false">G2434*I2434</f>
        <v>15860.88</v>
      </c>
    </row>
    <row r="2435" customFormat="false" ht="15" hidden="false" customHeight="true" outlineLevel="0" collapsed="false">
      <c r="A2435" s="4" t="s">
        <v>2611</v>
      </c>
      <c r="B2435" s="4" t="s">
        <v>74</v>
      </c>
      <c r="C2435" s="13" t="n">
        <v>44935</v>
      </c>
      <c r="D2435" s="13" t="n">
        <v>44942</v>
      </c>
      <c r="E2435" s="13" t="n">
        <v>44943</v>
      </c>
      <c r="F2435" s="4" t="n">
        <v>15</v>
      </c>
      <c r="G2435" s="4" t="n">
        <v>15</v>
      </c>
      <c r="H2435" s="4" t="n">
        <v>1294.62</v>
      </c>
      <c r="I2435" s="4" t="n">
        <v>1293.35</v>
      </c>
      <c r="J2435" s="14" t="n">
        <f aca="false">E2435-D2435</f>
        <v>1</v>
      </c>
      <c r="K2435" s="14" t="n">
        <f aca="false">IF(J2435&lt;=0,1,0)</f>
        <v>0</v>
      </c>
      <c r="L2435" s="15" t="n">
        <f aca="false">IFERROR(G2435/F2435,0)</f>
        <v>1</v>
      </c>
      <c r="M2435" s="15" t="n">
        <f aca="false">IFERROR((I2435-H2435)/H2435,0)</f>
        <v>-0.000980982836662482</v>
      </c>
      <c r="N2435" s="16" t="n">
        <f aca="false">G2435*I2435</f>
        <v>19400.25</v>
      </c>
    </row>
    <row r="2436" customFormat="false" ht="15" hidden="false" customHeight="true" outlineLevel="0" collapsed="false">
      <c r="A2436" s="4" t="s">
        <v>2612</v>
      </c>
      <c r="B2436" s="4" t="s">
        <v>77</v>
      </c>
      <c r="C2436" s="13" t="n">
        <v>44947</v>
      </c>
      <c r="D2436" s="13" t="n">
        <v>44954</v>
      </c>
      <c r="E2436" s="13" t="n">
        <v>44967</v>
      </c>
      <c r="F2436" s="4" t="n">
        <v>4132</v>
      </c>
      <c r="G2436" s="4" t="n">
        <v>4132</v>
      </c>
      <c r="H2436" s="4" t="n">
        <v>36.83</v>
      </c>
      <c r="I2436" s="4" t="n">
        <v>35.97</v>
      </c>
      <c r="J2436" s="14" t="n">
        <f aca="false">E2436-D2436</f>
        <v>13</v>
      </c>
      <c r="K2436" s="14" t="n">
        <f aca="false">IF(J2436&lt;=0,1,0)</f>
        <v>0</v>
      </c>
      <c r="L2436" s="15" t="n">
        <f aca="false">IFERROR(G2436/F2436,0)</f>
        <v>1</v>
      </c>
      <c r="M2436" s="15" t="n">
        <f aca="false">IFERROR((I2436-H2436)/H2436,0)</f>
        <v>-0.0233505294596796</v>
      </c>
      <c r="N2436" s="16" t="n">
        <f aca="false">G2436*I2436</f>
        <v>148628.04</v>
      </c>
    </row>
    <row r="2437" customFormat="false" ht="15" hidden="false" customHeight="true" outlineLevel="0" collapsed="false">
      <c r="A2437" s="4" t="s">
        <v>2613</v>
      </c>
      <c r="B2437" s="4" t="s">
        <v>129</v>
      </c>
      <c r="C2437" s="13" t="n">
        <v>45394</v>
      </c>
      <c r="D2437" s="13" t="n">
        <v>45413</v>
      </c>
      <c r="E2437" s="13" t="n">
        <v>45416</v>
      </c>
      <c r="F2437" s="4" t="n">
        <v>138</v>
      </c>
      <c r="G2437" s="4" t="n">
        <v>133</v>
      </c>
      <c r="H2437" s="4" t="n">
        <v>709.66</v>
      </c>
      <c r="I2437" s="4" t="n">
        <v>721.57</v>
      </c>
      <c r="J2437" s="14" t="n">
        <f aca="false">E2437-D2437</f>
        <v>3</v>
      </c>
      <c r="K2437" s="14" t="n">
        <f aca="false">IF(J2437&lt;=0,1,0)</f>
        <v>0</v>
      </c>
      <c r="L2437" s="15" t="n">
        <f aca="false">IFERROR(G2437/F2437,0)</f>
        <v>0.963768115942029</v>
      </c>
      <c r="M2437" s="15" t="n">
        <f aca="false">IFERROR((I2437-H2437)/H2437,0)</f>
        <v>0.0167826846658965</v>
      </c>
      <c r="N2437" s="16" t="n">
        <f aca="false">G2437*I2437</f>
        <v>95968.81</v>
      </c>
    </row>
    <row r="2438" customFormat="false" ht="15" hidden="false" customHeight="true" outlineLevel="0" collapsed="false">
      <c r="A2438" s="4" t="s">
        <v>2614</v>
      </c>
      <c r="B2438" s="4" t="s">
        <v>105</v>
      </c>
      <c r="C2438" s="13" t="n">
        <v>45128</v>
      </c>
      <c r="D2438" s="13" t="n">
        <v>45148</v>
      </c>
      <c r="E2438" s="13" t="n">
        <v>45150</v>
      </c>
      <c r="F2438" s="4" t="n">
        <v>93</v>
      </c>
      <c r="G2438" s="4" t="n">
        <v>91</v>
      </c>
      <c r="H2438" s="4" t="n">
        <v>685.84</v>
      </c>
      <c r="I2438" s="4" t="n">
        <v>695.8</v>
      </c>
      <c r="J2438" s="14" t="n">
        <f aca="false">E2438-D2438</f>
        <v>2</v>
      </c>
      <c r="K2438" s="14" t="n">
        <f aca="false">IF(J2438&lt;=0,1,0)</f>
        <v>0</v>
      </c>
      <c r="L2438" s="15" t="n">
        <f aca="false">IFERROR(G2438/F2438,0)</f>
        <v>0.978494623655914</v>
      </c>
      <c r="M2438" s="15" t="n">
        <f aca="false">IFERROR((I2438-H2438)/H2438,0)</f>
        <v>0.0145223375714451</v>
      </c>
      <c r="N2438" s="16" t="n">
        <f aca="false">G2438*I2438</f>
        <v>63317.8</v>
      </c>
    </row>
    <row r="2439" customFormat="false" ht="15" hidden="false" customHeight="true" outlineLevel="0" collapsed="false">
      <c r="A2439" s="4" t="s">
        <v>2615</v>
      </c>
      <c r="B2439" s="4" t="s">
        <v>141</v>
      </c>
      <c r="C2439" s="13" t="n">
        <v>45326</v>
      </c>
      <c r="D2439" s="13" t="n">
        <v>45344</v>
      </c>
      <c r="E2439" s="13" t="n">
        <v>45347</v>
      </c>
      <c r="F2439" s="4" t="n">
        <v>301</v>
      </c>
      <c r="G2439" s="4" t="n">
        <v>294</v>
      </c>
      <c r="H2439" s="4" t="n">
        <v>1252.36</v>
      </c>
      <c r="I2439" s="4" t="n">
        <v>1203.95</v>
      </c>
      <c r="J2439" s="14" t="n">
        <f aca="false">E2439-D2439</f>
        <v>3</v>
      </c>
      <c r="K2439" s="14" t="n">
        <f aca="false">IF(J2439&lt;=0,1,0)</f>
        <v>0</v>
      </c>
      <c r="L2439" s="15" t="n">
        <f aca="false">IFERROR(G2439/F2439,0)</f>
        <v>0.976744186046512</v>
      </c>
      <c r="M2439" s="15" t="n">
        <f aca="false">IFERROR((I2439-H2439)/H2439,0)</f>
        <v>-0.0386550193235171</v>
      </c>
      <c r="N2439" s="16" t="n">
        <f aca="false">G2439*I2439</f>
        <v>353961.3</v>
      </c>
    </row>
    <row r="2440" customFormat="false" ht="15" hidden="false" customHeight="true" outlineLevel="0" collapsed="false">
      <c r="A2440" s="4" t="s">
        <v>2616</v>
      </c>
      <c r="B2440" s="4" t="s">
        <v>85</v>
      </c>
      <c r="C2440" s="13" t="n">
        <v>45415</v>
      </c>
      <c r="D2440" s="13" t="n">
        <v>45427</v>
      </c>
      <c r="E2440" s="13" t="n">
        <v>45428</v>
      </c>
      <c r="F2440" s="4" t="n">
        <v>717</v>
      </c>
      <c r="G2440" s="4" t="n">
        <v>705</v>
      </c>
      <c r="H2440" s="4" t="n">
        <v>241.88</v>
      </c>
      <c r="I2440" s="4" t="n">
        <v>234.61</v>
      </c>
      <c r="J2440" s="14" t="n">
        <f aca="false">E2440-D2440</f>
        <v>1</v>
      </c>
      <c r="K2440" s="14" t="n">
        <f aca="false">IF(J2440&lt;=0,1,0)</f>
        <v>0</v>
      </c>
      <c r="L2440" s="15" t="n">
        <f aca="false">IFERROR(G2440/F2440,0)</f>
        <v>0.98326359832636</v>
      </c>
      <c r="M2440" s="15" t="n">
        <f aca="false">IFERROR((I2440-H2440)/H2440,0)</f>
        <v>-0.0300562262278815</v>
      </c>
      <c r="N2440" s="16" t="n">
        <f aca="false">G2440*I2440</f>
        <v>165400.05</v>
      </c>
    </row>
    <row r="2441" customFormat="false" ht="15" hidden="false" customHeight="true" outlineLevel="0" collapsed="false">
      <c r="A2441" s="4" t="s">
        <v>2617</v>
      </c>
      <c r="B2441" s="4" t="s">
        <v>72</v>
      </c>
      <c r="C2441" s="13" t="n">
        <v>44948</v>
      </c>
      <c r="D2441" s="13" t="n">
        <v>44954</v>
      </c>
      <c r="E2441" s="13" t="n">
        <v>44958</v>
      </c>
      <c r="F2441" s="4" t="n">
        <v>3803</v>
      </c>
      <c r="G2441" s="4" t="n">
        <v>3679</v>
      </c>
      <c r="H2441" s="4" t="n">
        <v>34.53</v>
      </c>
      <c r="I2441" s="4" t="n">
        <v>34.88</v>
      </c>
      <c r="J2441" s="14" t="n">
        <f aca="false">E2441-D2441</f>
        <v>4</v>
      </c>
      <c r="K2441" s="14" t="n">
        <f aca="false">IF(J2441&lt;=0,1,0)</f>
        <v>0</v>
      </c>
      <c r="L2441" s="15" t="n">
        <f aca="false">IFERROR(G2441/F2441,0)</f>
        <v>0.967394162503287</v>
      </c>
      <c r="M2441" s="15" t="n">
        <f aca="false">IFERROR((I2441-H2441)/H2441,0)</f>
        <v>0.0101361135244715</v>
      </c>
      <c r="N2441" s="16" t="n">
        <f aca="false">G2441*I2441</f>
        <v>128323.52</v>
      </c>
    </row>
    <row r="2442" customFormat="false" ht="15" hidden="false" customHeight="true" outlineLevel="0" collapsed="false">
      <c r="A2442" s="4" t="s">
        <v>2618</v>
      </c>
      <c r="B2442" s="4" t="s">
        <v>153</v>
      </c>
      <c r="C2442" s="13" t="n">
        <v>45083</v>
      </c>
      <c r="D2442" s="13" t="n">
        <v>45102</v>
      </c>
      <c r="E2442" s="13" t="n">
        <v>45107</v>
      </c>
      <c r="F2442" s="4" t="n">
        <v>132</v>
      </c>
      <c r="G2442" s="4" t="n">
        <v>117</v>
      </c>
      <c r="H2442" s="4" t="n">
        <v>1492.04</v>
      </c>
      <c r="I2442" s="4" t="n">
        <v>1522.6</v>
      </c>
      <c r="J2442" s="14" t="n">
        <f aca="false">E2442-D2442</f>
        <v>5</v>
      </c>
      <c r="K2442" s="14" t="n">
        <f aca="false">IF(J2442&lt;=0,1,0)</f>
        <v>0</v>
      </c>
      <c r="L2442" s="15" t="n">
        <f aca="false">IFERROR(G2442/F2442,0)</f>
        <v>0.886363636363636</v>
      </c>
      <c r="M2442" s="15" t="n">
        <f aca="false">IFERROR((I2442-H2442)/H2442,0)</f>
        <v>0.0204820246106002</v>
      </c>
      <c r="N2442" s="16" t="n">
        <f aca="false">G2442*I2442</f>
        <v>178144.2</v>
      </c>
    </row>
    <row r="2443" customFormat="false" ht="15" hidden="false" customHeight="true" outlineLevel="0" collapsed="false">
      <c r="A2443" s="4" t="s">
        <v>2619</v>
      </c>
      <c r="B2443" s="4" t="s">
        <v>129</v>
      </c>
      <c r="C2443" s="13" t="n">
        <v>45325</v>
      </c>
      <c r="D2443" s="13" t="n">
        <v>45342</v>
      </c>
      <c r="E2443" s="13" t="n">
        <v>45346</v>
      </c>
      <c r="F2443" s="4" t="n">
        <v>258</v>
      </c>
      <c r="G2443" s="4" t="n">
        <v>254</v>
      </c>
      <c r="H2443" s="4" t="n">
        <v>709.66</v>
      </c>
      <c r="I2443" s="4" t="n">
        <v>713.05</v>
      </c>
      <c r="J2443" s="14" t="n">
        <f aca="false">E2443-D2443</f>
        <v>4</v>
      </c>
      <c r="K2443" s="14" t="n">
        <f aca="false">IF(J2443&lt;=0,1,0)</f>
        <v>0</v>
      </c>
      <c r="L2443" s="15" t="n">
        <f aca="false">IFERROR(G2443/F2443,0)</f>
        <v>0.984496124031008</v>
      </c>
      <c r="M2443" s="15" t="n">
        <f aca="false">IFERROR((I2443-H2443)/H2443,0)</f>
        <v>0.00477693543386972</v>
      </c>
      <c r="N2443" s="16" t="n">
        <f aca="false">G2443*I2443</f>
        <v>181114.7</v>
      </c>
    </row>
    <row r="2444" customFormat="false" ht="15" hidden="false" customHeight="true" outlineLevel="0" collapsed="false">
      <c r="A2444" s="4" t="s">
        <v>2620</v>
      </c>
      <c r="B2444" s="4" t="s">
        <v>151</v>
      </c>
      <c r="C2444" s="13" t="n">
        <v>45188</v>
      </c>
      <c r="D2444" s="13" t="n">
        <v>45192</v>
      </c>
      <c r="E2444" s="13" t="n">
        <v>45197</v>
      </c>
      <c r="F2444" s="4" t="n">
        <v>18</v>
      </c>
      <c r="G2444" s="4" t="n">
        <v>17</v>
      </c>
      <c r="H2444" s="4" t="n">
        <v>503.46</v>
      </c>
      <c r="I2444" s="4" t="n">
        <v>511.95</v>
      </c>
      <c r="J2444" s="14" t="n">
        <f aca="false">E2444-D2444</f>
        <v>5</v>
      </c>
      <c r="K2444" s="14" t="n">
        <f aca="false">IF(J2444&lt;=0,1,0)</f>
        <v>0</v>
      </c>
      <c r="L2444" s="15" t="n">
        <f aca="false">IFERROR(G2444/F2444,0)</f>
        <v>0.944444444444444</v>
      </c>
      <c r="M2444" s="15" t="n">
        <f aca="false">IFERROR((I2444-H2444)/H2444,0)</f>
        <v>0.0168633059230128</v>
      </c>
      <c r="N2444" s="16" t="n">
        <f aca="false">G2444*I2444</f>
        <v>8703.15</v>
      </c>
    </row>
    <row r="2445" customFormat="false" ht="15" hidden="false" customHeight="true" outlineLevel="0" collapsed="false">
      <c r="A2445" s="4" t="s">
        <v>2621</v>
      </c>
      <c r="B2445" s="4" t="s">
        <v>81</v>
      </c>
      <c r="C2445" s="13" t="n">
        <v>44935</v>
      </c>
      <c r="D2445" s="13" t="n">
        <v>44940</v>
      </c>
      <c r="E2445" s="13" t="n">
        <v>44946</v>
      </c>
      <c r="F2445" s="4" t="n">
        <v>8</v>
      </c>
      <c r="G2445" s="4" t="n">
        <v>8</v>
      </c>
      <c r="H2445" s="4" t="n">
        <v>697.63</v>
      </c>
      <c r="I2445" s="4" t="n">
        <v>691.04</v>
      </c>
      <c r="J2445" s="14" t="n">
        <f aca="false">E2445-D2445</f>
        <v>6</v>
      </c>
      <c r="K2445" s="14" t="n">
        <f aca="false">IF(J2445&lt;=0,1,0)</f>
        <v>0</v>
      </c>
      <c r="L2445" s="15" t="n">
        <f aca="false">IFERROR(G2445/F2445,0)</f>
        <v>1</v>
      </c>
      <c r="M2445" s="15" t="n">
        <f aca="false">IFERROR((I2445-H2445)/H2445,0)</f>
        <v>-0.00944626807906775</v>
      </c>
      <c r="N2445" s="16" t="n">
        <f aca="false">G2445*I2445</f>
        <v>5528.32</v>
      </c>
    </row>
    <row r="2446" customFormat="false" ht="15" hidden="false" customHeight="true" outlineLevel="0" collapsed="false">
      <c r="A2446" s="4" t="s">
        <v>2622</v>
      </c>
      <c r="B2446" s="4" t="s">
        <v>119</v>
      </c>
      <c r="C2446" s="13" t="n">
        <v>45383</v>
      </c>
      <c r="D2446" s="13" t="n">
        <v>45391</v>
      </c>
      <c r="E2446" s="13" t="n">
        <v>45391</v>
      </c>
      <c r="F2446" s="4" t="n">
        <v>4926</v>
      </c>
      <c r="G2446" s="4" t="n">
        <v>4926</v>
      </c>
      <c r="H2446" s="4" t="n">
        <v>50.92</v>
      </c>
      <c r="I2446" s="4" t="n">
        <v>47.28</v>
      </c>
      <c r="J2446" s="14" t="n">
        <f aca="false">E2446-D2446</f>
        <v>0</v>
      </c>
      <c r="K2446" s="14" t="n">
        <f aca="false">IF(J2446&lt;=0,1,0)</f>
        <v>1</v>
      </c>
      <c r="L2446" s="15" t="n">
        <f aca="false">IFERROR(G2446/F2446,0)</f>
        <v>1</v>
      </c>
      <c r="M2446" s="15" t="n">
        <f aca="false">IFERROR((I2446-H2446)/H2446,0)</f>
        <v>-0.0714846818538885</v>
      </c>
      <c r="N2446" s="16" t="n">
        <f aca="false">G2446*I2446</f>
        <v>232901.28</v>
      </c>
    </row>
    <row r="2447" customFormat="false" ht="15" hidden="false" customHeight="true" outlineLevel="0" collapsed="false">
      <c r="A2447" s="4" t="s">
        <v>2623</v>
      </c>
      <c r="B2447" s="4" t="s">
        <v>68</v>
      </c>
      <c r="C2447" s="13" t="n">
        <v>45652</v>
      </c>
      <c r="D2447" s="13" t="n">
        <v>45672</v>
      </c>
      <c r="E2447" s="13" t="n">
        <v>45671</v>
      </c>
      <c r="F2447" s="4" t="n">
        <v>143</v>
      </c>
      <c r="G2447" s="4" t="n">
        <v>128</v>
      </c>
      <c r="H2447" s="4" t="n">
        <v>1232.83</v>
      </c>
      <c r="I2447" s="4" t="n">
        <v>1247.24</v>
      </c>
      <c r="J2447" s="14" t="n">
        <f aca="false">E2447-D2447</f>
        <v>-1</v>
      </c>
      <c r="K2447" s="14" t="n">
        <f aca="false">IF(J2447&lt;=0,1,0)</f>
        <v>1</v>
      </c>
      <c r="L2447" s="15" t="n">
        <f aca="false">IFERROR(G2447/F2447,0)</f>
        <v>0.895104895104895</v>
      </c>
      <c r="M2447" s="15" t="n">
        <f aca="false">IFERROR((I2447-H2447)/H2447,0)</f>
        <v>0.0116885539774341</v>
      </c>
      <c r="N2447" s="16" t="n">
        <f aca="false">G2447*I2447</f>
        <v>159646.72</v>
      </c>
    </row>
    <row r="2448" customFormat="false" ht="15" hidden="false" customHeight="true" outlineLevel="0" collapsed="false">
      <c r="A2448" s="4" t="s">
        <v>2624</v>
      </c>
      <c r="B2448" s="4" t="s">
        <v>81</v>
      </c>
      <c r="C2448" s="13" t="n">
        <v>45023</v>
      </c>
      <c r="D2448" s="13" t="n">
        <v>45030</v>
      </c>
      <c r="E2448" s="13" t="n">
        <v>45036</v>
      </c>
      <c r="F2448" s="4" t="n">
        <v>9</v>
      </c>
      <c r="G2448" s="4" t="n">
        <v>9</v>
      </c>
      <c r="H2448" s="4" t="n">
        <v>697.63</v>
      </c>
      <c r="I2448" s="4" t="n">
        <v>684.55</v>
      </c>
      <c r="J2448" s="14" t="n">
        <f aca="false">E2448-D2448</f>
        <v>6</v>
      </c>
      <c r="K2448" s="14" t="n">
        <f aca="false">IF(J2448&lt;=0,1,0)</f>
        <v>0</v>
      </c>
      <c r="L2448" s="15" t="n">
        <f aca="false">IFERROR(G2448/F2448,0)</f>
        <v>1</v>
      </c>
      <c r="M2448" s="15" t="n">
        <f aca="false">IFERROR((I2448-H2448)/H2448,0)</f>
        <v>-0.0187491936986655</v>
      </c>
      <c r="N2448" s="16" t="n">
        <f aca="false">G2448*I2448</f>
        <v>6160.95</v>
      </c>
    </row>
    <row r="2449" customFormat="false" ht="15" hidden="false" customHeight="true" outlineLevel="0" collapsed="false">
      <c r="A2449" s="4" t="s">
        <v>2625</v>
      </c>
      <c r="B2449" s="4" t="s">
        <v>58</v>
      </c>
      <c r="C2449" s="13" t="n">
        <v>45062</v>
      </c>
      <c r="D2449" s="13" t="n">
        <v>45074</v>
      </c>
      <c r="E2449" s="13" t="n">
        <v>45074</v>
      </c>
      <c r="F2449" s="4" t="n">
        <v>151</v>
      </c>
      <c r="G2449" s="4" t="n">
        <v>145</v>
      </c>
      <c r="H2449" s="4" t="n">
        <v>135.68</v>
      </c>
      <c r="I2449" s="4" t="n">
        <v>137.34</v>
      </c>
      <c r="J2449" s="14" t="n">
        <f aca="false">E2449-D2449</f>
        <v>0</v>
      </c>
      <c r="K2449" s="14" t="n">
        <f aca="false">IF(J2449&lt;=0,1,0)</f>
        <v>1</v>
      </c>
      <c r="L2449" s="15" t="n">
        <f aca="false">IFERROR(G2449/F2449,0)</f>
        <v>0.960264900662252</v>
      </c>
      <c r="M2449" s="15" t="n">
        <f aca="false">IFERROR((I2449-H2449)/H2449,0)</f>
        <v>0.0122346698113207</v>
      </c>
      <c r="N2449" s="16" t="n">
        <f aca="false">G2449*I2449</f>
        <v>19914.3</v>
      </c>
    </row>
    <row r="2450" customFormat="false" ht="15" hidden="false" customHeight="true" outlineLevel="0" collapsed="false">
      <c r="A2450" s="4" t="s">
        <v>2626</v>
      </c>
      <c r="B2450" s="4" t="s">
        <v>117</v>
      </c>
      <c r="C2450" s="13" t="n">
        <v>44974</v>
      </c>
      <c r="D2450" s="13" t="n">
        <v>44987</v>
      </c>
      <c r="E2450" s="13" t="n">
        <v>44986</v>
      </c>
      <c r="F2450" s="4" t="n">
        <v>75</v>
      </c>
      <c r="G2450" s="4" t="n">
        <v>71</v>
      </c>
      <c r="H2450" s="4" t="n">
        <v>396.01</v>
      </c>
      <c r="I2450" s="4" t="n">
        <v>393.41</v>
      </c>
      <c r="J2450" s="14" t="n">
        <f aca="false">E2450-D2450</f>
        <v>-1</v>
      </c>
      <c r="K2450" s="14" t="n">
        <f aca="false">IF(J2450&lt;=0,1,0)</f>
        <v>1</v>
      </c>
      <c r="L2450" s="15" t="n">
        <f aca="false">IFERROR(G2450/F2450,0)</f>
        <v>0.946666666666667</v>
      </c>
      <c r="M2450" s="15" t="n">
        <f aca="false">IFERROR((I2450-H2450)/H2450,0)</f>
        <v>-0.006565490770435</v>
      </c>
      <c r="N2450" s="16" t="n">
        <f aca="false">G2450*I2450</f>
        <v>27932.11</v>
      </c>
    </row>
    <row r="2451" customFormat="false" ht="15" hidden="false" customHeight="true" outlineLevel="0" collapsed="false">
      <c r="A2451" s="4" t="s">
        <v>2627</v>
      </c>
      <c r="B2451" s="4" t="s">
        <v>115</v>
      </c>
      <c r="C2451" s="13" t="n">
        <v>45563</v>
      </c>
      <c r="D2451" s="13" t="n">
        <v>45575</v>
      </c>
      <c r="E2451" s="13" t="n">
        <v>45584</v>
      </c>
      <c r="F2451" s="4" t="n">
        <v>296</v>
      </c>
      <c r="G2451" s="4" t="n">
        <v>264</v>
      </c>
      <c r="H2451" s="4" t="n">
        <v>115.53</v>
      </c>
      <c r="I2451" s="4" t="n">
        <v>129.63</v>
      </c>
      <c r="J2451" s="14" t="n">
        <f aca="false">E2451-D2451</f>
        <v>9</v>
      </c>
      <c r="K2451" s="14" t="n">
        <f aca="false">IF(J2451&lt;=0,1,0)</f>
        <v>0</v>
      </c>
      <c r="L2451" s="15" t="n">
        <f aca="false">IFERROR(G2451/F2451,0)</f>
        <v>0.891891891891892</v>
      </c>
      <c r="M2451" s="15" t="n">
        <f aca="false">IFERROR((I2451-H2451)/H2451,0)</f>
        <v>0.122046221760582</v>
      </c>
      <c r="N2451" s="16" t="n">
        <f aca="false">G2451*I2451</f>
        <v>34222.32</v>
      </c>
    </row>
    <row r="2452" customFormat="false" ht="15" hidden="false" customHeight="true" outlineLevel="0" collapsed="false">
      <c r="A2452" s="4" t="s">
        <v>2628</v>
      </c>
      <c r="B2452" s="4" t="s">
        <v>74</v>
      </c>
      <c r="C2452" s="13" t="n">
        <v>45305</v>
      </c>
      <c r="D2452" s="13" t="n">
        <v>45310</v>
      </c>
      <c r="E2452" s="13" t="n">
        <v>45313</v>
      </c>
      <c r="F2452" s="4" t="n">
        <v>12</v>
      </c>
      <c r="G2452" s="4" t="n">
        <v>12</v>
      </c>
      <c r="H2452" s="4" t="n">
        <v>1294.62</v>
      </c>
      <c r="I2452" s="4" t="n">
        <v>1346.04</v>
      </c>
      <c r="J2452" s="14" t="n">
        <f aca="false">E2452-D2452</f>
        <v>3</v>
      </c>
      <c r="K2452" s="14" t="n">
        <f aca="false">IF(J2452&lt;=0,1,0)</f>
        <v>0</v>
      </c>
      <c r="L2452" s="15" t="n">
        <f aca="false">IFERROR(G2452/F2452,0)</f>
        <v>1</v>
      </c>
      <c r="M2452" s="15" t="n">
        <f aca="false">IFERROR((I2452-H2452)/H2452,0)</f>
        <v>0.0397182184733745</v>
      </c>
      <c r="N2452" s="16" t="n">
        <f aca="false">G2452*I2452</f>
        <v>16152.48</v>
      </c>
    </row>
    <row r="2453" customFormat="false" ht="15" hidden="false" customHeight="true" outlineLevel="0" collapsed="false">
      <c r="A2453" s="4" t="s">
        <v>2629</v>
      </c>
      <c r="B2453" s="4" t="s">
        <v>153</v>
      </c>
      <c r="C2453" s="13" t="n">
        <v>45439</v>
      </c>
      <c r="D2453" s="13" t="n">
        <v>45459</v>
      </c>
      <c r="E2453" s="13" t="n">
        <v>45465</v>
      </c>
      <c r="F2453" s="4" t="n">
        <v>200</v>
      </c>
      <c r="G2453" s="4" t="n">
        <v>185</v>
      </c>
      <c r="H2453" s="4" t="n">
        <v>1492.04</v>
      </c>
      <c r="I2453" s="4" t="n">
        <v>1573.47</v>
      </c>
      <c r="J2453" s="14" t="n">
        <f aca="false">E2453-D2453</f>
        <v>6</v>
      </c>
      <c r="K2453" s="14" t="n">
        <f aca="false">IF(J2453&lt;=0,1,0)</f>
        <v>0</v>
      </c>
      <c r="L2453" s="15" t="n">
        <f aca="false">IFERROR(G2453/F2453,0)</f>
        <v>0.925</v>
      </c>
      <c r="M2453" s="15" t="n">
        <f aca="false">IFERROR((I2453-H2453)/H2453,0)</f>
        <v>0.0545762848181014</v>
      </c>
      <c r="N2453" s="16" t="n">
        <f aca="false">G2453*I2453</f>
        <v>291091.95</v>
      </c>
    </row>
    <row r="2454" customFormat="false" ht="15" hidden="false" customHeight="true" outlineLevel="0" collapsed="false">
      <c r="A2454" s="4" t="s">
        <v>2630</v>
      </c>
      <c r="B2454" s="4" t="s">
        <v>109</v>
      </c>
      <c r="C2454" s="13" t="n">
        <v>45151</v>
      </c>
      <c r="D2454" s="13" t="n">
        <v>45171</v>
      </c>
      <c r="E2454" s="13" t="n">
        <v>45176</v>
      </c>
      <c r="F2454" s="4" t="n">
        <v>386</v>
      </c>
      <c r="G2454" s="4" t="n">
        <v>373</v>
      </c>
      <c r="H2454" s="4" t="n">
        <v>858.02</v>
      </c>
      <c r="I2454" s="4" t="n">
        <v>866.27</v>
      </c>
      <c r="J2454" s="14" t="n">
        <f aca="false">E2454-D2454</f>
        <v>5</v>
      </c>
      <c r="K2454" s="14" t="n">
        <f aca="false">IF(J2454&lt;=0,1,0)</f>
        <v>0</v>
      </c>
      <c r="L2454" s="15" t="n">
        <f aca="false">IFERROR(G2454/F2454,0)</f>
        <v>0.966321243523316</v>
      </c>
      <c r="M2454" s="15" t="n">
        <f aca="false">IFERROR((I2454-H2454)/H2454,0)</f>
        <v>0.00961516048576956</v>
      </c>
      <c r="N2454" s="16" t="n">
        <f aca="false">G2454*I2454</f>
        <v>323118.71</v>
      </c>
    </row>
    <row r="2455" customFormat="false" ht="15" hidden="false" customHeight="true" outlineLevel="0" collapsed="false">
      <c r="A2455" s="4" t="s">
        <v>2631</v>
      </c>
      <c r="B2455" s="4" t="s">
        <v>68</v>
      </c>
      <c r="C2455" s="13" t="n">
        <v>45248</v>
      </c>
      <c r="D2455" s="13" t="n">
        <v>45267</v>
      </c>
      <c r="E2455" s="13" t="n">
        <v>45268</v>
      </c>
      <c r="F2455" s="4" t="n">
        <v>128</v>
      </c>
      <c r="G2455" s="4" t="n">
        <v>118</v>
      </c>
      <c r="H2455" s="4" t="n">
        <v>1232.83</v>
      </c>
      <c r="I2455" s="4" t="n">
        <v>1264.48</v>
      </c>
      <c r="J2455" s="14" t="n">
        <f aca="false">E2455-D2455</f>
        <v>1</v>
      </c>
      <c r="K2455" s="14" t="n">
        <f aca="false">IF(J2455&lt;=0,1,0)</f>
        <v>0</v>
      </c>
      <c r="L2455" s="15" t="n">
        <f aca="false">IFERROR(G2455/F2455,0)</f>
        <v>0.921875</v>
      </c>
      <c r="M2455" s="15" t="n">
        <f aca="false">IFERROR((I2455-H2455)/H2455,0)</f>
        <v>0.0256726393744475</v>
      </c>
      <c r="N2455" s="16" t="n">
        <f aca="false">G2455*I2455</f>
        <v>149208.64</v>
      </c>
    </row>
    <row r="2456" customFormat="false" ht="15" hidden="false" customHeight="true" outlineLevel="0" collapsed="false">
      <c r="A2456" s="4" t="s">
        <v>2632</v>
      </c>
      <c r="B2456" s="4" t="s">
        <v>157</v>
      </c>
      <c r="C2456" s="13" t="n">
        <v>45227</v>
      </c>
      <c r="D2456" s="13" t="n">
        <v>45234</v>
      </c>
      <c r="E2456" s="13" t="n">
        <v>45232</v>
      </c>
      <c r="F2456" s="4" t="n">
        <v>3059</v>
      </c>
      <c r="G2456" s="4" t="n">
        <v>2938</v>
      </c>
      <c r="H2456" s="4" t="n">
        <v>13.1</v>
      </c>
      <c r="I2456" s="4" t="n">
        <v>13.52</v>
      </c>
      <c r="J2456" s="14" t="n">
        <f aca="false">E2456-D2456</f>
        <v>-2</v>
      </c>
      <c r="K2456" s="14" t="n">
        <f aca="false">IF(J2456&lt;=0,1,0)</f>
        <v>1</v>
      </c>
      <c r="L2456" s="15" t="n">
        <f aca="false">IFERROR(G2456/F2456,0)</f>
        <v>0.960444589735208</v>
      </c>
      <c r="M2456" s="15" t="n">
        <f aca="false">IFERROR((I2456-H2456)/H2456,0)</f>
        <v>0.0320610687022901</v>
      </c>
      <c r="N2456" s="16" t="n">
        <f aca="false">G2456*I2456</f>
        <v>39721.76</v>
      </c>
    </row>
    <row r="2457" customFormat="false" ht="15" hidden="false" customHeight="true" outlineLevel="0" collapsed="false">
      <c r="A2457" s="4" t="s">
        <v>2633</v>
      </c>
      <c r="B2457" s="4" t="s">
        <v>133</v>
      </c>
      <c r="C2457" s="13" t="n">
        <v>45432</v>
      </c>
      <c r="D2457" s="13" t="n">
        <v>45442</v>
      </c>
      <c r="E2457" s="13" t="n">
        <v>45443</v>
      </c>
      <c r="F2457" s="4" t="n">
        <v>1071</v>
      </c>
      <c r="G2457" s="4" t="n">
        <v>1019</v>
      </c>
      <c r="H2457" s="4" t="n">
        <v>138.21</v>
      </c>
      <c r="I2457" s="4" t="n">
        <v>143.59</v>
      </c>
      <c r="J2457" s="14" t="n">
        <f aca="false">E2457-D2457</f>
        <v>1</v>
      </c>
      <c r="K2457" s="14" t="n">
        <f aca="false">IF(J2457&lt;=0,1,0)</f>
        <v>0</v>
      </c>
      <c r="L2457" s="15" t="n">
        <f aca="false">IFERROR(G2457/F2457,0)</f>
        <v>0.951447245564893</v>
      </c>
      <c r="M2457" s="15" t="n">
        <f aca="false">IFERROR((I2457-H2457)/H2457,0)</f>
        <v>0.0389262716156573</v>
      </c>
      <c r="N2457" s="16" t="n">
        <f aca="false">G2457*I2457</f>
        <v>146318.21</v>
      </c>
    </row>
    <row r="2458" customFormat="false" ht="15" hidden="false" customHeight="true" outlineLevel="0" collapsed="false">
      <c r="A2458" s="4" t="s">
        <v>2634</v>
      </c>
      <c r="B2458" s="4" t="s">
        <v>147</v>
      </c>
      <c r="C2458" s="13" t="n">
        <v>45371</v>
      </c>
      <c r="D2458" s="13" t="n">
        <v>45382</v>
      </c>
      <c r="E2458" s="13" t="n">
        <v>45383</v>
      </c>
      <c r="F2458" s="4" t="n">
        <v>290</v>
      </c>
      <c r="G2458" s="4" t="n">
        <v>286</v>
      </c>
      <c r="H2458" s="4" t="n">
        <v>203.3</v>
      </c>
      <c r="I2458" s="4" t="n">
        <v>207.84</v>
      </c>
      <c r="J2458" s="14" t="n">
        <f aca="false">E2458-D2458</f>
        <v>1</v>
      </c>
      <c r="K2458" s="14" t="n">
        <f aca="false">IF(J2458&lt;=0,1,0)</f>
        <v>0</v>
      </c>
      <c r="L2458" s="15" t="n">
        <f aca="false">IFERROR(G2458/F2458,0)</f>
        <v>0.986206896551724</v>
      </c>
      <c r="M2458" s="15" t="n">
        <f aca="false">IFERROR((I2458-H2458)/H2458,0)</f>
        <v>0.0223315297589768</v>
      </c>
      <c r="N2458" s="16" t="n">
        <f aca="false">G2458*I2458</f>
        <v>59442.24</v>
      </c>
    </row>
    <row r="2459" customFormat="false" ht="15" hidden="false" customHeight="true" outlineLevel="0" collapsed="false">
      <c r="A2459" s="4" t="s">
        <v>2635</v>
      </c>
      <c r="B2459" s="4" t="s">
        <v>105</v>
      </c>
      <c r="C2459" s="13" t="n">
        <v>45497</v>
      </c>
      <c r="D2459" s="13" t="n">
        <v>45517</v>
      </c>
      <c r="E2459" s="13" t="n">
        <v>45518</v>
      </c>
      <c r="F2459" s="4" t="n">
        <v>200</v>
      </c>
      <c r="G2459" s="4" t="n">
        <v>194</v>
      </c>
      <c r="H2459" s="4" t="n">
        <v>685.84</v>
      </c>
      <c r="I2459" s="4" t="n">
        <v>737.24</v>
      </c>
      <c r="J2459" s="14" t="n">
        <f aca="false">E2459-D2459</f>
        <v>1</v>
      </c>
      <c r="K2459" s="14" t="n">
        <f aca="false">IF(J2459&lt;=0,1,0)</f>
        <v>0</v>
      </c>
      <c r="L2459" s="15" t="n">
        <f aca="false">IFERROR(G2459/F2459,0)</f>
        <v>0.97</v>
      </c>
      <c r="M2459" s="15" t="n">
        <f aca="false">IFERROR((I2459-H2459)/H2459,0)</f>
        <v>0.0749445934911932</v>
      </c>
      <c r="N2459" s="16" t="n">
        <f aca="false">G2459*I2459</f>
        <v>143024.56</v>
      </c>
    </row>
    <row r="2460" customFormat="false" ht="15" hidden="false" customHeight="true" outlineLevel="0" collapsed="false">
      <c r="A2460" s="4" t="s">
        <v>2636</v>
      </c>
      <c r="B2460" s="4" t="s">
        <v>161</v>
      </c>
      <c r="C2460" s="13" t="n">
        <v>45333</v>
      </c>
      <c r="D2460" s="13" t="n">
        <v>45344</v>
      </c>
      <c r="E2460" s="13" t="n">
        <v>45346</v>
      </c>
      <c r="F2460" s="4" t="n">
        <v>1871</v>
      </c>
      <c r="G2460" s="4" t="n">
        <v>1782</v>
      </c>
      <c r="H2460" s="4" t="n">
        <v>101.94</v>
      </c>
      <c r="I2460" s="4" t="n">
        <v>110.86</v>
      </c>
      <c r="J2460" s="14" t="n">
        <f aca="false">E2460-D2460</f>
        <v>2</v>
      </c>
      <c r="K2460" s="14" t="n">
        <f aca="false">IF(J2460&lt;=0,1,0)</f>
        <v>0</v>
      </c>
      <c r="L2460" s="15" t="n">
        <f aca="false">IFERROR(G2460/F2460,0)</f>
        <v>0.952431854623196</v>
      </c>
      <c r="M2460" s="15" t="n">
        <f aca="false">IFERROR((I2460-H2460)/H2460,0)</f>
        <v>0.0875024524229939</v>
      </c>
      <c r="N2460" s="16" t="n">
        <f aca="false">G2460*I2460</f>
        <v>197552.52</v>
      </c>
    </row>
    <row r="2461" customFormat="false" ht="15" hidden="false" customHeight="true" outlineLevel="0" collapsed="false">
      <c r="A2461" s="4" t="s">
        <v>2637</v>
      </c>
      <c r="B2461" s="4" t="s">
        <v>65</v>
      </c>
      <c r="C2461" s="13" t="n">
        <v>45238</v>
      </c>
      <c r="D2461" s="13" t="n">
        <v>45255</v>
      </c>
      <c r="E2461" s="13" t="n">
        <v>45256</v>
      </c>
      <c r="F2461" s="4" t="n">
        <v>461</v>
      </c>
      <c r="G2461" s="4" t="n">
        <v>461</v>
      </c>
      <c r="H2461" s="4" t="n">
        <v>1365.59</v>
      </c>
      <c r="I2461" s="4" t="n">
        <v>1381.87</v>
      </c>
      <c r="J2461" s="14" t="n">
        <f aca="false">E2461-D2461</f>
        <v>1</v>
      </c>
      <c r="K2461" s="14" t="n">
        <f aca="false">IF(J2461&lt;=0,1,0)</f>
        <v>0</v>
      </c>
      <c r="L2461" s="15" t="n">
        <f aca="false">IFERROR(G2461/F2461,0)</f>
        <v>1</v>
      </c>
      <c r="M2461" s="15" t="n">
        <f aca="false">IFERROR((I2461-H2461)/H2461,0)</f>
        <v>0.0119215870063489</v>
      </c>
      <c r="N2461" s="16" t="n">
        <f aca="false">G2461*I2461</f>
        <v>637042.07</v>
      </c>
    </row>
    <row r="2462" customFormat="false" ht="15" hidden="false" customHeight="true" outlineLevel="0" collapsed="false">
      <c r="A2462" s="4" t="s">
        <v>2638</v>
      </c>
      <c r="B2462" s="4" t="s">
        <v>155</v>
      </c>
      <c r="C2462" s="13" t="n">
        <v>45635</v>
      </c>
      <c r="D2462" s="13" t="n">
        <v>45644</v>
      </c>
      <c r="E2462" s="13" t="n">
        <v>45643</v>
      </c>
      <c r="F2462" s="4" t="n">
        <v>1360</v>
      </c>
      <c r="G2462" s="4" t="n">
        <v>1286</v>
      </c>
      <c r="H2462" s="4" t="n">
        <v>24.04</v>
      </c>
      <c r="I2462" s="4" t="n">
        <v>22.4</v>
      </c>
      <c r="J2462" s="14" t="n">
        <f aca="false">E2462-D2462</f>
        <v>-1</v>
      </c>
      <c r="K2462" s="14" t="n">
        <f aca="false">IF(J2462&lt;=0,1,0)</f>
        <v>1</v>
      </c>
      <c r="L2462" s="15" t="n">
        <f aca="false">IFERROR(G2462/F2462,0)</f>
        <v>0.945588235294118</v>
      </c>
      <c r="M2462" s="15" t="n">
        <f aca="false">IFERROR((I2462-H2462)/H2462,0)</f>
        <v>-0.0682196339434276</v>
      </c>
      <c r="N2462" s="16" t="n">
        <f aca="false">G2462*I2462</f>
        <v>28806.4</v>
      </c>
    </row>
    <row r="2463" customFormat="false" ht="15" hidden="false" customHeight="true" outlineLevel="0" collapsed="false">
      <c r="A2463" s="4" t="s">
        <v>2639</v>
      </c>
      <c r="B2463" s="4" t="s">
        <v>117</v>
      </c>
      <c r="C2463" s="13" t="n">
        <v>45106</v>
      </c>
      <c r="D2463" s="13" t="n">
        <v>45119</v>
      </c>
      <c r="E2463" s="13" t="n">
        <v>45119</v>
      </c>
      <c r="F2463" s="4" t="n">
        <v>162</v>
      </c>
      <c r="G2463" s="4" t="n">
        <v>145</v>
      </c>
      <c r="H2463" s="4" t="n">
        <v>396.01</v>
      </c>
      <c r="I2463" s="4" t="n">
        <v>395.38</v>
      </c>
      <c r="J2463" s="14" t="n">
        <f aca="false">E2463-D2463</f>
        <v>0</v>
      </c>
      <c r="K2463" s="14" t="n">
        <f aca="false">IF(J2463&lt;=0,1,0)</f>
        <v>1</v>
      </c>
      <c r="L2463" s="15" t="n">
        <f aca="false">IFERROR(G2463/F2463,0)</f>
        <v>0.895061728395062</v>
      </c>
      <c r="M2463" s="15" t="n">
        <f aca="false">IFERROR((I2463-H2463)/H2463,0)</f>
        <v>-0.00159086891745157</v>
      </c>
      <c r="N2463" s="16" t="n">
        <f aca="false">G2463*I2463</f>
        <v>57330.1</v>
      </c>
    </row>
    <row r="2464" customFormat="false" ht="15" hidden="false" customHeight="true" outlineLevel="0" collapsed="false">
      <c r="A2464" s="4" t="s">
        <v>2640</v>
      </c>
      <c r="B2464" s="4" t="s">
        <v>32</v>
      </c>
      <c r="C2464" s="13" t="n">
        <v>45296</v>
      </c>
      <c r="D2464" s="13" t="n">
        <v>45303</v>
      </c>
      <c r="E2464" s="13" t="n">
        <v>45302</v>
      </c>
      <c r="F2464" s="4" t="n">
        <v>2102</v>
      </c>
      <c r="G2464" s="4" t="n">
        <v>1900</v>
      </c>
      <c r="H2464" s="4" t="n">
        <v>32.49</v>
      </c>
      <c r="I2464" s="4" t="n">
        <v>32.77</v>
      </c>
      <c r="J2464" s="14" t="n">
        <f aca="false">E2464-D2464</f>
        <v>-1</v>
      </c>
      <c r="K2464" s="14" t="n">
        <f aca="false">IF(J2464&lt;=0,1,0)</f>
        <v>1</v>
      </c>
      <c r="L2464" s="15" t="n">
        <f aca="false">IFERROR(G2464/F2464,0)</f>
        <v>0.903901046622265</v>
      </c>
      <c r="M2464" s="15" t="n">
        <f aca="false">IFERROR((I2464-H2464)/H2464,0)</f>
        <v>0.00861803631886738</v>
      </c>
      <c r="N2464" s="16" t="n">
        <f aca="false">G2464*I2464</f>
        <v>62263</v>
      </c>
    </row>
    <row r="2465" customFormat="false" ht="15" hidden="false" customHeight="true" outlineLevel="0" collapsed="false">
      <c r="A2465" s="4" t="s">
        <v>2641</v>
      </c>
      <c r="B2465" s="4" t="s">
        <v>151</v>
      </c>
      <c r="C2465" s="13" t="n">
        <v>45103</v>
      </c>
      <c r="D2465" s="13" t="n">
        <v>45108</v>
      </c>
      <c r="E2465" s="13" t="n">
        <v>45114</v>
      </c>
      <c r="F2465" s="4" t="n">
        <v>7</v>
      </c>
      <c r="G2465" s="4" t="n">
        <v>7</v>
      </c>
      <c r="H2465" s="4" t="n">
        <v>503.46</v>
      </c>
      <c r="I2465" s="4" t="n">
        <v>509.58</v>
      </c>
      <c r="J2465" s="14" t="n">
        <f aca="false">E2465-D2465</f>
        <v>6</v>
      </c>
      <c r="K2465" s="14" t="n">
        <f aca="false">IF(J2465&lt;=0,1,0)</f>
        <v>0</v>
      </c>
      <c r="L2465" s="15" t="n">
        <f aca="false">IFERROR(G2465/F2465,0)</f>
        <v>1</v>
      </c>
      <c r="M2465" s="15" t="n">
        <f aca="false">IFERROR((I2465-H2465)/H2465,0)</f>
        <v>0.0121558813013944</v>
      </c>
      <c r="N2465" s="16" t="n">
        <f aca="false">G2465*I2465</f>
        <v>3567.06</v>
      </c>
    </row>
    <row r="2466" customFormat="false" ht="15" hidden="false" customHeight="true" outlineLevel="0" collapsed="false">
      <c r="A2466" s="4" t="s">
        <v>2642</v>
      </c>
      <c r="B2466" s="4" t="s">
        <v>83</v>
      </c>
      <c r="C2466" s="13" t="n">
        <v>45609</v>
      </c>
      <c r="D2466" s="13" t="n">
        <v>45619</v>
      </c>
      <c r="E2466" s="13" t="n">
        <v>45620</v>
      </c>
      <c r="F2466" s="4" t="n">
        <v>904</v>
      </c>
      <c r="G2466" s="4" t="n">
        <v>883</v>
      </c>
      <c r="H2466" s="4" t="n">
        <v>101.36</v>
      </c>
      <c r="I2466" s="4" t="n">
        <v>105.11</v>
      </c>
      <c r="J2466" s="14" t="n">
        <f aca="false">E2466-D2466</f>
        <v>1</v>
      </c>
      <c r="K2466" s="14" t="n">
        <f aca="false">IF(J2466&lt;=0,1,0)</f>
        <v>0</v>
      </c>
      <c r="L2466" s="15" t="n">
        <f aca="false">IFERROR(G2466/F2466,0)</f>
        <v>0.976769911504425</v>
      </c>
      <c r="M2466" s="15" t="n">
        <f aca="false">IFERROR((I2466-H2466)/H2466,0)</f>
        <v>0.0369968429360695</v>
      </c>
      <c r="N2466" s="16" t="n">
        <f aca="false">G2466*I2466</f>
        <v>92812.13</v>
      </c>
    </row>
    <row r="2467" customFormat="false" ht="15" hidden="false" customHeight="true" outlineLevel="0" collapsed="false">
      <c r="A2467" s="4" t="s">
        <v>2643</v>
      </c>
      <c r="B2467" s="4" t="s">
        <v>109</v>
      </c>
      <c r="C2467" s="13" t="n">
        <v>45265</v>
      </c>
      <c r="D2467" s="13" t="n">
        <v>45283</v>
      </c>
      <c r="E2467" s="13" t="n">
        <v>45283</v>
      </c>
      <c r="F2467" s="4" t="n">
        <v>463</v>
      </c>
      <c r="G2467" s="4" t="n">
        <v>441</v>
      </c>
      <c r="H2467" s="4" t="n">
        <v>858.02</v>
      </c>
      <c r="I2467" s="4" t="n">
        <v>883.69</v>
      </c>
      <c r="J2467" s="14" t="n">
        <f aca="false">E2467-D2467</f>
        <v>0</v>
      </c>
      <c r="K2467" s="14" t="n">
        <f aca="false">IF(J2467&lt;=0,1,0)</f>
        <v>1</v>
      </c>
      <c r="L2467" s="15" t="n">
        <f aca="false">IFERROR(G2467/F2467,0)</f>
        <v>0.952483801295896</v>
      </c>
      <c r="M2467" s="15" t="n">
        <f aca="false">IFERROR((I2467-H2467)/H2467,0)</f>
        <v>0.0299177175357219</v>
      </c>
      <c r="N2467" s="16" t="n">
        <f aca="false">G2467*I2467</f>
        <v>389707.29</v>
      </c>
    </row>
    <row r="2468" customFormat="false" ht="15" hidden="false" customHeight="true" outlineLevel="0" collapsed="false">
      <c r="A2468" s="4" t="s">
        <v>2644</v>
      </c>
      <c r="B2468" s="4" t="s">
        <v>135</v>
      </c>
      <c r="C2468" s="13" t="n">
        <v>45074</v>
      </c>
      <c r="D2468" s="13" t="n">
        <v>45087</v>
      </c>
      <c r="E2468" s="13" t="n">
        <v>45094</v>
      </c>
      <c r="F2468" s="4" t="n">
        <v>21</v>
      </c>
      <c r="G2468" s="4" t="n">
        <v>20</v>
      </c>
      <c r="H2468" s="4" t="n">
        <v>328.06</v>
      </c>
      <c r="I2468" s="4" t="n">
        <v>327.72</v>
      </c>
      <c r="J2468" s="14" t="n">
        <f aca="false">E2468-D2468</f>
        <v>7</v>
      </c>
      <c r="K2468" s="14" t="n">
        <f aca="false">IF(J2468&lt;=0,1,0)</f>
        <v>0</v>
      </c>
      <c r="L2468" s="15" t="n">
        <f aca="false">IFERROR(G2468/F2468,0)</f>
        <v>0.952380952380952</v>
      </c>
      <c r="M2468" s="15" t="n">
        <f aca="false">IFERROR((I2468-H2468)/H2468,0)</f>
        <v>-0.00103639578125945</v>
      </c>
      <c r="N2468" s="16" t="n">
        <f aca="false">G2468*I2468</f>
        <v>6554.4</v>
      </c>
    </row>
    <row r="2469" customFormat="false" ht="15" hidden="false" customHeight="true" outlineLevel="0" collapsed="false">
      <c r="A2469" s="4" t="s">
        <v>2645</v>
      </c>
      <c r="B2469" s="4" t="s">
        <v>119</v>
      </c>
      <c r="C2469" s="13" t="n">
        <v>45429</v>
      </c>
      <c r="D2469" s="13" t="n">
        <v>45437</v>
      </c>
      <c r="E2469" s="13" t="n">
        <v>45435</v>
      </c>
      <c r="F2469" s="4" t="n">
        <v>1504</v>
      </c>
      <c r="G2469" s="4" t="n">
        <v>1485</v>
      </c>
      <c r="H2469" s="4" t="n">
        <v>50.92</v>
      </c>
      <c r="I2469" s="4" t="n">
        <v>46.17</v>
      </c>
      <c r="J2469" s="14" t="n">
        <f aca="false">E2469-D2469</f>
        <v>-2</v>
      </c>
      <c r="K2469" s="14" t="n">
        <f aca="false">IF(J2469&lt;=0,1,0)</f>
        <v>1</v>
      </c>
      <c r="L2469" s="15" t="n">
        <f aca="false">IFERROR(G2469/F2469,0)</f>
        <v>0.987367021276596</v>
      </c>
      <c r="M2469" s="15" t="n">
        <f aca="false">IFERROR((I2469-H2469)/H2469,0)</f>
        <v>-0.0932835820895522</v>
      </c>
      <c r="N2469" s="16" t="n">
        <f aca="false">G2469*I2469</f>
        <v>68562.45</v>
      </c>
    </row>
    <row r="2470" customFormat="false" ht="15" hidden="false" customHeight="true" outlineLevel="0" collapsed="false">
      <c r="A2470" s="4" t="s">
        <v>2646</v>
      </c>
      <c r="B2470" s="4" t="s">
        <v>97</v>
      </c>
      <c r="C2470" s="13" t="n">
        <v>45385</v>
      </c>
      <c r="D2470" s="13" t="n">
        <v>45394</v>
      </c>
      <c r="E2470" s="13" t="n">
        <v>45397</v>
      </c>
      <c r="F2470" s="4" t="n">
        <v>799</v>
      </c>
      <c r="G2470" s="4" t="n">
        <v>799</v>
      </c>
      <c r="H2470" s="4" t="n">
        <v>123.04</v>
      </c>
      <c r="I2470" s="4" t="n">
        <v>123.16</v>
      </c>
      <c r="J2470" s="14" t="n">
        <f aca="false">E2470-D2470</f>
        <v>3</v>
      </c>
      <c r="K2470" s="14" t="n">
        <f aca="false">IF(J2470&lt;=0,1,0)</f>
        <v>0</v>
      </c>
      <c r="L2470" s="15" t="n">
        <f aca="false">IFERROR(G2470/F2470,0)</f>
        <v>1</v>
      </c>
      <c r="M2470" s="15" t="n">
        <f aca="false">IFERROR((I2470-H2470)/H2470,0)</f>
        <v>0.000975292587776254</v>
      </c>
      <c r="N2470" s="16" t="n">
        <f aca="false">G2470*I2470</f>
        <v>98404.84</v>
      </c>
    </row>
    <row r="2471" customFormat="false" ht="15" hidden="false" customHeight="true" outlineLevel="0" collapsed="false">
      <c r="A2471" s="4" t="s">
        <v>2647</v>
      </c>
      <c r="B2471" s="4" t="s">
        <v>81</v>
      </c>
      <c r="C2471" s="13" t="n">
        <v>45629</v>
      </c>
      <c r="D2471" s="13" t="n">
        <v>45636</v>
      </c>
      <c r="E2471" s="13" t="n">
        <v>45639</v>
      </c>
      <c r="F2471" s="4" t="n">
        <v>16</v>
      </c>
      <c r="G2471" s="4" t="n">
        <v>16</v>
      </c>
      <c r="H2471" s="4" t="n">
        <v>697.63</v>
      </c>
      <c r="I2471" s="4" t="n">
        <v>687.26</v>
      </c>
      <c r="J2471" s="14" t="n">
        <f aca="false">E2471-D2471</f>
        <v>3</v>
      </c>
      <c r="K2471" s="14" t="n">
        <f aca="false">IF(J2471&lt;=0,1,0)</f>
        <v>0</v>
      </c>
      <c r="L2471" s="15" t="n">
        <f aca="false">IFERROR(G2471/F2471,0)</f>
        <v>1</v>
      </c>
      <c r="M2471" s="15" t="n">
        <f aca="false">IFERROR((I2471-H2471)/H2471,0)</f>
        <v>-0.0148646130470307</v>
      </c>
      <c r="N2471" s="16" t="n">
        <f aca="false">G2471*I2471</f>
        <v>10996.16</v>
      </c>
    </row>
    <row r="2472" customFormat="false" ht="15" hidden="false" customHeight="true" outlineLevel="0" collapsed="false">
      <c r="A2472" s="4" t="s">
        <v>2648</v>
      </c>
      <c r="B2472" s="4" t="s">
        <v>93</v>
      </c>
      <c r="C2472" s="13" t="n">
        <v>45083</v>
      </c>
      <c r="D2472" s="13" t="n">
        <v>45095</v>
      </c>
      <c r="E2472" s="13" t="n">
        <v>45099</v>
      </c>
      <c r="F2472" s="4" t="n">
        <v>656</v>
      </c>
      <c r="G2472" s="4" t="n">
        <v>609</v>
      </c>
      <c r="H2472" s="4" t="n">
        <v>174.25</v>
      </c>
      <c r="I2472" s="4" t="n">
        <v>176.33</v>
      </c>
      <c r="J2472" s="14" t="n">
        <f aca="false">E2472-D2472</f>
        <v>4</v>
      </c>
      <c r="K2472" s="14" t="n">
        <f aca="false">IF(J2472&lt;=0,1,0)</f>
        <v>0</v>
      </c>
      <c r="L2472" s="15" t="n">
        <f aca="false">IFERROR(G2472/F2472,0)</f>
        <v>0.928353658536585</v>
      </c>
      <c r="M2472" s="15" t="n">
        <f aca="false">IFERROR((I2472-H2472)/H2472,0)</f>
        <v>0.0119368723098996</v>
      </c>
      <c r="N2472" s="16" t="n">
        <f aca="false">G2472*I2472</f>
        <v>107384.97</v>
      </c>
    </row>
    <row r="2473" customFormat="false" ht="15" hidden="false" customHeight="true" outlineLevel="0" collapsed="false">
      <c r="A2473" s="4" t="s">
        <v>2649</v>
      </c>
      <c r="B2473" s="4" t="s">
        <v>77</v>
      </c>
      <c r="C2473" s="13" t="n">
        <v>45012</v>
      </c>
      <c r="D2473" s="13" t="n">
        <v>45018</v>
      </c>
      <c r="E2473" s="13" t="n">
        <v>45031</v>
      </c>
      <c r="F2473" s="4" t="n">
        <v>847</v>
      </c>
      <c r="G2473" s="4" t="n">
        <v>820</v>
      </c>
      <c r="H2473" s="4" t="n">
        <v>36.83</v>
      </c>
      <c r="I2473" s="4" t="n">
        <v>36.85</v>
      </c>
      <c r="J2473" s="14" t="n">
        <f aca="false">E2473-D2473</f>
        <v>13</v>
      </c>
      <c r="K2473" s="14" t="n">
        <f aca="false">IF(J2473&lt;=0,1,0)</f>
        <v>0</v>
      </c>
      <c r="L2473" s="15" t="n">
        <f aca="false">IFERROR(G2473/F2473,0)</f>
        <v>0.968122786304605</v>
      </c>
      <c r="M2473" s="15" t="n">
        <f aca="false">IFERROR((I2473-H2473)/H2473,0)</f>
        <v>0.000543035568829843</v>
      </c>
      <c r="N2473" s="16" t="n">
        <f aca="false">G2473*I2473</f>
        <v>30217</v>
      </c>
    </row>
    <row r="2474" customFormat="false" ht="15" hidden="false" customHeight="true" outlineLevel="0" collapsed="false">
      <c r="A2474" s="4" t="s">
        <v>2650</v>
      </c>
      <c r="B2474" s="4" t="s">
        <v>70</v>
      </c>
      <c r="C2474" s="13" t="n">
        <v>45632</v>
      </c>
      <c r="D2474" s="13" t="n">
        <v>45641</v>
      </c>
      <c r="E2474" s="13" t="n">
        <v>45648</v>
      </c>
      <c r="F2474" s="4" t="n">
        <v>675</v>
      </c>
      <c r="G2474" s="4" t="n">
        <v>606</v>
      </c>
      <c r="H2474" s="4" t="n">
        <v>35.88</v>
      </c>
      <c r="I2474" s="4" t="n">
        <v>38.48</v>
      </c>
      <c r="J2474" s="14" t="n">
        <f aca="false">E2474-D2474</f>
        <v>7</v>
      </c>
      <c r="K2474" s="14" t="n">
        <f aca="false">IF(J2474&lt;=0,1,0)</f>
        <v>0</v>
      </c>
      <c r="L2474" s="15" t="n">
        <f aca="false">IFERROR(G2474/F2474,0)</f>
        <v>0.897777777777778</v>
      </c>
      <c r="M2474" s="15" t="n">
        <f aca="false">IFERROR((I2474-H2474)/H2474,0)</f>
        <v>0.0724637681159419</v>
      </c>
      <c r="N2474" s="16" t="n">
        <f aca="false">G2474*I2474</f>
        <v>23318.88</v>
      </c>
    </row>
    <row r="2475" customFormat="false" ht="15" hidden="false" customHeight="true" outlineLevel="0" collapsed="false">
      <c r="A2475" s="4" t="s">
        <v>2651</v>
      </c>
      <c r="B2475" s="4" t="s">
        <v>74</v>
      </c>
      <c r="C2475" s="13" t="n">
        <v>45569</v>
      </c>
      <c r="D2475" s="13" t="n">
        <v>45575</v>
      </c>
      <c r="E2475" s="13" t="n">
        <v>45570</v>
      </c>
      <c r="F2475" s="4" t="n">
        <v>1</v>
      </c>
      <c r="G2475" s="4" t="n">
        <v>1</v>
      </c>
      <c r="H2475" s="4" t="n">
        <v>1294.62</v>
      </c>
      <c r="I2475" s="4" t="n">
        <v>1363.46</v>
      </c>
      <c r="J2475" s="14" t="n">
        <f aca="false">E2475-D2475</f>
        <v>-5</v>
      </c>
      <c r="K2475" s="14" t="n">
        <f aca="false">IF(J2475&lt;=0,1,0)</f>
        <v>1</v>
      </c>
      <c r="L2475" s="15" t="n">
        <f aca="false">IFERROR(G2475/F2475,0)</f>
        <v>1</v>
      </c>
      <c r="M2475" s="15" t="n">
        <f aca="false">IFERROR((I2475-H2475)/H2475,0)</f>
        <v>0.05317390431169</v>
      </c>
      <c r="N2475" s="16" t="n">
        <f aca="false">G2475*I2475</f>
        <v>1363.46</v>
      </c>
    </row>
    <row r="2476" customFormat="false" ht="15" hidden="false" customHeight="true" outlineLevel="0" collapsed="false">
      <c r="A2476" s="4" t="s">
        <v>2652</v>
      </c>
      <c r="B2476" s="4" t="s">
        <v>135</v>
      </c>
      <c r="C2476" s="13" t="n">
        <v>45345</v>
      </c>
      <c r="D2476" s="13" t="n">
        <v>45359</v>
      </c>
      <c r="E2476" s="13" t="n">
        <v>45363</v>
      </c>
      <c r="F2476" s="4" t="n">
        <v>132</v>
      </c>
      <c r="G2476" s="4" t="n">
        <v>132</v>
      </c>
      <c r="H2476" s="4" t="n">
        <v>328.06</v>
      </c>
      <c r="I2476" s="4" t="n">
        <v>325.56</v>
      </c>
      <c r="J2476" s="14" t="n">
        <f aca="false">E2476-D2476</f>
        <v>4</v>
      </c>
      <c r="K2476" s="14" t="n">
        <f aca="false">IF(J2476&lt;=0,1,0)</f>
        <v>0</v>
      </c>
      <c r="L2476" s="15" t="n">
        <f aca="false">IFERROR(G2476/F2476,0)</f>
        <v>1</v>
      </c>
      <c r="M2476" s="15" t="n">
        <f aca="false">IFERROR((I2476-H2476)/H2476,0)</f>
        <v>-0.00762055721514357</v>
      </c>
      <c r="N2476" s="16" t="n">
        <f aca="false">G2476*I2476</f>
        <v>42973.92</v>
      </c>
    </row>
    <row r="2477" customFormat="false" ht="15" hidden="false" customHeight="true" outlineLevel="0" collapsed="false">
      <c r="A2477" s="4" t="s">
        <v>2653</v>
      </c>
      <c r="B2477" s="4" t="s">
        <v>93</v>
      </c>
      <c r="C2477" s="13" t="n">
        <v>45176</v>
      </c>
      <c r="D2477" s="13" t="n">
        <v>45185</v>
      </c>
      <c r="E2477" s="13" t="n">
        <v>45187</v>
      </c>
      <c r="F2477" s="4" t="n">
        <v>299</v>
      </c>
      <c r="G2477" s="4" t="n">
        <v>299</v>
      </c>
      <c r="H2477" s="4" t="n">
        <v>174.25</v>
      </c>
      <c r="I2477" s="4" t="n">
        <v>177.63</v>
      </c>
      <c r="J2477" s="14" t="n">
        <f aca="false">E2477-D2477</f>
        <v>2</v>
      </c>
      <c r="K2477" s="14" t="n">
        <f aca="false">IF(J2477&lt;=0,1,0)</f>
        <v>0</v>
      </c>
      <c r="L2477" s="15" t="n">
        <f aca="false">IFERROR(G2477/F2477,0)</f>
        <v>1</v>
      </c>
      <c r="M2477" s="15" t="n">
        <f aca="false">IFERROR((I2477-H2477)/H2477,0)</f>
        <v>0.0193974175035868</v>
      </c>
      <c r="N2477" s="16" t="n">
        <f aca="false">G2477*I2477</f>
        <v>53111.37</v>
      </c>
    </row>
    <row r="2478" customFormat="false" ht="15" hidden="false" customHeight="true" outlineLevel="0" collapsed="false">
      <c r="A2478" s="4" t="s">
        <v>2654</v>
      </c>
      <c r="B2478" s="4" t="s">
        <v>137</v>
      </c>
      <c r="C2478" s="13" t="n">
        <v>45570</v>
      </c>
      <c r="D2478" s="13" t="n">
        <v>45588</v>
      </c>
      <c r="E2478" s="13" t="n">
        <v>45590</v>
      </c>
      <c r="F2478" s="4" t="n">
        <v>390</v>
      </c>
      <c r="G2478" s="4" t="n">
        <v>347</v>
      </c>
      <c r="H2478" s="4" t="n">
        <v>1047.25</v>
      </c>
      <c r="I2478" s="4" t="n">
        <v>1112.19</v>
      </c>
      <c r="J2478" s="14" t="n">
        <f aca="false">E2478-D2478</f>
        <v>2</v>
      </c>
      <c r="K2478" s="14" t="n">
        <f aca="false">IF(J2478&lt;=0,1,0)</f>
        <v>0</v>
      </c>
      <c r="L2478" s="15" t="n">
        <f aca="false">IFERROR(G2478/F2478,0)</f>
        <v>0.88974358974359</v>
      </c>
      <c r="M2478" s="15" t="n">
        <f aca="false">IFERROR((I2478-H2478)/H2478,0)</f>
        <v>0.0620100262592505</v>
      </c>
      <c r="N2478" s="16" t="n">
        <f aca="false">G2478*I2478</f>
        <v>385929.93</v>
      </c>
    </row>
    <row r="2479" customFormat="false" ht="15" hidden="false" customHeight="true" outlineLevel="0" collapsed="false">
      <c r="A2479" s="4" t="s">
        <v>2655</v>
      </c>
      <c r="B2479" s="4" t="s">
        <v>153</v>
      </c>
      <c r="C2479" s="13" t="n">
        <v>45314</v>
      </c>
      <c r="D2479" s="13" t="n">
        <v>45332</v>
      </c>
      <c r="E2479" s="13" t="n">
        <v>45336</v>
      </c>
      <c r="F2479" s="4" t="n">
        <v>226</v>
      </c>
      <c r="G2479" s="4" t="n">
        <v>207</v>
      </c>
      <c r="H2479" s="4" t="n">
        <v>1492.04</v>
      </c>
      <c r="I2479" s="4" t="n">
        <v>1584.48</v>
      </c>
      <c r="J2479" s="14" t="n">
        <f aca="false">E2479-D2479</f>
        <v>4</v>
      </c>
      <c r="K2479" s="14" t="n">
        <f aca="false">IF(J2479&lt;=0,1,0)</f>
        <v>0</v>
      </c>
      <c r="L2479" s="15" t="n">
        <f aca="false">IFERROR(G2479/F2479,0)</f>
        <v>0.915929203539823</v>
      </c>
      <c r="M2479" s="15" t="n">
        <f aca="false">IFERROR((I2479-H2479)/H2479,0)</f>
        <v>0.0619554435537922</v>
      </c>
      <c r="N2479" s="16" t="n">
        <f aca="false">G2479*I2479</f>
        <v>327987.36</v>
      </c>
    </row>
    <row r="2480" customFormat="false" ht="15" hidden="false" customHeight="true" outlineLevel="0" collapsed="false">
      <c r="A2480" s="4" t="s">
        <v>2656</v>
      </c>
      <c r="B2480" s="4" t="s">
        <v>163</v>
      </c>
      <c r="C2480" s="13" t="n">
        <v>45221</v>
      </c>
      <c r="D2480" s="13" t="n">
        <v>45240</v>
      </c>
      <c r="E2480" s="13" t="n">
        <v>45244</v>
      </c>
      <c r="F2480" s="4" t="n">
        <v>414</v>
      </c>
      <c r="G2480" s="4" t="n">
        <v>403</v>
      </c>
      <c r="H2480" s="4" t="n">
        <v>482.79</v>
      </c>
      <c r="I2480" s="4" t="n">
        <v>498.84</v>
      </c>
      <c r="J2480" s="14" t="n">
        <f aca="false">E2480-D2480</f>
        <v>4</v>
      </c>
      <c r="K2480" s="14" t="n">
        <f aca="false">IF(J2480&lt;=0,1,0)</f>
        <v>0</v>
      </c>
      <c r="L2480" s="15" t="n">
        <f aca="false">IFERROR(G2480/F2480,0)</f>
        <v>0.973429951690821</v>
      </c>
      <c r="M2480" s="15" t="n">
        <f aca="false">IFERROR((I2480-H2480)/H2480,0)</f>
        <v>0.0332442676940284</v>
      </c>
      <c r="N2480" s="16" t="n">
        <f aca="false">G2480*I2480</f>
        <v>201032.52</v>
      </c>
    </row>
    <row r="2481" customFormat="false" ht="15" hidden="false" customHeight="true" outlineLevel="0" collapsed="false">
      <c r="A2481" s="4" t="s">
        <v>2657</v>
      </c>
      <c r="B2481" s="4" t="s">
        <v>123</v>
      </c>
      <c r="C2481" s="13" t="n">
        <v>45569</v>
      </c>
      <c r="D2481" s="13" t="n">
        <v>45583</v>
      </c>
      <c r="E2481" s="13" t="n">
        <v>45582</v>
      </c>
      <c r="F2481" s="4" t="n">
        <v>110</v>
      </c>
      <c r="G2481" s="4" t="n">
        <v>105</v>
      </c>
      <c r="H2481" s="4" t="n">
        <v>214.07</v>
      </c>
      <c r="I2481" s="4" t="n">
        <v>247.66</v>
      </c>
      <c r="J2481" s="14" t="n">
        <f aca="false">E2481-D2481</f>
        <v>-1</v>
      </c>
      <c r="K2481" s="14" t="n">
        <f aca="false">IF(J2481&lt;=0,1,0)</f>
        <v>1</v>
      </c>
      <c r="L2481" s="15" t="n">
        <f aca="false">IFERROR(G2481/F2481,0)</f>
        <v>0.954545454545455</v>
      </c>
      <c r="M2481" s="15" t="n">
        <f aca="false">IFERROR((I2481-H2481)/H2481,0)</f>
        <v>0.156911290699304</v>
      </c>
      <c r="N2481" s="16" t="n">
        <f aca="false">G2481*I2481</f>
        <v>26004.3</v>
      </c>
    </row>
    <row r="2482" customFormat="false" ht="15" hidden="false" customHeight="true" outlineLevel="0" collapsed="false">
      <c r="A2482" s="4" t="s">
        <v>2658</v>
      </c>
      <c r="B2482" s="4" t="s">
        <v>151</v>
      </c>
      <c r="C2482" s="13" t="n">
        <v>45143</v>
      </c>
      <c r="D2482" s="13" t="n">
        <v>45150</v>
      </c>
      <c r="E2482" s="13" t="n">
        <v>45154</v>
      </c>
      <c r="F2482" s="4" t="n">
        <v>15</v>
      </c>
      <c r="G2482" s="4" t="n">
        <v>15</v>
      </c>
      <c r="H2482" s="4" t="n">
        <v>503.46</v>
      </c>
      <c r="I2482" s="4" t="n">
        <v>511.82</v>
      </c>
      <c r="J2482" s="14" t="n">
        <f aca="false">E2482-D2482</f>
        <v>4</v>
      </c>
      <c r="K2482" s="14" t="n">
        <f aca="false">IF(J2482&lt;=0,1,0)</f>
        <v>0</v>
      </c>
      <c r="L2482" s="15" t="n">
        <f aca="false">IFERROR(G2482/F2482,0)</f>
        <v>1</v>
      </c>
      <c r="M2482" s="15" t="n">
        <f aca="false">IFERROR((I2482-H2482)/H2482,0)</f>
        <v>0.0166050927581139</v>
      </c>
      <c r="N2482" s="16" t="n">
        <f aca="false">G2482*I2482</f>
        <v>7677.3</v>
      </c>
    </row>
    <row r="2483" customFormat="false" ht="15" hidden="false" customHeight="true" outlineLevel="0" collapsed="false">
      <c r="A2483" s="4" t="s">
        <v>2659</v>
      </c>
      <c r="B2483" s="4" t="s">
        <v>107</v>
      </c>
      <c r="C2483" s="13" t="n">
        <v>45272</v>
      </c>
      <c r="D2483" s="13" t="n">
        <v>45278</v>
      </c>
      <c r="E2483" s="13" t="n">
        <v>45288</v>
      </c>
      <c r="F2483" s="4" t="n">
        <v>4038</v>
      </c>
      <c r="G2483" s="4" t="n">
        <v>4038</v>
      </c>
      <c r="H2483" s="4" t="n">
        <v>40.41</v>
      </c>
      <c r="I2483" s="4" t="n">
        <v>39.98</v>
      </c>
      <c r="J2483" s="14" t="n">
        <f aca="false">E2483-D2483</f>
        <v>10</v>
      </c>
      <c r="K2483" s="14" t="n">
        <f aca="false">IF(J2483&lt;=0,1,0)</f>
        <v>0</v>
      </c>
      <c r="L2483" s="15" t="n">
        <f aca="false">IFERROR(G2483/F2483,0)</f>
        <v>1</v>
      </c>
      <c r="M2483" s="15" t="n">
        <f aca="false">IFERROR((I2483-H2483)/H2483,0)</f>
        <v>-0.0106409304627567</v>
      </c>
      <c r="N2483" s="16" t="n">
        <f aca="false">G2483*I2483</f>
        <v>161439.24</v>
      </c>
    </row>
    <row r="2484" customFormat="false" ht="15" hidden="false" customHeight="true" outlineLevel="0" collapsed="false">
      <c r="A2484" s="4" t="s">
        <v>2660</v>
      </c>
      <c r="B2484" s="4" t="s">
        <v>41</v>
      </c>
      <c r="C2484" s="13" t="n">
        <v>45420</v>
      </c>
      <c r="D2484" s="13" t="n">
        <v>45427</v>
      </c>
      <c r="E2484" s="13" t="n">
        <v>45425</v>
      </c>
      <c r="F2484" s="4" t="n">
        <v>4258</v>
      </c>
      <c r="G2484" s="4" t="n">
        <v>4239</v>
      </c>
      <c r="H2484" s="4" t="n">
        <v>45.51</v>
      </c>
      <c r="I2484" s="4" t="n">
        <v>44.69</v>
      </c>
      <c r="J2484" s="14" t="n">
        <f aca="false">E2484-D2484</f>
        <v>-2</v>
      </c>
      <c r="K2484" s="14" t="n">
        <f aca="false">IF(J2484&lt;=0,1,0)</f>
        <v>1</v>
      </c>
      <c r="L2484" s="15" t="n">
        <f aca="false">IFERROR(G2484/F2484,0)</f>
        <v>0.995537811178957</v>
      </c>
      <c r="M2484" s="15" t="n">
        <f aca="false">IFERROR((I2484-H2484)/H2484,0)</f>
        <v>-0.018018018018018</v>
      </c>
      <c r="N2484" s="16" t="n">
        <f aca="false">G2484*I2484</f>
        <v>189440.91</v>
      </c>
    </row>
    <row r="2485" customFormat="false" ht="15" hidden="false" customHeight="true" outlineLevel="0" collapsed="false">
      <c r="A2485" s="4" t="s">
        <v>2661</v>
      </c>
      <c r="B2485" s="4" t="s">
        <v>125</v>
      </c>
      <c r="C2485" s="13" t="n">
        <v>44968</v>
      </c>
      <c r="D2485" s="13" t="n">
        <v>44974</v>
      </c>
      <c r="E2485" s="13" t="n">
        <v>44975</v>
      </c>
      <c r="F2485" s="4" t="n">
        <v>13</v>
      </c>
      <c r="G2485" s="4" t="n">
        <v>11</v>
      </c>
      <c r="H2485" s="4" t="n">
        <v>729.32</v>
      </c>
      <c r="I2485" s="4" t="n">
        <v>723.92</v>
      </c>
      <c r="J2485" s="14" t="n">
        <f aca="false">E2485-D2485</f>
        <v>1</v>
      </c>
      <c r="K2485" s="14" t="n">
        <f aca="false">IF(J2485&lt;=0,1,0)</f>
        <v>0</v>
      </c>
      <c r="L2485" s="15" t="n">
        <f aca="false">IFERROR(G2485/F2485,0)</f>
        <v>0.846153846153846</v>
      </c>
      <c r="M2485" s="15" t="n">
        <f aca="false">IFERROR((I2485-H2485)/H2485,0)</f>
        <v>-0.00740415729720848</v>
      </c>
      <c r="N2485" s="16" t="n">
        <f aca="false">G2485*I2485</f>
        <v>7963.12</v>
      </c>
    </row>
    <row r="2486" customFormat="false" ht="15" hidden="false" customHeight="true" outlineLevel="0" collapsed="false">
      <c r="A2486" s="4" t="s">
        <v>2662</v>
      </c>
      <c r="B2486" s="4" t="s">
        <v>117</v>
      </c>
      <c r="C2486" s="13" t="n">
        <v>45177</v>
      </c>
      <c r="D2486" s="13" t="n">
        <v>45189</v>
      </c>
      <c r="E2486" s="13" t="n">
        <v>45188</v>
      </c>
      <c r="F2486" s="4" t="n">
        <v>143</v>
      </c>
      <c r="G2486" s="4" t="n">
        <v>133</v>
      </c>
      <c r="H2486" s="4" t="n">
        <v>396.01</v>
      </c>
      <c r="I2486" s="4" t="n">
        <v>396.13</v>
      </c>
      <c r="J2486" s="14" t="n">
        <f aca="false">E2486-D2486</f>
        <v>-1</v>
      </c>
      <c r="K2486" s="14" t="n">
        <f aca="false">IF(J2486&lt;=0,1,0)</f>
        <v>1</v>
      </c>
      <c r="L2486" s="15" t="n">
        <f aca="false">IFERROR(G2486/F2486,0)</f>
        <v>0.93006993006993</v>
      </c>
      <c r="M2486" s="15" t="n">
        <f aca="false">IFERROR((I2486-H2486)/H2486,0)</f>
        <v>0.00030302265094317</v>
      </c>
      <c r="N2486" s="16" t="n">
        <f aca="false">G2486*I2486</f>
        <v>52685.29</v>
      </c>
    </row>
    <row r="2487" customFormat="false" ht="15" hidden="false" customHeight="true" outlineLevel="0" collapsed="false">
      <c r="A2487" s="4" t="s">
        <v>2663</v>
      </c>
      <c r="B2487" s="4" t="s">
        <v>87</v>
      </c>
      <c r="C2487" s="13" t="n">
        <v>45005</v>
      </c>
      <c r="D2487" s="13" t="n">
        <v>45016</v>
      </c>
      <c r="E2487" s="13" t="n">
        <v>45014</v>
      </c>
      <c r="F2487" s="4" t="n">
        <v>1004</v>
      </c>
      <c r="G2487" s="4" t="n">
        <v>936</v>
      </c>
      <c r="H2487" s="4" t="n">
        <v>161.95</v>
      </c>
      <c r="I2487" s="4" t="n">
        <v>166.98</v>
      </c>
      <c r="J2487" s="14" t="n">
        <f aca="false">E2487-D2487</f>
        <v>-2</v>
      </c>
      <c r="K2487" s="14" t="n">
        <f aca="false">IF(J2487&lt;=0,1,0)</f>
        <v>1</v>
      </c>
      <c r="L2487" s="15" t="n">
        <f aca="false">IFERROR(G2487/F2487,0)</f>
        <v>0.932270916334661</v>
      </c>
      <c r="M2487" s="15" t="n">
        <f aca="false">IFERROR((I2487-H2487)/H2487,0)</f>
        <v>0.0310589688175363</v>
      </c>
      <c r="N2487" s="16" t="n">
        <f aca="false">G2487*I2487</f>
        <v>156293.28</v>
      </c>
    </row>
    <row r="2488" customFormat="false" ht="15" hidden="false" customHeight="true" outlineLevel="0" collapsed="false">
      <c r="A2488" s="4" t="s">
        <v>2664</v>
      </c>
      <c r="B2488" s="4" t="s">
        <v>153</v>
      </c>
      <c r="C2488" s="13" t="n">
        <v>45294</v>
      </c>
      <c r="D2488" s="13" t="n">
        <v>45311</v>
      </c>
      <c r="E2488" s="13" t="n">
        <v>45317</v>
      </c>
      <c r="F2488" s="4" t="n">
        <v>248</v>
      </c>
      <c r="G2488" s="4" t="n">
        <v>224</v>
      </c>
      <c r="H2488" s="4" t="n">
        <v>1492.04</v>
      </c>
      <c r="I2488" s="4" t="n">
        <v>1538.66</v>
      </c>
      <c r="J2488" s="14" t="n">
        <f aca="false">E2488-D2488</f>
        <v>6</v>
      </c>
      <c r="K2488" s="14" t="n">
        <f aca="false">IF(J2488&lt;=0,1,0)</f>
        <v>0</v>
      </c>
      <c r="L2488" s="15" t="n">
        <f aca="false">IFERROR(G2488/F2488,0)</f>
        <v>0.903225806451613</v>
      </c>
      <c r="M2488" s="15" t="n">
        <f aca="false">IFERROR((I2488-H2488)/H2488,0)</f>
        <v>0.03124581110426</v>
      </c>
      <c r="N2488" s="16" t="n">
        <f aca="false">G2488*I2488</f>
        <v>344659.84</v>
      </c>
    </row>
    <row r="2489" customFormat="false" ht="15" hidden="false" customHeight="true" outlineLevel="0" collapsed="false">
      <c r="A2489" s="4" t="s">
        <v>2665</v>
      </c>
      <c r="B2489" s="4" t="s">
        <v>145</v>
      </c>
      <c r="C2489" s="13" t="n">
        <v>45188</v>
      </c>
      <c r="D2489" s="13" t="n">
        <v>45199</v>
      </c>
      <c r="E2489" s="13" t="n">
        <v>45201</v>
      </c>
      <c r="F2489" s="4" t="n">
        <v>1096</v>
      </c>
      <c r="G2489" s="4" t="n">
        <v>984</v>
      </c>
      <c r="H2489" s="4" t="n">
        <v>237.04</v>
      </c>
      <c r="I2489" s="4" t="n">
        <v>251.93</v>
      </c>
      <c r="J2489" s="14" t="n">
        <f aca="false">E2489-D2489</f>
        <v>2</v>
      </c>
      <c r="K2489" s="14" t="n">
        <f aca="false">IF(J2489&lt;=0,1,0)</f>
        <v>0</v>
      </c>
      <c r="L2489" s="15" t="n">
        <f aca="false">IFERROR(G2489/F2489,0)</f>
        <v>0.897810218978102</v>
      </c>
      <c r="M2489" s="15" t="n">
        <f aca="false">IFERROR((I2489-H2489)/H2489,0)</f>
        <v>0.0628164022949714</v>
      </c>
      <c r="N2489" s="16" t="n">
        <f aca="false">G2489*I2489</f>
        <v>247899.12</v>
      </c>
    </row>
    <row r="2490" customFormat="false" ht="15" hidden="false" customHeight="true" outlineLevel="0" collapsed="false">
      <c r="A2490" s="4" t="s">
        <v>2666</v>
      </c>
      <c r="B2490" s="4" t="s">
        <v>43</v>
      </c>
      <c r="C2490" s="13" t="n">
        <v>45100</v>
      </c>
      <c r="D2490" s="13" t="n">
        <v>45119</v>
      </c>
      <c r="E2490" s="13" t="n">
        <v>45123</v>
      </c>
      <c r="F2490" s="4" t="n">
        <v>116</v>
      </c>
      <c r="G2490" s="4" t="n">
        <v>112</v>
      </c>
      <c r="H2490" s="4" t="n">
        <v>1321.6</v>
      </c>
      <c r="I2490" s="4" t="n">
        <v>1340.79</v>
      </c>
      <c r="J2490" s="14" t="n">
        <f aca="false">E2490-D2490</f>
        <v>4</v>
      </c>
      <c r="K2490" s="14" t="n">
        <f aca="false">IF(J2490&lt;=0,1,0)</f>
        <v>0</v>
      </c>
      <c r="L2490" s="15" t="n">
        <f aca="false">IFERROR(G2490/F2490,0)</f>
        <v>0.96551724137931</v>
      </c>
      <c r="M2490" s="15" t="n">
        <f aca="false">IFERROR((I2490-H2490)/H2490,0)</f>
        <v>0.0145202784503632</v>
      </c>
      <c r="N2490" s="16" t="n">
        <f aca="false">G2490*I2490</f>
        <v>150168.48</v>
      </c>
    </row>
    <row r="2491" customFormat="false" ht="15" hidden="false" customHeight="true" outlineLevel="0" collapsed="false">
      <c r="A2491" s="4" t="s">
        <v>2667</v>
      </c>
      <c r="B2491" s="4" t="s">
        <v>68</v>
      </c>
      <c r="C2491" s="13" t="n">
        <v>45071</v>
      </c>
      <c r="D2491" s="13" t="n">
        <v>45089</v>
      </c>
      <c r="E2491" s="13" t="n">
        <v>45091</v>
      </c>
      <c r="F2491" s="4" t="n">
        <v>181</v>
      </c>
      <c r="G2491" s="4" t="n">
        <v>162</v>
      </c>
      <c r="H2491" s="4" t="n">
        <v>1232.83</v>
      </c>
      <c r="I2491" s="4" t="n">
        <v>1229.52</v>
      </c>
      <c r="J2491" s="14" t="n">
        <f aca="false">E2491-D2491</f>
        <v>2</v>
      </c>
      <c r="K2491" s="14" t="n">
        <f aca="false">IF(J2491&lt;=0,1,0)</f>
        <v>0</v>
      </c>
      <c r="L2491" s="15" t="n">
        <f aca="false">IFERROR(G2491/F2491,0)</f>
        <v>0.895027624309392</v>
      </c>
      <c r="M2491" s="15" t="n">
        <f aca="false">IFERROR((I2491-H2491)/H2491,0)</f>
        <v>-0.00268487950487897</v>
      </c>
      <c r="N2491" s="16" t="n">
        <f aca="false">G2491*I2491</f>
        <v>199182.24</v>
      </c>
    </row>
    <row r="2492" customFormat="false" ht="15" hidden="false" customHeight="true" outlineLevel="0" collapsed="false">
      <c r="A2492" s="4" t="s">
        <v>2668</v>
      </c>
      <c r="B2492" s="4" t="s">
        <v>63</v>
      </c>
      <c r="C2492" s="13" t="n">
        <v>45326</v>
      </c>
      <c r="D2492" s="13" t="n">
        <v>45337</v>
      </c>
      <c r="E2492" s="13" t="n">
        <v>45353</v>
      </c>
      <c r="F2492" s="4" t="n">
        <v>359</v>
      </c>
      <c r="G2492" s="4" t="n">
        <v>338</v>
      </c>
      <c r="H2492" s="4" t="n">
        <v>239.8</v>
      </c>
      <c r="I2492" s="4" t="n">
        <v>256.01</v>
      </c>
      <c r="J2492" s="14" t="n">
        <f aca="false">E2492-D2492</f>
        <v>16</v>
      </c>
      <c r="K2492" s="14" t="n">
        <f aca="false">IF(J2492&lt;=0,1,0)</f>
        <v>0</v>
      </c>
      <c r="L2492" s="15" t="n">
        <f aca="false">IFERROR(G2492/F2492,0)</f>
        <v>0.941504178272981</v>
      </c>
      <c r="M2492" s="15" t="n">
        <f aca="false">IFERROR((I2492-H2492)/H2492,0)</f>
        <v>0.0675979983319432</v>
      </c>
      <c r="N2492" s="16" t="n">
        <f aca="false">G2492*I2492</f>
        <v>86531.38</v>
      </c>
    </row>
    <row r="2493" customFormat="false" ht="15" hidden="false" customHeight="true" outlineLevel="0" collapsed="false">
      <c r="A2493" s="4" t="s">
        <v>2669</v>
      </c>
      <c r="B2493" s="4" t="s">
        <v>133</v>
      </c>
      <c r="C2493" s="13" t="n">
        <v>45096</v>
      </c>
      <c r="D2493" s="13" t="n">
        <v>45107</v>
      </c>
      <c r="E2493" s="13" t="n">
        <v>45112</v>
      </c>
      <c r="F2493" s="4" t="n">
        <v>1478</v>
      </c>
      <c r="G2493" s="4" t="n">
        <v>1390</v>
      </c>
      <c r="H2493" s="4" t="n">
        <v>138.21</v>
      </c>
      <c r="I2493" s="4" t="n">
        <v>138.15</v>
      </c>
      <c r="J2493" s="14" t="n">
        <f aca="false">E2493-D2493</f>
        <v>5</v>
      </c>
      <c r="K2493" s="14" t="n">
        <f aca="false">IF(J2493&lt;=0,1,0)</f>
        <v>0</v>
      </c>
      <c r="L2493" s="15" t="n">
        <f aca="false">IFERROR(G2493/F2493,0)</f>
        <v>0.940460081190798</v>
      </c>
      <c r="M2493" s="15" t="n">
        <f aca="false">IFERROR((I2493-H2493)/H2493,0)</f>
        <v>-0.000434121988278723</v>
      </c>
      <c r="N2493" s="16" t="n">
        <f aca="false">G2493*I2493</f>
        <v>192028.5</v>
      </c>
    </row>
    <row r="2494" customFormat="false" ht="15" hidden="false" customHeight="true" outlineLevel="0" collapsed="false">
      <c r="A2494" s="4" t="s">
        <v>2670</v>
      </c>
      <c r="B2494" s="4" t="s">
        <v>93</v>
      </c>
      <c r="C2494" s="13" t="n">
        <v>45348</v>
      </c>
      <c r="D2494" s="13" t="n">
        <v>45359</v>
      </c>
      <c r="E2494" s="13" t="n">
        <v>45364</v>
      </c>
      <c r="F2494" s="4" t="n">
        <v>1523</v>
      </c>
      <c r="G2494" s="4" t="n">
        <v>1492</v>
      </c>
      <c r="H2494" s="4" t="n">
        <v>174.25</v>
      </c>
      <c r="I2494" s="4" t="n">
        <v>181.79</v>
      </c>
      <c r="J2494" s="14" t="n">
        <f aca="false">E2494-D2494</f>
        <v>5</v>
      </c>
      <c r="K2494" s="14" t="n">
        <f aca="false">IF(J2494&lt;=0,1,0)</f>
        <v>0</v>
      </c>
      <c r="L2494" s="15" t="n">
        <f aca="false">IFERROR(G2494/F2494,0)</f>
        <v>0.979645436638214</v>
      </c>
      <c r="M2494" s="15" t="n">
        <f aca="false">IFERROR((I2494-H2494)/H2494,0)</f>
        <v>0.0432711621233859</v>
      </c>
      <c r="N2494" s="16" t="n">
        <f aca="false">G2494*I2494</f>
        <v>271230.68</v>
      </c>
    </row>
    <row r="2495" customFormat="false" ht="15" hidden="false" customHeight="true" outlineLevel="0" collapsed="false">
      <c r="A2495" s="4" t="s">
        <v>2671</v>
      </c>
      <c r="B2495" s="4" t="s">
        <v>74</v>
      </c>
      <c r="C2495" s="13" t="n">
        <v>45175</v>
      </c>
      <c r="D2495" s="13" t="n">
        <v>45180</v>
      </c>
      <c r="E2495" s="13" t="n">
        <v>45181</v>
      </c>
      <c r="F2495" s="4" t="n">
        <v>5</v>
      </c>
      <c r="G2495" s="4" t="n">
        <v>5</v>
      </c>
      <c r="H2495" s="4" t="n">
        <v>1294.62</v>
      </c>
      <c r="I2495" s="4" t="n">
        <v>1317.82</v>
      </c>
      <c r="J2495" s="14" t="n">
        <f aca="false">E2495-D2495</f>
        <v>1</v>
      </c>
      <c r="K2495" s="14" t="n">
        <f aca="false">IF(J2495&lt;=0,1,0)</f>
        <v>0</v>
      </c>
      <c r="L2495" s="15" t="n">
        <f aca="false">IFERROR(G2495/F2495,0)</f>
        <v>1</v>
      </c>
      <c r="M2495" s="15" t="n">
        <f aca="false">IFERROR((I2495-H2495)/H2495,0)</f>
        <v>0.0179203163862755</v>
      </c>
      <c r="N2495" s="16" t="n">
        <f aca="false">G2495*I2495</f>
        <v>6589.1</v>
      </c>
    </row>
    <row r="2496" customFormat="false" ht="15" hidden="false" customHeight="true" outlineLevel="0" collapsed="false">
      <c r="A2496" s="4" t="s">
        <v>2672</v>
      </c>
      <c r="B2496" s="4" t="s">
        <v>99</v>
      </c>
      <c r="C2496" s="13" t="n">
        <v>45233</v>
      </c>
      <c r="D2496" s="13" t="n">
        <v>45241</v>
      </c>
      <c r="E2496" s="13" t="n">
        <v>45243</v>
      </c>
      <c r="F2496" s="4" t="n">
        <v>1694</v>
      </c>
      <c r="G2496" s="4" t="n">
        <v>1564</v>
      </c>
      <c r="H2496" s="4" t="n">
        <v>11.5</v>
      </c>
      <c r="I2496" s="4" t="n">
        <v>12.23</v>
      </c>
      <c r="J2496" s="14" t="n">
        <f aca="false">E2496-D2496</f>
        <v>2</v>
      </c>
      <c r="K2496" s="14" t="n">
        <f aca="false">IF(J2496&lt;=0,1,0)</f>
        <v>0</v>
      </c>
      <c r="L2496" s="15" t="n">
        <f aca="false">IFERROR(G2496/F2496,0)</f>
        <v>0.923258559622196</v>
      </c>
      <c r="M2496" s="15" t="n">
        <f aca="false">IFERROR((I2496-H2496)/H2496,0)</f>
        <v>0.0634782608695653</v>
      </c>
      <c r="N2496" s="16" t="n">
        <f aca="false">G2496*I2496</f>
        <v>19127.72</v>
      </c>
    </row>
    <row r="2497" customFormat="false" ht="15" hidden="false" customHeight="true" outlineLevel="0" collapsed="false">
      <c r="A2497" s="4" t="s">
        <v>2673</v>
      </c>
      <c r="B2497" s="4" t="s">
        <v>127</v>
      </c>
      <c r="C2497" s="13" t="n">
        <v>45547</v>
      </c>
      <c r="D2497" s="13" t="n">
        <v>45554</v>
      </c>
      <c r="E2497" s="13" t="n">
        <v>45560</v>
      </c>
      <c r="F2497" s="4" t="n">
        <v>10</v>
      </c>
      <c r="G2497" s="4" t="n">
        <v>10</v>
      </c>
      <c r="H2497" s="4" t="n">
        <v>1881</v>
      </c>
      <c r="I2497" s="4" t="n">
        <v>1767.51</v>
      </c>
      <c r="J2497" s="14" t="n">
        <f aca="false">E2497-D2497</f>
        <v>6</v>
      </c>
      <c r="K2497" s="14" t="n">
        <f aca="false">IF(J2497&lt;=0,1,0)</f>
        <v>0</v>
      </c>
      <c r="L2497" s="15" t="n">
        <f aca="false">IFERROR(G2497/F2497,0)</f>
        <v>1</v>
      </c>
      <c r="M2497" s="15" t="n">
        <f aca="false">IFERROR((I2497-H2497)/H2497,0)</f>
        <v>-0.0603349282296651</v>
      </c>
      <c r="N2497" s="16" t="n">
        <f aca="false">G2497*I2497</f>
        <v>17675.1</v>
      </c>
    </row>
    <row r="2498" customFormat="false" ht="15" hidden="false" customHeight="true" outlineLevel="0" collapsed="false">
      <c r="A2498" s="4" t="s">
        <v>2674</v>
      </c>
      <c r="B2498" s="4" t="s">
        <v>151</v>
      </c>
      <c r="C2498" s="13" t="n">
        <v>45231</v>
      </c>
      <c r="D2498" s="13" t="n">
        <v>45235</v>
      </c>
      <c r="E2498" s="13" t="n">
        <v>45238</v>
      </c>
      <c r="F2498" s="4" t="n">
        <v>15</v>
      </c>
      <c r="G2498" s="4" t="n">
        <v>15</v>
      </c>
      <c r="H2498" s="4" t="n">
        <v>503.46</v>
      </c>
      <c r="I2498" s="4" t="n">
        <v>520.52</v>
      </c>
      <c r="J2498" s="14" t="n">
        <f aca="false">E2498-D2498</f>
        <v>3</v>
      </c>
      <c r="K2498" s="14" t="n">
        <f aca="false">IF(J2498&lt;=0,1,0)</f>
        <v>0</v>
      </c>
      <c r="L2498" s="15" t="n">
        <f aca="false">IFERROR(G2498/F2498,0)</f>
        <v>1</v>
      </c>
      <c r="M2498" s="15" t="n">
        <f aca="false">IFERROR((I2498-H2498)/H2498,0)</f>
        <v>0.0338855122551941</v>
      </c>
      <c r="N2498" s="16" t="n">
        <f aca="false">G2498*I2498</f>
        <v>7807.8</v>
      </c>
    </row>
    <row r="2499" customFormat="false" ht="15" hidden="false" customHeight="true" outlineLevel="0" collapsed="false">
      <c r="A2499" s="4" t="s">
        <v>2675</v>
      </c>
      <c r="B2499" s="4" t="s">
        <v>151</v>
      </c>
      <c r="C2499" s="13" t="n">
        <v>45338</v>
      </c>
      <c r="D2499" s="13" t="n">
        <v>45345</v>
      </c>
      <c r="E2499" s="13" t="n">
        <v>45343</v>
      </c>
      <c r="F2499" s="4" t="n">
        <v>18</v>
      </c>
      <c r="G2499" s="4" t="n">
        <v>18</v>
      </c>
      <c r="H2499" s="4" t="n">
        <v>503.46</v>
      </c>
      <c r="I2499" s="4" t="n">
        <v>514</v>
      </c>
      <c r="J2499" s="14" t="n">
        <f aca="false">E2499-D2499</f>
        <v>-2</v>
      </c>
      <c r="K2499" s="14" t="n">
        <f aca="false">IF(J2499&lt;=0,1,0)</f>
        <v>1</v>
      </c>
      <c r="L2499" s="15" t="n">
        <f aca="false">IFERROR(G2499/F2499,0)</f>
        <v>1</v>
      </c>
      <c r="M2499" s="15" t="n">
        <f aca="false">IFERROR((I2499-H2499)/H2499,0)</f>
        <v>0.020935128907957</v>
      </c>
      <c r="N2499" s="16" t="n">
        <f aca="false">G2499*I2499</f>
        <v>9252</v>
      </c>
    </row>
    <row r="2500" customFormat="false" ht="15" hidden="false" customHeight="true" outlineLevel="0" collapsed="false">
      <c r="A2500" s="4" t="s">
        <v>2676</v>
      </c>
      <c r="B2500" s="4" t="s">
        <v>153</v>
      </c>
      <c r="C2500" s="13" t="n">
        <v>45038</v>
      </c>
      <c r="D2500" s="13" t="n">
        <v>45058</v>
      </c>
      <c r="E2500" s="13" t="n">
        <v>45064</v>
      </c>
      <c r="F2500" s="4" t="n">
        <v>367</v>
      </c>
      <c r="G2500" s="4" t="n">
        <v>338</v>
      </c>
      <c r="H2500" s="4" t="n">
        <v>1492.04</v>
      </c>
      <c r="I2500" s="4" t="n">
        <v>1504.08</v>
      </c>
      <c r="J2500" s="14" t="n">
        <f aca="false">E2500-D2500</f>
        <v>6</v>
      </c>
      <c r="K2500" s="14" t="n">
        <f aca="false">IF(J2500&lt;=0,1,0)</f>
        <v>0</v>
      </c>
      <c r="L2500" s="15" t="n">
        <f aca="false">IFERROR(G2500/F2500,0)</f>
        <v>0.920980926430518</v>
      </c>
      <c r="M2500" s="15" t="n">
        <f aca="false">IFERROR((I2500-H2500)/H2500,0)</f>
        <v>0.00806948875365269</v>
      </c>
      <c r="N2500" s="16" t="n">
        <f aca="false">G2500*I2500</f>
        <v>508379.04</v>
      </c>
    </row>
    <row r="2501" customFormat="false" ht="15" hidden="false" customHeight="true" outlineLevel="0" collapsed="false">
      <c r="A2501" s="4" t="s">
        <v>2677</v>
      </c>
      <c r="B2501" s="4" t="s">
        <v>65</v>
      </c>
      <c r="C2501" s="13" t="n">
        <v>45569</v>
      </c>
      <c r="D2501" s="13" t="n">
        <v>45586</v>
      </c>
      <c r="E2501" s="13" t="n">
        <v>45587</v>
      </c>
      <c r="F2501" s="4" t="n">
        <v>392</v>
      </c>
      <c r="G2501" s="4" t="n">
        <v>389</v>
      </c>
      <c r="H2501" s="4" t="n">
        <v>1365.59</v>
      </c>
      <c r="I2501" s="4" t="n">
        <v>1370.47</v>
      </c>
      <c r="J2501" s="14" t="n">
        <f aca="false">E2501-D2501</f>
        <v>1</v>
      </c>
      <c r="K2501" s="14" t="n">
        <f aca="false">IF(J2501&lt;=0,1,0)</f>
        <v>0</v>
      </c>
      <c r="L2501" s="15" t="n">
        <f aca="false">IFERROR(G2501/F2501,0)</f>
        <v>0.99234693877551</v>
      </c>
      <c r="M2501" s="15" t="n">
        <f aca="false">IFERROR((I2501-H2501)/H2501,0)</f>
        <v>0.00357354696504815</v>
      </c>
      <c r="N2501" s="16" t="n">
        <f aca="false">G2501*I2501</f>
        <v>533112.83</v>
      </c>
    </row>
    <row r="2502" customFormat="false" ht="15" hidden="false" customHeight="true" outlineLevel="0" collapsed="false">
      <c r="A2502" s="4" t="s">
        <v>2678</v>
      </c>
      <c r="B2502" s="4" t="s">
        <v>79</v>
      </c>
      <c r="C2502" s="13" t="n">
        <v>45086</v>
      </c>
      <c r="D2502" s="13" t="n">
        <v>45105</v>
      </c>
      <c r="E2502" s="13" t="n">
        <v>45109</v>
      </c>
      <c r="F2502" s="4" t="n">
        <v>210</v>
      </c>
      <c r="G2502" s="4" t="n">
        <v>204</v>
      </c>
      <c r="H2502" s="4" t="n">
        <v>821.48</v>
      </c>
      <c r="I2502" s="4" t="n">
        <v>841.78</v>
      </c>
      <c r="J2502" s="14" t="n">
        <f aca="false">E2502-D2502</f>
        <v>4</v>
      </c>
      <c r="K2502" s="14" t="n">
        <f aca="false">IF(J2502&lt;=0,1,0)</f>
        <v>0</v>
      </c>
      <c r="L2502" s="15" t="n">
        <f aca="false">IFERROR(G2502/F2502,0)</f>
        <v>0.971428571428571</v>
      </c>
      <c r="M2502" s="15" t="n">
        <f aca="false">IFERROR((I2502-H2502)/H2502,0)</f>
        <v>0.0247114963237084</v>
      </c>
      <c r="N2502" s="16" t="n">
        <f aca="false">G2502*I2502</f>
        <v>171723.12</v>
      </c>
    </row>
    <row r="2503" customFormat="false" ht="15" hidden="false" customHeight="true" outlineLevel="0" collapsed="false">
      <c r="A2503" s="4" t="s">
        <v>2679</v>
      </c>
      <c r="B2503" s="4" t="s">
        <v>99</v>
      </c>
      <c r="C2503" s="13" t="n">
        <v>45146</v>
      </c>
      <c r="D2503" s="13" t="n">
        <v>45154</v>
      </c>
      <c r="E2503" s="13" t="n">
        <v>45158</v>
      </c>
      <c r="F2503" s="4" t="n">
        <v>3402</v>
      </c>
      <c r="G2503" s="4" t="n">
        <v>3156</v>
      </c>
      <c r="H2503" s="4" t="n">
        <v>11.5</v>
      </c>
      <c r="I2503" s="4" t="n">
        <v>12.07</v>
      </c>
      <c r="J2503" s="14" t="n">
        <f aca="false">E2503-D2503</f>
        <v>4</v>
      </c>
      <c r="K2503" s="14" t="n">
        <f aca="false">IF(J2503&lt;=0,1,0)</f>
        <v>0</v>
      </c>
      <c r="L2503" s="15" t="n">
        <f aca="false">IFERROR(G2503/F2503,0)</f>
        <v>0.927689594356261</v>
      </c>
      <c r="M2503" s="15" t="n">
        <f aca="false">IFERROR((I2503-H2503)/H2503,0)</f>
        <v>0.0495652173913044</v>
      </c>
      <c r="N2503" s="16" t="n">
        <f aca="false">G2503*I2503</f>
        <v>38092.92</v>
      </c>
    </row>
    <row r="2504" customFormat="false" ht="15" hidden="false" customHeight="true" outlineLevel="0" collapsed="false">
      <c r="A2504" s="4" t="s">
        <v>2680</v>
      </c>
      <c r="B2504" s="4" t="s">
        <v>123</v>
      </c>
      <c r="C2504" s="13" t="n">
        <v>45167</v>
      </c>
      <c r="D2504" s="13" t="n">
        <v>45178</v>
      </c>
      <c r="E2504" s="13" t="n">
        <v>45176</v>
      </c>
      <c r="F2504" s="4" t="n">
        <v>37</v>
      </c>
      <c r="G2504" s="4" t="n">
        <v>35</v>
      </c>
      <c r="H2504" s="4" t="n">
        <v>214.07</v>
      </c>
      <c r="I2504" s="4" t="n">
        <v>224.05</v>
      </c>
      <c r="J2504" s="14" t="n">
        <f aca="false">E2504-D2504</f>
        <v>-2</v>
      </c>
      <c r="K2504" s="14" t="n">
        <f aca="false">IF(J2504&lt;=0,1,0)</f>
        <v>1</v>
      </c>
      <c r="L2504" s="15" t="n">
        <f aca="false">IFERROR(G2504/F2504,0)</f>
        <v>0.945945945945946</v>
      </c>
      <c r="M2504" s="15" t="n">
        <f aca="false">IFERROR((I2504-H2504)/H2504,0)</f>
        <v>0.0466202643994956</v>
      </c>
      <c r="N2504" s="16" t="n">
        <f aca="false">G2504*I2504</f>
        <v>7841.75</v>
      </c>
    </row>
    <row r="2505" customFormat="false" ht="15" hidden="false" customHeight="true" outlineLevel="0" collapsed="false">
      <c r="A2505" s="4" t="s">
        <v>2681</v>
      </c>
      <c r="B2505" s="4" t="s">
        <v>137</v>
      </c>
      <c r="C2505" s="13" t="n">
        <v>45301</v>
      </c>
      <c r="D2505" s="13" t="n">
        <v>45320</v>
      </c>
      <c r="E2505" s="13" t="n">
        <v>45318</v>
      </c>
      <c r="F2505" s="4" t="n">
        <v>316</v>
      </c>
      <c r="G2505" s="4" t="n">
        <v>280</v>
      </c>
      <c r="H2505" s="4" t="n">
        <v>1047.25</v>
      </c>
      <c r="I2505" s="4" t="n">
        <v>1081.08</v>
      </c>
      <c r="J2505" s="14" t="n">
        <f aca="false">E2505-D2505</f>
        <v>-2</v>
      </c>
      <c r="K2505" s="14" t="n">
        <f aca="false">IF(J2505&lt;=0,1,0)</f>
        <v>1</v>
      </c>
      <c r="L2505" s="15" t="n">
        <f aca="false">IFERROR(G2505/F2505,0)</f>
        <v>0.886075949367089</v>
      </c>
      <c r="M2505" s="15" t="n">
        <f aca="false">IFERROR((I2505-H2505)/H2505,0)</f>
        <v>0.0323036524230126</v>
      </c>
      <c r="N2505" s="16" t="n">
        <f aca="false">G2505*I2505</f>
        <v>302702.4</v>
      </c>
    </row>
    <row r="2506" customFormat="false" ht="15" hidden="false" customHeight="true" outlineLevel="0" collapsed="false">
      <c r="A2506" s="4" t="s">
        <v>2682</v>
      </c>
      <c r="B2506" s="4" t="s">
        <v>157</v>
      </c>
      <c r="C2506" s="13" t="n">
        <v>44981</v>
      </c>
      <c r="D2506" s="13" t="n">
        <v>44988</v>
      </c>
      <c r="E2506" s="13" t="n">
        <v>44994</v>
      </c>
      <c r="F2506" s="4" t="n">
        <v>1846</v>
      </c>
      <c r="G2506" s="4" t="n">
        <v>1773</v>
      </c>
      <c r="H2506" s="4" t="n">
        <v>13.1</v>
      </c>
      <c r="I2506" s="4" t="n">
        <v>13.33</v>
      </c>
      <c r="J2506" s="14" t="n">
        <f aca="false">E2506-D2506</f>
        <v>6</v>
      </c>
      <c r="K2506" s="14" t="n">
        <f aca="false">IF(J2506&lt;=0,1,0)</f>
        <v>0</v>
      </c>
      <c r="L2506" s="15" t="n">
        <f aca="false">IFERROR(G2506/F2506,0)</f>
        <v>0.960455037919827</v>
      </c>
      <c r="M2506" s="15" t="n">
        <f aca="false">IFERROR((I2506-H2506)/H2506,0)</f>
        <v>0.017557251908397</v>
      </c>
      <c r="N2506" s="16" t="n">
        <f aca="false">G2506*I2506</f>
        <v>23634.09</v>
      </c>
    </row>
    <row r="2507" customFormat="false" ht="15" hidden="false" customHeight="true" outlineLevel="0" collapsed="false">
      <c r="A2507" s="4" t="s">
        <v>2683</v>
      </c>
      <c r="B2507" s="4" t="s">
        <v>159</v>
      </c>
      <c r="C2507" s="13" t="n">
        <v>45034</v>
      </c>
      <c r="D2507" s="13" t="n">
        <v>45042</v>
      </c>
      <c r="E2507" s="13" t="n">
        <v>45043</v>
      </c>
      <c r="F2507" s="4" t="n">
        <v>2293</v>
      </c>
      <c r="G2507" s="4" t="n">
        <v>2229</v>
      </c>
      <c r="H2507" s="4" t="n">
        <v>32.91</v>
      </c>
      <c r="I2507" s="4" t="n">
        <v>33.07</v>
      </c>
      <c r="J2507" s="14" t="n">
        <f aca="false">E2507-D2507</f>
        <v>1</v>
      </c>
      <c r="K2507" s="14" t="n">
        <f aca="false">IF(J2507&lt;=0,1,0)</f>
        <v>0</v>
      </c>
      <c r="L2507" s="15" t="n">
        <f aca="false">IFERROR(G2507/F2507,0)</f>
        <v>0.972088966419538</v>
      </c>
      <c r="M2507" s="15" t="n">
        <f aca="false">IFERROR((I2507-H2507)/H2507,0)</f>
        <v>0.00486174415071418</v>
      </c>
      <c r="N2507" s="16" t="n">
        <f aca="false">G2507*I2507</f>
        <v>73713.03</v>
      </c>
    </row>
    <row r="2508" customFormat="false" ht="15" hidden="false" customHeight="true" outlineLevel="0" collapsed="false">
      <c r="A2508" s="4" t="s">
        <v>2684</v>
      </c>
      <c r="B2508" s="4" t="s">
        <v>91</v>
      </c>
      <c r="C2508" s="13" t="n">
        <v>45626</v>
      </c>
      <c r="D2508" s="13" t="n">
        <v>45643</v>
      </c>
      <c r="E2508" s="13" t="n">
        <v>45646</v>
      </c>
      <c r="F2508" s="4" t="n">
        <v>134</v>
      </c>
      <c r="G2508" s="4" t="n">
        <v>134</v>
      </c>
      <c r="H2508" s="4" t="n">
        <v>496.29</v>
      </c>
      <c r="I2508" s="4" t="n">
        <v>487.68</v>
      </c>
      <c r="J2508" s="14" t="n">
        <f aca="false">E2508-D2508</f>
        <v>3</v>
      </c>
      <c r="K2508" s="14" t="n">
        <f aca="false">IF(J2508&lt;=0,1,0)</f>
        <v>0</v>
      </c>
      <c r="L2508" s="15" t="n">
        <f aca="false">IFERROR(G2508/F2508,0)</f>
        <v>1</v>
      </c>
      <c r="M2508" s="15" t="n">
        <f aca="false">IFERROR((I2508-H2508)/H2508,0)</f>
        <v>-0.017348727558484</v>
      </c>
      <c r="N2508" s="16" t="n">
        <f aca="false">G2508*I2508</f>
        <v>65349.12</v>
      </c>
    </row>
    <row r="2509" customFormat="false" ht="15" hidden="false" customHeight="true" outlineLevel="0" collapsed="false">
      <c r="A2509" s="4" t="s">
        <v>2685</v>
      </c>
      <c r="B2509" s="4" t="s">
        <v>85</v>
      </c>
      <c r="C2509" s="13" t="n">
        <v>45605</v>
      </c>
      <c r="D2509" s="13" t="n">
        <v>45614</v>
      </c>
      <c r="E2509" s="13" t="n">
        <v>45615</v>
      </c>
      <c r="F2509" s="4" t="n">
        <v>1698</v>
      </c>
      <c r="G2509" s="4" t="n">
        <v>1598</v>
      </c>
      <c r="H2509" s="4" t="n">
        <v>241.88</v>
      </c>
      <c r="I2509" s="4" t="n">
        <v>233.25</v>
      </c>
      <c r="J2509" s="14" t="n">
        <f aca="false">E2509-D2509</f>
        <v>1</v>
      </c>
      <c r="K2509" s="14" t="n">
        <f aca="false">IF(J2509&lt;=0,1,0)</f>
        <v>0</v>
      </c>
      <c r="L2509" s="15" t="n">
        <f aca="false">IFERROR(G2509/F2509,0)</f>
        <v>0.941107184923439</v>
      </c>
      <c r="M2509" s="15" t="n">
        <f aca="false">IFERROR((I2509-H2509)/H2509,0)</f>
        <v>-0.035678849016041</v>
      </c>
      <c r="N2509" s="16" t="n">
        <f aca="false">G2509*I2509</f>
        <v>372733.5</v>
      </c>
    </row>
    <row r="2510" customFormat="false" ht="15" hidden="false" customHeight="true" outlineLevel="0" collapsed="false">
      <c r="A2510" s="4" t="s">
        <v>2686</v>
      </c>
      <c r="B2510" s="4" t="s">
        <v>129</v>
      </c>
      <c r="C2510" s="13" t="n">
        <v>45051</v>
      </c>
      <c r="D2510" s="13" t="n">
        <v>45070</v>
      </c>
      <c r="E2510" s="13" t="n">
        <v>45071</v>
      </c>
      <c r="F2510" s="4" t="n">
        <v>118</v>
      </c>
      <c r="G2510" s="4" t="n">
        <v>117</v>
      </c>
      <c r="H2510" s="4" t="n">
        <v>709.66</v>
      </c>
      <c r="I2510" s="4" t="n">
        <v>701.11</v>
      </c>
      <c r="J2510" s="14" t="n">
        <f aca="false">E2510-D2510</f>
        <v>1</v>
      </c>
      <c r="K2510" s="14" t="n">
        <f aca="false">IF(J2510&lt;=0,1,0)</f>
        <v>0</v>
      </c>
      <c r="L2510" s="15" t="n">
        <f aca="false">IFERROR(G2510/F2510,0)</f>
        <v>0.991525423728814</v>
      </c>
      <c r="M2510" s="15" t="n">
        <f aca="false">IFERROR((I2510-H2510)/H2510,0)</f>
        <v>-0.012048022996928</v>
      </c>
      <c r="N2510" s="16" t="n">
        <f aca="false">G2510*I2510</f>
        <v>82029.87</v>
      </c>
    </row>
    <row r="2511" customFormat="false" ht="15" hidden="false" customHeight="true" outlineLevel="0" collapsed="false">
      <c r="A2511" s="4" t="s">
        <v>2687</v>
      </c>
      <c r="B2511" s="4" t="s">
        <v>141</v>
      </c>
      <c r="C2511" s="13" t="n">
        <v>45437</v>
      </c>
      <c r="D2511" s="13" t="n">
        <v>45454</v>
      </c>
      <c r="E2511" s="13" t="n">
        <v>45459</v>
      </c>
      <c r="F2511" s="4" t="n">
        <v>116</v>
      </c>
      <c r="G2511" s="4" t="n">
        <v>111</v>
      </c>
      <c r="H2511" s="4" t="n">
        <v>1252.36</v>
      </c>
      <c r="I2511" s="4" t="n">
        <v>1212.03</v>
      </c>
      <c r="J2511" s="14" t="n">
        <f aca="false">E2511-D2511</f>
        <v>5</v>
      </c>
      <c r="K2511" s="14" t="n">
        <f aca="false">IF(J2511&lt;=0,1,0)</f>
        <v>0</v>
      </c>
      <c r="L2511" s="15" t="n">
        <f aca="false">IFERROR(G2511/F2511,0)</f>
        <v>0.956896551724138</v>
      </c>
      <c r="M2511" s="15" t="n">
        <f aca="false">IFERROR((I2511-H2511)/H2511,0)</f>
        <v>-0.0322032003577246</v>
      </c>
      <c r="N2511" s="16" t="n">
        <f aca="false">G2511*I2511</f>
        <v>134535.33</v>
      </c>
    </row>
    <row r="2512" customFormat="false" ht="15" hidden="false" customHeight="true" outlineLevel="0" collapsed="false">
      <c r="A2512" s="4" t="s">
        <v>2688</v>
      </c>
      <c r="B2512" s="4" t="s">
        <v>141</v>
      </c>
      <c r="C2512" s="13" t="n">
        <v>45312</v>
      </c>
      <c r="D2512" s="13" t="n">
        <v>45330</v>
      </c>
      <c r="E2512" s="13" t="n">
        <v>45331</v>
      </c>
      <c r="F2512" s="4" t="n">
        <v>445</v>
      </c>
      <c r="G2512" s="4" t="n">
        <v>441</v>
      </c>
      <c r="H2512" s="4" t="n">
        <v>1252.36</v>
      </c>
      <c r="I2512" s="4" t="n">
        <v>1209.78</v>
      </c>
      <c r="J2512" s="14" t="n">
        <f aca="false">E2512-D2512</f>
        <v>1</v>
      </c>
      <c r="K2512" s="14" t="n">
        <f aca="false">IF(J2512&lt;=0,1,0)</f>
        <v>0</v>
      </c>
      <c r="L2512" s="15" t="n">
        <f aca="false">IFERROR(G2512/F2512,0)</f>
        <v>0.991011235955056</v>
      </c>
      <c r="M2512" s="15" t="n">
        <f aca="false">IFERROR((I2512-H2512)/H2512,0)</f>
        <v>-0.0339998083618128</v>
      </c>
      <c r="N2512" s="16" t="n">
        <f aca="false">G2512*I2512</f>
        <v>533512.98</v>
      </c>
    </row>
    <row r="2513" customFormat="false" ht="15" hidden="false" customHeight="true" outlineLevel="0" collapsed="false">
      <c r="A2513" s="4" t="s">
        <v>2689</v>
      </c>
      <c r="B2513" s="4" t="s">
        <v>109</v>
      </c>
      <c r="C2513" s="13" t="n">
        <v>45633</v>
      </c>
      <c r="D2513" s="13" t="n">
        <v>45652</v>
      </c>
      <c r="E2513" s="13" t="n">
        <v>45650</v>
      </c>
      <c r="F2513" s="4" t="n">
        <v>87</v>
      </c>
      <c r="G2513" s="4" t="n">
        <v>87</v>
      </c>
      <c r="H2513" s="4" t="n">
        <v>858.02</v>
      </c>
      <c r="I2513" s="4" t="n">
        <v>899.37</v>
      </c>
      <c r="J2513" s="14" t="n">
        <f aca="false">E2513-D2513</f>
        <v>-2</v>
      </c>
      <c r="K2513" s="14" t="n">
        <f aca="false">IF(J2513&lt;=0,1,0)</f>
        <v>1</v>
      </c>
      <c r="L2513" s="15" t="n">
        <f aca="false">IFERROR(G2513/F2513,0)</f>
        <v>1</v>
      </c>
      <c r="M2513" s="15" t="n">
        <f aca="false">IFERROR((I2513-H2513)/H2513,0)</f>
        <v>0.0481923498286754</v>
      </c>
      <c r="N2513" s="16" t="n">
        <f aca="false">G2513*I2513</f>
        <v>78245.19</v>
      </c>
    </row>
    <row r="2514" customFormat="false" ht="15" hidden="false" customHeight="true" outlineLevel="0" collapsed="false">
      <c r="A2514" s="4" t="s">
        <v>2690</v>
      </c>
      <c r="B2514" s="4" t="s">
        <v>103</v>
      </c>
      <c r="C2514" s="13" t="n">
        <v>45068</v>
      </c>
      <c r="D2514" s="13" t="n">
        <v>45085</v>
      </c>
      <c r="E2514" s="13" t="n">
        <v>45098</v>
      </c>
      <c r="F2514" s="4" t="n">
        <v>238</v>
      </c>
      <c r="G2514" s="4" t="n">
        <v>233</v>
      </c>
      <c r="H2514" s="4" t="n">
        <v>1400.22</v>
      </c>
      <c r="I2514" s="4" t="n">
        <v>1416.82</v>
      </c>
      <c r="J2514" s="14" t="n">
        <f aca="false">E2514-D2514</f>
        <v>13</v>
      </c>
      <c r="K2514" s="14" t="n">
        <f aca="false">IF(J2514&lt;=0,1,0)</f>
        <v>0</v>
      </c>
      <c r="L2514" s="15" t="n">
        <f aca="false">IFERROR(G2514/F2514,0)</f>
        <v>0.978991596638655</v>
      </c>
      <c r="M2514" s="15" t="n">
        <f aca="false">IFERROR((I2514-H2514)/H2514,0)</f>
        <v>0.0118552798845895</v>
      </c>
      <c r="N2514" s="16" t="n">
        <f aca="false">G2514*I2514</f>
        <v>330119.06</v>
      </c>
    </row>
    <row r="2515" customFormat="false" ht="15" hidden="false" customHeight="true" outlineLevel="0" collapsed="false">
      <c r="A2515" s="4" t="s">
        <v>2691</v>
      </c>
      <c r="B2515" s="4" t="s">
        <v>137</v>
      </c>
      <c r="C2515" s="13" t="n">
        <v>45280</v>
      </c>
      <c r="D2515" s="13" t="n">
        <v>45297</v>
      </c>
      <c r="E2515" s="13" t="n">
        <v>45294</v>
      </c>
      <c r="F2515" s="4" t="n">
        <v>106</v>
      </c>
      <c r="G2515" s="4" t="n">
        <v>94</v>
      </c>
      <c r="H2515" s="4" t="n">
        <v>1047.25</v>
      </c>
      <c r="I2515" s="4" t="n">
        <v>1075.5</v>
      </c>
      <c r="J2515" s="14" t="n">
        <f aca="false">E2515-D2515</f>
        <v>-3</v>
      </c>
      <c r="K2515" s="14" t="n">
        <f aca="false">IF(J2515&lt;=0,1,0)</f>
        <v>1</v>
      </c>
      <c r="L2515" s="15" t="n">
        <f aca="false">IFERROR(G2515/F2515,0)</f>
        <v>0.886792452830189</v>
      </c>
      <c r="M2515" s="15" t="n">
        <f aca="false">IFERROR((I2515-H2515)/H2515,0)</f>
        <v>0.0269754117927906</v>
      </c>
      <c r="N2515" s="16" t="n">
        <f aca="false">G2515*I2515</f>
        <v>101097</v>
      </c>
    </row>
    <row r="2516" customFormat="false" ht="15" hidden="false" customHeight="true" outlineLevel="0" collapsed="false">
      <c r="A2516" s="4" t="s">
        <v>2692</v>
      </c>
      <c r="B2516" s="4" t="s">
        <v>83</v>
      </c>
      <c r="C2516" s="13" t="n">
        <v>45304</v>
      </c>
      <c r="D2516" s="13" t="n">
        <v>45316</v>
      </c>
      <c r="E2516" s="13" t="n">
        <v>45316</v>
      </c>
      <c r="F2516" s="4" t="n">
        <v>603</v>
      </c>
      <c r="G2516" s="4" t="n">
        <v>580</v>
      </c>
      <c r="H2516" s="4" t="n">
        <v>101.36</v>
      </c>
      <c r="I2516" s="4" t="n">
        <v>103.18</v>
      </c>
      <c r="J2516" s="14" t="n">
        <f aca="false">E2516-D2516</f>
        <v>0</v>
      </c>
      <c r="K2516" s="14" t="n">
        <f aca="false">IF(J2516&lt;=0,1,0)</f>
        <v>1</v>
      </c>
      <c r="L2516" s="15" t="n">
        <f aca="false">IFERROR(G2516/F2516,0)</f>
        <v>0.961857379767828</v>
      </c>
      <c r="M2516" s="15" t="n">
        <f aca="false">IFERROR((I2516-H2516)/H2516,0)</f>
        <v>0.0179558011049724</v>
      </c>
      <c r="N2516" s="16" t="n">
        <f aca="false">G2516*I2516</f>
        <v>59844.4</v>
      </c>
    </row>
    <row r="2517" customFormat="false" ht="15" hidden="false" customHeight="true" outlineLevel="0" collapsed="false">
      <c r="A2517" s="4" t="s">
        <v>2693</v>
      </c>
      <c r="B2517" s="4" t="s">
        <v>135</v>
      </c>
      <c r="C2517" s="13" t="n">
        <v>45349</v>
      </c>
      <c r="D2517" s="13" t="n">
        <v>45361</v>
      </c>
      <c r="E2517" s="13" t="n">
        <v>45363</v>
      </c>
      <c r="F2517" s="4" t="n">
        <v>226</v>
      </c>
      <c r="G2517" s="4" t="n">
        <v>225</v>
      </c>
      <c r="H2517" s="4" t="n">
        <v>328.06</v>
      </c>
      <c r="I2517" s="4" t="n">
        <v>323.46</v>
      </c>
      <c r="J2517" s="14" t="n">
        <f aca="false">E2517-D2517</f>
        <v>2</v>
      </c>
      <c r="K2517" s="14" t="n">
        <f aca="false">IF(J2517&lt;=0,1,0)</f>
        <v>0</v>
      </c>
      <c r="L2517" s="15" t="n">
        <f aca="false">IFERROR(G2517/F2517,0)</f>
        <v>0.995575221238938</v>
      </c>
      <c r="M2517" s="15" t="n">
        <f aca="false">IFERROR((I2517-H2517)/H2517,0)</f>
        <v>-0.0140218252758642</v>
      </c>
      <c r="N2517" s="16" t="n">
        <f aca="false">G2517*I2517</f>
        <v>72778.5</v>
      </c>
    </row>
    <row r="2518" customFormat="false" ht="15" hidden="false" customHeight="true" outlineLevel="0" collapsed="false">
      <c r="A2518" s="4" t="s">
        <v>2694</v>
      </c>
      <c r="B2518" s="4" t="s">
        <v>157</v>
      </c>
      <c r="C2518" s="13" t="n">
        <v>45136</v>
      </c>
      <c r="D2518" s="13" t="n">
        <v>45144</v>
      </c>
      <c r="E2518" s="13" t="n">
        <v>45147</v>
      </c>
      <c r="F2518" s="4" t="n">
        <v>2472</v>
      </c>
      <c r="G2518" s="4" t="n">
        <v>2318</v>
      </c>
      <c r="H2518" s="4" t="n">
        <v>13.1</v>
      </c>
      <c r="I2518" s="4" t="n">
        <v>13.16</v>
      </c>
      <c r="J2518" s="14" t="n">
        <f aca="false">E2518-D2518</f>
        <v>3</v>
      </c>
      <c r="K2518" s="14" t="n">
        <f aca="false">IF(J2518&lt;=0,1,0)</f>
        <v>0</v>
      </c>
      <c r="L2518" s="15" t="n">
        <f aca="false">IFERROR(G2518/F2518,0)</f>
        <v>0.937702265372168</v>
      </c>
      <c r="M2518" s="15" t="n">
        <f aca="false">IFERROR((I2518-H2518)/H2518,0)</f>
        <v>0.00458015267175576</v>
      </c>
      <c r="N2518" s="16" t="n">
        <f aca="false">G2518*I2518</f>
        <v>30504.88</v>
      </c>
    </row>
    <row r="2519" customFormat="false" ht="15" hidden="false" customHeight="true" outlineLevel="0" collapsed="false">
      <c r="A2519" s="4" t="s">
        <v>2695</v>
      </c>
      <c r="B2519" s="4" t="s">
        <v>109</v>
      </c>
      <c r="C2519" s="13" t="n">
        <v>45267</v>
      </c>
      <c r="D2519" s="13" t="n">
        <v>45286</v>
      </c>
      <c r="E2519" s="13" t="n">
        <v>45288</v>
      </c>
      <c r="F2519" s="4" t="n">
        <v>305</v>
      </c>
      <c r="G2519" s="4" t="n">
        <v>300</v>
      </c>
      <c r="H2519" s="4" t="n">
        <v>858.02</v>
      </c>
      <c r="I2519" s="4" t="n">
        <v>888.36</v>
      </c>
      <c r="J2519" s="14" t="n">
        <f aca="false">E2519-D2519</f>
        <v>2</v>
      </c>
      <c r="K2519" s="14" t="n">
        <f aca="false">IF(J2519&lt;=0,1,0)</f>
        <v>0</v>
      </c>
      <c r="L2519" s="15" t="n">
        <f aca="false">IFERROR(G2519/F2519,0)</f>
        <v>0.983606557377049</v>
      </c>
      <c r="M2519" s="15" t="n">
        <f aca="false">IFERROR((I2519-H2519)/H2519,0)</f>
        <v>0.0353604811076665</v>
      </c>
      <c r="N2519" s="16" t="n">
        <f aca="false">G2519*I2519</f>
        <v>266508</v>
      </c>
    </row>
    <row r="2520" customFormat="false" ht="15" hidden="false" customHeight="true" outlineLevel="0" collapsed="false">
      <c r="A2520" s="4" t="s">
        <v>2696</v>
      </c>
      <c r="B2520" s="4" t="s">
        <v>157</v>
      </c>
      <c r="C2520" s="13" t="n">
        <v>45649</v>
      </c>
      <c r="D2520" s="13" t="n">
        <v>45655</v>
      </c>
      <c r="E2520" s="13" t="n">
        <v>45654</v>
      </c>
      <c r="F2520" s="4" t="n">
        <v>4452</v>
      </c>
      <c r="G2520" s="4" t="n">
        <v>4208</v>
      </c>
      <c r="H2520" s="4" t="n">
        <v>13.1</v>
      </c>
      <c r="I2520" s="4" t="n">
        <v>13.69</v>
      </c>
      <c r="J2520" s="14" t="n">
        <f aca="false">E2520-D2520</f>
        <v>-1</v>
      </c>
      <c r="K2520" s="14" t="n">
        <f aca="false">IF(J2520&lt;=0,1,0)</f>
        <v>1</v>
      </c>
      <c r="L2520" s="15" t="n">
        <f aca="false">IFERROR(G2520/F2520,0)</f>
        <v>0.945193171608266</v>
      </c>
      <c r="M2520" s="15" t="n">
        <f aca="false">IFERROR((I2520-H2520)/H2520,0)</f>
        <v>0.0450381679389313</v>
      </c>
      <c r="N2520" s="16" t="n">
        <f aca="false">G2520*I2520</f>
        <v>57607.52</v>
      </c>
    </row>
    <row r="2521" customFormat="false" ht="15" hidden="false" customHeight="true" outlineLevel="0" collapsed="false">
      <c r="A2521" s="4" t="s">
        <v>2697</v>
      </c>
      <c r="B2521" s="4" t="s">
        <v>72</v>
      </c>
      <c r="C2521" s="13" t="n">
        <v>45246</v>
      </c>
      <c r="D2521" s="13" t="n">
        <v>45254</v>
      </c>
      <c r="E2521" s="13" t="n">
        <v>45252</v>
      </c>
      <c r="F2521" s="4" t="n">
        <v>591</v>
      </c>
      <c r="G2521" s="4" t="n">
        <v>583</v>
      </c>
      <c r="H2521" s="4" t="n">
        <v>34.53</v>
      </c>
      <c r="I2521" s="4" t="n">
        <v>36.17</v>
      </c>
      <c r="J2521" s="14" t="n">
        <f aca="false">E2521-D2521</f>
        <v>-2</v>
      </c>
      <c r="K2521" s="14" t="n">
        <f aca="false">IF(J2521&lt;=0,1,0)</f>
        <v>1</v>
      </c>
      <c r="L2521" s="15" t="n">
        <f aca="false">IFERROR(G2521/F2521,0)</f>
        <v>0.986463620981388</v>
      </c>
      <c r="M2521" s="15" t="n">
        <f aca="false">IFERROR((I2521-H2521)/H2521,0)</f>
        <v>0.0474949319432378</v>
      </c>
      <c r="N2521" s="16" t="n">
        <f aca="false">G2521*I2521</f>
        <v>21087.11</v>
      </c>
    </row>
    <row r="2522" customFormat="false" ht="15" hidden="false" customHeight="true" outlineLevel="0" collapsed="false">
      <c r="A2522" s="4" t="s">
        <v>2698</v>
      </c>
      <c r="B2522" s="4" t="s">
        <v>119</v>
      </c>
      <c r="C2522" s="13" t="n">
        <v>45022</v>
      </c>
      <c r="D2522" s="13" t="n">
        <v>45028</v>
      </c>
      <c r="E2522" s="13" t="n">
        <v>45029</v>
      </c>
      <c r="F2522" s="4" t="n">
        <v>2113</v>
      </c>
      <c r="G2522" s="4" t="n">
        <v>2061</v>
      </c>
      <c r="H2522" s="4" t="n">
        <v>50.92</v>
      </c>
      <c r="I2522" s="4" t="n">
        <v>51.03</v>
      </c>
      <c r="J2522" s="14" t="n">
        <f aca="false">E2522-D2522</f>
        <v>1</v>
      </c>
      <c r="K2522" s="14" t="n">
        <f aca="false">IF(J2522&lt;=0,1,0)</f>
        <v>0</v>
      </c>
      <c r="L2522" s="15" t="n">
        <f aca="false">IFERROR(G2522/F2522,0)</f>
        <v>0.975390440132513</v>
      </c>
      <c r="M2522" s="15" t="n">
        <f aca="false">IFERROR((I2522-H2522)/H2522,0)</f>
        <v>0.00216025137470541</v>
      </c>
      <c r="N2522" s="16" t="n">
        <f aca="false">G2522*I2522</f>
        <v>105172.83</v>
      </c>
    </row>
    <row r="2523" customFormat="false" ht="15" hidden="false" customHeight="true" outlineLevel="0" collapsed="false">
      <c r="A2523" s="4" t="s">
        <v>2699</v>
      </c>
      <c r="B2523" s="4" t="s">
        <v>125</v>
      </c>
      <c r="C2523" s="13" t="n">
        <v>45398</v>
      </c>
      <c r="D2523" s="13" t="n">
        <v>45404</v>
      </c>
      <c r="E2523" s="13" t="n">
        <v>45405</v>
      </c>
      <c r="F2523" s="4" t="n">
        <v>3</v>
      </c>
      <c r="G2523" s="4" t="n">
        <v>3</v>
      </c>
      <c r="H2523" s="4" t="n">
        <v>729.32</v>
      </c>
      <c r="I2523" s="4" t="n">
        <v>737.07</v>
      </c>
      <c r="J2523" s="14" t="n">
        <f aca="false">E2523-D2523</f>
        <v>1</v>
      </c>
      <c r="K2523" s="14" t="n">
        <f aca="false">IF(J2523&lt;=0,1,0)</f>
        <v>0</v>
      </c>
      <c r="L2523" s="15" t="n">
        <f aca="false">IFERROR(G2523/F2523,0)</f>
        <v>1</v>
      </c>
      <c r="M2523" s="15" t="n">
        <f aca="false">IFERROR((I2523-H2523)/H2523,0)</f>
        <v>0.0106263368617342</v>
      </c>
      <c r="N2523" s="16" t="n">
        <f aca="false">G2523*I2523</f>
        <v>2211.21</v>
      </c>
    </row>
    <row r="2524" customFormat="false" ht="15" hidden="false" customHeight="true" outlineLevel="0" collapsed="false">
      <c r="A2524" s="4" t="s">
        <v>2700</v>
      </c>
      <c r="B2524" s="4" t="s">
        <v>107</v>
      </c>
      <c r="C2524" s="13" t="n">
        <v>45161</v>
      </c>
      <c r="D2524" s="13" t="n">
        <v>45167</v>
      </c>
      <c r="E2524" s="13" t="n">
        <v>45173</v>
      </c>
      <c r="F2524" s="4" t="n">
        <v>2740</v>
      </c>
      <c r="G2524" s="4" t="n">
        <v>2664</v>
      </c>
      <c r="H2524" s="4" t="n">
        <v>40.41</v>
      </c>
      <c r="I2524" s="4" t="n">
        <v>40.31</v>
      </c>
      <c r="J2524" s="14" t="n">
        <f aca="false">E2524-D2524</f>
        <v>6</v>
      </c>
      <c r="K2524" s="14" t="n">
        <f aca="false">IF(J2524&lt;=0,1,0)</f>
        <v>0</v>
      </c>
      <c r="L2524" s="15" t="n">
        <f aca="false">IFERROR(G2524/F2524,0)</f>
        <v>0.972262773722628</v>
      </c>
      <c r="M2524" s="15" t="n">
        <f aca="false">IFERROR((I2524-H2524)/H2524,0)</f>
        <v>-0.00247463499133864</v>
      </c>
      <c r="N2524" s="16" t="n">
        <f aca="false">G2524*I2524</f>
        <v>107385.84</v>
      </c>
    </row>
    <row r="2525" customFormat="false" ht="15" hidden="false" customHeight="true" outlineLevel="0" collapsed="false">
      <c r="A2525" s="4" t="s">
        <v>2701</v>
      </c>
      <c r="B2525" s="4" t="s">
        <v>103</v>
      </c>
      <c r="C2525" s="13" t="n">
        <v>45091</v>
      </c>
      <c r="D2525" s="13" t="n">
        <v>45109</v>
      </c>
      <c r="E2525" s="13" t="n">
        <v>45113</v>
      </c>
      <c r="F2525" s="4" t="n">
        <v>449</v>
      </c>
      <c r="G2525" s="4" t="n">
        <v>449</v>
      </c>
      <c r="H2525" s="4" t="n">
        <v>1400.22</v>
      </c>
      <c r="I2525" s="4" t="n">
        <v>1386.47</v>
      </c>
      <c r="J2525" s="14" t="n">
        <f aca="false">E2525-D2525</f>
        <v>4</v>
      </c>
      <c r="K2525" s="14" t="n">
        <f aca="false">IF(J2525&lt;=0,1,0)</f>
        <v>0</v>
      </c>
      <c r="L2525" s="15" t="n">
        <f aca="false">IFERROR(G2525/F2525,0)</f>
        <v>1</v>
      </c>
      <c r="M2525" s="15" t="n">
        <f aca="false">IFERROR((I2525-H2525)/H2525,0)</f>
        <v>-0.00981988544657268</v>
      </c>
      <c r="N2525" s="16" t="n">
        <f aca="false">G2525*I2525</f>
        <v>622525.03</v>
      </c>
    </row>
    <row r="2526" customFormat="false" ht="15" hidden="false" customHeight="true" outlineLevel="0" collapsed="false">
      <c r="A2526" s="4" t="s">
        <v>2702</v>
      </c>
      <c r="B2526" s="4" t="s">
        <v>123</v>
      </c>
      <c r="C2526" s="13" t="n">
        <v>45237</v>
      </c>
      <c r="D2526" s="13" t="n">
        <v>45250</v>
      </c>
      <c r="E2526" s="13" t="n">
        <v>45249</v>
      </c>
      <c r="F2526" s="4" t="n">
        <v>65</v>
      </c>
      <c r="G2526" s="4" t="n">
        <v>64</v>
      </c>
      <c r="H2526" s="4" t="n">
        <v>214.07</v>
      </c>
      <c r="I2526" s="4" t="n">
        <v>232.55</v>
      </c>
      <c r="J2526" s="14" t="n">
        <f aca="false">E2526-D2526</f>
        <v>-1</v>
      </c>
      <c r="K2526" s="14" t="n">
        <f aca="false">IF(J2526&lt;=0,1,0)</f>
        <v>1</v>
      </c>
      <c r="L2526" s="15" t="n">
        <f aca="false">IFERROR(G2526/F2526,0)</f>
        <v>0.984615384615385</v>
      </c>
      <c r="M2526" s="15" t="n">
        <f aca="false">IFERROR((I2526-H2526)/H2526,0)</f>
        <v>0.086326902415098</v>
      </c>
      <c r="N2526" s="16" t="n">
        <f aca="false">G2526*I2526</f>
        <v>14883.2</v>
      </c>
    </row>
    <row r="2527" customFormat="false" ht="15" hidden="false" customHeight="true" outlineLevel="0" collapsed="false">
      <c r="A2527" s="4" t="s">
        <v>2703</v>
      </c>
      <c r="B2527" s="4" t="s">
        <v>153</v>
      </c>
      <c r="C2527" s="13" t="n">
        <v>45394</v>
      </c>
      <c r="D2527" s="13" t="n">
        <v>45411</v>
      </c>
      <c r="E2527" s="13" t="n">
        <v>45419</v>
      </c>
      <c r="F2527" s="4" t="n">
        <v>138</v>
      </c>
      <c r="G2527" s="4" t="n">
        <v>128</v>
      </c>
      <c r="H2527" s="4" t="n">
        <v>1492.04</v>
      </c>
      <c r="I2527" s="4" t="n">
        <v>1572.72</v>
      </c>
      <c r="J2527" s="14" t="n">
        <f aca="false">E2527-D2527</f>
        <v>8</v>
      </c>
      <c r="K2527" s="14" t="n">
        <f aca="false">IF(J2527&lt;=0,1,0)</f>
        <v>0</v>
      </c>
      <c r="L2527" s="15" t="n">
        <f aca="false">IFERROR(G2527/F2527,0)</f>
        <v>0.927536231884058</v>
      </c>
      <c r="M2527" s="15" t="n">
        <f aca="false">IFERROR((I2527-H2527)/H2527,0)</f>
        <v>0.0540736173292942</v>
      </c>
      <c r="N2527" s="16" t="n">
        <f aca="false">G2527*I2527</f>
        <v>201308.16</v>
      </c>
    </row>
    <row r="2528" customFormat="false" ht="15" hidden="false" customHeight="true" outlineLevel="0" collapsed="false">
      <c r="A2528" s="4" t="s">
        <v>2704</v>
      </c>
      <c r="B2528" s="4" t="s">
        <v>113</v>
      </c>
      <c r="C2528" s="13" t="n">
        <v>45043</v>
      </c>
      <c r="D2528" s="13" t="n">
        <v>45053</v>
      </c>
      <c r="E2528" s="13" t="n">
        <v>45051</v>
      </c>
      <c r="F2528" s="4" t="n">
        <v>1225</v>
      </c>
      <c r="G2528" s="4" t="n">
        <v>1225</v>
      </c>
      <c r="H2528" s="4" t="n">
        <v>170.42</v>
      </c>
      <c r="I2528" s="4" t="n">
        <v>169.49</v>
      </c>
      <c r="J2528" s="14" t="n">
        <f aca="false">E2528-D2528</f>
        <v>-2</v>
      </c>
      <c r="K2528" s="14" t="n">
        <f aca="false">IF(J2528&lt;=0,1,0)</f>
        <v>1</v>
      </c>
      <c r="L2528" s="15" t="n">
        <f aca="false">IFERROR(G2528/F2528,0)</f>
        <v>1</v>
      </c>
      <c r="M2528" s="15" t="n">
        <f aca="false">IFERROR((I2528-H2528)/H2528,0)</f>
        <v>-0.00545710597347717</v>
      </c>
      <c r="N2528" s="16" t="n">
        <f aca="false">G2528*I2528</f>
        <v>207625.25</v>
      </c>
    </row>
    <row r="2529" customFormat="false" ht="15" hidden="false" customHeight="true" outlineLevel="0" collapsed="false">
      <c r="A2529" s="4" t="s">
        <v>2705</v>
      </c>
      <c r="B2529" s="4" t="s">
        <v>47</v>
      </c>
      <c r="C2529" s="13" t="n">
        <v>45054</v>
      </c>
      <c r="D2529" s="13" t="n">
        <v>45064</v>
      </c>
      <c r="E2529" s="13" t="n">
        <v>45064</v>
      </c>
      <c r="F2529" s="4" t="n">
        <v>1257</v>
      </c>
      <c r="G2529" s="4" t="n">
        <v>1257</v>
      </c>
      <c r="H2529" s="4" t="n">
        <v>228.68</v>
      </c>
      <c r="I2529" s="4" t="n">
        <v>229.96</v>
      </c>
      <c r="J2529" s="14" t="n">
        <f aca="false">E2529-D2529</f>
        <v>0</v>
      </c>
      <c r="K2529" s="14" t="n">
        <f aca="false">IF(J2529&lt;=0,1,0)</f>
        <v>1</v>
      </c>
      <c r="L2529" s="15" t="n">
        <f aca="false">IFERROR(G2529/F2529,0)</f>
        <v>1</v>
      </c>
      <c r="M2529" s="15" t="n">
        <f aca="false">IFERROR((I2529-H2529)/H2529,0)</f>
        <v>0.00559734126290013</v>
      </c>
      <c r="N2529" s="16" t="n">
        <f aca="false">G2529*I2529</f>
        <v>289059.72</v>
      </c>
    </row>
    <row r="2530" customFormat="false" ht="15" hidden="false" customHeight="true" outlineLevel="0" collapsed="false">
      <c r="A2530" s="4" t="s">
        <v>2706</v>
      </c>
      <c r="B2530" s="4" t="s">
        <v>83</v>
      </c>
      <c r="C2530" s="13" t="n">
        <v>45497</v>
      </c>
      <c r="D2530" s="13" t="n">
        <v>45509</v>
      </c>
      <c r="E2530" s="13" t="n">
        <v>45511</v>
      </c>
      <c r="F2530" s="4" t="n">
        <v>1215</v>
      </c>
      <c r="G2530" s="4" t="n">
        <v>1215</v>
      </c>
      <c r="H2530" s="4" t="n">
        <v>101.36</v>
      </c>
      <c r="I2530" s="4" t="n">
        <v>104.7</v>
      </c>
      <c r="J2530" s="14" t="n">
        <f aca="false">E2530-D2530</f>
        <v>2</v>
      </c>
      <c r="K2530" s="14" t="n">
        <f aca="false">IF(J2530&lt;=0,1,0)</f>
        <v>0</v>
      </c>
      <c r="L2530" s="15" t="n">
        <f aca="false">IFERROR(G2530/F2530,0)</f>
        <v>1</v>
      </c>
      <c r="M2530" s="15" t="n">
        <f aca="false">IFERROR((I2530-H2530)/H2530,0)</f>
        <v>0.0329518547750592</v>
      </c>
      <c r="N2530" s="16" t="n">
        <f aca="false">G2530*I2530</f>
        <v>127210.5</v>
      </c>
    </row>
    <row r="2531" customFormat="false" ht="15" hidden="false" customHeight="true" outlineLevel="0" collapsed="false">
      <c r="A2531" s="4" t="s">
        <v>2707</v>
      </c>
      <c r="B2531" s="4" t="s">
        <v>101</v>
      </c>
      <c r="C2531" s="13" t="n">
        <v>45292</v>
      </c>
      <c r="D2531" s="13" t="n">
        <v>45312</v>
      </c>
      <c r="E2531" s="13" t="n">
        <v>45314</v>
      </c>
      <c r="F2531" s="4" t="n">
        <v>139</v>
      </c>
      <c r="G2531" s="4" t="n">
        <v>131</v>
      </c>
      <c r="H2531" s="4" t="n">
        <v>442.74</v>
      </c>
      <c r="I2531" s="4" t="n">
        <v>447.96</v>
      </c>
      <c r="J2531" s="14" t="n">
        <f aca="false">E2531-D2531</f>
        <v>2</v>
      </c>
      <c r="K2531" s="14" t="n">
        <f aca="false">IF(J2531&lt;=0,1,0)</f>
        <v>0</v>
      </c>
      <c r="L2531" s="15" t="n">
        <f aca="false">IFERROR(G2531/F2531,0)</f>
        <v>0.942446043165468</v>
      </c>
      <c r="M2531" s="15" t="n">
        <f aca="false">IFERROR((I2531-H2531)/H2531,0)</f>
        <v>0.0117902154763517</v>
      </c>
      <c r="N2531" s="16" t="n">
        <f aca="false">G2531*I2531</f>
        <v>58682.76</v>
      </c>
    </row>
    <row r="2532" customFormat="false" ht="15" hidden="false" customHeight="true" outlineLevel="0" collapsed="false">
      <c r="A2532" s="4" t="s">
        <v>2708</v>
      </c>
      <c r="B2532" s="4" t="s">
        <v>101</v>
      </c>
      <c r="C2532" s="13" t="n">
        <v>45392</v>
      </c>
      <c r="D2532" s="13" t="n">
        <v>45409</v>
      </c>
      <c r="E2532" s="13" t="n">
        <v>45409</v>
      </c>
      <c r="F2532" s="4" t="n">
        <v>349</v>
      </c>
      <c r="G2532" s="4" t="n">
        <v>339</v>
      </c>
      <c r="H2532" s="4" t="n">
        <v>442.74</v>
      </c>
      <c r="I2532" s="4" t="n">
        <v>451.31</v>
      </c>
      <c r="J2532" s="14" t="n">
        <f aca="false">E2532-D2532</f>
        <v>0</v>
      </c>
      <c r="K2532" s="14" t="n">
        <f aca="false">IF(J2532&lt;=0,1,0)</f>
        <v>1</v>
      </c>
      <c r="L2532" s="15" t="n">
        <f aca="false">IFERROR(G2532/F2532,0)</f>
        <v>0.97134670487106</v>
      </c>
      <c r="M2532" s="15" t="n">
        <f aca="false">IFERROR((I2532-H2532)/H2532,0)</f>
        <v>0.0193567330713285</v>
      </c>
      <c r="N2532" s="16" t="n">
        <f aca="false">G2532*I2532</f>
        <v>152994.09</v>
      </c>
    </row>
    <row r="2533" customFormat="false" ht="15" hidden="false" customHeight="true" outlineLevel="0" collapsed="false">
      <c r="A2533" s="4" t="s">
        <v>2709</v>
      </c>
      <c r="B2533" s="4" t="s">
        <v>145</v>
      </c>
      <c r="C2533" s="13" t="n">
        <v>45507</v>
      </c>
      <c r="D2533" s="13" t="n">
        <v>45518</v>
      </c>
      <c r="E2533" s="13" t="n">
        <v>45519</v>
      </c>
      <c r="F2533" s="4" t="n">
        <v>1701</v>
      </c>
      <c r="G2533" s="4" t="n">
        <v>1599</v>
      </c>
      <c r="H2533" s="4" t="n">
        <v>237.04</v>
      </c>
      <c r="I2533" s="4" t="n">
        <v>266.62</v>
      </c>
      <c r="J2533" s="14" t="n">
        <f aca="false">E2533-D2533</f>
        <v>1</v>
      </c>
      <c r="K2533" s="14" t="n">
        <f aca="false">IF(J2533&lt;=0,1,0)</f>
        <v>0</v>
      </c>
      <c r="L2533" s="15" t="n">
        <f aca="false">IFERROR(G2533/F2533,0)</f>
        <v>0.940035273368607</v>
      </c>
      <c r="M2533" s="15" t="n">
        <f aca="false">IFERROR((I2533-H2533)/H2533,0)</f>
        <v>0.124789065136686</v>
      </c>
      <c r="N2533" s="16" t="n">
        <f aca="false">G2533*I2533</f>
        <v>426325.38</v>
      </c>
    </row>
    <row r="2534" customFormat="false" ht="15" hidden="false" customHeight="true" outlineLevel="0" collapsed="false">
      <c r="A2534" s="4" t="s">
        <v>2710</v>
      </c>
      <c r="B2534" s="4" t="s">
        <v>79</v>
      </c>
      <c r="C2534" s="13" t="n">
        <v>45514</v>
      </c>
      <c r="D2534" s="13" t="n">
        <v>45533</v>
      </c>
      <c r="E2534" s="13" t="n">
        <v>45539</v>
      </c>
      <c r="F2534" s="4" t="n">
        <v>245</v>
      </c>
      <c r="G2534" s="4" t="n">
        <v>234</v>
      </c>
      <c r="H2534" s="4" t="n">
        <v>821.48</v>
      </c>
      <c r="I2534" s="4" t="n">
        <v>868.05</v>
      </c>
      <c r="J2534" s="14" t="n">
        <f aca="false">E2534-D2534</f>
        <v>6</v>
      </c>
      <c r="K2534" s="14" t="n">
        <f aca="false">IF(J2534&lt;=0,1,0)</f>
        <v>0</v>
      </c>
      <c r="L2534" s="15" t="n">
        <f aca="false">IFERROR(G2534/F2534,0)</f>
        <v>0.955102040816327</v>
      </c>
      <c r="M2534" s="15" t="n">
        <f aca="false">IFERROR((I2534-H2534)/H2534,0)</f>
        <v>0.0566903637337488</v>
      </c>
      <c r="N2534" s="16" t="n">
        <f aca="false">G2534*I2534</f>
        <v>203123.7</v>
      </c>
    </row>
    <row r="2535" customFormat="false" ht="15" hidden="false" customHeight="true" outlineLevel="0" collapsed="false">
      <c r="A2535" s="4" t="s">
        <v>2711</v>
      </c>
      <c r="B2535" s="4" t="s">
        <v>133</v>
      </c>
      <c r="C2535" s="13" t="n">
        <v>45587</v>
      </c>
      <c r="D2535" s="13" t="n">
        <v>45596</v>
      </c>
      <c r="E2535" s="13" t="n">
        <v>45593</v>
      </c>
      <c r="F2535" s="4" t="n">
        <v>1002</v>
      </c>
      <c r="G2535" s="4" t="n">
        <v>955</v>
      </c>
      <c r="H2535" s="4" t="n">
        <v>138.21</v>
      </c>
      <c r="I2535" s="4" t="n">
        <v>142.01</v>
      </c>
      <c r="J2535" s="14" t="n">
        <f aca="false">E2535-D2535</f>
        <v>-3</v>
      </c>
      <c r="K2535" s="14" t="n">
        <f aca="false">IF(J2535&lt;=0,1,0)</f>
        <v>1</v>
      </c>
      <c r="L2535" s="15" t="n">
        <f aca="false">IFERROR(G2535/F2535,0)</f>
        <v>0.95309381237525</v>
      </c>
      <c r="M2535" s="15" t="n">
        <f aca="false">IFERROR((I2535-H2535)/H2535,0)</f>
        <v>0.0274943925909846</v>
      </c>
      <c r="N2535" s="16" t="n">
        <f aca="false">G2535*I2535</f>
        <v>135619.55</v>
      </c>
    </row>
    <row r="2536" customFormat="false" ht="15" hidden="false" customHeight="true" outlineLevel="0" collapsed="false">
      <c r="A2536" s="4" t="s">
        <v>2712</v>
      </c>
      <c r="B2536" s="4" t="s">
        <v>131</v>
      </c>
      <c r="C2536" s="13" t="n">
        <v>45233</v>
      </c>
      <c r="D2536" s="13" t="n">
        <v>45243</v>
      </c>
      <c r="E2536" s="13" t="n">
        <v>45245</v>
      </c>
      <c r="F2536" s="4" t="n">
        <v>1955</v>
      </c>
      <c r="G2536" s="4" t="n">
        <v>1869</v>
      </c>
      <c r="H2536" s="4" t="n">
        <v>88.52</v>
      </c>
      <c r="I2536" s="4" t="n">
        <v>89.57</v>
      </c>
      <c r="J2536" s="14" t="n">
        <f aca="false">E2536-D2536</f>
        <v>2</v>
      </c>
      <c r="K2536" s="14" t="n">
        <f aca="false">IF(J2536&lt;=0,1,0)</f>
        <v>0</v>
      </c>
      <c r="L2536" s="15" t="n">
        <f aca="false">IFERROR(G2536/F2536,0)</f>
        <v>0.956010230179028</v>
      </c>
      <c r="M2536" s="15" t="n">
        <f aca="false">IFERROR((I2536-H2536)/H2536,0)</f>
        <v>0.0118617261635788</v>
      </c>
      <c r="N2536" s="16" t="n">
        <f aca="false">G2536*I2536</f>
        <v>167406.33</v>
      </c>
    </row>
    <row r="2537" customFormat="false" ht="15" hidden="false" customHeight="true" outlineLevel="0" collapsed="false">
      <c r="A2537" s="4" t="s">
        <v>2713</v>
      </c>
      <c r="B2537" s="4" t="s">
        <v>70</v>
      </c>
      <c r="C2537" s="13" t="n">
        <v>44990</v>
      </c>
      <c r="D2537" s="13" t="n">
        <v>44998</v>
      </c>
      <c r="E2537" s="13" t="n">
        <v>45002</v>
      </c>
      <c r="F2537" s="4" t="n">
        <v>4235</v>
      </c>
      <c r="G2537" s="4" t="n">
        <v>3846</v>
      </c>
      <c r="H2537" s="4" t="n">
        <v>35.88</v>
      </c>
      <c r="I2537" s="4" t="n">
        <v>35.55</v>
      </c>
      <c r="J2537" s="14" t="n">
        <f aca="false">E2537-D2537</f>
        <v>4</v>
      </c>
      <c r="K2537" s="14" t="n">
        <f aca="false">IF(J2537&lt;=0,1,0)</f>
        <v>0</v>
      </c>
      <c r="L2537" s="15" t="n">
        <f aca="false">IFERROR(G2537/F2537,0)</f>
        <v>0.90814639905549</v>
      </c>
      <c r="M2537" s="15" t="n">
        <f aca="false">IFERROR((I2537-H2537)/H2537,0)</f>
        <v>-0.00919732441471587</v>
      </c>
      <c r="N2537" s="16" t="n">
        <f aca="false">G2537*I2537</f>
        <v>136725.3</v>
      </c>
    </row>
    <row r="2538" customFormat="false" ht="15" hidden="false" customHeight="true" outlineLevel="0" collapsed="false">
      <c r="A2538" s="4" t="s">
        <v>2714</v>
      </c>
      <c r="B2538" s="4" t="s">
        <v>109</v>
      </c>
      <c r="C2538" s="13" t="n">
        <v>45182</v>
      </c>
      <c r="D2538" s="13" t="n">
        <v>45200</v>
      </c>
      <c r="E2538" s="13" t="n">
        <v>45205</v>
      </c>
      <c r="F2538" s="4" t="n">
        <v>291</v>
      </c>
      <c r="G2538" s="4" t="n">
        <v>278</v>
      </c>
      <c r="H2538" s="4" t="n">
        <v>858.02</v>
      </c>
      <c r="I2538" s="4" t="n">
        <v>903.92</v>
      </c>
      <c r="J2538" s="14" t="n">
        <f aca="false">E2538-D2538</f>
        <v>5</v>
      </c>
      <c r="K2538" s="14" t="n">
        <f aca="false">IF(J2538&lt;=0,1,0)</f>
        <v>0</v>
      </c>
      <c r="L2538" s="15" t="n">
        <f aca="false">IFERROR(G2538/F2538,0)</f>
        <v>0.9553264604811</v>
      </c>
      <c r="M2538" s="15" t="n">
        <f aca="false">IFERROR((I2538-H2538)/H2538,0)</f>
        <v>0.053495256520827</v>
      </c>
      <c r="N2538" s="16" t="n">
        <f aca="false">G2538*I2538</f>
        <v>251289.76</v>
      </c>
    </row>
    <row r="2539" customFormat="false" ht="15" hidden="false" customHeight="true" outlineLevel="0" collapsed="false">
      <c r="A2539" s="4" t="s">
        <v>2715</v>
      </c>
      <c r="B2539" s="4" t="s">
        <v>145</v>
      </c>
      <c r="C2539" s="13" t="n">
        <v>45358</v>
      </c>
      <c r="D2539" s="13" t="n">
        <v>45367</v>
      </c>
      <c r="E2539" s="13" t="n">
        <v>45370</v>
      </c>
      <c r="F2539" s="4" t="n">
        <v>879</v>
      </c>
      <c r="G2539" s="4" t="n">
        <v>817</v>
      </c>
      <c r="H2539" s="4" t="n">
        <v>237.04</v>
      </c>
      <c r="I2539" s="4" t="n">
        <v>256.57</v>
      </c>
      <c r="J2539" s="14" t="n">
        <f aca="false">E2539-D2539</f>
        <v>3</v>
      </c>
      <c r="K2539" s="14" t="n">
        <f aca="false">IF(J2539&lt;=0,1,0)</f>
        <v>0</v>
      </c>
      <c r="L2539" s="15" t="n">
        <f aca="false">IFERROR(G2539/F2539,0)</f>
        <v>0.929465301478953</v>
      </c>
      <c r="M2539" s="15" t="n">
        <f aca="false">IFERROR((I2539-H2539)/H2539,0)</f>
        <v>0.0823911576105299</v>
      </c>
      <c r="N2539" s="16" t="n">
        <f aca="false">G2539*I2539</f>
        <v>209617.69</v>
      </c>
    </row>
    <row r="2540" customFormat="false" ht="15" hidden="false" customHeight="true" outlineLevel="0" collapsed="false">
      <c r="A2540" s="4" t="s">
        <v>2716</v>
      </c>
      <c r="B2540" s="4" t="s">
        <v>32</v>
      </c>
      <c r="C2540" s="13" t="n">
        <v>45080</v>
      </c>
      <c r="D2540" s="13" t="n">
        <v>45088</v>
      </c>
      <c r="E2540" s="13" t="n">
        <v>45088</v>
      </c>
      <c r="F2540" s="4" t="n">
        <v>4490</v>
      </c>
      <c r="G2540" s="4" t="n">
        <v>4014</v>
      </c>
      <c r="H2540" s="4" t="n">
        <v>32.49</v>
      </c>
      <c r="I2540" s="4" t="n">
        <v>32.34</v>
      </c>
      <c r="J2540" s="14" t="n">
        <f aca="false">E2540-D2540</f>
        <v>0</v>
      </c>
      <c r="K2540" s="14" t="n">
        <f aca="false">IF(J2540&lt;=0,1,0)</f>
        <v>1</v>
      </c>
      <c r="L2540" s="15" t="n">
        <f aca="false">IFERROR(G2540/F2540,0)</f>
        <v>0.893986636971047</v>
      </c>
      <c r="M2540" s="15" t="n">
        <f aca="false">IFERROR((I2540-H2540)/H2540,0)</f>
        <v>-0.00461680517082175</v>
      </c>
      <c r="N2540" s="16" t="n">
        <f aca="false">G2540*I2540</f>
        <v>129812.76</v>
      </c>
    </row>
    <row r="2541" customFormat="false" ht="15" hidden="false" customHeight="true" outlineLevel="0" collapsed="false">
      <c r="A2541" s="4" t="s">
        <v>2717</v>
      </c>
      <c r="B2541" s="4" t="s">
        <v>41</v>
      </c>
      <c r="C2541" s="13" t="n">
        <v>45439</v>
      </c>
      <c r="D2541" s="13" t="n">
        <v>45447</v>
      </c>
      <c r="E2541" s="13" t="n">
        <v>45447</v>
      </c>
      <c r="F2541" s="4" t="n">
        <v>4961</v>
      </c>
      <c r="G2541" s="4" t="n">
        <v>4961</v>
      </c>
      <c r="H2541" s="4" t="n">
        <v>45.51</v>
      </c>
      <c r="I2541" s="4" t="n">
        <v>43.86</v>
      </c>
      <c r="J2541" s="14" t="n">
        <f aca="false">E2541-D2541</f>
        <v>0</v>
      </c>
      <c r="K2541" s="14" t="n">
        <f aca="false">IF(J2541&lt;=0,1,0)</f>
        <v>1</v>
      </c>
      <c r="L2541" s="15" t="n">
        <f aca="false">IFERROR(G2541/F2541,0)</f>
        <v>1</v>
      </c>
      <c r="M2541" s="15" t="n">
        <f aca="false">IFERROR((I2541-H2541)/H2541,0)</f>
        <v>-0.036255767963085</v>
      </c>
      <c r="N2541" s="16" t="n">
        <f aca="false">G2541*I2541</f>
        <v>217589.46</v>
      </c>
    </row>
    <row r="2542" customFormat="false" ht="15" hidden="false" customHeight="true" outlineLevel="0" collapsed="false">
      <c r="A2542" s="4" t="s">
        <v>2718</v>
      </c>
      <c r="B2542" s="4" t="s">
        <v>149</v>
      </c>
      <c r="C2542" s="13" t="n">
        <v>45060</v>
      </c>
      <c r="D2542" s="13" t="n">
        <v>45064</v>
      </c>
      <c r="E2542" s="13" t="n">
        <v>45065</v>
      </c>
      <c r="F2542" s="4" t="n">
        <v>8</v>
      </c>
      <c r="G2542" s="4" t="n">
        <v>8</v>
      </c>
      <c r="H2542" s="4" t="n">
        <v>1458.52</v>
      </c>
      <c r="I2542" s="4" t="n">
        <v>1478.95</v>
      </c>
      <c r="J2542" s="14" t="n">
        <f aca="false">E2542-D2542</f>
        <v>1</v>
      </c>
      <c r="K2542" s="14" t="n">
        <f aca="false">IF(J2542&lt;=0,1,0)</f>
        <v>0</v>
      </c>
      <c r="L2542" s="15" t="n">
        <f aca="false">IFERROR(G2542/F2542,0)</f>
        <v>1</v>
      </c>
      <c r="M2542" s="15" t="n">
        <f aca="false">IFERROR((I2542-H2542)/H2542,0)</f>
        <v>0.0140073499163536</v>
      </c>
      <c r="N2542" s="16" t="n">
        <f aca="false">G2542*I2542</f>
        <v>11831.6</v>
      </c>
    </row>
    <row r="2543" customFormat="false" ht="15" hidden="false" customHeight="true" outlineLevel="0" collapsed="false">
      <c r="A2543" s="4" t="s">
        <v>2719</v>
      </c>
      <c r="B2543" s="4" t="s">
        <v>58</v>
      </c>
      <c r="C2543" s="13" t="n">
        <v>45202</v>
      </c>
      <c r="D2543" s="13" t="n">
        <v>45213</v>
      </c>
      <c r="E2543" s="13" t="n">
        <v>45212</v>
      </c>
      <c r="F2543" s="4" t="n">
        <v>292</v>
      </c>
      <c r="G2543" s="4" t="n">
        <v>292</v>
      </c>
      <c r="H2543" s="4" t="n">
        <v>135.68</v>
      </c>
      <c r="I2543" s="4" t="n">
        <v>137.61</v>
      </c>
      <c r="J2543" s="14" t="n">
        <f aca="false">E2543-D2543</f>
        <v>-1</v>
      </c>
      <c r="K2543" s="14" t="n">
        <f aca="false">IF(J2543&lt;=0,1,0)</f>
        <v>1</v>
      </c>
      <c r="L2543" s="15" t="n">
        <f aca="false">IFERROR(G2543/F2543,0)</f>
        <v>1</v>
      </c>
      <c r="M2543" s="15" t="n">
        <f aca="false">IFERROR((I2543-H2543)/H2543,0)</f>
        <v>0.0142246462264151</v>
      </c>
      <c r="N2543" s="16" t="n">
        <f aca="false">G2543*I2543</f>
        <v>40182.12</v>
      </c>
    </row>
    <row r="2544" customFormat="false" ht="15" hidden="false" customHeight="true" outlineLevel="0" collapsed="false">
      <c r="A2544" s="4" t="s">
        <v>2720</v>
      </c>
      <c r="B2544" s="4" t="s">
        <v>163</v>
      </c>
      <c r="C2544" s="13" t="n">
        <v>45038</v>
      </c>
      <c r="D2544" s="13" t="n">
        <v>45056</v>
      </c>
      <c r="E2544" s="13" t="n">
        <v>45054</v>
      </c>
      <c r="F2544" s="4" t="n">
        <v>130</v>
      </c>
      <c r="G2544" s="4" t="n">
        <v>128</v>
      </c>
      <c r="H2544" s="4" t="n">
        <v>482.79</v>
      </c>
      <c r="I2544" s="4" t="n">
        <v>483.76</v>
      </c>
      <c r="J2544" s="14" t="n">
        <f aca="false">E2544-D2544</f>
        <v>-2</v>
      </c>
      <c r="K2544" s="14" t="n">
        <f aca="false">IF(J2544&lt;=0,1,0)</f>
        <v>1</v>
      </c>
      <c r="L2544" s="15" t="n">
        <f aca="false">IFERROR(G2544/F2544,0)</f>
        <v>0.984615384615385</v>
      </c>
      <c r="M2544" s="15" t="n">
        <f aca="false">IFERROR((I2544-H2544)/H2544,0)</f>
        <v>0.00200915511920291</v>
      </c>
      <c r="N2544" s="16" t="n">
        <f aca="false">G2544*I2544</f>
        <v>61921.28</v>
      </c>
    </row>
    <row r="2545" customFormat="false" ht="15" hidden="false" customHeight="true" outlineLevel="0" collapsed="false">
      <c r="A2545" s="4" t="s">
        <v>2721</v>
      </c>
      <c r="B2545" s="4" t="s">
        <v>95</v>
      </c>
      <c r="C2545" s="13" t="n">
        <v>45381</v>
      </c>
      <c r="D2545" s="13" t="n">
        <v>45388</v>
      </c>
      <c r="E2545" s="13" t="n">
        <v>45391</v>
      </c>
      <c r="F2545" s="4" t="n">
        <v>3914</v>
      </c>
      <c r="G2545" s="4" t="n">
        <v>3862</v>
      </c>
      <c r="H2545" s="4" t="n">
        <v>20.39</v>
      </c>
      <c r="I2545" s="4" t="n">
        <v>20.99</v>
      </c>
      <c r="J2545" s="14" t="n">
        <f aca="false">E2545-D2545</f>
        <v>3</v>
      </c>
      <c r="K2545" s="14" t="n">
        <f aca="false">IF(J2545&lt;=0,1,0)</f>
        <v>0</v>
      </c>
      <c r="L2545" s="15" t="n">
        <f aca="false">IFERROR(G2545/F2545,0)</f>
        <v>0.986714358712315</v>
      </c>
      <c r="M2545" s="15" t="n">
        <f aca="false">IFERROR((I2545-H2545)/H2545,0)</f>
        <v>0.0294261893084844</v>
      </c>
      <c r="N2545" s="16" t="n">
        <f aca="false">G2545*I2545</f>
        <v>81063.38</v>
      </c>
    </row>
    <row r="2546" customFormat="false" ht="15" hidden="false" customHeight="true" outlineLevel="0" collapsed="false">
      <c r="A2546" s="4" t="s">
        <v>2722</v>
      </c>
      <c r="B2546" s="4" t="s">
        <v>143</v>
      </c>
      <c r="C2546" s="13" t="n">
        <v>45053</v>
      </c>
      <c r="D2546" s="13" t="n">
        <v>45062</v>
      </c>
      <c r="E2546" s="13" t="n">
        <v>45073</v>
      </c>
      <c r="F2546" s="4" t="n">
        <v>2092</v>
      </c>
      <c r="G2546" s="4" t="n">
        <v>1840</v>
      </c>
      <c r="H2546" s="4" t="n">
        <v>20.6</v>
      </c>
      <c r="I2546" s="4" t="n">
        <v>20.79</v>
      </c>
      <c r="J2546" s="14" t="n">
        <f aca="false">E2546-D2546</f>
        <v>11</v>
      </c>
      <c r="K2546" s="14" t="n">
        <f aca="false">IF(J2546&lt;=0,1,0)</f>
        <v>0</v>
      </c>
      <c r="L2546" s="15" t="n">
        <f aca="false">IFERROR(G2546/F2546,0)</f>
        <v>0.879541108986616</v>
      </c>
      <c r="M2546" s="15" t="n">
        <f aca="false">IFERROR((I2546-H2546)/H2546,0)</f>
        <v>0.00922330097087368</v>
      </c>
      <c r="N2546" s="16" t="n">
        <f aca="false">G2546*I2546</f>
        <v>38253.6</v>
      </c>
    </row>
    <row r="2547" customFormat="false" ht="15" hidden="false" customHeight="true" outlineLevel="0" collapsed="false">
      <c r="A2547" s="4" t="s">
        <v>2723</v>
      </c>
      <c r="B2547" s="4" t="s">
        <v>141</v>
      </c>
      <c r="C2547" s="13" t="n">
        <v>45192</v>
      </c>
      <c r="D2547" s="13" t="n">
        <v>45209</v>
      </c>
      <c r="E2547" s="13" t="n">
        <v>45212</v>
      </c>
      <c r="F2547" s="4" t="n">
        <v>51</v>
      </c>
      <c r="G2547" s="4" t="n">
        <v>51</v>
      </c>
      <c r="H2547" s="4" t="n">
        <v>1252.36</v>
      </c>
      <c r="I2547" s="4" t="n">
        <v>1198.95</v>
      </c>
      <c r="J2547" s="14" t="n">
        <f aca="false">E2547-D2547</f>
        <v>3</v>
      </c>
      <c r="K2547" s="14" t="n">
        <f aca="false">IF(J2547&lt;=0,1,0)</f>
        <v>0</v>
      </c>
      <c r="L2547" s="15" t="n">
        <f aca="false">IFERROR(G2547/F2547,0)</f>
        <v>1</v>
      </c>
      <c r="M2547" s="15" t="n">
        <f aca="false">IFERROR((I2547-H2547)/H2547,0)</f>
        <v>-0.0426474815548244</v>
      </c>
      <c r="N2547" s="16" t="n">
        <f aca="false">G2547*I2547</f>
        <v>61146.45</v>
      </c>
    </row>
    <row r="2548" customFormat="false" ht="15" hidden="false" customHeight="true" outlineLevel="0" collapsed="false">
      <c r="A2548" s="4" t="s">
        <v>2724</v>
      </c>
      <c r="B2548" s="4" t="s">
        <v>157</v>
      </c>
      <c r="C2548" s="13" t="n">
        <v>45374</v>
      </c>
      <c r="D2548" s="13" t="n">
        <v>45381</v>
      </c>
      <c r="E2548" s="13" t="n">
        <v>45383</v>
      </c>
      <c r="F2548" s="4" t="n">
        <v>4109</v>
      </c>
      <c r="G2548" s="4" t="n">
        <v>3777</v>
      </c>
      <c r="H2548" s="4" t="n">
        <v>13.1</v>
      </c>
      <c r="I2548" s="4" t="n">
        <v>13.71</v>
      </c>
      <c r="J2548" s="14" t="n">
        <f aca="false">E2548-D2548</f>
        <v>2</v>
      </c>
      <c r="K2548" s="14" t="n">
        <f aca="false">IF(J2548&lt;=0,1,0)</f>
        <v>0</v>
      </c>
      <c r="L2548" s="15" t="n">
        <f aca="false">IFERROR(G2548/F2548,0)</f>
        <v>0.919201752251156</v>
      </c>
      <c r="M2548" s="15" t="n">
        <f aca="false">IFERROR((I2548-H2548)/H2548,0)</f>
        <v>0.0465648854961833</v>
      </c>
      <c r="N2548" s="16" t="n">
        <f aca="false">G2548*I2548</f>
        <v>51782.67</v>
      </c>
    </row>
    <row r="2549" customFormat="false" ht="15" hidden="false" customHeight="true" outlineLevel="0" collapsed="false">
      <c r="A2549" s="4" t="s">
        <v>2725</v>
      </c>
      <c r="B2549" s="4" t="s">
        <v>65</v>
      </c>
      <c r="C2549" s="13" t="n">
        <v>45476</v>
      </c>
      <c r="D2549" s="13" t="n">
        <v>45494</v>
      </c>
      <c r="E2549" s="13" t="n">
        <v>45492</v>
      </c>
      <c r="F2549" s="4" t="n">
        <v>108</v>
      </c>
      <c r="G2549" s="4" t="n">
        <v>108</v>
      </c>
      <c r="H2549" s="4" t="n">
        <v>1365.59</v>
      </c>
      <c r="I2549" s="4" t="n">
        <v>1386.05</v>
      </c>
      <c r="J2549" s="14" t="n">
        <f aca="false">E2549-D2549</f>
        <v>-2</v>
      </c>
      <c r="K2549" s="14" t="n">
        <f aca="false">IF(J2549&lt;=0,1,0)</f>
        <v>1</v>
      </c>
      <c r="L2549" s="15" t="n">
        <f aca="false">IFERROR(G2549/F2549,0)</f>
        <v>1</v>
      </c>
      <c r="M2549" s="15" t="n">
        <f aca="false">IFERROR((I2549-H2549)/H2549,0)</f>
        <v>0.0149825350214926</v>
      </c>
      <c r="N2549" s="16" t="n">
        <f aca="false">G2549*I2549</f>
        <v>149693.4</v>
      </c>
    </row>
    <row r="2550" customFormat="false" ht="15" hidden="false" customHeight="true" outlineLevel="0" collapsed="false">
      <c r="A2550" s="4" t="s">
        <v>2726</v>
      </c>
      <c r="B2550" s="4" t="s">
        <v>117</v>
      </c>
      <c r="C2550" s="13" t="n">
        <v>45031</v>
      </c>
      <c r="D2550" s="13" t="n">
        <v>45045</v>
      </c>
      <c r="E2550" s="13" t="n">
        <v>45046</v>
      </c>
      <c r="F2550" s="4" t="n">
        <v>247</v>
      </c>
      <c r="G2550" s="4" t="n">
        <v>228</v>
      </c>
      <c r="H2550" s="4" t="n">
        <v>396.01</v>
      </c>
      <c r="I2550" s="4" t="n">
        <v>395.52</v>
      </c>
      <c r="J2550" s="14" t="n">
        <f aca="false">E2550-D2550</f>
        <v>1</v>
      </c>
      <c r="K2550" s="14" t="n">
        <f aca="false">IF(J2550&lt;=0,1,0)</f>
        <v>0</v>
      </c>
      <c r="L2550" s="15" t="n">
        <f aca="false">IFERROR(G2550/F2550,0)</f>
        <v>0.923076923076923</v>
      </c>
      <c r="M2550" s="15" t="n">
        <f aca="false">IFERROR((I2550-H2550)/H2550,0)</f>
        <v>-0.00123734249135125</v>
      </c>
      <c r="N2550" s="16" t="n">
        <f aca="false">G2550*I2550</f>
        <v>90178.56</v>
      </c>
    </row>
    <row r="2551" customFormat="false" ht="15" hidden="false" customHeight="true" outlineLevel="0" collapsed="false">
      <c r="A2551" s="4" t="s">
        <v>2727</v>
      </c>
      <c r="B2551" s="4" t="s">
        <v>101</v>
      </c>
      <c r="C2551" s="13" t="n">
        <v>45431</v>
      </c>
      <c r="D2551" s="13" t="n">
        <v>45449</v>
      </c>
      <c r="E2551" s="13" t="n">
        <v>45451</v>
      </c>
      <c r="F2551" s="4" t="n">
        <v>285</v>
      </c>
      <c r="G2551" s="4" t="n">
        <v>273</v>
      </c>
      <c r="H2551" s="4" t="n">
        <v>442.74</v>
      </c>
      <c r="I2551" s="4" t="n">
        <v>454.5</v>
      </c>
      <c r="J2551" s="14" t="n">
        <f aca="false">E2551-D2551</f>
        <v>2</v>
      </c>
      <c r="K2551" s="14" t="n">
        <f aca="false">IF(J2551&lt;=0,1,0)</f>
        <v>0</v>
      </c>
      <c r="L2551" s="15" t="n">
        <f aca="false">IFERROR(G2551/F2551,0)</f>
        <v>0.957894736842105</v>
      </c>
      <c r="M2551" s="15" t="n">
        <f aca="false">IFERROR((I2551-H2551)/H2551,0)</f>
        <v>0.0265618647513213</v>
      </c>
      <c r="N2551" s="16" t="n">
        <f aca="false">G2551*I2551</f>
        <v>124078.5</v>
      </c>
    </row>
    <row r="2552" customFormat="false" ht="15" hidden="false" customHeight="true" outlineLevel="0" collapsed="false">
      <c r="A2552" s="4" t="s">
        <v>2728</v>
      </c>
      <c r="B2552" s="4" t="s">
        <v>65</v>
      </c>
      <c r="C2552" s="13" t="n">
        <v>45537</v>
      </c>
      <c r="D2552" s="13" t="n">
        <v>45556</v>
      </c>
      <c r="E2552" s="13" t="n">
        <v>45554</v>
      </c>
      <c r="F2552" s="4" t="n">
        <v>272</v>
      </c>
      <c r="G2552" s="4" t="n">
        <v>266</v>
      </c>
      <c r="H2552" s="4" t="n">
        <v>1365.59</v>
      </c>
      <c r="I2552" s="4" t="n">
        <v>1363.99</v>
      </c>
      <c r="J2552" s="14" t="n">
        <f aca="false">E2552-D2552</f>
        <v>-2</v>
      </c>
      <c r="K2552" s="14" t="n">
        <f aca="false">IF(J2552&lt;=0,1,0)</f>
        <v>1</v>
      </c>
      <c r="L2552" s="15" t="n">
        <f aca="false">IFERROR(G2552/F2552,0)</f>
        <v>0.977941176470588</v>
      </c>
      <c r="M2552" s="15" t="n">
        <f aca="false">IFERROR((I2552-H2552)/H2552,0)</f>
        <v>-0.00117165474263865</v>
      </c>
      <c r="N2552" s="16" t="n">
        <f aca="false">G2552*I2552</f>
        <v>362821.34</v>
      </c>
    </row>
    <row r="2553" customFormat="false" ht="15" hidden="false" customHeight="true" outlineLevel="0" collapsed="false">
      <c r="A2553" s="4" t="s">
        <v>2729</v>
      </c>
      <c r="B2553" s="4" t="s">
        <v>147</v>
      </c>
      <c r="C2553" s="13" t="n">
        <v>45096</v>
      </c>
      <c r="D2553" s="13" t="n">
        <v>45109</v>
      </c>
      <c r="E2553" s="13" t="n">
        <v>45110</v>
      </c>
      <c r="F2553" s="4" t="n">
        <v>201</v>
      </c>
      <c r="G2553" s="4" t="n">
        <v>196</v>
      </c>
      <c r="H2553" s="4" t="n">
        <v>203.3</v>
      </c>
      <c r="I2553" s="4" t="n">
        <v>208.1</v>
      </c>
      <c r="J2553" s="14" t="n">
        <f aca="false">E2553-D2553</f>
        <v>1</v>
      </c>
      <c r="K2553" s="14" t="n">
        <f aca="false">IF(J2553&lt;=0,1,0)</f>
        <v>0</v>
      </c>
      <c r="L2553" s="15" t="n">
        <f aca="false">IFERROR(G2553/F2553,0)</f>
        <v>0.975124378109453</v>
      </c>
      <c r="M2553" s="15" t="n">
        <f aca="false">IFERROR((I2553-H2553)/H2553,0)</f>
        <v>0.0236104279390063</v>
      </c>
      <c r="N2553" s="16" t="n">
        <f aca="false">G2553*I2553</f>
        <v>40787.6</v>
      </c>
    </row>
    <row r="2554" customFormat="false" ht="15" hidden="false" customHeight="true" outlineLevel="0" collapsed="false">
      <c r="A2554" s="4" t="s">
        <v>2730</v>
      </c>
      <c r="B2554" s="4" t="s">
        <v>72</v>
      </c>
      <c r="C2554" s="13" t="n">
        <v>45521</v>
      </c>
      <c r="D2554" s="13" t="n">
        <v>45528</v>
      </c>
      <c r="E2554" s="13" t="n">
        <v>45539</v>
      </c>
      <c r="F2554" s="4" t="n">
        <v>2545</v>
      </c>
      <c r="G2554" s="4" t="n">
        <v>2531</v>
      </c>
      <c r="H2554" s="4" t="n">
        <v>34.53</v>
      </c>
      <c r="I2554" s="4" t="n">
        <v>37.26</v>
      </c>
      <c r="J2554" s="14" t="n">
        <f aca="false">E2554-D2554</f>
        <v>11</v>
      </c>
      <c r="K2554" s="14" t="n">
        <f aca="false">IF(J2554&lt;=0,1,0)</f>
        <v>0</v>
      </c>
      <c r="L2554" s="15" t="n">
        <f aca="false">IFERROR(G2554/F2554,0)</f>
        <v>0.994499017681729</v>
      </c>
      <c r="M2554" s="15" t="n">
        <f aca="false">IFERROR((I2554-H2554)/H2554,0)</f>
        <v>0.0790616854908774</v>
      </c>
      <c r="N2554" s="16" t="n">
        <f aca="false">G2554*I2554</f>
        <v>94305.06</v>
      </c>
    </row>
    <row r="2555" customFormat="false" ht="15" hidden="false" customHeight="true" outlineLevel="0" collapsed="false">
      <c r="A2555" s="4" t="s">
        <v>2731</v>
      </c>
      <c r="B2555" s="4" t="s">
        <v>81</v>
      </c>
      <c r="C2555" s="13" t="n">
        <v>45590</v>
      </c>
      <c r="D2555" s="13" t="n">
        <v>45595</v>
      </c>
      <c r="E2555" s="13" t="n">
        <v>45597</v>
      </c>
      <c r="F2555" s="4" t="n">
        <v>5</v>
      </c>
      <c r="G2555" s="4" t="n">
        <v>5</v>
      </c>
      <c r="H2555" s="4" t="n">
        <v>697.63</v>
      </c>
      <c r="I2555" s="4" t="n">
        <v>681.86</v>
      </c>
      <c r="J2555" s="14" t="n">
        <f aca="false">E2555-D2555</f>
        <v>2</v>
      </c>
      <c r="K2555" s="14" t="n">
        <f aca="false">IF(J2555&lt;=0,1,0)</f>
        <v>0</v>
      </c>
      <c r="L2555" s="15" t="n">
        <f aca="false">IFERROR(G2555/F2555,0)</f>
        <v>1</v>
      </c>
      <c r="M2555" s="15" t="n">
        <f aca="false">IFERROR((I2555-H2555)/H2555,0)</f>
        <v>-0.0226051058584063</v>
      </c>
      <c r="N2555" s="16" t="n">
        <f aca="false">G2555*I2555</f>
        <v>3409.3</v>
      </c>
    </row>
    <row r="2556" customFormat="false" ht="15" hidden="false" customHeight="true" outlineLevel="0" collapsed="false">
      <c r="A2556" s="4" t="s">
        <v>2732</v>
      </c>
      <c r="B2556" s="4" t="s">
        <v>72</v>
      </c>
      <c r="C2556" s="13" t="n">
        <v>45513</v>
      </c>
      <c r="D2556" s="13" t="n">
        <v>45521</v>
      </c>
      <c r="E2556" s="13" t="n">
        <v>45527</v>
      </c>
      <c r="F2556" s="4" t="n">
        <v>1519</v>
      </c>
      <c r="G2556" s="4" t="n">
        <v>1444</v>
      </c>
      <c r="H2556" s="4" t="n">
        <v>34.53</v>
      </c>
      <c r="I2556" s="4" t="n">
        <v>37.49</v>
      </c>
      <c r="J2556" s="14" t="n">
        <f aca="false">E2556-D2556</f>
        <v>6</v>
      </c>
      <c r="K2556" s="14" t="n">
        <f aca="false">IF(J2556&lt;=0,1,0)</f>
        <v>0</v>
      </c>
      <c r="L2556" s="15" t="n">
        <f aca="false">IFERROR(G2556/F2556,0)</f>
        <v>0.950625411454905</v>
      </c>
      <c r="M2556" s="15" t="n">
        <f aca="false">IFERROR((I2556-H2556)/H2556,0)</f>
        <v>0.0857225600926731</v>
      </c>
      <c r="N2556" s="16" t="n">
        <f aca="false">G2556*I2556</f>
        <v>54135.56</v>
      </c>
    </row>
    <row r="2557" customFormat="false" ht="15" hidden="false" customHeight="true" outlineLevel="0" collapsed="false">
      <c r="A2557" s="4" t="s">
        <v>2733</v>
      </c>
      <c r="B2557" s="4" t="s">
        <v>115</v>
      </c>
      <c r="C2557" s="13" t="n">
        <v>44946</v>
      </c>
      <c r="D2557" s="13" t="n">
        <v>44960</v>
      </c>
      <c r="E2557" s="13" t="n">
        <v>44967</v>
      </c>
      <c r="F2557" s="4" t="n">
        <v>281</v>
      </c>
      <c r="G2557" s="4" t="n">
        <v>272</v>
      </c>
      <c r="H2557" s="4" t="n">
        <v>115.53</v>
      </c>
      <c r="I2557" s="4" t="n">
        <v>116.09</v>
      </c>
      <c r="J2557" s="14" t="n">
        <f aca="false">E2557-D2557</f>
        <v>7</v>
      </c>
      <c r="K2557" s="14" t="n">
        <f aca="false">IF(J2557&lt;=0,1,0)</f>
        <v>0</v>
      </c>
      <c r="L2557" s="15" t="n">
        <f aca="false">IFERROR(G2557/F2557,0)</f>
        <v>0.96797153024911</v>
      </c>
      <c r="M2557" s="15" t="n">
        <f aca="false">IFERROR((I2557-H2557)/H2557,0)</f>
        <v>0.00484722582878908</v>
      </c>
      <c r="N2557" s="16" t="n">
        <f aca="false">G2557*I2557</f>
        <v>31576.48</v>
      </c>
    </row>
    <row r="2558" customFormat="false" ht="15" hidden="false" customHeight="true" outlineLevel="0" collapsed="false">
      <c r="A2558" s="4" t="s">
        <v>2734</v>
      </c>
      <c r="B2558" s="4" t="s">
        <v>143</v>
      </c>
      <c r="C2558" s="13" t="n">
        <v>44986</v>
      </c>
      <c r="D2558" s="13" t="n">
        <v>44993</v>
      </c>
      <c r="E2558" s="13" t="n">
        <v>45005</v>
      </c>
      <c r="F2558" s="4" t="n">
        <v>2825</v>
      </c>
      <c r="G2558" s="4" t="n">
        <v>2625</v>
      </c>
      <c r="H2558" s="4" t="n">
        <v>20.6</v>
      </c>
      <c r="I2558" s="4" t="n">
        <v>20.95</v>
      </c>
      <c r="J2558" s="14" t="n">
        <f aca="false">E2558-D2558</f>
        <v>12</v>
      </c>
      <c r="K2558" s="14" t="n">
        <f aca="false">IF(J2558&lt;=0,1,0)</f>
        <v>0</v>
      </c>
      <c r="L2558" s="15" t="n">
        <f aca="false">IFERROR(G2558/F2558,0)</f>
        <v>0.929203539823009</v>
      </c>
      <c r="M2558" s="15" t="n">
        <f aca="false">IFERROR((I2558-H2558)/H2558,0)</f>
        <v>0.0169902912621358</v>
      </c>
      <c r="N2558" s="16" t="n">
        <f aca="false">G2558*I2558</f>
        <v>54993.75</v>
      </c>
    </row>
    <row r="2559" customFormat="false" ht="15" hidden="false" customHeight="true" outlineLevel="0" collapsed="false">
      <c r="A2559" s="4" t="s">
        <v>2735</v>
      </c>
      <c r="B2559" s="4" t="s">
        <v>149</v>
      </c>
      <c r="C2559" s="13" t="n">
        <v>45338</v>
      </c>
      <c r="D2559" s="13" t="n">
        <v>45345</v>
      </c>
      <c r="E2559" s="13" t="n">
        <v>45347</v>
      </c>
      <c r="F2559" s="4" t="n">
        <v>13</v>
      </c>
      <c r="G2559" s="4" t="n">
        <v>13</v>
      </c>
      <c r="H2559" s="4" t="n">
        <v>1458.52</v>
      </c>
      <c r="I2559" s="4" t="n">
        <v>1487.89</v>
      </c>
      <c r="J2559" s="14" t="n">
        <f aca="false">E2559-D2559</f>
        <v>2</v>
      </c>
      <c r="K2559" s="14" t="n">
        <f aca="false">IF(J2559&lt;=0,1,0)</f>
        <v>0</v>
      </c>
      <c r="L2559" s="15" t="n">
        <f aca="false">IFERROR(G2559/F2559,0)</f>
        <v>1</v>
      </c>
      <c r="M2559" s="15" t="n">
        <f aca="false">IFERROR((I2559-H2559)/H2559,0)</f>
        <v>0.0201368510544937</v>
      </c>
      <c r="N2559" s="16" t="n">
        <f aca="false">G2559*I2559</f>
        <v>19342.57</v>
      </c>
    </row>
    <row r="2560" customFormat="false" ht="15" hidden="false" customHeight="true" outlineLevel="0" collapsed="false">
      <c r="A2560" s="4" t="s">
        <v>2736</v>
      </c>
      <c r="B2560" s="4" t="s">
        <v>47</v>
      </c>
      <c r="C2560" s="13" t="n">
        <v>45561</v>
      </c>
      <c r="D2560" s="13" t="n">
        <v>45571</v>
      </c>
      <c r="E2560" s="13" t="n">
        <v>45569</v>
      </c>
      <c r="F2560" s="4" t="n">
        <v>1566</v>
      </c>
      <c r="G2560" s="4" t="n">
        <v>1497</v>
      </c>
      <c r="H2560" s="4" t="n">
        <v>228.68</v>
      </c>
      <c r="I2560" s="4" t="n">
        <v>230.83</v>
      </c>
      <c r="J2560" s="14" t="n">
        <f aca="false">E2560-D2560</f>
        <v>-2</v>
      </c>
      <c r="K2560" s="14" t="n">
        <f aca="false">IF(J2560&lt;=0,1,0)</f>
        <v>1</v>
      </c>
      <c r="L2560" s="15" t="n">
        <f aca="false">IFERROR(G2560/F2560,0)</f>
        <v>0.955938697318008</v>
      </c>
      <c r="M2560" s="15" t="n">
        <f aca="false">IFERROR((I2560-H2560)/H2560,0)</f>
        <v>0.00940178415252757</v>
      </c>
      <c r="N2560" s="16" t="n">
        <f aca="false">G2560*I2560</f>
        <v>345552.51</v>
      </c>
    </row>
    <row r="2561" customFormat="false" ht="15" hidden="false" customHeight="true" outlineLevel="0" collapsed="false">
      <c r="A2561" s="4" t="s">
        <v>2737</v>
      </c>
      <c r="B2561" s="4" t="s">
        <v>123</v>
      </c>
      <c r="C2561" s="13" t="n">
        <v>45547</v>
      </c>
      <c r="D2561" s="13" t="n">
        <v>45560</v>
      </c>
      <c r="E2561" s="13" t="n">
        <v>45560</v>
      </c>
      <c r="F2561" s="4" t="n">
        <v>276</v>
      </c>
      <c r="G2561" s="4" t="n">
        <v>264</v>
      </c>
      <c r="H2561" s="4" t="n">
        <v>214.07</v>
      </c>
      <c r="I2561" s="4" t="n">
        <v>250.34</v>
      </c>
      <c r="J2561" s="14" t="n">
        <f aca="false">E2561-D2561</f>
        <v>0</v>
      </c>
      <c r="K2561" s="14" t="n">
        <f aca="false">IF(J2561&lt;=0,1,0)</f>
        <v>1</v>
      </c>
      <c r="L2561" s="15" t="n">
        <f aca="false">IFERROR(G2561/F2561,0)</f>
        <v>0.956521739130435</v>
      </c>
      <c r="M2561" s="15" t="n">
        <f aca="false">IFERROR((I2561-H2561)/H2561,0)</f>
        <v>0.169430560097165</v>
      </c>
      <c r="N2561" s="16" t="n">
        <f aca="false">G2561*I2561</f>
        <v>66089.76</v>
      </c>
    </row>
    <row r="2562" customFormat="false" ht="15" hidden="false" customHeight="true" outlineLevel="0" collapsed="false">
      <c r="A2562" s="4" t="s">
        <v>2738</v>
      </c>
      <c r="B2562" s="4" t="s">
        <v>107</v>
      </c>
      <c r="C2562" s="13" t="n">
        <v>45489</v>
      </c>
      <c r="D2562" s="13" t="n">
        <v>45496</v>
      </c>
      <c r="E2562" s="13" t="n">
        <v>45498</v>
      </c>
      <c r="F2562" s="4" t="n">
        <v>1905</v>
      </c>
      <c r="G2562" s="4" t="n">
        <v>1905</v>
      </c>
      <c r="H2562" s="4" t="n">
        <v>40.41</v>
      </c>
      <c r="I2562" s="4" t="n">
        <v>40.09</v>
      </c>
      <c r="J2562" s="14" t="n">
        <f aca="false">E2562-D2562</f>
        <v>2</v>
      </c>
      <c r="K2562" s="14" t="n">
        <f aca="false">IF(J2562&lt;=0,1,0)</f>
        <v>0</v>
      </c>
      <c r="L2562" s="15" t="n">
        <f aca="false">IFERROR(G2562/F2562,0)</f>
        <v>1</v>
      </c>
      <c r="M2562" s="15" t="n">
        <f aca="false">IFERROR((I2562-H2562)/H2562,0)</f>
        <v>-0.00791883197228392</v>
      </c>
      <c r="N2562" s="16" t="n">
        <f aca="false">G2562*I2562</f>
        <v>76371.45</v>
      </c>
    </row>
    <row r="2563" customFormat="false" ht="15" hidden="false" customHeight="true" outlineLevel="0" collapsed="false">
      <c r="A2563" s="4" t="s">
        <v>2739</v>
      </c>
      <c r="B2563" s="4" t="s">
        <v>117</v>
      </c>
      <c r="C2563" s="13" t="n">
        <v>45532</v>
      </c>
      <c r="D2563" s="13" t="n">
        <v>45545</v>
      </c>
      <c r="E2563" s="13" t="n">
        <v>45550</v>
      </c>
      <c r="F2563" s="4" t="n">
        <v>132</v>
      </c>
      <c r="G2563" s="4" t="n">
        <v>124</v>
      </c>
      <c r="H2563" s="4" t="n">
        <v>396.01</v>
      </c>
      <c r="I2563" s="4" t="n">
        <v>384.58</v>
      </c>
      <c r="J2563" s="14" t="n">
        <f aca="false">E2563-D2563</f>
        <v>5</v>
      </c>
      <c r="K2563" s="14" t="n">
        <f aca="false">IF(J2563&lt;=0,1,0)</f>
        <v>0</v>
      </c>
      <c r="L2563" s="15" t="n">
        <f aca="false">IFERROR(G2563/F2563,0)</f>
        <v>0.939393939393939</v>
      </c>
      <c r="M2563" s="15" t="n">
        <f aca="false">IFERROR((I2563-H2563)/H2563,0)</f>
        <v>-0.0288629075023358</v>
      </c>
      <c r="N2563" s="16" t="n">
        <f aca="false">G2563*I2563</f>
        <v>47687.92</v>
      </c>
    </row>
    <row r="2564" customFormat="false" ht="15" hidden="false" customHeight="true" outlineLevel="0" collapsed="false">
      <c r="A2564" s="4" t="s">
        <v>2740</v>
      </c>
      <c r="B2564" s="4" t="s">
        <v>65</v>
      </c>
      <c r="C2564" s="13" t="n">
        <v>45340</v>
      </c>
      <c r="D2564" s="13" t="n">
        <v>45358</v>
      </c>
      <c r="E2564" s="13" t="n">
        <v>45359</v>
      </c>
      <c r="F2564" s="4" t="n">
        <v>257</v>
      </c>
      <c r="G2564" s="4" t="n">
        <v>252</v>
      </c>
      <c r="H2564" s="4" t="n">
        <v>1365.59</v>
      </c>
      <c r="I2564" s="4" t="n">
        <v>1378.22</v>
      </c>
      <c r="J2564" s="14" t="n">
        <f aca="false">E2564-D2564</f>
        <v>1</v>
      </c>
      <c r="K2564" s="14" t="n">
        <f aca="false">IF(J2564&lt;=0,1,0)</f>
        <v>0</v>
      </c>
      <c r="L2564" s="15" t="n">
        <f aca="false">IFERROR(G2564/F2564,0)</f>
        <v>0.980544747081712</v>
      </c>
      <c r="M2564" s="15" t="n">
        <f aca="false">IFERROR((I2564-H2564)/H2564,0)</f>
        <v>0.00924874962470442</v>
      </c>
      <c r="N2564" s="16" t="n">
        <f aca="false">G2564*I2564</f>
        <v>347311.44</v>
      </c>
    </row>
    <row r="2565" customFormat="false" ht="15" hidden="false" customHeight="true" outlineLevel="0" collapsed="false">
      <c r="A2565" s="4" t="s">
        <v>2741</v>
      </c>
      <c r="B2565" s="4" t="s">
        <v>87</v>
      </c>
      <c r="C2565" s="13" t="n">
        <v>45280</v>
      </c>
      <c r="D2565" s="13" t="n">
        <v>45289</v>
      </c>
      <c r="E2565" s="13" t="n">
        <v>45287</v>
      </c>
      <c r="F2565" s="4" t="n">
        <v>754</v>
      </c>
      <c r="G2565" s="4" t="n">
        <v>697</v>
      </c>
      <c r="H2565" s="4" t="n">
        <v>161.95</v>
      </c>
      <c r="I2565" s="4" t="n">
        <v>180.51</v>
      </c>
      <c r="J2565" s="14" t="n">
        <f aca="false">E2565-D2565</f>
        <v>-2</v>
      </c>
      <c r="K2565" s="14" t="n">
        <f aca="false">IF(J2565&lt;=0,1,0)</f>
        <v>1</v>
      </c>
      <c r="L2565" s="15" t="n">
        <f aca="false">IFERROR(G2565/F2565,0)</f>
        <v>0.924403183023873</v>
      </c>
      <c r="M2565" s="15" t="n">
        <f aca="false">IFERROR((I2565-H2565)/H2565,0)</f>
        <v>0.114603272615005</v>
      </c>
      <c r="N2565" s="16" t="n">
        <f aca="false">G2565*I2565</f>
        <v>125815.47</v>
      </c>
    </row>
    <row r="2566" customFormat="false" ht="15" hidden="false" customHeight="true" outlineLevel="0" collapsed="false">
      <c r="A2566" s="4" t="s">
        <v>2742</v>
      </c>
      <c r="B2566" s="4" t="s">
        <v>63</v>
      </c>
      <c r="C2566" s="13" t="n">
        <v>45506</v>
      </c>
      <c r="D2566" s="13" t="n">
        <v>45516</v>
      </c>
      <c r="E2566" s="13" t="n">
        <v>45525</v>
      </c>
      <c r="F2566" s="4" t="n">
        <v>808</v>
      </c>
      <c r="G2566" s="4" t="n">
        <v>746</v>
      </c>
      <c r="H2566" s="4" t="n">
        <v>239.8</v>
      </c>
      <c r="I2566" s="4" t="n">
        <v>261.72</v>
      </c>
      <c r="J2566" s="14" t="n">
        <f aca="false">E2566-D2566</f>
        <v>9</v>
      </c>
      <c r="K2566" s="14" t="n">
        <f aca="false">IF(J2566&lt;=0,1,0)</f>
        <v>0</v>
      </c>
      <c r="L2566" s="15" t="n">
        <f aca="false">IFERROR(G2566/F2566,0)</f>
        <v>0.923267326732673</v>
      </c>
      <c r="M2566" s="15" t="n">
        <f aca="false">IFERROR((I2566-H2566)/H2566,0)</f>
        <v>0.0914095079232695</v>
      </c>
      <c r="N2566" s="16" t="n">
        <f aca="false">G2566*I2566</f>
        <v>195243.12</v>
      </c>
    </row>
    <row r="2567" customFormat="false" ht="15" hidden="false" customHeight="true" outlineLevel="0" collapsed="false">
      <c r="A2567" s="4" t="s">
        <v>2743</v>
      </c>
      <c r="B2567" s="4" t="s">
        <v>58</v>
      </c>
      <c r="C2567" s="13" t="n">
        <v>45125</v>
      </c>
      <c r="D2567" s="13" t="n">
        <v>45136</v>
      </c>
      <c r="E2567" s="13" t="n">
        <v>45133</v>
      </c>
      <c r="F2567" s="4" t="n">
        <v>126</v>
      </c>
      <c r="G2567" s="4" t="n">
        <v>124</v>
      </c>
      <c r="H2567" s="4" t="n">
        <v>135.68</v>
      </c>
      <c r="I2567" s="4" t="n">
        <v>137.97</v>
      </c>
      <c r="J2567" s="14" t="n">
        <f aca="false">E2567-D2567</f>
        <v>-3</v>
      </c>
      <c r="K2567" s="14" t="n">
        <f aca="false">IF(J2567&lt;=0,1,0)</f>
        <v>1</v>
      </c>
      <c r="L2567" s="15" t="n">
        <f aca="false">IFERROR(G2567/F2567,0)</f>
        <v>0.984126984126984</v>
      </c>
      <c r="M2567" s="15" t="n">
        <f aca="false">IFERROR((I2567-H2567)/H2567,0)</f>
        <v>0.0168779481132075</v>
      </c>
      <c r="N2567" s="16" t="n">
        <f aca="false">G2567*I2567</f>
        <v>17108.28</v>
      </c>
    </row>
    <row r="2568" customFormat="false" ht="15" hidden="false" customHeight="true" outlineLevel="0" collapsed="false">
      <c r="A2568" s="4" t="s">
        <v>2744</v>
      </c>
      <c r="B2568" s="4" t="s">
        <v>111</v>
      </c>
      <c r="C2568" s="13" t="n">
        <v>45649</v>
      </c>
      <c r="D2568" s="13" t="n">
        <v>45658</v>
      </c>
      <c r="E2568" s="13" t="n">
        <v>45661</v>
      </c>
      <c r="F2568" s="4" t="n">
        <v>368</v>
      </c>
      <c r="G2568" s="4" t="n">
        <v>362</v>
      </c>
      <c r="H2568" s="4" t="n">
        <v>148.08</v>
      </c>
      <c r="I2568" s="4" t="n">
        <v>150.05</v>
      </c>
      <c r="J2568" s="14" t="n">
        <f aca="false">E2568-D2568</f>
        <v>3</v>
      </c>
      <c r="K2568" s="14" t="n">
        <f aca="false">IF(J2568&lt;=0,1,0)</f>
        <v>0</v>
      </c>
      <c r="L2568" s="15" t="n">
        <f aca="false">IFERROR(G2568/F2568,0)</f>
        <v>0.983695652173913</v>
      </c>
      <c r="M2568" s="15" t="n">
        <f aca="false">IFERROR((I2568-H2568)/H2568,0)</f>
        <v>0.0133036196650459</v>
      </c>
      <c r="N2568" s="16" t="n">
        <f aca="false">G2568*I2568</f>
        <v>54318.1</v>
      </c>
    </row>
    <row r="2569" customFormat="false" ht="15" hidden="false" customHeight="true" outlineLevel="0" collapsed="false">
      <c r="A2569" s="4" t="s">
        <v>2745</v>
      </c>
      <c r="B2569" s="4" t="s">
        <v>103</v>
      </c>
      <c r="C2569" s="13" t="n">
        <v>45392</v>
      </c>
      <c r="D2569" s="13" t="n">
        <v>45410</v>
      </c>
      <c r="E2569" s="13" t="n">
        <v>45414</v>
      </c>
      <c r="F2569" s="4" t="n">
        <v>149</v>
      </c>
      <c r="G2569" s="4" t="n">
        <v>149</v>
      </c>
      <c r="H2569" s="4" t="n">
        <v>1400.22</v>
      </c>
      <c r="I2569" s="4" t="n">
        <v>1447.78</v>
      </c>
      <c r="J2569" s="14" t="n">
        <f aca="false">E2569-D2569</f>
        <v>4</v>
      </c>
      <c r="K2569" s="14" t="n">
        <f aca="false">IF(J2569&lt;=0,1,0)</f>
        <v>0</v>
      </c>
      <c r="L2569" s="15" t="n">
        <f aca="false">IFERROR(G2569/F2569,0)</f>
        <v>1</v>
      </c>
      <c r="M2569" s="15" t="n">
        <f aca="false">IFERROR((I2569-H2569)/H2569,0)</f>
        <v>0.0339660910428361</v>
      </c>
      <c r="N2569" s="16" t="n">
        <f aca="false">G2569*I2569</f>
        <v>215719.22</v>
      </c>
    </row>
    <row r="2570" customFormat="false" ht="15" hidden="false" customHeight="true" outlineLevel="0" collapsed="false">
      <c r="A2570" s="4" t="s">
        <v>2746</v>
      </c>
      <c r="B2570" s="4" t="s">
        <v>68</v>
      </c>
      <c r="C2570" s="13" t="n">
        <v>44969</v>
      </c>
      <c r="D2570" s="13" t="n">
        <v>44989</v>
      </c>
      <c r="E2570" s="13" t="n">
        <v>44988</v>
      </c>
      <c r="F2570" s="4" t="n">
        <v>319</v>
      </c>
      <c r="G2570" s="4" t="n">
        <v>289</v>
      </c>
      <c r="H2570" s="4" t="n">
        <v>1232.83</v>
      </c>
      <c r="I2570" s="4" t="n">
        <v>1248.43</v>
      </c>
      <c r="J2570" s="14" t="n">
        <f aca="false">E2570-D2570</f>
        <v>-1</v>
      </c>
      <c r="K2570" s="14" t="n">
        <f aca="false">IF(J2570&lt;=0,1,0)</f>
        <v>1</v>
      </c>
      <c r="L2570" s="15" t="n">
        <f aca="false">IFERROR(G2570/F2570,0)</f>
        <v>0.905956112852665</v>
      </c>
      <c r="M2570" s="15" t="n">
        <f aca="false">IFERROR((I2570-H2570)/H2570,0)</f>
        <v>0.0126538127722396</v>
      </c>
      <c r="N2570" s="16" t="n">
        <f aca="false">G2570*I2570</f>
        <v>360796.27</v>
      </c>
    </row>
    <row r="2571" customFormat="false" ht="15" hidden="false" customHeight="true" outlineLevel="0" collapsed="false">
      <c r="A2571" s="4" t="s">
        <v>2747</v>
      </c>
      <c r="B2571" s="4" t="s">
        <v>137</v>
      </c>
      <c r="C2571" s="13" t="n">
        <v>45576</v>
      </c>
      <c r="D2571" s="13" t="n">
        <v>45594</v>
      </c>
      <c r="E2571" s="13" t="n">
        <v>45594</v>
      </c>
      <c r="F2571" s="4" t="n">
        <v>319</v>
      </c>
      <c r="G2571" s="4" t="n">
        <v>287</v>
      </c>
      <c r="H2571" s="4" t="n">
        <v>1047.25</v>
      </c>
      <c r="I2571" s="4" t="n">
        <v>1122.41</v>
      </c>
      <c r="J2571" s="14" t="n">
        <f aca="false">E2571-D2571</f>
        <v>0</v>
      </c>
      <c r="K2571" s="14" t="n">
        <f aca="false">IF(J2571&lt;=0,1,0)</f>
        <v>1</v>
      </c>
      <c r="L2571" s="15" t="n">
        <f aca="false">IFERROR(G2571/F2571,0)</f>
        <v>0.899686520376176</v>
      </c>
      <c r="M2571" s="15" t="n">
        <f aca="false">IFERROR((I2571-H2571)/H2571,0)</f>
        <v>0.0717689185963238</v>
      </c>
      <c r="N2571" s="16" t="n">
        <f aca="false">G2571*I2571</f>
        <v>322131.67</v>
      </c>
    </row>
    <row r="2572" customFormat="false" ht="15" hidden="false" customHeight="true" outlineLevel="0" collapsed="false">
      <c r="A2572" s="4" t="s">
        <v>2748</v>
      </c>
      <c r="B2572" s="4" t="s">
        <v>151</v>
      </c>
      <c r="C2572" s="13" t="n">
        <v>45279</v>
      </c>
      <c r="D2572" s="13" t="n">
        <v>45285</v>
      </c>
      <c r="E2572" s="13" t="n">
        <v>45288</v>
      </c>
      <c r="F2572" s="4" t="n">
        <v>17</v>
      </c>
      <c r="G2572" s="4" t="n">
        <v>17</v>
      </c>
      <c r="H2572" s="4" t="n">
        <v>503.46</v>
      </c>
      <c r="I2572" s="4" t="n">
        <v>511.39</v>
      </c>
      <c r="J2572" s="14" t="n">
        <f aca="false">E2572-D2572</f>
        <v>3</v>
      </c>
      <c r="K2572" s="14" t="n">
        <f aca="false">IF(J2572&lt;=0,1,0)</f>
        <v>0</v>
      </c>
      <c r="L2572" s="15" t="n">
        <f aca="false">IFERROR(G2572/F2572,0)</f>
        <v>1</v>
      </c>
      <c r="M2572" s="15" t="n">
        <f aca="false">IFERROR((I2572-H2572)/H2572,0)</f>
        <v>0.0157510030588329</v>
      </c>
      <c r="N2572" s="16" t="n">
        <f aca="false">G2572*I2572</f>
        <v>8693.63</v>
      </c>
    </row>
    <row r="2573" customFormat="false" ht="15" hidden="false" customHeight="true" outlineLevel="0" collapsed="false">
      <c r="A2573" s="4" t="s">
        <v>2749</v>
      </c>
      <c r="B2573" s="4" t="s">
        <v>161</v>
      </c>
      <c r="C2573" s="13" t="n">
        <v>45447</v>
      </c>
      <c r="D2573" s="13" t="n">
        <v>45456</v>
      </c>
      <c r="E2573" s="13" t="n">
        <v>45462</v>
      </c>
      <c r="F2573" s="4" t="n">
        <v>499</v>
      </c>
      <c r="G2573" s="4" t="n">
        <v>496</v>
      </c>
      <c r="H2573" s="4" t="n">
        <v>101.94</v>
      </c>
      <c r="I2573" s="4" t="n">
        <v>113.45</v>
      </c>
      <c r="J2573" s="14" t="n">
        <f aca="false">E2573-D2573</f>
        <v>6</v>
      </c>
      <c r="K2573" s="14" t="n">
        <f aca="false">IF(J2573&lt;=0,1,0)</f>
        <v>0</v>
      </c>
      <c r="L2573" s="15" t="n">
        <f aca="false">IFERROR(G2573/F2573,0)</f>
        <v>0.993987975951904</v>
      </c>
      <c r="M2573" s="15" t="n">
        <f aca="false">IFERROR((I2573-H2573)/H2573,0)</f>
        <v>0.112909554639984</v>
      </c>
      <c r="N2573" s="16" t="n">
        <f aca="false">G2573*I2573</f>
        <v>56271.2</v>
      </c>
    </row>
    <row r="2574" customFormat="false" ht="15" hidden="false" customHeight="true" outlineLevel="0" collapsed="false">
      <c r="A2574" s="4" t="s">
        <v>2750</v>
      </c>
      <c r="B2574" s="4" t="s">
        <v>141</v>
      </c>
      <c r="C2574" s="13" t="n">
        <v>45613</v>
      </c>
      <c r="D2574" s="13" t="n">
        <v>45630</v>
      </c>
      <c r="E2574" s="13" t="n">
        <v>45635</v>
      </c>
      <c r="F2574" s="4" t="n">
        <v>176</v>
      </c>
      <c r="G2574" s="4" t="n">
        <v>172</v>
      </c>
      <c r="H2574" s="4" t="n">
        <v>1252.36</v>
      </c>
      <c r="I2574" s="4" t="n">
        <v>1191.17</v>
      </c>
      <c r="J2574" s="14" t="n">
        <f aca="false">E2574-D2574</f>
        <v>5</v>
      </c>
      <c r="K2574" s="14" t="n">
        <f aca="false">IF(J2574&lt;=0,1,0)</f>
        <v>0</v>
      </c>
      <c r="L2574" s="15" t="n">
        <f aca="false">IFERROR(G2574/F2574,0)</f>
        <v>0.977272727272727</v>
      </c>
      <c r="M2574" s="15" t="n">
        <f aca="false">IFERROR((I2574-H2574)/H2574,0)</f>
        <v>-0.0488597527867385</v>
      </c>
      <c r="N2574" s="16" t="n">
        <f aca="false">G2574*I2574</f>
        <v>204881.24</v>
      </c>
    </row>
    <row r="2575" customFormat="false" ht="15" hidden="false" customHeight="true" outlineLevel="0" collapsed="false">
      <c r="A2575" s="4" t="s">
        <v>2751</v>
      </c>
      <c r="B2575" s="4" t="s">
        <v>131</v>
      </c>
      <c r="C2575" s="13" t="n">
        <v>45199</v>
      </c>
      <c r="D2575" s="13" t="n">
        <v>45210</v>
      </c>
      <c r="E2575" s="13" t="n">
        <v>45210</v>
      </c>
      <c r="F2575" s="4" t="n">
        <v>1348</v>
      </c>
      <c r="G2575" s="4" t="n">
        <v>1344</v>
      </c>
      <c r="H2575" s="4" t="n">
        <v>88.52</v>
      </c>
      <c r="I2575" s="4" t="n">
        <v>88.5</v>
      </c>
      <c r="J2575" s="14" t="n">
        <f aca="false">E2575-D2575</f>
        <v>0</v>
      </c>
      <c r="K2575" s="14" t="n">
        <f aca="false">IF(J2575&lt;=0,1,0)</f>
        <v>1</v>
      </c>
      <c r="L2575" s="15" t="n">
        <f aca="false">IFERROR(G2575/F2575,0)</f>
        <v>0.997032640949555</v>
      </c>
      <c r="M2575" s="15" t="n">
        <f aca="false">IFERROR((I2575-H2575)/H2575,0)</f>
        <v>-0.000225937641210981</v>
      </c>
      <c r="N2575" s="16" t="n">
        <f aca="false">G2575*I2575</f>
        <v>118944</v>
      </c>
    </row>
    <row r="2576" customFormat="false" ht="15" hidden="false" customHeight="true" outlineLevel="0" collapsed="false">
      <c r="A2576" s="4" t="s">
        <v>2752</v>
      </c>
      <c r="B2576" s="4" t="s">
        <v>109</v>
      </c>
      <c r="C2576" s="13" t="n">
        <v>45329</v>
      </c>
      <c r="D2576" s="13" t="n">
        <v>45347</v>
      </c>
      <c r="E2576" s="13" t="n">
        <v>45340</v>
      </c>
      <c r="F2576" s="4" t="n">
        <v>129</v>
      </c>
      <c r="G2576" s="4" t="n">
        <v>129</v>
      </c>
      <c r="H2576" s="4" t="n">
        <v>858.02</v>
      </c>
      <c r="I2576" s="4" t="n">
        <v>901.03</v>
      </c>
      <c r="J2576" s="14" t="n">
        <f aca="false">E2576-D2576</f>
        <v>-7</v>
      </c>
      <c r="K2576" s="14" t="n">
        <f aca="false">IF(J2576&lt;=0,1,0)</f>
        <v>1</v>
      </c>
      <c r="L2576" s="15" t="n">
        <f aca="false">IFERROR(G2576/F2576,0)</f>
        <v>1</v>
      </c>
      <c r="M2576" s="15" t="n">
        <f aca="false">IFERROR((I2576-H2576)/H2576,0)</f>
        <v>0.050127036665812</v>
      </c>
      <c r="N2576" s="16" t="n">
        <f aca="false">G2576*I2576</f>
        <v>116232.87</v>
      </c>
    </row>
    <row r="2577" customFormat="false" ht="15" hidden="false" customHeight="true" outlineLevel="0" collapsed="false">
      <c r="A2577" s="4" t="s">
        <v>2753</v>
      </c>
      <c r="B2577" s="4" t="s">
        <v>115</v>
      </c>
      <c r="C2577" s="13" t="n">
        <v>45101</v>
      </c>
      <c r="D2577" s="13" t="n">
        <v>45115</v>
      </c>
      <c r="E2577" s="13" t="n">
        <v>45122</v>
      </c>
      <c r="F2577" s="4" t="n">
        <v>197</v>
      </c>
      <c r="G2577" s="4" t="n">
        <v>183</v>
      </c>
      <c r="H2577" s="4" t="n">
        <v>115.53</v>
      </c>
      <c r="I2577" s="4" t="n">
        <v>120.89</v>
      </c>
      <c r="J2577" s="14" t="n">
        <f aca="false">E2577-D2577</f>
        <v>7</v>
      </c>
      <c r="K2577" s="14" t="n">
        <f aca="false">IF(J2577&lt;=0,1,0)</f>
        <v>0</v>
      </c>
      <c r="L2577" s="15" t="n">
        <f aca="false">IFERROR(G2577/F2577,0)</f>
        <v>0.928934010152284</v>
      </c>
      <c r="M2577" s="15" t="n">
        <f aca="false">IFERROR((I2577-H2577)/H2577,0)</f>
        <v>0.0463948757898381</v>
      </c>
      <c r="N2577" s="16" t="n">
        <f aca="false">G2577*I2577</f>
        <v>22122.87</v>
      </c>
    </row>
    <row r="2578" customFormat="false" ht="15" hidden="false" customHeight="true" outlineLevel="0" collapsed="false">
      <c r="A2578" s="4" t="s">
        <v>2754</v>
      </c>
      <c r="B2578" s="4" t="s">
        <v>121</v>
      </c>
      <c r="C2578" s="13" t="n">
        <v>45249</v>
      </c>
      <c r="D2578" s="13" t="n">
        <v>45258</v>
      </c>
      <c r="E2578" s="13" t="n">
        <v>45262</v>
      </c>
      <c r="F2578" s="4" t="n">
        <v>552</v>
      </c>
      <c r="G2578" s="4" t="n">
        <v>506</v>
      </c>
      <c r="H2578" s="4" t="n">
        <v>206.07</v>
      </c>
      <c r="I2578" s="4" t="n">
        <v>223.82</v>
      </c>
      <c r="J2578" s="14" t="n">
        <f aca="false">E2578-D2578</f>
        <v>4</v>
      </c>
      <c r="K2578" s="14" t="n">
        <f aca="false">IF(J2578&lt;=0,1,0)</f>
        <v>0</v>
      </c>
      <c r="L2578" s="15" t="n">
        <f aca="false">IFERROR(G2578/F2578,0)</f>
        <v>0.916666666666667</v>
      </c>
      <c r="M2578" s="15" t="n">
        <f aca="false">IFERROR((I2578-H2578)/H2578,0)</f>
        <v>0.0861357791041879</v>
      </c>
      <c r="N2578" s="16" t="n">
        <f aca="false">G2578*I2578</f>
        <v>113252.92</v>
      </c>
    </row>
    <row r="2579" customFormat="false" ht="15" hidden="false" customHeight="true" outlineLevel="0" collapsed="false">
      <c r="A2579" s="4" t="s">
        <v>2755</v>
      </c>
      <c r="B2579" s="4" t="s">
        <v>103</v>
      </c>
      <c r="C2579" s="13" t="n">
        <v>44957</v>
      </c>
      <c r="D2579" s="13" t="n">
        <v>44974</v>
      </c>
      <c r="E2579" s="13" t="n">
        <v>44969</v>
      </c>
      <c r="F2579" s="4" t="n">
        <v>206</v>
      </c>
      <c r="G2579" s="4" t="n">
        <v>202</v>
      </c>
      <c r="H2579" s="4" t="n">
        <v>1400.22</v>
      </c>
      <c r="I2579" s="4" t="n">
        <v>1406.64</v>
      </c>
      <c r="J2579" s="14" t="n">
        <f aca="false">E2579-D2579</f>
        <v>-5</v>
      </c>
      <c r="K2579" s="14" t="n">
        <f aca="false">IF(J2579&lt;=0,1,0)</f>
        <v>1</v>
      </c>
      <c r="L2579" s="15" t="n">
        <f aca="false">IFERROR(G2579/F2579,0)</f>
        <v>0.980582524271845</v>
      </c>
      <c r="M2579" s="15" t="n">
        <f aca="false">IFERROR((I2579-H2579)/H2579,0)</f>
        <v>0.00458499378669072</v>
      </c>
      <c r="N2579" s="16" t="n">
        <f aca="false">G2579*I2579</f>
        <v>284141.28</v>
      </c>
    </row>
    <row r="2580" customFormat="false" ht="15" hidden="false" customHeight="true" outlineLevel="0" collapsed="false">
      <c r="A2580" s="4" t="s">
        <v>2756</v>
      </c>
      <c r="B2580" s="4" t="s">
        <v>135</v>
      </c>
      <c r="C2580" s="13" t="n">
        <v>45174</v>
      </c>
      <c r="D2580" s="13" t="n">
        <v>45186</v>
      </c>
      <c r="E2580" s="13" t="n">
        <v>45189</v>
      </c>
      <c r="F2580" s="4" t="n">
        <v>214</v>
      </c>
      <c r="G2580" s="4" t="n">
        <v>213</v>
      </c>
      <c r="H2580" s="4" t="n">
        <v>328.06</v>
      </c>
      <c r="I2580" s="4" t="n">
        <v>326.89</v>
      </c>
      <c r="J2580" s="14" t="n">
        <f aca="false">E2580-D2580</f>
        <v>3</v>
      </c>
      <c r="K2580" s="14" t="n">
        <f aca="false">IF(J2580&lt;=0,1,0)</f>
        <v>0</v>
      </c>
      <c r="L2580" s="15" t="n">
        <f aca="false">IFERROR(G2580/F2580,0)</f>
        <v>0.995327102803738</v>
      </c>
      <c r="M2580" s="15" t="n">
        <f aca="false">IFERROR((I2580-H2580)/H2580,0)</f>
        <v>-0.00356642077668724</v>
      </c>
      <c r="N2580" s="16" t="n">
        <f aca="false">G2580*I2580</f>
        <v>69627.57</v>
      </c>
    </row>
    <row r="2581" customFormat="false" ht="15" hidden="false" customHeight="true" outlineLevel="0" collapsed="false">
      <c r="A2581" s="4" t="s">
        <v>2757</v>
      </c>
      <c r="B2581" s="4" t="s">
        <v>70</v>
      </c>
      <c r="C2581" s="13" t="n">
        <v>45036</v>
      </c>
      <c r="D2581" s="13" t="n">
        <v>45044</v>
      </c>
      <c r="E2581" s="13" t="n">
        <v>45046</v>
      </c>
      <c r="F2581" s="4" t="n">
        <v>4141</v>
      </c>
      <c r="G2581" s="4" t="n">
        <v>3746</v>
      </c>
      <c r="H2581" s="4" t="n">
        <v>35.88</v>
      </c>
      <c r="I2581" s="4" t="n">
        <v>36.68</v>
      </c>
      <c r="J2581" s="14" t="n">
        <f aca="false">E2581-D2581</f>
        <v>2</v>
      </c>
      <c r="K2581" s="14" t="n">
        <f aca="false">IF(J2581&lt;=0,1,0)</f>
        <v>0</v>
      </c>
      <c r="L2581" s="15" t="n">
        <f aca="false">IFERROR(G2581/F2581,0)</f>
        <v>0.904612412460758</v>
      </c>
      <c r="M2581" s="15" t="n">
        <f aca="false">IFERROR((I2581-H2581)/H2581,0)</f>
        <v>0.0222965440356744</v>
      </c>
      <c r="N2581" s="16" t="n">
        <f aca="false">G2581*I2581</f>
        <v>137403.28</v>
      </c>
    </row>
    <row r="2582" customFormat="false" ht="15" hidden="false" customHeight="true" outlineLevel="0" collapsed="false">
      <c r="A2582" s="4" t="s">
        <v>2758</v>
      </c>
      <c r="B2582" s="4" t="s">
        <v>131</v>
      </c>
      <c r="C2582" s="13" t="n">
        <v>45555</v>
      </c>
      <c r="D2582" s="13" t="n">
        <v>45564</v>
      </c>
      <c r="E2582" s="13" t="n">
        <v>45566</v>
      </c>
      <c r="F2582" s="4" t="n">
        <v>1946</v>
      </c>
      <c r="G2582" s="4" t="n">
        <v>1861</v>
      </c>
      <c r="H2582" s="4" t="n">
        <v>88.52</v>
      </c>
      <c r="I2582" s="4" t="n">
        <v>92.1</v>
      </c>
      <c r="J2582" s="14" t="n">
        <f aca="false">E2582-D2582</f>
        <v>2</v>
      </c>
      <c r="K2582" s="14" t="n">
        <f aca="false">IF(J2582&lt;=0,1,0)</f>
        <v>0</v>
      </c>
      <c r="L2582" s="15" t="n">
        <f aca="false">IFERROR(G2582/F2582,0)</f>
        <v>0.956320657759507</v>
      </c>
      <c r="M2582" s="15" t="n">
        <f aca="false">IFERROR((I2582-H2582)/H2582,0)</f>
        <v>0.0404428377767736</v>
      </c>
      <c r="N2582" s="16" t="n">
        <f aca="false">G2582*I2582</f>
        <v>171398.1</v>
      </c>
    </row>
    <row r="2583" customFormat="false" ht="15" hidden="false" customHeight="true" outlineLevel="0" collapsed="false">
      <c r="A2583" s="4" t="s">
        <v>2759</v>
      </c>
      <c r="B2583" s="4" t="s">
        <v>147</v>
      </c>
      <c r="C2583" s="13" t="n">
        <v>45519</v>
      </c>
      <c r="D2583" s="13" t="n">
        <v>45532</v>
      </c>
      <c r="E2583" s="13" t="n">
        <v>45533</v>
      </c>
      <c r="F2583" s="4" t="n">
        <v>129</v>
      </c>
      <c r="G2583" s="4" t="n">
        <v>127</v>
      </c>
      <c r="H2583" s="4" t="n">
        <v>203.3</v>
      </c>
      <c r="I2583" s="4" t="n">
        <v>209.71</v>
      </c>
      <c r="J2583" s="14" t="n">
        <f aca="false">E2583-D2583</f>
        <v>1</v>
      </c>
      <c r="K2583" s="14" t="n">
        <f aca="false">IF(J2583&lt;=0,1,0)</f>
        <v>0</v>
      </c>
      <c r="L2583" s="15" t="n">
        <f aca="false">IFERROR(G2583/F2583,0)</f>
        <v>0.984496124031008</v>
      </c>
      <c r="M2583" s="15" t="n">
        <f aca="false">IFERROR((I2583-H2583)/H2583,0)</f>
        <v>0.0315297589768814</v>
      </c>
      <c r="N2583" s="16" t="n">
        <f aca="false">G2583*I2583</f>
        <v>26633.17</v>
      </c>
    </row>
    <row r="2584" customFormat="false" ht="15" hidden="false" customHeight="true" outlineLevel="0" collapsed="false">
      <c r="A2584" s="4" t="s">
        <v>2760</v>
      </c>
      <c r="B2584" s="4" t="s">
        <v>147</v>
      </c>
      <c r="C2584" s="13" t="n">
        <v>45139</v>
      </c>
      <c r="D2584" s="13" t="n">
        <v>45153</v>
      </c>
      <c r="E2584" s="13" t="n">
        <v>45155</v>
      </c>
      <c r="F2584" s="4" t="n">
        <v>96</v>
      </c>
      <c r="G2584" s="4" t="n">
        <v>96</v>
      </c>
      <c r="H2584" s="4" t="n">
        <v>203.3</v>
      </c>
      <c r="I2584" s="4" t="n">
        <v>207.62</v>
      </c>
      <c r="J2584" s="14" t="n">
        <f aca="false">E2584-D2584</f>
        <v>2</v>
      </c>
      <c r="K2584" s="14" t="n">
        <f aca="false">IF(J2584&lt;=0,1,0)</f>
        <v>0</v>
      </c>
      <c r="L2584" s="15" t="n">
        <f aca="false">IFERROR(G2584/F2584,0)</f>
        <v>1</v>
      </c>
      <c r="M2584" s="15" t="n">
        <f aca="false">IFERROR((I2584-H2584)/H2584,0)</f>
        <v>0.0212493851451057</v>
      </c>
      <c r="N2584" s="16" t="n">
        <f aca="false">G2584*I2584</f>
        <v>19931.52</v>
      </c>
    </row>
    <row r="2585" customFormat="false" ht="15" hidden="false" customHeight="true" outlineLevel="0" collapsed="false">
      <c r="A2585" s="4" t="s">
        <v>2761</v>
      </c>
      <c r="B2585" s="4" t="s">
        <v>72</v>
      </c>
      <c r="C2585" s="13" t="n">
        <v>44957</v>
      </c>
      <c r="D2585" s="13" t="n">
        <v>44965</v>
      </c>
      <c r="E2585" s="13" t="n">
        <v>44972</v>
      </c>
      <c r="F2585" s="4" t="n">
        <v>4163</v>
      </c>
      <c r="G2585" s="4" t="n">
        <v>4059</v>
      </c>
      <c r="H2585" s="4" t="n">
        <v>34.53</v>
      </c>
      <c r="I2585" s="4" t="n">
        <v>34.33</v>
      </c>
      <c r="J2585" s="14" t="n">
        <f aca="false">E2585-D2585</f>
        <v>7</v>
      </c>
      <c r="K2585" s="14" t="n">
        <f aca="false">IF(J2585&lt;=0,1,0)</f>
        <v>0</v>
      </c>
      <c r="L2585" s="15" t="n">
        <f aca="false">IFERROR(G2585/F2585,0)</f>
        <v>0.975018015853951</v>
      </c>
      <c r="M2585" s="15" t="n">
        <f aca="false">IFERROR((I2585-H2585)/H2585,0)</f>
        <v>-0.00579206487112664</v>
      </c>
      <c r="N2585" s="16" t="n">
        <f aca="false">G2585*I2585</f>
        <v>139345.47</v>
      </c>
    </row>
    <row r="2586" customFormat="false" ht="15" hidden="false" customHeight="true" outlineLevel="0" collapsed="false">
      <c r="A2586" s="4" t="s">
        <v>2762</v>
      </c>
      <c r="B2586" s="4" t="s">
        <v>117</v>
      </c>
      <c r="C2586" s="13" t="n">
        <v>45593</v>
      </c>
      <c r="D2586" s="13" t="n">
        <v>45605</v>
      </c>
      <c r="E2586" s="13" t="n">
        <v>45610</v>
      </c>
      <c r="F2586" s="4" t="n">
        <v>221</v>
      </c>
      <c r="G2586" s="4" t="n">
        <v>207</v>
      </c>
      <c r="H2586" s="4" t="n">
        <v>396.01</v>
      </c>
      <c r="I2586" s="4" t="n">
        <v>393.6</v>
      </c>
      <c r="J2586" s="14" t="n">
        <f aca="false">E2586-D2586</f>
        <v>5</v>
      </c>
      <c r="K2586" s="14" t="n">
        <f aca="false">IF(J2586&lt;=0,1,0)</f>
        <v>0</v>
      </c>
      <c r="L2586" s="15" t="n">
        <f aca="false">IFERROR(G2586/F2586,0)</f>
        <v>0.936651583710407</v>
      </c>
      <c r="M2586" s="15" t="n">
        <f aca="false">IFERROR((I2586-H2586)/H2586,0)</f>
        <v>-0.00608570490644168</v>
      </c>
      <c r="N2586" s="16" t="n">
        <f aca="false">G2586*I2586</f>
        <v>81475.2</v>
      </c>
    </row>
    <row r="2587" customFormat="false" ht="15" hidden="false" customHeight="true" outlineLevel="0" collapsed="false">
      <c r="A2587" s="4" t="s">
        <v>2763</v>
      </c>
      <c r="B2587" s="4" t="s">
        <v>115</v>
      </c>
      <c r="C2587" s="13" t="n">
        <v>44943</v>
      </c>
      <c r="D2587" s="13" t="n">
        <v>44957</v>
      </c>
      <c r="E2587" s="13" t="n">
        <v>44963</v>
      </c>
      <c r="F2587" s="4" t="n">
        <v>112</v>
      </c>
      <c r="G2587" s="4" t="n">
        <v>103</v>
      </c>
      <c r="H2587" s="4" t="n">
        <v>115.53</v>
      </c>
      <c r="I2587" s="4" t="n">
        <v>113.78</v>
      </c>
      <c r="J2587" s="14" t="n">
        <f aca="false">E2587-D2587</f>
        <v>6</v>
      </c>
      <c r="K2587" s="14" t="n">
        <f aca="false">IF(J2587&lt;=0,1,0)</f>
        <v>0</v>
      </c>
      <c r="L2587" s="15" t="n">
        <f aca="false">IFERROR(G2587/F2587,0)</f>
        <v>0.919642857142857</v>
      </c>
      <c r="M2587" s="15" t="n">
        <f aca="false">IFERROR((I2587-H2587)/H2587,0)</f>
        <v>-0.0151475807149658</v>
      </c>
      <c r="N2587" s="16" t="n">
        <f aca="false">G2587*I2587</f>
        <v>11719.34</v>
      </c>
    </row>
    <row r="2588" customFormat="false" ht="15" hidden="false" customHeight="true" outlineLevel="0" collapsed="false">
      <c r="A2588" s="4" t="s">
        <v>2764</v>
      </c>
      <c r="B2588" s="4" t="s">
        <v>63</v>
      </c>
      <c r="C2588" s="13" t="n">
        <v>45583</v>
      </c>
      <c r="D2588" s="13" t="n">
        <v>45594</v>
      </c>
      <c r="E2588" s="13" t="n">
        <v>45605</v>
      </c>
      <c r="F2588" s="4" t="n">
        <v>225</v>
      </c>
      <c r="G2588" s="4" t="n">
        <v>208</v>
      </c>
      <c r="H2588" s="4" t="n">
        <v>239.8</v>
      </c>
      <c r="I2588" s="4" t="n">
        <v>264.45</v>
      </c>
      <c r="J2588" s="14" t="n">
        <f aca="false">E2588-D2588</f>
        <v>11</v>
      </c>
      <c r="K2588" s="14" t="n">
        <f aca="false">IF(J2588&lt;=0,1,0)</f>
        <v>0</v>
      </c>
      <c r="L2588" s="15" t="n">
        <f aca="false">IFERROR(G2588/F2588,0)</f>
        <v>0.924444444444444</v>
      </c>
      <c r="M2588" s="15" t="n">
        <f aca="false">IFERROR((I2588-H2588)/H2588,0)</f>
        <v>0.10279399499583</v>
      </c>
      <c r="N2588" s="16" t="n">
        <f aca="false">G2588*I2588</f>
        <v>55005.6</v>
      </c>
    </row>
    <row r="2589" customFormat="false" ht="15" hidden="false" customHeight="true" outlineLevel="0" collapsed="false">
      <c r="A2589" s="4" t="s">
        <v>2765</v>
      </c>
      <c r="B2589" s="4" t="s">
        <v>109</v>
      </c>
      <c r="C2589" s="13" t="n">
        <v>45170</v>
      </c>
      <c r="D2589" s="13" t="n">
        <v>45189</v>
      </c>
      <c r="E2589" s="13" t="n">
        <v>45190</v>
      </c>
      <c r="F2589" s="4" t="n">
        <v>413</v>
      </c>
      <c r="G2589" s="4" t="n">
        <v>404</v>
      </c>
      <c r="H2589" s="4" t="n">
        <v>858.02</v>
      </c>
      <c r="I2589" s="4" t="n">
        <v>881.91</v>
      </c>
      <c r="J2589" s="14" t="n">
        <f aca="false">E2589-D2589</f>
        <v>1</v>
      </c>
      <c r="K2589" s="14" t="n">
        <f aca="false">IF(J2589&lt;=0,1,0)</f>
        <v>0</v>
      </c>
      <c r="L2589" s="15" t="n">
        <f aca="false">IFERROR(G2589/F2589,0)</f>
        <v>0.978208232445521</v>
      </c>
      <c r="M2589" s="15" t="n">
        <f aca="false">IFERROR((I2589-H2589)/H2589,0)</f>
        <v>0.0278431738187921</v>
      </c>
      <c r="N2589" s="16" t="n">
        <f aca="false">G2589*I2589</f>
        <v>356291.64</v>
      </c>
    </row>
    <row r="2590" customFormat="false" ht="15" hidden="false" customHeight="true" outlineLevel="0" collapsed="false">
      <c r="A2590" s="4" t="s">
        <v>2766</v>
      </c>
      <c r="B2590" s="4" t="s">
        <v>58</v>
      </c>
      <c r="C2590" s="13" t="n">
        <v>45388</v>
      </c>
      <c r="D2590" s="13" t="n">
        <v>45400</v>
      </c>
      <c r="E2590" s="13" t="n">
        <v>45398</v>
      </c>
      <c r="F2590" s="4" t="n">
        <v>110</v>
      </c>
      <c r="G2590" s="4" t="n">
        <v>109</v>
      </c>
      <c r="H2590" s="4" t="n">
        <v>135.68</v>
      </c>
      <c r="I2590" s="4" t="n">
        <v>143.61</v>
      </c>
      <c r="J2590" s="14" t="n">
        <f aca="false">E2590-D2590</f>
        <v>-2</v>
      </c>
      <c r="K2590" s="14" t="n">
        <f aca="false">IF(J2590&lt;=0,1,0)</f>
        <v>1</v>
      </c>
      <c r="L2590" s="15" t="n">
        <f aca="false">IFERROR(G2590/F2590,0)</f>
        <v>0.990909090909091</v>
      </c>
      <c r="M2590" s="15" t="n">
        <f aca="false">IFERROR((I2590-H2590)/H2590,0)</f>
        <v>0.0584463443396227</v>
      </c>
      <c r="N2590" s="16" t="n">
        <f aca="false">G2590*I2590</f>
        <v>15653.49</v>
      </c>
    </row>
    <row r="2591" customFormat="false" ht="15" hidden="false" customHeight="true" outlineLevel="0" collapsed="false">
      <c r="A2591" s="4" t="s">
        <v>2767</v>
      </c>
      <c r="B2591" s="4" t="s">
        <v>55</v>
      </c>
      <c r="C2591" s="13" t="n">
        <v>45024</v>
      </c>
      <c r="D2591" s="13" t="n">
        <v>45041</v>
      </c>
      <c r="E2591" s="13" t="n">
        <v>45038</v>
      </c>
      <c r="F2591" s="4" t="n">
        <v>90</v>
      </c>
      <c r="G2591" s="4" t="n">
        <v>87</v>
      </c>
      <c r="H2591" s="4" t="n">
        <v>598.09</v>
      </c>
      <c r="I2591" s="4" t="n">
        <v>595.93</v>
      </c>
      <c r="J2591" s="14" t="n">
        <f aca="false">E2591-D2591</f>
        <v>-3</v>
      </c>
      <c r="K2591" s="14" t="n">
        <f aca="false">IF(J2591&lt;=0,1,0)</f>
        <v>1</v>
      </c>
      <c r="L2591" s="15" t="n">
        <f aca="false">IFERROR(G2591/F2591,0)</f>
        <v>0.966666666666667</v>
      </c>
      <c r="M2591" s="15" t="n">
        <f aca="false">IFERROR((I2591-H2591)/H2591,0)</f>
        <v>-0.00361149659750219</v>
      </c>
      <c r="N2591" s="16" t="n">
        <f aca="false">G2591*I2591</f>
        <v>51845.91</v>
      </c>
    </row>
    <row r="2592" customFormat="false" ht="15" hidden="false" customHeight="true" outlineLevel="0" collapsed="false">
      <c r="A2592" s="4" t="s">
        <v>2768</v>
      </c>
      <c r="B2592" s="4" t="s">
        <v>50</v>
      </c>
      <c r="C2592" s="13" t="n">
        <v>45086</v>
      </c>
      <c r="D2592" s="13" t="n">
        <v>45104</v>
      </c>
      <c r="E2592" s="13" t="n">
        <v>45105</v>
      </c>
      <c r="F2592" s="4" t="n">
        <v>436</v>
      </c>
      <c r="G2592" s="4" t="n">
        <v>418</v>
      </c>
      <c r="H2592" s="4" t="n">
        <v>707.19</v>
      </c>
      <c r="I2592" s="4" t="n">
        <v>733.63</v>
      </c>
      <c r="J2592" s="14" t="n">
        <f aca="false">E2592-D2592</f>
        <v>1</v>
      </c>
      <c r="K2592" s="14" t="n">
        <f aca="false">IF(J2592&lt;=0,1,0)</f>
        <v>0</v>
      </c>
      <c r="L2592" s="15" t="n">
        <f aca="false">IFERROR(G2592/F2592,0)</f>
        <v>0.958715596330275</v>
      </c>
      <c r="M2592" s="15" t="n">
        <f aca="false">IFERROR((I2592-H2592)/H2592,0)</f>
        <v>0.0373874064961325</v>
      </c>
      <c r="N2592" s="16" t="n">
        <f aca="false">G2592*I2592</f>
        <v>306657.34</v>
      </c>
    </row>
    <row r="2593" customFormat="false" ht="15" hidden="false" customHeight="true" outlineLevel="0" collapsed="false">
      <c r="A2593" s="4" t="s">
        <v>2769</v>
      </c>
      <c r="B2593" s="4" t="s">
        <v>111</v>
      </c>
      <c r="C2593" s="13" t="n">
        <v>45561</v>
      </c>
      <c r="D2593" s="13" t="n">
        <v>45572</v>
      </c>
      <c r="E2593" s="13" t="n">
        <v>45571</v>
      </c>
      <c r="F2593" s="4" t="n">
        <v>1335</v>
      </c>
      <c r="G2593" s="4" t="n">
        <v>1335</v>
      </c>
      <c r="H2593" s="4" t="n">
        <v>148.08</v>
      </c>
      <c r="I2593" s="4" t="n">
        <v>146.97</v>
      </c>
      <c r="J2593" s="14" t="n">
        <f aca="false">E2593-D2593</f>
        <v>-1</v>
      </c>
      <c r="K2593" s="14" t="n">
        <f aca="false">IF(J2593&lt;=0,1,0)</f>
        <v>1</v>
      </c>
      <c r="L2593" s="15" t="n">
        <f aca="false">IFERROR(G2593/F2593,0)</f>
        <v>1</v>
      </c>
      <c r="M2593" s="15" t="n">
        <f aca="false">IFERROR((I2593-H2593)/H2593,0)</f>
        <v>-0.00749594813614272</v>
      </c>
      <c r="N2593" s="16" t="n">
        <f aca="false">G2593*I2593</f>
        <v>196204.95</v>
      </c>
    </row>
    <row r="2594" customFormat="false" ht="15" hidden="false" customHeight="true" outlineLevel="0" collapsed="false">
      <c r="A2594" s="4" t="s">
        <v>2770</v>
      </c>
      <c r="B2594" s="4" t="s">
        <v>119</v>
      </c>
      <c r="C2594" s="13" t="n">
        <v>45209</v>
      </c>
      <c r="D2594" s="13" t="n">
        <v>45215</v>
      </c>
      <c r="E2594" s="13" t="n">
        <v>45218</v>
      </c>
      <c r="F2594" s="4" t="n">
        <v>611</v>
      </c>
      <c r="G2594" s="4" t="n">
        <v>593</v>
      </c>
      <c r="H2594" s="4" t="n">
        <v>50.92</v>
      </c>
      <c r="I2594" s="4" t="n">
        <v>49.08</v>
      </c>
      <c r="J2594" s="14" t="n">
        <f aca="false">E2594-D2594</f>
        <v>3</v>
      </c>
      <c r="K2594" s="14" t="n">
        <f aca="false">IF(J2594&lt;=0,1,0)</f>
        <v>0</v>
      </c>
      <c r="L2594" s="15" t="n">
        <f aca="false">IFERROR(G2594/F2594,0)</f>
        <v>0.970540098199673</v>
      </c>
      <c r="M2594" s="15" t="n">
        <f aca="false">IFERROR((I2594-H2594)/H2594,0)</f>
        <v>-0.0361351139041635</v>
      </c>
      <c r="N2594" s="16" t="n">
        <f aca="false">G2594*I2594</f>
        <v>29104.44</v>
      </c>
    </row>
    <row r="2595" customFormat="false" ht="15" hidden="false" customHeight="true" outlineLevel="0" collapsed="false">
      <c r="A2595" s="4" t="s">
        <v>2771</v>
      </c>
      <c r="B2595" s="4" t="s">
        <v>93</v>
      </c>
      <c r="C2595" s="13" t="n">
        <v>45419</v>
      </c>
      <c r="D2595" s="13" t="n">
        <v>45430</v>
      </c>
      <c r="E2595" s="13" t="n">
        <v>45430</v>
      </c>
      <c r="F2595" s="4" t="n">
        <v>1787</v>
      </c>
      <c r="G2595" s="4" t="n">
        <v>1744</v>
      </c>
      <c r="H2595" s="4" t="n">
        <v>174.25</v>
      </c>
      <c r="I2595" s="4" t="n">
        <v>184.33</v>
      </c>
      <c r="J2595" s="14" t="n">
        <f aca="false">E2595-D2595</f>
        <v>0</v>
      </c>
      <c r="K2595" s="14" t="n">
        <f aca="false">IF(J2595&lt;=0,1,0)</f>
        <v>1</v>
      </c>
      <c r="L2595" s="15" t="n">
        <f aca="false">IFERROR(G2595/F2595,0)</f>
        <v>0.975937325125909</v>
      </c>
      <c r="M2595" s="15" t="n">
        <f aca="false">IFERROR((I2595-H2595)/H2595,0)</f>
        <v>0.0578479196556672</v>
      </c>
      <c r="N2595" s="16" t="n">
        <f aca="false">G2595*I2595</f>
        <v>321471.52</v>
      </c>
    </row>
    <row r="2596" customFormat="false" ht="15" hidden="false" customHeight="true" outlineLevel="0" collapsed="false">
      <c r="A2596" s="4" t="s">
        <v>2772</v>
      </c>
      <c r="B2596" s="4" t="s">
        <v>65</v>
      </c>
      <c r="C2596" s="13" t="n">
        <v>44966</v>
      </c>
      <c r="D2596" s="13" t="n">
        <v>44983</v>
      </c>
      <c r="E2596" s="13" t="n">
        <v>44984</v>
      </c>
      <c r="F2596" s="4" t="n">
        <v>100</v>
      </c>
      <c r="G2596" s="4" t="n">
        <v>98</v>
      </c>
      <c r="H2596" s="4" t="n">
        <v>1365.59</v>
      </c>
      <c r="I2596" s="4" t="n">
        <v>1374.04</v>
      </c>
      <c r="J2596" s="14" t="n">
        <f aca="false">E2596-D2596</f>
        <v>1</v>
      </c>
      <c r="K2596" s="14" t="n">
        <f aca="false">IF(J2596&lt;=0,1,0)</f>
        <v>0</v>
      </c>
      <c r="L2596" s="15" t="n">
        <f aca="false">IFERROR(G2596/F2596,0)</f>
        <v>0.98</v>
      </c>
      <c r="M2596" s="15" t="n">
        <f aca="false">IFERROR((I2596-H2596)/H2596,0)</f>
        <v>0.00618780160956074</v>
      </c>
      <c r="N2596" s="16" t="n">
        <f aca="false">G2596*I2596</f>
        <v>134655.92</v>
      </c>
    </row>
    <row r="2597" customFormat="false" ht="15" hidden="false" customHeight="true" outlineLevel="0" collapsed="false">
      <c r="A2597" s="4" t="s">
        <v>2773</v>
      </c>
      <c r="B2597" s="4" t="s">
        <v>117</v>
      </c>
      <c r="C2597" s="13" t="n">
        <v>45404</v>
      </c>
      <c r="D2597" s="13" t="n">
        <v>45418</v>
      </c>
      <c r="E2597" s="13" t="n">
        <v>45423</v>
      </c>
      <c r="F2597" s="4" t="n">
        <v>26</v>
      </c>
      <c r="G2597" s="4" t="n">
        <v>24</v>
      </c>
      <c r="H2597" s="4" t="n">
        <v>396.01</v>
      </c>
      <c r="I2597" s="4" t="n">
        <v>390.98</v>
      </c>
      <c r="J2597" s="14" t="n">
        <f aca="false">E2597-D2597</f>
        <v>5</v>
      </c>
      <c r="K2597" s="14" t="n">
        <f aca="false">IF(J2597&lt;=0,1,0)</f>
        <v>0</v>
      </c>
      <c r="L2597" s="15" t="n">
        <f aca="false">IFERROR(G2597/F2597,0)</f>
        <v>0.923076923076923</v>
      </c>
      <c r="M2597" s="15" t="n">
        <f aca="false">IFERROR((I2597-H2597)/H2597,0)</f>
        <v>-0.012701699452034</v>
      </c>
      <c r="N2597" s="16" t="n">
        <f aca="false">G2597*I2597</f>
        <v>9383.52</v>
      </c>
    </row>
    <row r="2598" customFormat="false" ht="15" hidden="false" customHeight="true" outlineLevel="0" collapsed="false">
      <c r="A2598" s="4" t="s">
        <v>2774</v>
      </c>
      <c r="B2598" s="4" t="s">
        <v>85</v>
      </c>
      <c r="C2598" s="13" t="n">
        <v>45470</v>
      </c>
      <c r="D2598" s="13" t="n">
        <v>45479</v>
      </c>
      <c r="E2598" s="13" t="n">
        <v>45484</v>
      </c>
      <c r="F2598" s="4" t="n">
        <v>1149</v>
      </c>
      <c r="G2598" s="4" t="n">
        <v>1072</v>
      </c>
      <c r="H2598" s="4" t="n">
        <v>241.88</v>
      </c>
      <c r="I2598" s="4" t="n">
        <v>235.53</v>
      </c>
      <c r="J2598" s="14" t="n">
        <f aca="false">E2598-D2598</f>
        <v>5</v>
      </c>
      <c r="K2598" s="14" t="n">
        <f aca="false">IF(J2598&lt;=0,1,0)</f>
        <v>0</v>
      </c>
      <c r="L2598" s="15" t="n">
        <f aca="false">IFERROR(G2598/F2598,0)</f>
        <v>0.932985204525675</v>
      </c>
      <c r="M2598" s="15" t="n">
        <f aca="false">IFERROR((I2598-H2598)/H2598,0)</f>
        <v>-0.0262526872829502</v>
      </c>
      <c r="N2598" s="16" t="n">
        <f aca="false">G2598*I2598</f>
        <v>252488.16</v>
      </c>
    </row>
    <row r="2599" customFormat="false" ht="15" hidden="false" customHeight="true" outlineLevel="0" collapsed="false">
      <c r="A2599" s="4" t="s">
        <v>2775</v>
      </c>
      <c r="B2599" s="4" t="s">
        <v>37</v>
      </c>
      <c r="C2599" s="13" t="n">
        <v>45304</v>
      </c>
      <c r="D2599" s="13" t="n">
        <v>45313</v>
      </c>
      <c r="E2599" s="13" t="n">
        <v>45319</v>
      </c>
      <c r="F2599" s="4" t="n">
        <v>1303</v>
      </c>
      <c r="G2599" s="4" t="n">
        <v>1280</v>
      </c>
      <c r="H2599" s="4" t="n">
        <v>22.26</v>
      </c>
      <c r="I2599" s="4" t="n">
        <v>21.26</v>
      </c>
      <c r="J2599" s="14" t="n">
        <f aca="false">E2599-D2599</f>
        <v>6</v>
      </c>
      <c r="K2599" s="14" t="n">
        <f aca="false">IF(J2599&lt;=0,1,0)</f>
        <v>0</v>
      </c>
      <c r="L2599" s="15" t="n">
        <f aca="false">IFERROR(G2599/F2599,0)</f>
        <v>0.982348426707598</v>
      </c>
      <c r="M2599" s="15" t="n">
        <f aca="false">IFERROR((I2599-H2599)/H2599,0)</f>
        <v>-0.0449236298292902</v>
      </c>
      <c r="N2599" s="16" t="n">
        <f aca="false">G2599*I2599</f>
        <v>27212.8</v>
      </c>
    </row>
    <row r="2600" customFormat="false" ht="15" hidden="false" customHeight="true" outlineLevel="0" collapsed="false">
      <c r="A2600" s="4" t="s">
        <v>2776</v>
      </c>
      <c r="B2600" s="4" t="s">
        <v>68</v>
      </c>
      <c r="C2600" s="13" t="n">
        <v>45008</v>
      </c>
      <c r="D2600" s="13" t="n">
        <v>45028</v>
      </c>
      <c r="E2600" s="13" t="n">
        <v>45029</v>
      </c>
      <c r="F2600" s="4" t="n">
        <v>272</v>
      </c>
      <c r="G2600" s="4" t="n">
        <v>253</v>
      </c>
      <c r="H2600" s="4" t="n">
        <v>1232.83</v>
      </c>
      <c r="I2600" s="4" t="n">
        <v>1222.88</v>
      </c>
      <c r="J2600" s="14" t="n">
        <f aca="false">E2600-D2600</f>
        <v>1</v>
      </c>
      <c r="K2600" s="14" t="n">
        <f aca="false">IF(J2600&lt;=0,1,0)</f>
        <v>0</v>
      </c>
      <c r="L2600" s="15" t="n">
        <f aca="false">IFERROR(G2600/F2600,0)</f>
        <v>0.930147058823529</v>
      </c>
      <c r="M2600" s="15" t="n">
        <f aca="false">IFERROR((I2600-H2600)/H2600,0)</f>
        <v>-0.00807086135152439</v>
      </c>
      <c r="N2600" s="16" t="n">
        <f aca="false">G2600*I2600</f>
        <v>309388.64</v>
      </c>
    </row>
    <row r="2601" customFormat="false" ht="15" hidden="false" customHeight="true" outlineLevel="0" collapsed="false">
      <c r="A2601" s="4" t="s">
        <v>2777</v>
      </c>
      <c r="B2601" s="4" t="s">
        <v>129</v>
      </c>
      <c r="C2601" s="13" t="n">
        <v>45131</v>
      </c>
      <c r="D2601" s="13" t="n">
        <v>45150</v>
      </c>
      <c r="E2601" s="13" t="n">
        <v>45151</v>
      </c>
      <c r="F2601" s="4" t="n">
        <v>68</v>
      </c>
      <c r="G2601" s="4" t="n">
        <v>67</v>
      </c>
      <c r="H2601" s="4" t="n">
        <v>709.66</v>
      </c>
      <c r="I2601" s="4" t="n">
        <v>722.8</v>
      </c>
      <c r="J2601" s="14" t="n">
        <f aca="false">E2601-D2601</f>
        <v>1</v>
      </c>
      <c r="K2601" s="14" t="n">
        <f aca="false">IF(J2601&lt;=0,1,0)</f>
        <v>0</v>
      </c>
      <c r="L2601" s="15" t="n">
        <f aca="false">IFERROR(G2601/F2601,0)</f>
        <v>0.985294117647059</v>
      </c>
      <c r="M2601" s="15" t="n">
        <f aca="false">IFERROR((I2601-H2601)/H2601,0)</f>
        <v>0.0185159090268579</v>
      </c>
      <c r="N2601" s="16" t="n">
        <f aca="false">G2601*I2601</f>
        <v>48427.6</v>
      </c>
    </row>
    <row r="2602" customFormat="false" ht="15" hidden="false" customHeight="true" outlineLevel="0" collapsed="false">
      <c r="A2602" s="4" t="s">
        <v>2778</v>
      </c>
      <c r="B2602" s="4" t="s">
        <v>151</v>
      </c>
      <c r="C2602" s="13" t="n">
        <v>45084</v>
      </c>
      <c r="D2602" s="13" t="n">
        <v>45090</v>
      </c>
      <c r="E2602" s="13" t="n">
        <v>45093</v>
      </c>
      <c r="F2602" s="4" t="n">
        <v>18</v>
      </c>
      <c r="G2602" s="4" t="n">
        <v>18</v>
      </c>
      <c r="H2602" s="4" t="n">
        <v>503.46</v>
      </c>
      <c r="I2602" s="4" t="n">
        <v>508.67</v>
      </c>
      <c r="J2602" s="14" t="n">
        <f aca="false">E2602-D2602</f>
        <v>3</v>
      </c>
      <c r="K2602" s="14" t="n">
        <f aca="false">IF(J2602&lt;=0,1,0)</f>
        <v>0</v>
      </c>
      <c r="L2602" s="15" t="n">
        <f aca="false">IFERROR(G2602/F2602,0)</f>
        <v>1</v>
      </c>
      <c r="M2602" s="15" t="n">
        <f aca="false">IFERROR((I2602-H2602)/H2602,0)</f>
        <v>0.0103483891471021</v>
      </c>
      <c r="N2602" s="16" t="n">
        <f aca="false">G2602*I2602</f>
        <v>9156.06</v>
      </c>
    </row>
    <row r="2603" customFormat="false" ht="15" hidden="false" customHeight="true" outlineLevel="0" collapsed="false">
      <c r="A2603" s="4" t="s">
        <v>2779</v>
      </c>
      <c r="B2603" s="4" t="s">
        <v>77</v>
      </c>
      <c r="C2603" s="13" t="n">
        <v>45012</v>
      </c>
      <c r="D2603" s="13" t="n">
        <v>45020</v>
      </c>
      <c r="E2603" s="13" t="n">
        <v>45031</v>
      </c>
      <c r="F2603" s="4" t="n">
        <v>820</v>
      </c>
      <c r="G2603" s="4" t="n">
        <v>812</v>
      </c>
      <c r="H2603" s="4" t="n">
        <v>36.83</v>
      </c>
      <c r="I2603" s="4" t="n">
        <v>36.72</v>
      </c>
      <c r="J2603" s="14" t="n">
        <f aca="false">E2603-D2603</f>
        <v>11</v>
      </c>
      <c r="K2603" s="14" t="n">
        <f aca="false">IF(J2603&lt;=0,1,0)</f>
        <v>0</v>
      </c>
      <c r="L2603" s="15" t="n">
        <f aca="false">IFERROR(G2603/F2603,0)</f>
        <v>0.990243902439024</v>
      </c>
      <c r="M2603" s="15" t="n">
        <f aca="false">IFERROR((I2603-H2603)/H2603,0)</f>
        <v>-0.00298669562856366</v>
      </c>
      <c r="N2603" s="16" t="n">
        <f aca="false">G2603*I2603</f>
        <v>29816.64</v>
      </c>
    </row>
    <row r="2604" customFormat="false" ht="15" hidden="false" customHeight="true" outlineLevel="0" collapsed="false">
      <c r="A2604" s="4" t="s">
        <v>2780</v>
      </c>
      <c r="B2604" s="4" t="s">
        <v>52</v>
      </c>
      <c r="C2604" s="13" t="n">
        <v>44991</v>
      </c>
      <c r="D2604" s="13" t="n">
        <v>45003</v>
      </c>
      <c r="E2604" s="13" t="n">
        <v>45008</v>
      </c>
      <c r="F2604" s="4" t="n">
        <v>1842</v>
      </c>
      <c r="G2604" s="4" t="n">
        <v>1497</v>
      </c>
      <c r="H2604" s="4" t="n">
        <v>170.24</v>
      </c>
      <c r="I2604" s="4" t="n">
        <v>170.3</v>
      </c>
      <c r="J2604" s="14" t="n">
        <f aca="false">E2604-D2604</f>
        <v>5</v>
      </c>
      <c r="K2604" s="14" t="n">
        <f aca="false">IF(J2604&lt;=0,1,0)</f>
        <v>0</v>
      </c>
      <c r="L2604" s="15" t="n">
        <f aca="false">IFERROR(G2604/F2604,0)</f>
        <v>0.812703583061889</v>
      </c>
      <c r="M2604" s="15" t="n">
        <f aca="false">IFERROR((I2604-H2604)/H2604,0)</f>
        <v>0.00035244360902257</v>
      </c>
      <c r="N2604" s="16" t="n">
        <f aca="false">G2604*I2604</f>
        <v>254939.1</v>
      </c>
    </row>
    <row r="2605" customFormat="false" ht="15" hidden="false" customHeight="true" outlineLevel="0" collapsed="false">
      <c r="A2605" s="4" t="s">
        <v>2781</v>
      </c>
      <c r="B2605" s="4" t="s">
        <v>43</v>
      </c>
      <c r="C2605" s="13" t="n">
        <v>45380</v>
      </c>
      <c r="D2605" s="13" t="n">
        <v>45397</v>
      </c>
      <c r="E2605" s="13" t="n">
        <v>45400</v>
      </c>
      <c r="F2605" s="4" t="n">
        <v>449</v>
      </c>
      <c r="G2605" s="4" t="n">
        <v>425</v>
      </c>
      <c r="H2605" s="4" t="n">
        <v>1321.6</v>
      </c>
      <c r="I2605" s="4" t="n">
        <v>1311.01</v>
      </c>
      <c r="J2605" s="14" t="n">
        <f aca="false">E2605-D2605</f>
        <v>3</v>
      </c>
      <c r="K2605" s="14" t="n">
        <f aca="false">IF(J2605&lt;=0,1,0)</f>
        <v>0</v>
      </c>
      <c r="L2605" s="15" t="n">
        <f aca="false">IFERROR(G2605/F2605,0)</f>
        <v>0.946547884187082</v>
      </c>
      <c r="M2605" s="15" t="n">
        <f aca="false">IFERROR((I2605-H2605)/H2605,0)</f>
        <v>-0.00801301452784498</v>
      </c>
      <c r="N2605" s="16" t="n">
        <f aca="false">G2605*I2605</f>
        <v>557179.25</v>
      </c>
    </row>
    <row r="2606" customFormat="false" ht="15" hidden="false" customHeight="true" outlineLevel="0" collapsed="false">
      <c r="A2606" s="4" t="s">
        <v>2782</v>
      </c>
      <c r="B2606" s="4" t="s">
        <v>133</v>
      </c>
      <c r="C2606" s="13" t="n">
        <v>45651</v>
      </c>
      <c r="D2606" s="13" t="n">
        <v>45663</v>
      </c>
      <c r="E2606" s="13" t="n">
        <v>45662</v>
      </c>
      <c r="F2606" s="4" t="n">
        <v>769</v>
      </c>
      <c r="G2606" s="4" t="n">
        <v>729</v>
      </c>
      <c r="H2606" s="4" t="n">
        <v>138.21</v>
      </c>
      <c r="I2606" s="4" t="n">
        <v>143.88</v>
      </c>
      <c r="J2606" s="14" t="n">
        <f aca="false">E2606-D2606</f>
        <v>-1</v>
      </c>
      <c r="K2606" s="14" t="n">
        <f aca="false">IF(J2606&lt;=0,1,0)</f>
        <v>1</v>
      </c>
      <c r="L2606" s="15" t="n">
        <f aca="false">IFERROR(G2606/F2606,0)</f>
        <v>0.947984395318596</v>
      </c>
      <c r="M2606" s="15" t="n">
        <f aca="false">IFERROR((I2606-H2606)/H2606,0)</f>
        <v>0.0410245278923377</v>
      </c>
      <c r="N2606" s="16" t="n">
        <f aca="false">G2606*I2606</f>
        <v>104888.52</v>
      </c>
    </row>
    <row r="2607" customFormat="false" ht="15" hidden="false" customHeight="true" outlineLevel="0" collapsed="false">
      <c r="A2607" s="4" t="s">
        <v>2783</v>
      </c>
      <c r="B2607" s="4" t="s">
        <v>137</v>
      </c>
      <c r="C2607" s="13" t="n">
        <v>45263</v>
      </c>
      <c r="D2607" s="13" t="n">
        <v>45282</v>
      </c>
      <c r="E2607" s="13" t="n">
        <v>45279</v>
      </c>
      <c r="F2607" s="4" t="n">
        <v>338</v>
      </c>
      <c r="G2607" s="4" t="n">
        <v>307</v>
      </c>
      <c r="H2607" s="4" t="n">
        <v>1047.25</v>
      </c>
      <c r="I2607" s="4" t="n">
        <v>1082.68</v>
      </c>
      <c r="J2607" s="14" t="n">
        <f aca="false">E2607-D2607</f>
        <v>-3</v>
      </c>
      <c r="K2607" s="14" t="n">
        <f aca="false">IF(J2607&lt;=0,1,0)</f>
        <v>1</v>
      </c>
      <c r="L2607" s="15" t="n">
        <f aca="false">IFERROR(G2607/F2607,0)</f>
        <v>0.908284023668639</v>
      </c>
      <c r="M2607" s="15" t="n">
        <f aca="false">IFERROR((I2607-H2607)/H2607,0)</f>
        <v>0.0338314633564097</v>
      </c>
      <c r="N2607" s="16" t="n">
        <f aca="false">G2607*I2607</f>
        <v>332382.76</v>
      </c>
    </row>
    <row r="2608" customFormat="false" ht="15" hidden="false" customHeight="true" outlineLevel="0" collapsed="false">
      <c r="A2608" s="4" t="s">
        <v>2784</v>
      </c>
      <c r="B2608" s="4" t="s">
        <v>52</v>
      </c>
      <c r="C2608" s="13" t="n">
        <v>45033</v>
      </c>
      <c r="D2608" s="13" t="n">
        <v>45042</v>
      </c>
      <c r="E2608" s="13" t="n">
        <v>45046</v>
      </c>
      <c r="F2608" s="4" t="n">
        <v>425</v>
      </c>
      <c r="G2608" s="4" t="n">
        <v>371</v>
      </c>
      <c r="H2608" s="4" t="n">
        <v>170.24</v>
      </c>
      <c r="I2608" s="4" t="n">
        <v>172.46</v>
      </c>
      <c r="J2608" s="14" t="n">
        <f aca="false">E2608-D2608</f>
        <v>4</v>
      </c>
      <c r="K2608" s="14" t="n">
        <f aca="false">IF(J2608&lt;=0,1,0)</f>
        <v>0</v>
      </c>
      <c r="L2608" s="15" t="n">
        <f aca="false">IFERROR(G2608/F2608,0)</f>
        <v>0.872941176470588</v>
      </c>
      <c r="M2608" s="15" t="n">
        <f aca="false">IFERROR((I2608-H2608)/H2608,0)</f>
        <v>0.0130404135338346</v>
      </c>
      <c r="N2608" s="16" t="n">
        <f aca="false">G2608*I2608</f>
        <v>63982.66</v>
      </c>
    </row>
    <row r="2609" customFormat="false" ht="15" hidden="false" customHeight="true" outlineLevel="0" collapsed="false">
      <c r="A2609" s="4" t="s">
        <v>2785</v>
      </c>
      <c r="B2609" s="4" t="s">
        <v>109</v>
      </c>
      <c r="C2609" s="13" t="n">
        <v>44980</v>
      </c>
      <c r="D2609" s="13" t="n">
        <v>44998</v>
      </c>
      <c r="E2609" s="13" t="n">
        <v>44996</v>
      </c>
      <c r="F2609" s="4" t="n">
        <v>86</v>
      </c>
      <c r="G2609" s="4" t="n">
        <v>86</v>
      </c>
      <c r="H2609" s="4" t="n">
        <v>858.02</v>
      </c>
      <c r="I2609" s="4" t="n">
        <v>846.25</v>
      </c>
      <c r="J2609" s="14" t="n">
        <f aca="false">E2609-D2609</f>
        <v>-2</v>
      </c>
      <c r="K2609" s="14" t="n">
        <f aca="false">IF(J2609&lt;=0,1,0)</f>
        <v>1</v>
      </c>
      <c r="L2609" s="15" t="n">
        <f aca="false">IFERROR(G2609/F2609,0)</f>
        <v>1</v>
      </c>
      <c r="M2609" s="15" t="n">
        <f aca="false">IFERROR((I2609-H2609)/H2609,0)</f>
        <v>-0.0137176289596979</v>
      </c>
      <c r="N2609" s="16" t="n">
        <f aca="false">G2609*I2609</f>
        <v>72777.5</v>
      </c>
    </row>
    <row r="2610" customFormat="false" ht="15" hidden="false" customHeight="true" outlineLevel="0" collapsed="false">
      <c r="A2610" s="4" t="s">
        <v>2786</v>
      </c>
      <c r="B2610" s="4" t="s">
        <v>109</v>
      </c>
      <c r="C2610" s="13" t="n">
        <v>45419</v>
      </c>
      <c r="D2610" s="13" t="n">
        <v>45439</v>
      </c>
      <c r="E2610" s="13" t="n">
        <v>45444</v>
      </c>
      <c r="F2610" s="4" t="n">
        <v>110</v>
      </c>
      <c r="G2610" s="4" t="n">
        <v>110</v>
      </c>
      <c r="H2610" s="4" t="n">
        <v>858.02</v>
      </c>
      <c r="I2610" s="4" t="n">
        <v>902.8</v>
      </c>
      <c r="J2610" s="14" t="n">
        <f aca="false">E2610-D2610</f>
        <v>5</v>
      </c>
      <c r="K2610" s="14" t="n">
        <f aca="false">IF(J2610&lt;=0,1,0)</f>
        <v>0</v>
      </c>
      <c r="L2610" s="15" t="n">
        <f aca="false">IFERROR(G2610/F2610,0)</f>
        <v>1</v>
      </c>
      <c r="M2610" s="15" t="n">
        <f aca="false">IFERROR((I2610-H2610)/H2610,0)</f>
        <v>0.0521899256427589</v>
      </c>
      <c r="N2610" s="16" t="n">
        <f aca="false">G2610*I2610</f>
        <v>99308</v>
      </c>
    </row>
    <row r="2611" customFormat="false" ht="15" hidden="false" customHeight="true" outlineLevel="0" collapsed="false">
      <c r="A2611" s="4" t="s">
        <v>2787</v>
      </c>
      <c r="B2611" s="4" t="s">
        <v>91</v>
      </c>
      <c r="C2611" s="13" t="n">
        <v>45016</v>
      </c>
      <c r="D2611" s="13" t="n">
        <v>45036</v>
      </c>
      <c r="E2611" s="13" t="n">
        <v>45040</v>
      </c>
      <c r="F2611" s="4" t="n">
        <v>182</v>
      </c>
      <c r="G2611" s="4" t="n">
        <v>182</v>
      </c>
      <c r="H2611" s="4" t="n">
        <v>496.29</v>
      </c>
      <c r="I2611" s="4" t="n">
        <v>493.31</v>
      </c>
      <c r="J2611" s="14" t="n">
        <f aca="false">E2611-D2611</f>
        <v>4</v>
      </c>
      <c r="K2611" s="14" t="n">
        <f aca="false">IF(J2611&lt;=0,1,0)</f>
        <v>0</v>
      </c>
      <c r="L2611" s="15" t="n">
        <f aca="false">IFERROR(G2611/F2611,0)</f>
        <v>1</v>
      </c>
      <c r="M2611" s="15" t="n">
        <f aca="false">IFERROR((I2611-H2611)/H2611,0)</f>
        <v>-0.00600455378911527</v>
      </c>
      <c r="N2611" s="16" t="n">
        <f aca="false">G2611*I2611</f>
        <v>89782.42</v>
      </c>
    </row>
    <row r="2612" customFormat="false" ht="15" hidden="false" customHeight="true" outlineLevel="0" collapsed="false">
      <c r="A2612" s="4" t="s">
        <v>2788</v>
      </c>
      <c r="B2612" s="4" t="s">
        <v>115</v>
      </c>
      <c r="C2612" s="13" t="n">
        <v>45245</v>
      </c>
      <c r="D2612" s="13" t="n">
        <v>45257</v>
      </c>
      <c r="E2612" s="13" t="n">
        <v>45263</v>
      </c>
      <c r="F2612" s="4" t="n">
        <v>275</v>
      </c>
      <c r="G2612" s="4" t="n">
        <v>256</v>
      </c>
      <c r="H2612" s="4" t="n">
        <v>115.53</v>
      </c>
      <c r="I2612" s="4" t="n">
        <v>119.96</v>
      </c>
      <c r="J2612" s="14" t="n">
        <f aca="false">E2612-D2612</f>
        <v>6</v>
      </c>
      <c r="K2612" s="14" t="n">
        <f aca="false">IF(J2612&lt;=0,1,0)</f>
        <v>0</v>
      </c>
      <c r="L2612" s="15" t="n">
        <f aca="false">IFERROR(G2612/F2612,0)</f>
        <v>0.930909090909091</v>
      </c>
      <c r="M2612" s="15" t="n">
        <f aca="false">IFERROR((I2612-H2612)/H2612,0)</f>
        <v>0.0383450186098848</v>
      </c>
      <c r="N2612" s="16" t="n">
        <f aca="false">G2612*I2612</f>
        <v>30709.76</v>
      </c>
    </row>
    <row r="2613" customFormat="false" ht="15" hidden="false" customHeight="true" outlineLevel="0" collapsed="false">
      <c r="A2613" s="4" t="s">
        <v>2789</v>
      </c>
      <c r="B2613" s="4" t="s">
        <v>123</v>
      </c>
      <c r="C2613" s="13" t="n">
        <v>45038</v>
      </c>
      <c r="D2613" s="13" t="n">
        <v>45050</v>
      </c>
      <c r="E2613" s="13" t="n">
        <v>45051</v>
      </c>
      <c r="F2613" s="4" t="n">
        <v>114</v>
      </c>
      <c r="G2613" s="4" t="n">
        <v>111</v>
      </c>
      <c r="H2613" s="4" t="n">
        <v>214.07</v>
      </c>
      <c r="I2613" s="4" t="n">
        <v>219.89</v>
      </c>
      <c r="J2613" s="14" t="n">
        <f aca="false">E2613-D2613</f>
        <v>1</v>
      </c>
      <c r="K2613" s="14" t="n">
        <f aca="false">IF(J2613&lt;=0,1,0)</f>
        <v>0</v>
      </c>
      <c r="L2613" s="15" t="n">
        <f aca="false">IFERROR(G2613/F2613,0)</f>
        <v>0.973684210526316</v>
      </c>
      <c r="M2613" s="15" t="n">
        <f aca="false">IFERROR((I2613-H2613)/H2613,0)</f>
        <v>0.0271873686177418</v>
      </c>
      <c r="N2613" s="16" t="n">
        <f aca="false">G2613*I2613</f>
        <v>24407.79</v>
      </c>
    </row>
    <row r="2614" customFormat="false" ht="15" hidden="false" customHeight="true" outlineLevel="0" collapsed="false">
      <c r="A2614" s="4" t="s">
        <v>2790</v>
      </c>
      <c r="B2614" s="4" t="s">
        <v>147</v>
      </c>
      <c r="C2614" s="13" t="n">
        <v>45167</v>
      </c>
      <c r="D2614" s="13" t="n">
        <v>45181</v>
      </c>
      <c r="E2614" s="13" t="n">
        <v>45181</v>
      </c>
      <c r="F2614" s="4" t="n">
        <v>122</v>
      </c>
      <c r="G2614" s="4" t="n">
        <v>120</v>
      </c>
      <c r="H2614" s="4" t="n">
        <v>203.3</v>
      </c>
      <c r="I2614" s="4" t="n">
        <v>209.23</v>
      </c>
      <c r="J2614" s="14" t="n">
        <f aca="false">E2614-D2614</f>
        <v>0</v>
      </c>
      <c r="K2614" s="14" t="n">
        <f aca="false">IF(J2614&lt;=0,1,0)</f>
        <v>1</v>
      </c>
      <c r="L2614" s="15" t="n">
        <f aca="false">IFERROR(G2614/F2614,0)</f>
        <v>0.983606557377049</v>
      </c>
      <c r="M2614" s="15" t="n">
        <f aca="false">IFERROR((I2614-H2614)/H2614,0)</f>
        <v>0.0291687161829807</v>
      </c>
      <c r="N2614" s="16" t="n">
        <f aca="false">G2614*I2614</f>
        <v>25107.6</v>
      </c>
    </row>
    <row r="2615" customFormat="false" ht="15" hidden="false" customHeight="true" outlineLevel="0" collapsed="false">
      <c r="A2615" s="4" t="s">
        <v>2791</v>
      </c>
      <c r="B2615" s="4" t="s">
        <v>95</v>
      </c>
      <c r="C2615" s="13" t="n">
        <v>44983</v>
      </c>
      <c r="D2615" s="13" t="n">
        <v>44991</v>
      </c>
      <c r="E2615" s="13" t="n">
        <v>44991</v>
      </c>
      <c r="F2615" s="4" t="n">
        <v>3259</v>
      </c>
      <c r="G2615" s="4" t="n">
        <v>3187</v>
      </c>
      <c r="H2615" s="4" t="n">
        <v>20.39</v>
      </c>
      <c r="I2615" s="4" t="n">
        <v>20.23</v>
      </c>
      <c r="J2615" s="14" t="n">
        <f aca="false">E2615-D2615</f>
        <v>0</v>
      </c>
      <c r="K2615" s="14" t="n">
        <f aca="false">IF(J2615&lt;=0,1,0)</f>
        <v>1</v>
      </c>
      <c r="L2615" s="15" t="n">
        <f aca="false">IFERROR(G2615/F2615,0)</f>
        <v>0.977907333537895</v>
      </c>
      <c r="M2615" s="15" t="n">
        <f aca="false">IFERROR((I2615-H2615)/H2615,0)</f>
        <v>-0.00784698381559589</v>
      </c>
      <c r="N2615" s="16" t="n">
        <f aca="false">G2615*I2615</f>
        <v>64473.01</v>
      </c>
    </row>
    <row r="2616" customFormat="false" ht="15" hidden="false" customHeight="true" outlineLevel="0" collapsed="false">
      <c r="A2616" s="4" t="s">
        <v>2792</v>
      </c>
      <c r="B2616" s="4" t="s">
        <v>159</v>
      </c>
      <c r="C2616" s="13" t="n">
        <v>45213</v>
      </c>
      <c r="D2616" s="13" t="n">
        <v>45220</v>
      </c>
      <c r="E2616" s="13" t="n">
        <v>45224</v>
      </c>
      <c r="F2616" s="4" t="n">
        <v>1755</v>
      </c>
      <c r="G2616" s="4" t="n">
        <v>1710</v>
      </c>
      <c r="H2616" s="4" t="n">
        <v>32.91</v>
      </c>
      <c r="I2616" s="4" t="n">
        <v>32.89</v>
      </c>
      <c r="J2616" s="14" t="n">
        <f aca="false">E2616-D2616</f>
        <v>4</v>
      </c>
      <c r="K2616" s="14" t="n">
        <f aca="false">IF(J2616&lt;=0,1,0)</f>
        <v>0</v>
      </c>
      <c r="L2616" s="15" t="n">
        <f aca="false">IFERROR(G2616/F2616,0)</f>
        <v>0.974358974358974</v>
      </c>
      <c r="M2616" s="15" t="n">
        <f aca="false">IFERROR((I2616-H2616)/H2616,0)</f>
        <v>-0.000607718018839138</v>
      </c>
      <c r="N2616" s="16" t="n">
        <f aca="false">G2616*I2616</f>
        <v>56241.9</v>
      </c>
    </row>
    <row r="2617" customFormat="false" ht="15" hidden="false" customHeight="true" outlineLevel="0" collapsed="false">
      <c r="A2617" s="4" t="s">
        <v>2793</v>
      </c>
      <c r="B2617" s="4" t="s">
        <v>141</v>
      </c>
      <c r="C2617" s="13" t="n">
        <v>45574</v>
      </c>
      <c r="D2617" s="13" t="n">
        <v>45591</v>
      </c>
      <c r="E2617" s="13" t="n">
        <v>45590</v>
      </c>
      <c r="F2617" s="4" t="n">
        <v>105</v>
      </c>
      <c r="G2617" s="4" t="n">
        <v>104</v>
      </c>
      <c r="H2617" s="4" t="n">
        <v>1252.36</v>
      </c>
      <c r="I2617" s="4" t="n">
        <v>1208.86</v>
      </c>
      <c r="J2617" s="14" t="n">
        <f aca="false">E2617-D2617</f>
        <v>-1</v>
      </c>
      <c r="K2617" s="14" t="n">
        <f aca="false">IF(J2617&lt;=0,1,0)</f>
        <v>1</v>
      </c>
      <c r="L2617" s="15" t="n">
        <f aca="false">IFERROR(G2617/F2617,0)</f>
        <v>0.990476190476191</v>
      </c>
      <c r="M2617" s="15" t="n">
        <f aca="false">IFERROR((I2617-H2617)/H2617,0)</f>
        <v>-0.0347344214123734</v>
      </c>
      <c r="N2617" s="16" t="n">
        <f aca="false">G2617*I2617</f>
        <v>125721.44</v>
      </c>
    </row>
    <row r="2618" customFormat="false" ht="15" hidden="false" customHeight="true" outlineLevel="0" collapsed="false">
      <c r="A2618" s="4" t="s">
        <v>2794</v>
      </c>
      <c r="B2618" s="4" t="s">
        <v>79</v>
      </c>
      <c r="C2618" s="13" t="n">
        <v>45203</v>
      </c>
      <c r="D2618" s="13" t="n">
        <v>45223</v>
      </c>
      <c r="E2618" s="13" t="n">
        <v>45228</v>
      </c>
      <c r="F2618" s="4" t="n">
        <v>147</v>
      </c>
      <c r="G2618" s="4" t="n">
        <v>142</v>
      </c>
      <c r="H2618" s="4" t="n">
        <v>821.48</v>
      </c>
      <c r="I2618" s="4" t="n">
        <v>847.62</v>
      </c>
      <c r="J2618" s="14" t="n">
        <f aca="false">E2618-D2618</f>
        <v>5</v>
      </c>
      <c r="K2618" s="14" t="n">
        <f aca="false">IF(J2618&lt;=0,1,0)</f>
        <v>0</v>
      </c>
      <c r="L2618" s="15" t="n">
        <f aca="false">IFERROR(G2618/F2618,0)</f>
        <v>0.965986394557823</v>
      </c>
      <c r="M2618" s="15" t="n">
        <f aca="false">IFERROR((I2618-H2618)/H2618,0)</f>
        <v>0.0318206164483615</v>
      </c>
      <c r="N2618" s="16" t="n">
        <f aca="false">G2618*I2618</f>
        <v>120362.04</v>
      </c>
    </row>
    <row r="2619" customFormat="false" ht="15" hidden="false" customHeight="true" outlineLevel="0" collapsed="false">
      <c r="A2619" s="4" t="s">
        <v>2795</v>
      </c>
      <c r="B2619" s="4" t="s">
        <v>117</v>
      </c>
      <c r="C2619" s="13" t="n">
        <v>45044</v>
      </c>
      <c r="D2619" s="13" t="n">
        <v>45055</v>
      </c>
      <c r="E2619" s="13" t="n">
        <v>45058</v>
      </c>
      <c r="F2619" s="4" t="n">
        <v>107</v>
      </c>
      <c r="G2619" s="4" t="n">
        <v>106</v>
      </c>
      <c r="H2619" s="4" t="n">
        <v>396.01</v>
      </c>
      <c r="I2619" s="4" t="n">
        <v>393.7</v>
      </c>
      <c r="J2619" s="14" t="n">
        <f aca="false">E2619-D2619</f>
        <v>3</v>
      </c>
      <c r="K2619" s="14" t="n">
        <f aca="false">IF(J2619&lt;=0,1,0)</f>
        <v>0</v>
      </c>
      <c r="L2619" s="15" t="n">
        <f aca="false">IFERROR(G2619/F2619,0)</f>
        <v>0.990654205607477</v>
      </c>
      <c r="M2619" s="15" t="n">
        <f aca="false">IFERROR((I2619-H2619)/H2619,0)</f>
        <v>-0.0058331860306558</v>
      </c>
      <c r="N2619" s="16" t="n">
        <f aca="false">G2619*I2619</f>
        <v>41732.2</v>
      </c>
    </row>
    <row r="2620" customFormat="false" ht="15" hidden="false" customHeight="true" outlineLevel="0" collapsed="false">
      <c r="A2620" s="4" t="s">
        <v>2796</v>
      </c>
      <c r="B2620" s="4" t="s">
        <v>37</v>
      </c>
      <c r="C2620" s="13" t="n">
        <v>45084</v>
      </c>
      <c r="D2620" s="13" t="n">
        <v>45090</v>
      </c>
      <c r="E2620" s="13" t="n">
        <v>45086</v>
      </c>
      <c r="F2620" s="4" t="n">
        <v>2394</v>
      </c>
      <c r="G2620" s="4" t="n">
        <v>2394</v>
      </c>
      <c r="H2620" s="4" t="n">
        <v>22.26</v>
      </c>
      <c r="I2620" s="4" t="n">
        <v>22.21</v>
      </c>
      <c r="J2620" s="14" t="n">
        <f aca="false">E2620-D2620</f>
        <v>-4</v>
      </c>
      <c r="K2620" s="14" t="n">
        <f aca="false">IF(J2620&lt;=0,1,0)</f>
        <v>1</v>
      </c>
      <c r="L2620" s="15" t="n">
        <f aca="false">IFERROR(G2620/F2620,0)</f>
        <v>1</v>
      </c>
      <c r="M2620" s="15" t="n">
        <f aca="false">IFERROR((I2620-H2620)/H2620,0)</f>
        <v>-0.00224618149146454</v>
      </c>
      <c r="N2620" s="16" t="n">
        <f aca="false">G2620*I2620</f>
        <v>53170.74</v>
      </c>
    </row>
    <row r="2621" customFormat="false" ht="15" hidden="false" customHeight="true" outlineLevel="0" collapsed="false">
      <c r="A2621" s="4" t="s">
        <v>2797</v>
      </c>
      <c r="B2621" s="4" t="s">
        <v>77</v>
      </c>
      <c r="C2621" s="13" t="n">
        <v>45097</v>
      </c>
      <c r="D2621" s="13" t="n">
        <v>45103</v>
      </c>
      <c r="E2621" s="13" t="n">
        <v>45116</v>
      </c>
      <c r="F2621" s="4" t="n">
        <v>509</v>
      </c>
      <c r="G2621" s="4" t="n">
        <v>509</v>
      </c>
      <c r="H2621" s="4" t="n">
        <v>36.83</v>
      </c>
      <c r="I2621" s="4" t="n">
        <v>35.94</v>
      </c>
      <c r="J2621" s="14" t="n">
        <f aca="false">E2621-D2621</f>
        <v>13</v>
      </c>
      <c r="K2621" s="14" t="n">
        <f aca="false">IF(J2621&lt;=0,1,0)</f>
        <v>0</v>
      </c>
      <c r="L2621" s="15" t="n">
        <f aca="false">IFERROR(G2621/F2621,0)</f>
        <v>1</v>
      </c>
      <c r="M2621" s="15" t="n">
        <f aca="false">IFERROR((I2621-H2621)/H2621,0)</f>
        <v>-0.0241650828129243</v>
      </c>
      <c r="N2621" s="16" t="n">
        <f aca="false">G2621*I2621</f>
        <v>18293.46</v>
      </c>
    </row>
    <row r="2622" customFormat="false" ht="15" hidden="false" customHeight="true" outlineLevel="0" collapsed="false">
      <c r="A2622" s="4" t="s">
        <v>2798</v>
      </c>
      <c r="B2622" s="4" t="s">
        <v>133</v>
      </c>
      <c r="C2622" s="13" t="n">
        <v>45566</v>
      </c>
      <c r="D2622" s="13" t="n">
        <v>45575</v>
      </c>
      <c r="E2622" s="13" t="n">
        <v>45582</v>
      </c>
      <c r="F2622" s="4" t="n">
        <v>980</v>
      </c>
      <c r="G2622" s="4" t="n">
        <v>925</v>
      </c>
      <c r="H2622" s="4" t="n">
        <v>138.21</v>
      </c>
      <c r="I2622" s="4" t="n">
        <v>141.21</v>
      </c>
      <c r="J2622" s="14" t="n">
        <f aca="false">E2622-D2622</f>
        <v>7</v>
      </c>
      <c r="K2622" s="14" t="n">
        <f aca="false">IF(J2622&lt;=0,1,0)</f>
        <v>0</v>
      </c>
      <c r="L2622" s="15" t="n">
        <f aca="false">IFERROR(G2622/F2622,0)</f>
        <v>0.943877551020408</v>
      </c>
      <c r="M2622" s="15" t="n">
        <f aca="false">IFERROR((I2622-H2622)/H2622,0)</f>
        <v>0.0217060994139353</v>
      </c>
      <c r="N2622" s="16" t="n">
        <f aca="false">G2622*I2622</f>
        <v>130619.25</v>
      </c>
    </row>
    <row r="2623" customFormat="false" ht="15" hidden="false" customHeight="true" outlineLevel="0" collapsed="false">
      <c r="A2623" s="4" t="s">
        <v>2799</v>
      </c>
      <c r="B2623" s="4" t="s">
        <v>127</v>
      </c>
      <c r="C2623" s="13" t="n">
        <v>45641</v>
      </c>
      <c r="D2623" s="13" t="n">
        <v>45646</v>
      </c>
      <c r="E2623" s="13" t="n">
        <v>45650</v>
      </c>
      <c r="F2623" s="4" t="n">
        <v>11</v>
      </c>
      <c r="G2623" s="4" t="n">
        <v>11</v>
      </c>
      <c r="H2623" s="4" t="n">
        <v>1881</v>
      </c>
      <c r="I2623" s="4" t="n">
        <v>1758.55</v>
      </c>
      <c r="J2623" s="14" t="n">
        <f aca="false">E2623-D2623</f>
        <v>4</v>
      </c>
      <c r="K2623" s="14" t="n">
        <f aca="false">IF(J2623&lt;=0,1,0)</f>
        <v>0</v>
      </c>
      <c r="L2623" s="15" t="n">
        <f aca="false">IFERROR(G2623/F2623,0)</f>
        <v>1</v>
      </c>
      <c r="M2623" s="15" t="n">
        <f aca="false">IFERROR((I2623-H2623)/H2623,0)</f>
        <v>-0.0650983519404572</v>
      </c>
      <c r="N2623" s="16" t="n">
        <f aca="false">G2623*I2623</f>
        <v>19344.05</v>
      </c>
    </row>
    <row r="2624" customFormat="false" ht="15" hidden="false" customHeight="true" outlineLevel="0" collapsed="false">
      <c r="A2624" s="4" t="s">
        <v>2800</v>
      </c>
      <c r="B2624" s="4" t="s">
        <v>103</v>
      </c>
      <c r="C2624" s="13" t="n">
        <v>45312</v>
      </c>
      <c r="D2624" s="13" t="n">
        <v>45330</v>
      </c>
      <c r="E2624" s="13" t="n">
        <v>45334</v>
      </c>
      <c r="F2624" s="4" t="n">
        <v>300</v>
      </c>
      <c r="G2624" s="4" t="n">
        <v>300</v>
      </c>
      <c r="H2624" s="4" t="n">
        <v>1400.22</v>
      </c>
      <c r="I2624" s="4" t="n">
        <v>1426.18</v>
      </c>
      <c r="J2624" s="14" t="n">
        <f aca="false">E2624-D2624</f>
        <v>4</v>
      </c>
      <c r="K2624" s="14" t="n">
        <f aca="false">IF(J2624&lt;=0,1,0)</f>
        <v>0</v>
      </c>
      <c r="L2624" s="15" t="n">
        <f aca="false">IFERROR(G2624/F2624,0)</f>
        <v>1</v>
      </c>
      <c r="M2624" s="15" t="n">
        <f aca="false">IFERROR((I2624-H2624)/H2624,0)</f>
        <v>0.0185399437231292</v>
      </c>
      <c r="N2624" s="16" t="n">
        <f aca="false">G2624*I2624</f>
        <v>427854</v>
      </c>
    </row>
    <row r="2625" customFormat="false" ht="15" hidden="false" customHeight="true" outlineLevel="0" collapsed="false">
      <c r="A2625" s="4" t="s">
        <v>2801</v>
      </c>
      <c r="B2625" s="4" t="s">
        <v>43</v>
      </c>
      <c r="C2625" s="13" t="n">
        <v>45130</v>
      </c>
      <c r="D2625" s="13" t="n">
        <v>45147</v>
      </c>
      <c r="E2625" s="13" t="n">
        <v>45147</v>
      </c>
      <c r="F2625" s="4" t="n">
        <v>118</v>
      </c>
      <c r="G2625" s="4" t="n">
        <v>114</v>
      </c>
      <c r="H2625" s="4" t="n">
        <v>1321.6</v>
      </c>
      <c r="I2625" s="4" t="n">
        <v>1331.87</v>
      </c>
      <c r="J2625" s="14" t="n">
        <f aca="false">E2625-D2625</f>
        <v>0</v>
      </c>
      <c r="K2625" s="14" t="n">
        <f aca="false">IF(J2625&lt;=0,1,0)</f>
        <v>1</v>
      </c>
      <c r="L2625" s="15" t="n">
        <f aca="false">IFERROR(G2625/F2625,0)</f>
        <v>0.966101694915254</v>
      </c>
      <c r="M2625" s="15" t="n">
        <f aca="false">IFERROR((I2625-H2625)/H2625,0)</f>
        <v>0.0077708837772397</v>
      </c>
      <c r="N2625" s="16" t="n">
        <f aca="false">G2625*I2625</f>
        <v>151833.18</v>
      </c>
    </row>
    <row r="2626" customFormat="false" ht="15" hidden="false" customHeight="true" outlineLevel="0" collapsed="false">
      <c r="A2626" s="4" t="s">
        <v>2802</v>
      </c>
      <c r="B2626" s="4" t="s">
        <v>72</v>
      </c>
      <c r="C2626" s="13" t="n">
        <v>45441</v>
      </c>
      <c r="D2626" s="13" t="n">
        <v>45450</v>
      </c>
      <c r="E2626" s="13" t="n">
        <v>45456</v>
      </c>
      <c r="F2626" s="4" t="n">
        <v>3775</v>
      </c>
      <c r="G2626" s="4" t="n">
        <v>3775</v>
      </c>
      <c r="H2626" s="4" t="n">
        <v>34.53</v>
      </c>
      <c r="I2626" s="4" t="n">
        <v>36.44</v>
      </c>
      <c r="J2626" s="14" t="n">
        <f aca="false">E2626-D2626</f>
        <v>6</v>
      </c>
      <c r="K2626" s="14" t="n">
        <f aca="false">IF(J2626&lt;=0,1,0)</f>
        <v>0</v>
      </c>
      <c r="L2626" s="15" t="n">
        <f aca="false">IFERROR(G2626/F2626,0)</f>
        <v>1</v>
      </c>
      <c r="M2626" s="15" t="n">
        <f aca="false">IFERROR((I2626-H2626)/H2626,0)</f>
        <v>0.0553142195192585</v>
      </c>
      <c r="N2626" s="16" t="n">
        <f aca="false">G2626*I2626</f>
        <v>137561</v>
      </c>
    </row>
    <row r="2627" customFormat="false" ht="15" hidden="false" customHeight="true" outlineLevel="0" collapsed="false">
      <c r="A2627" s="4" t="s">
        <v>2803</v>
      </c>
      <c r="B2627" s="4" t="s">
        <v>87</v>
      </c>
      <c r="C2627" s="13" t="n">
        <v>44936</v>
      </c>
      <c r="D2627" s="13" t="n">
        <v>44945</v>
      </c>
      <c r="E2627" s="13" t="n">
        <v>44946</v>
      </c>
      <c r="F2627" s="4" t="n">
        <v>620</v>
      </c>
      <c r="G2627" s="4" t="n">
        <v>586</v>
      </c>
      <c r="H2627" s="4" t="n">
        <v>161.95</v>
      </c>
      <c r="I2627" s="4" t="n">
        <v>162.48</v>
      </c>
      <c r="J2627" s="14" t="n">
        <f aca="false">E2627-D2627</f>
        <v>1</v>
      </c>
      <c r="K2627" s="14" t="n">
        <f aca="false">IF(J2627&lt;=0,1,0)</f>
        <v>0</v>
      </c>
      <c r="L2627" s="15" t="n">
        <f aca="false">IFERROR(G2627/F2627,0)</f>
        <v>0.945161290322581</v>
      </c>
      <c r="M2627" s="15" t="n">
        <f aca="false">IFERROR((I2627-H2627)/H2627,0)</f>
        <v>0.00327261500463107</v>
      </c>
      <c r="N2627" s="16" t="n">
        <f aca="false">G2627*I2627</f>
        <v>95213.28</v>
      </c>
    </row>
    <row r="2628" customFormat="false" ht="15" hidden="false" customHeight="true" outlineLevel="0" collapsed="false">
      <c r="A2628" s="4" t="s">
        <v>2804</v>
      </c>
      <c r="B2628" s="4" t="s">
        <v>47</v>
      </c>
      <c r="C2628" s="13" t="n">
        <v>45448</v>
      </c>
      <c r="D2628" s="13" t="n">
        <v>45458</v>
      </c>
      <c r="E2628" s="13" t="n">
        <v>45455</v>
      </c>
      <c r="F2628" s="4" t="n">
        <v>932</v>
      </c>
      <c r="G2628" s="4" t="n">
        <v>932</v>
      </c>
      <c r="H2628" s="4" t="n">
        <v>228.68</v>
      </c>
      <c r="I2628" s="4" t="n">
        <v>230.49</v>
      </c>
      <c r="J2628" s="14" t="n">
        <f aca="false">E2628-D2628</f>
        <v>-3</v>
      </c>
      <c r="K2628" s="14" t="n">
        <f aca="false">IF(J2628&lt;=0,1,0)</f>
        <v>1</v>
      </c>
      <c r="L2628" s="15" t="n">
        <f aca="false">IFERROR(G2628/F2628,0)</f>
        <v>1</v>
      </c>
      <c r="M2628" s="15" t="n">
        <f aca="false">IFERROR((I2628-H2628)/H2628,0)</f>
        <v>0.00791499037956971</v>
      </c>
      <c r="N2628" s="16" t="n">
        <f aca="false">G2628*I2628</f>
        <v>214816.68</v>
      </c>
    </row>
    <row r="2629" customFormat="false" ht="15" hidden="false" customHeight="true" outlineLevel="0" collapsed="false">
      <c r="A2629" s="4" t="s">
        <v>2805</v>
      </c>
      <c r="B2629" s="4" t="s">
        <v>74</v>
      </c>
      <c r="C2629" s="13" t="n">
        <v>45218</v>
      </c>
      <c r="D2629" s="13" t="n">
        <v>45222</v>
      </c>
      <c r="E2629" s="13" t="n">
        <v>45220</v>
      </c>
      <c r="F2629" s="4" t="n">
        <v>4</v>
      </c>
      <c r="G2629" s="4" t="n">
        <v>4</v>
      </c>
      <c r="H2629" s="4" t="n">
        <v>1294.62</v>
      </c>
      <c r="I2629" s="4" t="n">
        <v>1342.7</v>
      </c>
      <c r="J2629" s="14" t="n">
        <f aca="false">E2629-D2629</f>
        <v>-2</v>
      </c>
      <c r="K2629" s="14" t="n">
        <f aca="false">IF(J2629&lt;=0,1,0)</f>
        <v>1</v>
      </c>
      <c r="L2629" s="15" t="n">
        <f aca="false">IFERROR(G2629/F2629,0)</f>
        <v>1</v>
      </c>
      <c r="M2629" s="15" t="n">
        <f aca="false">IFERROR((I2629-H2629)/H2629,0)</f>
        <v>0.0371383108556952</v>
      </c>
      <c r="N2629" s="16" t="n">
        <f aca="false">G2629*I2629</f>
        <v>5370.8</v>
      </c>
    </row>
    <row r="2630" customFormat="false" ht="15" hidden="false" customHeight="true" outlineLevel="0" collapsed="false">
      <c r="A2630" s="4" t="s">
        <v>2806</v>
      </c>
      <c r="B2630" s="4" t="s">
        <v>111</v>
      </c>
      <c r="C2630" s="13" t="n">
        <v>45406</v>
      </c>
      <c r="D2630" s="13" t="n">
        <v>45416</v>
      </c>
      <c r="E2630" s="13" t="n">
        <v>45418</v>
      </c>
      <c r="F2630" s="4" t="n">
        <v>1901</v>
      </c>
      <c r="G2630" s="4" t="n">
        <v>1899</v>
      </c>
      <c r="H2630" s="4" t="n">
        <v>148.08</v>
      </c>
      <c r="I2630" s="4" t="n">
        <v>149.6</v>
      </c>
      <c r="J2630" s="14" t="n">
        <f aca="false">E2630-D2630</f>
        <v>2</v>
      </c>
      <c r="K2630" s="14" t="n">
        <f aca="false">IF(J2630&lt;=0,1,0)</f>
        <v>0</v>
      </c>
      <c r="L2630" s="15" t="n">
        <f aca="false">IFERROR(G2630/F2630,0)</f>
        <v>0.998947922146239</v>
      </c>
      <c r="M2630" s="15" t="n">
        <f aca="false">IFERROR((I2630-H2630)/H2630,0)</f>
        <v>0.010264721772015</v>
      </c>
      <c r="N2630" s="16" t="n">
        <f aca="false">G2630*I2630</f>
        <v>284090.4</v>
      </c>
    </row>
    <row r="2631" customFormat="false" ht="15" hidden="false" customHeight="true" outlineLevel="0" collapsed="false">
      <c r="A2631" s="4" t="s">
        <v>2807</v>
      </c>
      <c r="B2631" s="4" t="s">
        <v>32</v>
      </c>
      <c r="C2631" s="13" t="n">
        <v>45488</v>
      </c>
      <c r="D2631" s="13" t="n">
        <v>45497</v>
      </c>
      <c r="E2631" s="13" t="n">
        <v>45497</v>
      </c>
      <c r="F2631" s="4" t="n">
        <v>2613</v>
      </c>
      <c r="G2631" s="4" t="n">
        <v>2408</v>
      </c>
      <c r="H2631" s="4" t="n">
        <v>32.49</v>
      </c>
      <c r="I2631" s="4" t="n">
        <v>33.17</v>
      </c>
      <c r="J2631" s="14" t="n">
        <f aca="false">E2631-D2631</f>
        <v>0</v>
      </c>
      <c r="K2631" s="14" t="n">
        <f aca="false">IF(J2631&lt;=0,1,0)</f>
        <v>1</v>
      </c>
      <c r="L2631" s="15" t="n">
        <f aca="false">IFERROR(G2631/F2631,0)</f>
        <v>0.921546115575966</v>
      </c>
      <c r="M2631" s="15" t="n">
        <f aca="false">IFERROR((I2631-H2631)/H2631,0)</f>
        <v>0.0209295167743921</v>
      </c>
      <c r="N2631" s="16" t="n">
        <f aca="false">G2631*I2631</f>
        <v>79873.36</v>
      </c>
    </row>
    <row r="2632" customFormat="false" ht="15" hidden="false" customHeight="true" outlineLevel="0" collapsed="false">
      <c r="A2632" s="4" t="s">
        <v>2808</v>
      </c>
      <c r="B2632" s="4" t="s">
        <v>52</v>
      </c>
      <c r="C2632" s="13" t="n">
        <v>45520</v>
      </c>
      <c r="D2632" s="13" t="n">
        <v>45531</v>
      </c>
      <c r="E2632" s="13" t="n">
        <v>45539</v>
      </c>
      <c r="F2632" s="4" t="n">
        <v>1353</v>
      </c>
      <c r="G2632" s="4" t="n">
        <v>1174</v>
      </c>
      <c r="H2632" s="4" t="n">
        <v>170.24</v>
      </c>
      <c r="I2632" s="4" t="n">
        <v>175.55</v>
      </c>
      <c r="J2632" s="14" t="n">
        <f aca="false">E2632-D2632</f>
        <v>8</v>
      </c>
      <c r="K2632" s="14" t="n">
        <f aca="false">IF(J2632&lt;=0,1,0)</f>
        <v>0</v>
      </c>
      <c r="L2632" s="15" t="n">
        <f aca="false">IFERROR(G2632/F2632,0)</f>
        <v>0.86770140428677</v>
      </c>
      <c r="M2632" s="15" t="n">
        <f aca="false">IFERROR((I2632-H2632)/H2632,0)</f>
        <v>0.0311912593984963</v>
      </c>
      <c r="N2632" s="16" t="n">
        <f aca="false">G2632*I2632</f>
        <v>206095.7</v>
      </c>
    </row>
    <row r="2633" customFormat="false" ht="15" hidden="false" customHeight="true" outlineLevel="0" collapsed="false">
      <c r="A2633" s="4" t="s">
        <v>2809</v>
      </c>
      <c r="B2633" s="4" t="s">
        <v>77</v>
      </c>
      <c r="C2633" s="13" t="n">
        <v>45226</v>
      </c>
      <c r="D2633" s="13" t="n">
        <v>45232</v>
      </c>
      <c r="E2633" s="13" t="n">
        <v>45241</v>
      </c>
      <c r="F2633" s="4" t="n">
        <v>3854</v>
      </c>
      <c r="G2633" s="4" t="n">
        <v>3753</v>
      </c>
      <c r="H2633" s="4" t="n">
        <v>36.83</v>
      </c>
      <c r="I2633" s="4" t="n">
        <v>35.12</v>
      </c>
      <c r="J2633" s="14" t="n">
        <f aca="false">E2633-D2633</f>
        <v>9</v>
      </c>
      <c r="K2633" s="14" t="n">
        <f aca="false">IF(J2633&lt;=0,1,0)</f>
        <v>0</v>
      </c>
      <c r="L2633" s="15" t="n">
        <f aca="false">IFERROR(G2633/F2633,0)</f>
        <v>0.973793461338869</v>
      </c>
      <c r="M2633" s="15" t="n">
        <f aca="false">IFERROR((I2633-H2633)/H2633,0)</f>
        <v>-0.0464295411349444</v>
      </c>
      <c r="N2633" s="16" t="n">
        <f aca="false">G2633*I2633</f>
        <v>131805.36</v>
      </c>
    </row>
    <row r="2634" customFormat="false" ht="15" hidden="false" customHeight="true" outlineLevel="0" collapsed="false">
      <c r="A2634" s="4" t="s">
        <v>2810</v>
      </c>
      <c r="B2634" s="4" t="s">
        <v>157</v>
      </c>
      <c r="C2634" s="13" t="n">
        <v>45114</v>
      </c>
      <c r="D2634" s="13" t="n">
        <v>45123</v>
      </c>
      <c r="E2634" s="13" t="n">
        <v>45128</v>
      </c>
      <c r="F2634" s="4" t="n">
        <v>2163</v>
      </c>
      <c r="G2634" s="4" t="n">
        <v>2099</v>
      </c>
      <c r="H2634" s="4" t="n">
        <v>13.1</v>
      </c>
      <c r="I2634" s="4" t="n">
        <v>13.06</v>
      </c>
      <c r="J2634" s="14" t="n">
        <f aca="false">E2634-D2634</f>
        <v>5</v>
      </c>
      <c r="K2634" s="14" t="n">
        <f aca="false">IF(J2634&lt;=0,1,0)</f>
        <v>0</v>
      </c>
      <c r="L2634" s="15" t="n">
        <f aca="false">IFERROR(G2634/F2634,0)</f>
        <v>0.970411465557097</v>
      </c>
      <c r="M2634" s="15" t="n">
        <f aca="false">IFERROR((I2634-H2634)/H2634,0)</f>
        <v>-0.00305343511450375</v>
      </c>
      <c r="N2634" s="16" t="n">
        <f aca="false">G2634*I2634</f>
        <v>27412.94</v>
      </c>
    </row>
    <row r="2635" customFormat="false" ht="15" hidden="false" customHeight="true" outlineLevel="0" collapsed="false">
      <c r="A2635" s="4" t="s">
        <v>2811</v>
      </c>
      <c r="B2635" s="4" t="s">
        <v>97</v>
      </c>
      <c r="C2635" s="13" t="n">
        <v>45330</v>
      </c>
      <c r="D2635" s="13" t="n">
        <v>45340</v>
      </c>
      <c r="E2635" s="13" t="n">
        <v>45343</v>
      </c>
      <c r="F2635" s="4" t="n">
        <v>255</v>
      </c>
      <c r="G2635" s="4" t="n">
        <v>255</v>
      </c>
      <c r="H2635" s="4" t="n">
        <v>123.04</v>
      </c>
      <c r="I2635" s="4" t="n">
        <v>123.48</v>
      </c>
      <c r="J2635" s="14" t="n">
        <f aca="false">E2635-D2635</f>
        <v>3</v>
      </c>
      <c r="K2635" s="14" t="n">
        <f aca="false">IF(J2635&lt;=0,1,0)</f>
        <v>0</v>
      </c>
      <c r="L2635" s="15" t="n">
        <f aca="false">IFERROR(G2635/F2635,0)</f>
        <v>1</v>
      </c>
      <c r="M2635" s="15" t="n">
        <f aca="false">IFERROR((I2635-H2635)/H2635,0)</f>
        <v>0.00357607282184654</v>
      </c>
      <c r="N2635" s="16" t="n">
        <f aca="false">G2635*I2635</f>
        <v>31487.4</v>
      </c>
    </row>
    <row r="2636" customFormat="false" ht="15" hidden="false" customHeight="true" outlineLevel="0" collapsed="false">
      <c r="A2636" s="4" t="s">
        <v>2812</v>
      </c>
      <c r="B2636" s="4" t="s">
        <v>141</v>
      </c>
      <c r="C2636" s="13" t="n">
        <v>45031</v>
      </c>
      <c r="D2636" s="13" t="n">
        <v>45050</v>
      </c>
      <c r="E2636" s="13" t="n">
        <v>45052</v>
      </c>
      <c r="F2636" s="4" t="n">
        <v>112</v>
      </c>
      <c r="G2636" s="4" t="n">
        <v>107</v>
      </c>
      <c r="H2636" s="4" t="n">
        <v>1252.36</v>
      </c>
      <c r="I2636" s="4" t="n">
        <v>1248.27</v>
      </c>
      <c r="J2636" s="14" t="n">
        <f aca="false">E2636-D2636</f>
        <v>2</v>
      </c>
      <c r="K2636" s="14" t="n">
        <f aca="false">IF(J2636&lt;=0,1,0)</f>
        <v>0</v>
      </c>
      <c r="L2636" s="15" t="n">
        <f aca="false">IFERROR(G2636/F2636,0)</f>
        <v>0.955357142857143</v>
      </c>
      <c r="M2636" s="15" t="n">
        <f aca="false">IFERROR((I2636-H2636)/H2636,0)</f>
        <v>-0.0032658341052093</v>
      </c>
      <c r="N2636" s="16" t="n">
        <f aca="false">G2636*I2636</f>
        <v>133564.89</v>
      </c>
    </row>
    <row r="2637" customFormat="false" ht="15" hidden="false" customHeight="true" outlineLevel="0" collapsed="false">
      <c r="A2637" s="4" t="s">
        <v>2813</v>
      </c>
      <c r="B2637" s="4" t="s">
        <v>37</v>
      </c>
      <c r="C2637" s="13" t="n">
        <v>45321</v>
      </c>
      <c r="D2637" s="13" t="n">
        <v>45327</v>
      </c>
      <c r="E2637" s="13" t="n">
        <v>45324</v>
      </c>
      <c r="F2637" s="4" t="n">
        <v>2543</v>
      </c>
      <c r="G2637" s="4" t="n">
        <v>2543</v>
      </c>
      <c r="H2637" s="4" t="n">
        <v>22.26</v>
      </c>
      <c r="I2637" s="4" t="n">
        <v>21.31</v>
      </c>
      <c r="J2637" s="14" t="n">
        <f aca="false">E2637-D2637</f>
        <v>-3</v>
      </c>
      <c r="K2637" s="14" t="n">
        <f aca="false">IF(J2637&lt;=0,1,0)</f>
        <v>1</v>
      </c>
      <c r="L2637" s="15" t="n">
        <f aca="false">IFERROR(G2637/F2637,0)</f>
        <v>1</v>
      </c>
      <c r="M2637" s="15" t="n">
        <f aca="false">IFERROR((I2637-H2637)/H2637,0)</f>
        <v>-0.0426774483378258</v>
      </c>
      <c r="N2637" s="16" t="n">
        <f aca="false">G2637*I2637</f>
        <v>54191.33</v>
      </c>
    </row>
    <row r="2638" customFormat="false" ht="15" hidden="false" customHeight="true" outlineLevel="0" collapsed="false">
      <c r="A2638" s="4" t="s">
        <v>2814</v>
      </c>
      <c r="B2638" s="4" t="s">
        <v>58</v>
      </c>
      <c r="C2638" s="13" t="n">
        <v>45140</v>
      </c>
      <c r="D2638" s="13" t="n">
        <v>45153</v>
      </c>
      <c r="E2638" s="13" t="n">
        <v>45150</v>
      </c>
      <c r="F2638" s="4" t="n">
        <v>92</v>
      </c>
      <c r="G2638" s="4" t="n">
        <v>90</v>
      </c>
      <c r="H2638" s="4" t="n">
        <v>135.68</v>
      </c>
      <c r="I2638" s="4" t="n">
        <v>138.59</v>
      </c>
      <c r="J2638" s="14" t="n">
        <f aca="false">E2638-D2638</f>
        <v>-3</v>
      </c>
      <c r="K2638" s="14" t="n">
        <f aca="false">IF(J2638&lt;=0,1,0)</f>
        <v>1</v>
      </c>
      <c r="L2638" s="15" t="n">
        <f aca="false">IFERROR(G2638/F2638,0)</f>
        <v>0.978260869565217</v>
      </c>
      <c r="M2638" s="15" t="n">
        <f aca="false">IFERROR((I2638-H2638)/H2638,0)</f>
        <v>0.0214475235849056</v>
      </c>
      <c r="N2638" s="16" t="n">
        <f aca="false">G2638*I2638</f>
        <v>12473.1</v>
      </c>
    </row>
    <row r="2639" customFormat="false" ht="15" hidden="false" customHeight="true" outlineLevel="0" collapsed="false">
      <c r="A2639" s="4" t="s">
        <v>2815</v>
      </c>
      <c r="B2639" s="4" t="s">
        <v>117</v>
      </c>
      <c r="C2639" s="13" t="n">
        <v>45495</v>
      </c>
      <c r="D2639" s="13" t="n">
        <v>45506</v>
      </c>
      <c r="E2639" s="13" t="n">
        <v>45514</v>
      </c>
      <c r="F2639" s="4" t="n">
        <v>205</v>
      </c>
      <c r="G2639" s="4" t="n">
        <v>191</v>
      </c>
      <c r="H2639" s="4" t="n">
        <v>396.01</v>
      </c>
      <c r="I2639" s="4" t="n">
        <v>386.28</v>
      </c>
      <c r="J2639" s="14" t="n">
        <f aca="false">E2639-D2639</f>
        <v>8</v>
      </c>
      <c r="K2639" s="14" t="n">
        <f aca="false">IF(J2639&lt;=0,1,0)</f>
        <v>0</v>
      </c>
      <c r="L2639" s="15" t="n">
        <f aca="false">IFERROR(G2639/F2639,0)</f>
        <v>0.931707317073171</v>
      </c>
      <c r="M2639" s="15" t="n">
        <f aca="false">IFERROR((I2639-H2639)/H2639,0)</f>
        <v>-0.0245700866139744</v>
      </c>
      <c r="N2639" s="16" t="n">
        <f aca="false">G2639*I2639</f>
        <v>73779.48</v>
      </c>
    </row>
    <row r="2640" customFormat="false" ht="15" hidden="false" customHeight="true" outlineLevel="0" collapsed="false">
      <c r="A2640" s="4" t="s">
        <v>2816</v>
      </c>
      <c r="B2640" s="4" t="s">
        <v>52</v>
      </c>
      <c r="C2640" s="13" t="n">
        <v>44943</v>
      </c>
      <c r="D2640" s="13" t="n">
        <v>44955</v>
      </c>
      <c r="E2640" s="13" t="n">
        <v>44958</v>
      </c>
      <c r="F2640" s="4" t="n">
        <v>1124</v>
      </c>
      <c r="G2640" s="4" t="n">
        <v>956</v>
      </c>
      <c r="H2640" s="4" t="n">
        <v>170.24</v>
      </c>
      <c r="I2640" s="4" t="n">
        <v>166.36</v>
      </c>
      <c r="J2640" s="14" t="n">
        <f aca="false">E2640-D2640</f>
        <v>3</v>
      </c>
      <c r="K2640" s="14" t="n">
        <f aca="false">IF(J2640&lt;=0,1,0)</f>
        <v>0</v>
      </c>
      <c r="L2640" s="15" t="n">
        <f aca="false">IFERROR(G2640/F2640,0)</f>
        <v>0.850533807829182</v>
      </c>
      <c r="M2640" s="15" t="n">
        <f aca="false">IFERROR((I2640-H2640)/H2640,0)</f>
        <v>-0.0227913533834586</v>
      </c>
      <c r="N2640" s="16" t="n">
        <f aca="false">G2640*I2640</f>
        <v>159040.16</v>
      </c>
    </row>
    <row r="2641" customFormat="false" ht="15" hidden="false" customHeight="true" outlineLevel="0" collapsed="false">
      <c r="A2641" s="4" t="s">
        <v>2817</v>
      </c>
      <c r="B2641" s="4" t="s">
        <v>141</v>
      </c>
      <c r="C2641" s="13" t="n">
        <v>45140</v>
      </c>
      <c r="D2641" s="13" t="n">
        <v>45158</v>
      </c>
      <c r="E2641" s="13" t="n">
        <v>45156</v>
      </c>
      <c r="F2641" s="4" t="n">
        <v>64</v>
      </c>
      <c r="G2641" s="4" t="n">
        <v>64</v>
      </c>
      <c r="H2641" s="4" t="n">
        <v>1252.36</v>
      </c>
      <c r="I2641" s="4" t="n">
        <v>1253.12</v>
      </c>
      <c r="J2641" s="14" t="n">
        <f aca="false">E2641-D2641</f>
        <v>-2</v>
      </c>
      <c r="K2641" s="14" t="n">
        <f aca="false">IF(J2641&lt;=0,1,0)</f>
        <v>1</v>
      </c>
      <c r="L2641" s="15" t="n">
        <f aca="false">IFERROR(G2641/F2641,0)</f>
        <v>1</v>
      </c>
      <c r="M2641" s="15" t="n">
        <f aca="false">IFERROR((I2641-H2641)/H2641,0)</f>
        <v>0.000606854259158701</v>
      </c>
      <c r="N2641" s="16" t="n">
        <f aca="false">G2641*I2641</f>
        <v>80199.68</v>
      </c>
    </row>
    <row r="2642" customFormat="false" ht="15" hidden="false" customHeight="true" outlineLevel="0" collapsed="false">
      <c r="A2642" s="4" t="s">
        <v>2818</v>
      </c>
      <c r="B2642" s="4" t="s">
        <v>131</v>
      </c>
      <c r="C2642" s="13" t="n">
        <v>45642</v>
      </c>
      <c r="D2642" s="13" t="n">
        <v>45654</v>
      </c>
      <c r="E2642" s="13" t="n">
        <v>45656</v>
      </c>
      <c r="F2642" s="4" t="n">
        <v>1031</v>
      </c>
      <c r="G2642" s="4" t="n">
        <v>1003</v>
      </c>
      <c r="H2642" s="4" t="n">
        <v>88.52</v>
      </c>
      <c r="I2642" s="4" t="n">
        <v>88.93</v>
      </c>
      <c r="J2642" s="14" t="n">
        <f aca="false">E2642-D2642</f>
        <v>2</v>
      </c>
      <c r="K2642" s="14" t="n">
        <f aca="false">IF(J2642&lt;=0,1,0)</f>
        <v>0</v>
      </c>
      <c r="L2642" s="15" t="n">
        <f aca="false">IFERROR(G2642/F2642,0)</f>
        <v>0.972841901066925</v>
      </c>
      <c r="M2642" s="15" t="n">
        <f aca="false">IFERROR((I2642-H2642)/H2642,0)</f>
        <v>0.00463172164482615</v>
      </c>
      <c r="N2642" s="16" t="n">
        <f aca="false">G2642*I2642</f>
        <v>89196.79</v>
      </c>
    </row>
    <row r="2643" customFormat="false" ht="15" hidden="false" customHeight="true" outlineLevel="0" collapsed="false">
      <c r="A2643" s="4" t="s">
        <v>2819</v>
      </c>
      <c r="B2643" s="4" t="s">
        <v>133</v>
      </c>
      <c r="C2643" s="13" t="n">
        <v>45482</v>
      </c>
      <c r="D2643" s="13" t="n">
        <v>45493</v>
      </c>
      <c r="E2643" s="13" t="n">
        <v>45498</v>
      </c>
      <c r="F2643" s="4" t="n">
        <v>1114</v>
      </c>
      <c r="G2643" s="4" t="n">
        <v>1037</v>
      </c>
      <c r="H2643" s="4" t="n">
        <v>138.21</v>
      </c>
      <c r="I2643" s="4" t="n">
        <v>143.22</v>
      </c>
      <c r="J2643" s="14" t="n">
        <f aca="false">E2643-D2643</f>
        <v>5</v>
      </c>
      <c r="K2643" s="14" t="n">
        <f aca="false">IF(J2643&lt;=0,1,0)</f>
        <v>0</v>
      </c>
      <c r="L2643" s="15" t="n">
        <f aca="false">IFERROR(G2643/F2643,0)</f>
        <v>0.930879712746858</v>
      </c>
      <c r="M2643" s="15" t="n">
        <f aca="false">IFERROR((I2643-H2643)/H2643,0)</f>
        <v>0.0362491860212719</v>
      </c>
      <c r="N2643" s="16" t="n">
        <f aca="false">G2643*I2643</f>
        <v>148519.14</v>
      </c>
    </row>
    <row r="2644" customFormat="false" ht="15" hidden="false" customHeight="true" outlineLevel="0" collapsed="false">
      <c r="A2644" s="4" t="s">
        <v>2820</v>
      </c>
      <c r="B2644" s="4" t="s">
        <v>97</v>
      </c>
      <c r="C2644" s="13" t="n">
        <v>45640</v>
      </c>
      <c r="D2644" s="13" t="n">
        <v>45650</v>
      </c>
      <c r="E2644" s="13" t="n">
        <v>45652</v>
      </c>
      <c r="F2644" s="4" t="n">
        <v>413</v>
      </c>
      <c r="G2644" s="4" t="n">
        <v>413</v>
      </c>
      <c r="H2644" s="4" t="n">
        <v>123.04</v>
      </c>
      <c r="I2644" s="4" t="n">
        <v>123.61</v>
      </c>
      <c r="J2644" s="14" t="n">
        <f aca="false">E2644-D2644</f>
        <v>2</v>
      </c>
      <c r="K2644" s="14" t="n">
        <f aca="false">IF(J2644&lt;=0,1,0)</f>
        <v>0</v>
      </c>
      <c r="L2644" s="15" t="n">
        <f aca="false">IFERROR(G2644/F2644,0)</f>
        <v>1</v>
      </c>
      <c r="M2644" s="15" t="n">
        <f aca="false">IFERROR((I2644-H2644)/H2644,0)</f>
        <v>0.00463263979193753</v>
      </c>
      <c r="N2644" s="16" t="n">
        <f aca="false">G2644*I2644</f>
        <v>51050.93</v>
      </c>
    </row>
    <row r="2645" customFormat="false" ht="15" hidden="false" customHeight="true" outlineLevel="0" collapsed="false">
      <c r="A2645" s="4" t="s">
        <v>2821</v>
      </c>
      <c r="B2645" s="4" t="s">
        <v>135</v>
      </c>
      <c r="C2645" s="13" t="n">
        <v>45250</v>
      </c>
      <c r="D2645" s="13" t="n">
        <v>45262</v>
      </c>
      <c r="E2645" s="13" t="n">
        <v>45267</v>
      </c>
      <c r="F2645" s="4" t="n">
        <v>276</v>
      </c>
      <c r="G2645" s="4" t="n">
        <v>275</v>
      </c>
      <c r="H2645" s="4" t="n">
        <v>328.06</v>
      </c>
      <c r="I2645" s="4" t="n">
        <v>322.9</v>
      </c>
      <c r="J2645" s="14" t="n">
        <f aca="false">E2645-D2645</f>
        <v>5</v>
      </c>
      <c r="K2645" s="14" t="n">
        <f aca="false">IF(J2645&lt;=0,1,0)</f>
        <v>0</v>
      </c>
      <c r="L2645" s="15" t="n">
        <f aca="false">IFERROR(G2645/F2645,0)</f>
        <v>0.996376811594203</v>
      </c>
      <c r="M2645" s="15" t="n">
        <f aca="false">IFERROR((I2645-H2645)/H2645,0)</f>
        <v>-0.0157288300920564</v>
      </c>
      <c r="N2645" s="16" t="n">
        <f aca="false">G2645*I2645</f>
        <v>88797.5</v>
      </c>
    </row>
    <row r="2646" customFormat="false" ht="15" hidden="false" customHeight="true" outlineLevel="0" collapsed="false">
      <c r="A2646" s="4" t="s">
        <v>2822</v>
      </c>
      <c r="B2646" s="4" t="s">
        <v>137</v>
      </c>
      <c r="C2646" s="13" t="n">
        <v>45034</v>
      </c>
      <c r="D2646" s="13" t="n">
        <v>45054</v>
      </c>
      <c r="E2646" s="13" t="n">
        <v>45054</v>
      </c>
      <c r="F2646" s="4" t="n">
        <v>76</v>
      </c>
      <c r="G2646" s="4" t="n">
        <v>66</v>
      </c>
      <c r="H2646" s="4" t="n">
        <v>1047.25</v>
      </c>
      <c r="I2646" s="4" t="n">
        <v>1072.81</v>
      </c>
      <c r="J2646" s="14" t="n">
        <f aca="false">E2646-D2646</f>
        <v>0</v>
      </c>
      <c r="K2646" s="14" t="n">
        <f aca="false">IF(J2646&lt;=0,1,0)</f>
        <v>1</v>
      </c>
      <c r="L2646" s="15" t="n">
        <f aca="false">IFERROR(G2646/F2646,0)</f>
        <v>0.868421052631579</v>
      </c>
      <c r="M2646" s="15" t="n">
        <f aca="false">IFERROR((I2646-H2646)/H2646,0)</f>
        <v>0.0244067796610169</v>
      </c>
      <c r="N2646" s="16" t="n">
        <f aca="false">G2646*I2646</f>
        <v>70805.46</v>
      </c>
    </row>
    <row r="2647" customFormat="false" ht="15" hidden="false" customHeight="true" outlineLevel="0" collapsed="false">
      <c r="A2647" s="4" t="s">
        <v>2823</v>
      </c>
      <c r="B2647" s="4" t="s">
        <v>143</v>
      </c>
      <c r="C2647" s="13" t="n">
        <v>45278</v>
      </c>
      <c r="D2647" s="13" t="n">
        <v>45285</v>
      </c>
      <c r="E2647" s="13" t="n">
        <v>45297</v>
      </c>
      <c r="F2647" s="4" t="n">
        <v>3845</v>
      </c>
      <c r="G2647" s="4" t="n">
        <v>3750</v>
      </c>
      <c r="H2647" s="4" t="n">
        <v>20.6</v>
      </c>
      <c r="I2647" s="4" t="n">
        <v>21.67</v>
      </c>
      <c r="J2647" s="14" t="n">
        <f aca="false">E2647-D2647</f>
        <v>12</v>
      </c>
      <c r="K2647" s="14" t="n">
        <f aca="false">IF(J2647&lt;=0,1,0)</f>
        <v>0</v>
      </c>
      <c r="L2647" s="15" t="n">
        <f aca="false">IFERROR(G2647/F2647,0)</f>
        <v>0.975292587776333</v>
      </c>
      <c r="M2647" s="15" t="n">
        <f aca="false">IFERROR((I2647-H2647)/H2647,0)</f>
        <v>0.0519417475728155</v>
      </c>
      <c r="N2647" s="16" t="n">
        <f aca="false">G2647*I2647</f>
        <v>81262.5</v>
      </c>
    </row>
    <row r="2648" customFormat="false" ht="15" hidden="false" customHeight="true" outlineLevel="0" collapsed="false">
      <c r="A2648" s="4" t="s">
        <v>2824</v>
      </c>
      <c r="B2648" s="4" t="s">
        <v>145</v>
      </c>
      <c r="C2648" s="13" t="n">
        <v>44974</v>
      </c>
      <c r="D2648" s="13" t="n">
        <v>44986</v>
      </c>
      <c r="E2648" s="13" t="n">
        <v>44989</v>
      </c>
      <c r="F2648" s="4" t="n">
        <v>557</v>
      </c>
      <c r="G2648" s="4" t="n">
        <v>530</v>
      </c>
      <c r="H2648" s="4" t="n">
        <v>237.04</v>
      </c>
      <c r="I2648" s="4" t="n">
        <v>245.82</v>
      </c>
      <c r="J2648" s="14" t="n">
        <f aca="false">E2648-D2648</f>
        <v>3</v>
      </c>
      <c r="K2648" s="14" t="n">
        <f aca="false">IF(J2648&lt;=0,1,0)</f>
        <v>0</v>
      </c>
      <c r="L2648" s="15" t="n">
        <f aca="false">IFERROR(G2648/F2648,0)</f>
        <v>0.951526032315978</v>
      </c>
      <c r="M2648" s="15" t="n">
        <f aca="false">IFERROR((I2648-H2648)/H2648,0)</f>
        <v>0.037040161997975</v>
      </c>
      <c r="N2648" s="16" t="n">
        <f aca="false">G2648*I2648</f>
        <v>130284.6</v>
      </c>
    </row>
    <row r="2649" customFormat="false" ht="15" hidden="false" customHeight="true" outlineLevel="0" collapsed="false">
      <c r="A2649" s="4" t="s">
        <v>2825</v>
      </c>
      <c r="B2649" s="4" t="s">
        <v>119</v>
      </c>
      <c r="C2649" s="13" t="n">
        <v>44970</v>
      </c>
      <c r="D2649" s="13" t="n">
        <v>44978</v>
      </c>
      <c r="E2649" s="13" t="n">
        <v>44981</v>
      </c>
      <c r="F2649" s="4" t="n">
        <v>4723</v>
      </c>
      <c r="G2649" s="4" t="n">
        <v>4634</v>
      </c>
      <c r="H2649" s="4" t="n">
        <v>50.92</v>
      </c>
      <c r="I2649" s="4" t="n">
        <v>50.7</v>
      </c>
      <c r="J2649" s="14" t="n">
        <f aca="false">E2649-D2649</f>
        <v>3</v>
      </c>
      <c r="K2649" s="14" t="n">
        <f aca="false">IF(J2649&lt;=0,1,0)</f>
        <v>0</v>
      </c>
      <c r="L2649" s="15" t="n">
        <f aca="false">IFERROR(G2649/F2649,0)</f>
        <v>0.981156044886725</v>
      </c>
      <c r="M2649" s="15" t="n">
        <f aca="false">IFERROR((I2649-H2649)/H2649,0)</f>
        <v>-0.00432050274941082</v>
      </c>
      <c r="N2649" s="16" t="n">
        <f aca="false">G2649*I2649</f>
        <v>234943.8</v>
      </c>
    </row>
    <row r="2650" customFormat="false" ht="15" hidden="false" customHeight="true" outlineLevel="0" collapsed="false">
      <c r="A2650" s="4" t="s">
        <v>2826</v>
      </c>
      <c r="B2650" s="4" t="s">
        <v>70</v>
      </c>
      <c r="C2650" s="13" t="n">
        <v>45530</v>
      </c>
      <c r="D2650" s="13" t="n">
        <v>45539</v>
      </c>
      <c r="E2650" s="13" t="n">
        <v>45543</v>
      </c>
      <c r="F2650" s="4" t="n">
        <v>567</v>
      </c>
      <c r="G2650" s="4" t="n">
        <v>524</v>
      </c>
      <c r="H2650" s="4" t="n">
        <v>35.88</v>
      </c>
      <c r="I2650" s="4" t="n">
        <v>37.59</v>
      </c>
      <c r="J2650" s="14" t="n">
        <f aca="false">E2650-D2650</f>
        <v>4</v>
      </c>
      <c r="K2650" s="14" t="n">
        <f aca="false">IF(J2650&lt;=0,1,0)</f>
        <v>0</v>
      </c>
      <c r="L2650" s="15" t="n">
        <f aca="false">IFERROR(G2650/F2650,0)</f>
        <v>0.924162257495591</v>
      </c>
      <c r="M2650" s="15" t="n">
        <f aca="false">IFERROR((I2650-H2650)/H2650,0)</f>
        <v>0.0476588628762542</v>
      </c>
      <c r="N2650" s="16" t="n">
        <f aca="false">G2650*I2650</f>
        <v>19697.16</v>
      </c>
    </row>
    <row r="2651" customFormat="false" ht="15" hidden="false" customHeight="true" outlineLevel="0" collapsed="false">
      <c r="A2651" s="4" t="s">
        <v>2827</v>
      </c>
      <c r="B2651" s="4" t="s">
        <v>111</v>
      </c>
      <c r="C2651" s="13" t="n">
        <v>45421</v>
      </c>
      <c r="D2651" s="13" t="n">
        <v>45432</v>
      </c>
      <c r="E2651" s="13" t="n">
        <v>45435</v>
      </c>
      <c r="F2651" s="4" t="n">
        <v>1671</v>
      </c>
      <c r="G2651" s="4" t="n">
        <v>1576</v>
      </c>
      <c r="H2651" s="4" t="n">
        <v>148.08</v>
      </c>
      <c r="I2651" s="4" t="n">
        <v>149.86</v>
      </c>
      <c r="J2651" s="14" t="n">
        <f aca="false">E2651-D2651</f>
        <v>3</v>
      </c>
      <c r="K2651" s="14" t="n">
        <f aca="false">IF(J2651&lt;=0,1,0)</f>
        <v>0</v>
      </c>
      <c r="L2651" s="15" t="n">
        <f aca="false">IFERROR(G2651/F2651,0)</f>
        <v>0.943147815679234</v>
      </c>
      <c r="M2651" s="15" t="n">
        <f aca="false">IFERROR((I2651-H2651)/H2651,0)</f>
        <v>0.012020529443544</v>
      </c>
      <c r="N2651" s="16" t="n">
        <f aca="false">G2651*I2651</f>
        <v>236179.36</v>
      </c>
    </row>
    <row r="2652" customFormat="false" ht="15" hidden="false" customHeight="true" outlineLevel="0" collapsed="false">
      <c r="A2652" s="4" t="s">
        <v>2828</v>
      </c>
      <c r="B2652" s="4" t="s">
        <v>119</v>
      </c>
      <c r="C2652" s="13" t="n">
        <v>45430</v>
      </c>
      <c r="D2652" s="13" t="n">
        <v>45439</v>
      </c>
      <c r="E2652" s="13" t="n">
        <v>45442</v>
      </c>
      <c r="F2652" s="4" t="n">
        <v>3983</v>
      </c>
      <c r="G2652" s="4" t="n">
        <v>3983</v>
      </c>
      <c r="H2652" s="4" t="n">
        <v>50.92</v>
      </c>
      <c r="I2652" s="4" t="n">
        <v>47.59</v>
      </c>
      <c r="J2652" s="14" t="n">
        <f aca="false">E2652-D2652</f>
        <v>3</v>
      </c>
      <c r="K2652" s="14" t="n">
        <f aca="false">IF(J2652&lt;=0,1,0)</f>
        <v>0</v>
      </c>
      <c r="L2652" s="15" t="n">
        <f aca="false">IFERROR(G2652/F2652,0)</f>
        <v>1</v>
      </c>
      <c r="M2652" s="15" t="n">
        <f aca="false">IFERROR((I2652-H2652)/H2652,0)</f>
        <v>-0.0653967007069913</v>
      </c>
      <c r="N2652" s="16" t="n">
        <f aca="false">G2652*I2652</f>
        <v>189550.97</v>
      </c>
    </row>
    <row r="2653" customFormat="false" ht="15" hidden="false" customHeight="true" outlineLevel="0" collapsed="false">
      <c r="A2653" s="4" t="s">
        <v>2829</v>
      </c>
      <c r="B2653" s="4" t="s">
        <v>115</v>
      </c>
      <c r="C2653" s="13" t="n">
        <v>45484</v>
      </c>
      <c r="D2653" s="13" t="n">
        <v>45497</v>
      </c>
      <c r="E2653" s="13" t="n">
        <v>45514</v>
      </c>
      <c r="F2653" s="4" t="n">
        <v>119</v>
      </c>
      <c r="G2653" s="4" t="n">
        <v>117</v>
      </c>
      <c r="H2653" s="4" t="n">
        <v>115.53</v>
      </c>
      <c r="I2653" s="4" t="n">
        <v>126.65</v>
      </c>
      <c r="J2653" s="14" t="n">
        <f aca="false">E2653-D2653</f>
        <v>17</v>
      </c>
      <c r="K2653" s="14" t="n">
        <f aca="false">IF(J2653&lt;=0,1,0)</f>
        <v>0</v>
      </c>
      <c r="L2653" s="15" t="n">
        <f aca="false">IFERROR(G2653/F2653,0)</f>
        <v>0.983193277310924</v>
      </c>
      <c r="M2653" s="15" t="n">
        <f aca="false">IFERROR((I2653-H2653)/H2653,0)</f>
        <v>0.0962520557430971</v>
      </c>
      <c r="N2653" s="16" t="n">
        <f aca="false">G2653*I2653</f>
        <v>14818.05</v>
      </c>
    </row>
    <row r="2654" customFormat="false" ht="15" hidden="false" customHeight="true" outlineLevel="0" collapsed="false">
      <c r="A2654" s="4" t="s">
        <v>2830</v>
      </c>
      <c r="B2654" s="4" t="s">
        <v>145</v>
      </c>
      <c r="C2654" s="13" t="n">
        <v>45582</v>
      </c>
      <c r="D2654" s="13" t="n">
        <v>45593</v>
      </c>
      <c r="E2654" s="13" t="n">
        <v>45596</v>
      </c>
      <c r="F2654" s="4" t="n">
        <v>1696</v>
      </c>
      <c r="G2654" s="4" t="n">
        <v>1594</v>
      </c>
      <c r="H2654" s="4" t="n">
        <v>237.04</v>
      </c>
      <c r="I2654" s="4" t="n">
        <v>270.16</v>
      </c>
      <c r="J2654" s="14" t="n">
        <f aca="false">E2654-D2654</f>
        <v>3</v>
      </c>
      <c r="K2654" s="14" t="n">
        <f aca="false">IF(J2654&lt;=0,1,0)</f>
        <v>0</v>
      </c>
      <c r="L2654" s="15" t="n">
        <f aca="false">IFERROR(G2654/F2654,0)</f>
        <v>0.939858490566038</v>
      </c>
      <c r="M2654" s="15" t="n">
        <f aca="false">IFERROR((I2654-H2654)/H2654,0)</f>
        <v>0.139723253459332</v>
      </c>
      <c r="N2654" s="16" t="n">
        <f aca="false">G2654*I2654</f>
        <v>430635.04</v>
      </c>
    </row>
    <row r="2655" customFormat="false" ht="15" hidden="false" customHeight="true" outlineLevel="0" collapsed="false">
      <c r="A2655" s="4" t="s">
        <v>2831</v>
      </c>
      <c r="B2655" s="4" t="s">
        <v>37</v>
      </c>
      <c r="C2655" s="13" t="n">
        <v>45223</v>
      </c>
      <c r="D2655" s="13" t="n">
        <v>45230</v>
      </c>
      <c r="E2655" s="13" t="n">
        <v>45226</v>
      </c>
      <c r="F2655" s="4" t="n">
        <v>3957</v>
      </c>
      <c r="G2655" s="4" t="n">
        <v>3957</v>
      </c>
      <c r="H2655" s="4" t="n">
        <v>22.26</v>
      </c>
      <c r="I2655" s="4" t="n">
        <v>21.57</v>
      </c>
      <c r="J2655" s="14" t="n">
        <f aca="false">E2655-D2655</f>
        <v>-4</v>
      </c>
      <c r="K2655" s="14" t="n">
        <f aca="false">IF(J2655&lt;=0,1,0)</f>
        <v>1</v>
      </c>
      <c r="L2655" s="15" t="n">
        <f aca="false">IFERROR(G2655/F2655,0)</f>
        <v>1</v>
      </c>
      <c r="M2655" s="15" t="n">
        <f aca="false">IFERROR((I2655-H2655)/H2655,0)</f>
        <v>-0.0309973045822103</v>
      </c>
      <c r="N2655" s="16" t="n">
        <f aca="false">G2655*I2655</f>
        <v>85352.49</v>
      </c>
    </row>
    <row r="2656" customFormat="false" ht="15" hidden="false" customHeight="true" outlineLevel="0" collapsed="false">
      <c r="A2656" s="4" t="s">
        <v>2832</v>
      </c>
      <c r="B2656" s="4" t="s">
        <v>121</v>
      </c>
      <c r="C2656" s="13" t="n">
        <v>45025</v>
      </c>
      <c r="D2656" s="13" t="n">
        <v>45036</v>
      </c>
      <c r="E2656" s="13" t="n">
        <v>45033</v>
      </c>
      <c r="F2656" s="4" t="n">
        <v>309</v>
      </c>
      <c r="G2656" s="4" t="n">
        <v>285</v>
      </c>
      <c r="H2656" s="4" t="n">
        <v>206.07</v>
      </c>
      <c r="I2656" s="4" t="n">
        <v>206.88</v>
      </c>
      <c r="J2656" s="14" t="n">
        <f aca="false">E2656-D2656</f>
        <v>-3</v>
      </c>
      <c r="K2656" s="14" t="n">
        <f aca="false">IF(J2656&lt;=0,1,0)</f>
        <v>1</v>
      </c>
      <c r="L2656" s="15" t="n">
        <f aca="false">IFERROR(G2656/F2656,0)</f>
        <v>0.922330097087379</v>
      </c>
      <c r="M2656" s="15" t="n">
        <f aca="false">IFERROR((I2656-H2656)/H2656,0)</f>
        <v>0.0039307031591207</v>
      </c>
      <c r="N2656" s="16" t="n">
        <f aca="false">G2656*I2656</f>
        <v>58960.8</v>
      </c>
    </row>
    <row r="2657" customFormat="false" ht="15" hidden="false" customHeight="true" outlineLevel="0" collapsed="false">
      <c r="A2657" s="4" t="s">
        <v>2833</v>
      </c>
      <c r="B2657" s="4" t="s">
        <v>37</v>
      </c>
      <c r="C2657" s="13" t="n">
        <v>45413</v>
      </c>
      <c r="D2657" s="13" t="n">
        <v>45421</v>
      </c>
      <c r="E2657" s="13" t="n">
        <v>45422</v>
      </c>
      <c r="F2657" s="4" t="n">
        <v>3541</v>
      </c>
      <c r="G2657" s="4" t="n">
        <v>3541</v>
      </c>
      <c r="H2657" s="4" t="n">
        <v>22.26</v>
      </c>
      <c r="I2657" s="4" t="n">
        <v>21.21</v>
      </c>
      <c r="J2657" s="14" t="n">
        <f aca="false">E2657-D2657</f>
        <v>1</v>
      </c>
      <c r="K2657" s="14" t="n">
        <f aca="false">IF(J2657&lt;=0,1,0)</f>
        <v>0</v>
      </c>
      <c r="L2657" s="15" t="n">
        <f aca="false">IFERROR(G2657/F2657,0)</f>
        <v>1</v>
      </c>
      <c r="M2657" s="15" t="n">
        <f aca="false">IFERROR((I2657-H2657)/H2657,0)</f>
        <v>-0.0471698113207548</v>
      </c>
      <c r="N2657" s="16" t="n">
        <f aca="false">G2657*I2657</f>
        <v>75104.61</v>
      </c>
    </row>
    <row r="2658" customFormat="false" ht="15" hidden="false" customHeight="true" outlineLevel="0" collapsed="false">
      <c r="A2658" s="4" t="s">
        <v>2834</v>
      </c>
      <c r="B2658" s="4" t="s">
        <v>81</v>
      </c>
      <c r="C2658" s="13" t="n">
        <v>45294</v>
      </c>
      <c r="D2658" s="13" t="n">
        <v>45301</v>
      </c>
      <c r="E2658" s="13" t="n">
        <v>45306</v>
      </c>
      <c r="F2658" s="4" t="n">
        <v>4</v>
      </c>
      <c r="G2658" s="4" t="n">
        <v>4</v>
      </c>
      <c r="H2658" s="4" t="n">
        <v>697.63</v>
      </c>
      <c r="I2658" s="4" t="n">
        <v>701.24</v>
      </c>
      <c r="J2658" s="14" t="n">
        <f aca="false">E2658-D2658</f>
        <v>5</v>
      </c>
      <c r="K2658" s="14" t="n">
        <f aca="false">IF(J2658&lt;=0,1,0)</f>
        <v>0</v>
      </c>
      <c r="L2658" s="15" t="n">
        <f aca="false">IFERROR(G2658/F2658,0)</f>
        <v>1</v>
      </c>
      <c r="M2658" s="15" t="n">
        <f aca="false">IFERROR((I2658-H2658)/H2658,0)</f>
        <v>0.00517466278686412</v>
      </c>
      <c r="N2658" s="16" t="n">
        <f aca="false">G2658*I2658</f>
        <v>2804.96</v>
      </c>
    </row>
    <row r="2659" customFormat="false" ht="15" hidden="false" customHeight="true" outlineLevel="0" collapsed="false">
      <c r="A2659" s="4" t="s">
        <v>2835</v>
      </c>
      <c r="B2659" s="4" t="s">
        <v>135</v>
      </c>
      <c r="C2659" s="13" t="n">
        <v>45476</v>
      </c>
      <c r="D2659" s="13" t="n">
        <v>45490</v>
      </c>
      <c r="E2659" s="13" t="n">
        <v>45492</v>
      </c>
      <c r="F2659" s="4" t="n">
        <v>36</v>
      </c>
      <c r="G2659" s="4" t="n">
        <v>36</v>
      </c>
      <c r="H2659" s="4" t="n">
        <v>328.06</v>
      </c>
      <c r="I2659" s="4" t="n">
        <v>319.92</v>
      </c>
      <c r="J2659" s="14" t="n">
        <f aca="false">E2659-D2659</f>
        <v>2</v>
      </c>
      <c r="K2659" s="14" t="n">
        <f aca="false">IF(J2659&lt;=0,1,0)</f>
        <v>0</v>
      </c>
      <c r="L2659" s="15" t="n">
        <f aca="false">IFERROR(G2659/F2659,0)</f>
        <v>1</v>
      </c>
      <c r="M2659" s="15" t="n">
        <f aca="false">IFERROR((I2659-H2659)/H2659,0)</f>
        <v>-0.0248125342925074</v>
      </c>
      <c r="N2659" s="16" t="n">
        <f aca="false">G2659*I2659</f>
        <v>11517.12</v>
      </c>
    </row>
    <row r="2660" customFormat="false" ht="15" hidden="false" customHeight="true" outlineLevel="0" collapsed="false">
      <c r="A2660" s="4" t="s">
        <v>2836</v>
      </c>
      <c r="B2660" s="4" t="s">
        <v>129</v>
      </c>
      <c r="C2660" s="13" t="n">
        <v>45190</v>
      </c>
      <c r="D2660" s="13" t="n">
        <v>45209</v>
      </c>
      <c r="E2660" s="13" t="n">
        <v>45210</v>
      </c>
      <c r="F2660" s="4" t="n">
        <v>241</v>
      </c>
      <c r="G2660" s="4" t="n">
        <v>240</v>
      </c>
      <c r="H2660" s="4" t="n">
        <v>709.66</v>
      </c>
      <c r="I2660" s="4" t="n">
        <v>712.1</v>
      </c>
      <c r="J2660" s="14" t="n">
        <f aca="false">E2660-D2660</f>
        <v>1</v>
      </c>
      <c r="K2660" s="14" t="n">
        <f aca="false">IF(J2660&lt;=0,1,0)</f>
        <v>0</v>
      </c>
      <c r="L2660" s="15" t="n">
        <f aca="false">IFERROR(G2660/F2660,0)</f>
        <v>0.995850622406639</v>
      </c>
      <c r="M2660" s="15" t="n">
        <f aca="false">IFERROR((I2660-H2660)/H2660,0)</f>
        <v>0.00343826621198892</v>
      </c>
      <c r="N2660" s="16" t="n">
        <f aca="false">G2660*I2660</f>
        <v>170904</v>
      </c>
    </row>
    <row r="2661" customFormat="false" ht="15" hidden="false" customHeight="true" outlineLevel="0" collapsed="false">
      <c r="A2661" s="4" t="s">
        <v>2837</v>
      </c>
      <c r="B2661" s="4" t="s">
        <v>74</v>
      </c>
      <c r="C2661" s="13" t="n">
        <v>45017</v>
      </c>
      <c r="D2661" s="13" t="n">
        <v>45022</v>
      </c>
      <c r="E2661" s="13" t="n">
        <v>45020</v>
      </c>
      <c r="F2661" s="4" t="n">
        <v>5</v>
      </c>
      <c r="G2661" s="4" t="n">
        <v>5</v>
      </c>
      <c r="H2661" s="4" t="n">
        <v>1294.62</v>
      </c>
      <c r="I2661" s="4" t="n">
        <v>1299.38</v>
      </c>
      <c r="J2661" s="14" t="n">
        <f aca="false">E2661-D2661</f>
        <v>-2</v>
      </c>
      <c r="K2661" s="14" t="n">
        <f aca="false">IF(J2661&lt;=0,1,0)</f>
        <v>1</v>
      </c>
      <c r="L2661" s="15" t="n">
        <f aca="false">IFERROR(G2661/F2661,0)</f>
        <v>1</v>
      </c>
      <c r="M2661" s="15" t="n">
        <f aca="false">IFERROR((I2661-H2661)/H2661,0)</f>
        <v>0.00367675456890842</v>
      </c>
      <c r="N2661" s="16" t="n">
        <f aca="false">G2661*I2661</f>
        <v>6496.9</v>
      </c>
    </row>
    <row r="2662" customFormat="false" ht="15" hidden="false" customHeight="true" outlineLevel="0" collapsed="false">
      <c r="A2662" s="4" t="s">
        <v>2838</v>
      </c>
      <c r="B2662" s="4" t="s">
        <v>139</v>
      </c>
      <c r="C2662" s="13" t="n">
        <v>45512</v>
      </c>
      <c r="D2662" s="13" t="n">
        <v>45524</v>
      </c>
      <c r="E2662" s="13" t="n">
        <v>45532</v>
      </c>
      <c r="F2662" s="4" t="n">
        <v>572</v>
      </c>
      <c r="G2662" s="4" t="n">
        <v>479</v>
      </c>
      <c r="H2662" s="4" t="n">
        <v>207.64</v>
      </c>
      <c r="I2662" s="4" t="n">
        <v>221.2</v>
      </c>
      <c r="J2662" s="14" t="n">
        <f aca="false">E2662-D2662</f>
        <v>8</v>
      </c>
      <c r="K2662" s="14" t="n">
        <f aca="false">IF(J2662&lt;=0,1,0)</f>
        <v>0</v>
      </c>
      <c r="L2662" s="15" t="n">
        <f aca="false">IFERROR(G2662/F2662,0)</f>
        <v>0.837412587412587</v>
      </c>
      <c r="M2662" s="15" t="n">
        <f aca="false">IFERROR((I2662-H2662)/H2662,0)</f>
        <v>0.0653053361587363</v>
      </c>
      <c r="N2662" s="16" t="n">
        <f aca="false">G2662*I2662</f>
        <v>105954.8</v>
      </c>
    </row>
    <row r="2663" customFormat="false" ht="15" hidden="false" customHeight="true" outlineLevel="0" collapsed="false">
      <c r="A2663" s="4" t="s">
        <v>2839</v>
      </c>
      <c r="B2663" s="4" t="s">
        <v>58</v>
      </c>
      <c r="C2663" s="13" t="n">
        <v>45526</v>
      </c>
      <c r="D2663" s="13" t="n">
        <v>45539</v>
      </c>
      <c r="E2663" s="13" t="n">
        <v>45536</v>
      </c>
      <c r="F2663" s="4" t="n">
        <v>278</v>
      </c>
      <c r="G2663" s="4" t="n">
        <v>278</v>
      </c>
      <c r="H2663" s="4" t="n">
        <v>135.68</v>
      </c>
      <c r="I2663" s="4" t="n">
        <v>144.8</v>
      </c>
      <c r="J2663" s="14" t="n">
        <f aca="false">E2663-D2663</f>
        <v>-3</v>
      </c>
      <c r="K2663" s="14" t="n">
        <f aca="false">IF(J2663&lt;=0,1,0)</f>
        <v>1</v>
      </c>
      <c r="L2663" s="15" t="n">
        <f aca="false">IFERROR(G2663/F2663,0)</f>
        <v>1</v>
      </c>
      <c r="M2663" s="15" t="n">
        <f aca="false">IFERROR((I2663-H2663)/H2663,0)</f>
        <v>0.0672169811320755</v>
      </c>
      <c r="N2663" s="16" t="n">
        <f aca="false">G2663*I2663</f>
        <v>40254.4</v>
      </c>
    </row>
    <row r="2664" customFormat="false" ht="15" hidden="false" customHeight="true" outlineLevel="0" collapsed="false">
      <c r="A2664" s="4" t="s">
        <v>2840</v>
      </c>
      <c r="B2664" s="4" t="s">
        <v>109</v>
      </c>
      <c r="C2664" s="13" t="n">
        <v>44998</v>
      </c>
      <c r="D2664" s="13" t="n">
        <v>45017</v>
      </c>
      <c r="E2664" s="13" t="n">
        <v>45015</v>
      </c>
      <c r="F2664" s="4" t="n">
        <v>265</v>
      </c>
      <c r="G2664" s="4" t="n">
        <v>265</v>
      </c>
      <c r="H2664" s="4" t="n">
        <v>858.02</v>
      </c>
      <c r="I2664" s="4" t="n">
        <v>880.21</v>
      </c>
      <c r="J2664" s="14" t="n">
        <f aca="false">E2664-D2664</f>
        <v>-2</v>
      </c>
      <c r="K2664" s="14" t="n">
        <f aca="false">IF(J2664&lt;=0,1,0)</f>
        <v>1</v>
      </c>
      <c r="L2664" s="15" t="n">
        <f aca="false">IFERROR(G2664/F2664,0)</f>
        <v>1</v>
      </c>
      <c r="M2664" s="15" t="n">
        <f aca="false">IFERROR((I2664-H2664)/H2664,0)</f>
        <v>0.0258618680217245</v>
      </c>
      <c r="N2664" s="16" t="n">
        <f aca="false">G2664*I2664</f>
        <v>233255.65</v>
      </c>
    </row>
    <row r="2665" customFormat="false" ht="15" hidden="false" customHeight="true" outlineLevel="0" collapsed="false">
      <c r="A2665" s="4" t="s">
        <v>2841</v>
      </c>
      <c r="B2665" s="4" t="s">
        <v>149</v>
      </c>
      <c r="C2665" s="13" t="n">
        <v>45073</v>
      </c>
      <c r="D2665" s="13" t="n">
        <v>45077</v>
      </c>
      <c r="E2665" s="13" t="n">
        <v>45077</v>
      </c>
      <c r="F2665" s="4" t="n">
        <v>4</v>
      </c>
      <c r="G2665" s="4" t="n">
        <v>4</v>
      </c>
      <c r="H2665" s="4" t="n">
        <v>1458.52</v>
      </c>
      <c r="I2665" s="4" t="n">
        <v>1467.21</v>
      </c>
      <c r="J2665" s="14" t="n">
        <f aca="false">E2665-D2665</f>
        <v>0</v>
      </c>
      <c r="K2665" s="14" t="n">
        <f aca="false">IF(J2665&lt;=0,1,0)</f>
        <v>1</v>
      </c>
      <c r="L2665" s="15" t="n">
        <f aca="false">IFERROR(G2665/F2665,0)</f>
        <v>1</v>
      </c>
      <c r="M2665" s="15" t="n">
        <f aca="false">IFERROR((I2665-H2665)/H2665,0)</f>
        <v>0.00595809450676032</v>
      </c>
      <c r="N2665" s="16" t="n">
        <f aca="false">G2665*I2665</f>
        <v>5868.84</v>
      </c>
    </row>
    <row r="2666" customFormat="false" ht="15" hidden="false" customHeight="true" outlineLevel="0" collapsed="false">
      <c r="A2666" s="4" t="s">
        <v>2842</v>
      </c>
      <c r="B2666" s="4" t="s">
        <v>50</v>
      </c>
      <c r="C2666" s="13" t="n">
        <v>45146</v>
      </c>
      <c r="D2666" s="13" t="n">
        <v>45165</v>
      </c>
      <c r="E2666" s="13" t="n">
        <v>45163</v>
      </c>
      <c r="F2666" s="4" t="n">
        <v>334</v>
      </c>
      <c r="G2666" s="4" t="n">
        <v>326</v>
      </c>
      <c r="H2666" s="4" t="n">
        <v>707.19</v>
      </c>
      <c r="I2666" s="4" t="n">
        <v>736.1</v>
      </c>
      <c r="J2666" s="14" t="n">
        <f aca="false">E2666-D2666</f>
        <v>-2</v>
      </c>
      <c r="K2666" s="14" t="n">
        <f aca="false">IF(J2666&lt;=0,1,0)</f>
        <v>1</v>
      </c>
      <c r="L2666" s="15" t="n">
        <f aca="false">IFERROR(G2666/F2666,0)</f>
        <v>0.976047904191617</v>
      </c>
      <c r="M2666" s="15" t="n">
        <f aca="false">IFERROR((I2666-H2666)/H2666,0)</f>
        <v>0.0408801029426321</v>
      </c>
      <c r="N2666" s="16" t="n">
        <f aca="false">G2666*I2666</f>
        <v>239968.6</v>
      </c>
    </row>
    <row r="2667" customFormat="false" ht="15" hidden="false" customHeight="true" outlineLevel="0" collapsed="false">
      <c r="A2667" s="4" t="s">
        <v>2843</v>
      </c>
      <c r="B2667" s="4" t="s">
        <v>93</v>
      </c>
      <c r="C2667" s="13" t="n">
        <v>44963</v>
      </c>
      <c r="D2667" s="13" t="n">
        <v>44972</v>
      </c>
      <c r="E2667" s="13" t="n">
        <v>44975</v>
      </c>
      <c r="F2667" s="4" t="n">
        <v>1794</v>
      </c>
      <c r="G2667" s="4" t="n">
        <v>1731</v>
      </c>
      <c r="H2667" s="4" t="n">
        <v>174.25</v>
      </c>
      <c r="I2667" s="4" t="n">
        <v>175.4</v>
      </c>
      <c r="J2667" s="14" t="n">
        <f aca="false">E2667-D2667</f>
        <v>3</v>
      </c>
      <c r="K2667" s="14" t="n">
        <f aca="false">IF(J2667&lt;=0,1,0)</f>
        <v>0</v>
      </c>
      <c r="L2667" s="15" t="n">
        <f aca="false">IFERROR(G2667/F2667,0)</f>
        <v>0.964882943143813</v>
      </c>
      <c r="M2667" s="15" t="n">
        <f aca="false">IFERROR((I2667-H2667)/H2667,0)</f>
        <v>0.00659971305595412</v>
      </c>
      <c r="N2667" s="16" t="n">
        <f aca="false">G2667*I2667</f>
        <v>303617.4</v>
      </c>
    </row>
    <row r="2668" customFormat="false" ht="15" hidden="false" customHeight="true" outlineLevel="0" collapsed="false">
      <c r="A2668" s="4" t="s">
        <v>2844</v>
      </c>
      <c r="B2668" s="4" t="s">
        <v>149</v>
      </c>
      <c r="C2668" s="13" t="n">
        <v>45594</v>
      </c>
      <c r="D2668" s="13" t="n">
        <v>45598</v>
      </c>
      <c r="E2668" s="13" t="n">
        <v>45599</v>
      </c>
      <c r="F2668" s="4" t="n">
        <v>6</v>
      </c>
      <c r="G2668" s="4" t="n">
        <v>6</v>
      </c>
      <c r="H2668" s="4" t="n">
        <v>1458.52</v>
      </c>
      <c r="I2668" s="4" t="n">
        <v>1501.32</v>
      </c>
      <c r="J2668" s="14" t="n">
        <f aca="false">E2668-D2668</f>
        <v>1</v>
      </c>
      <c r="K2668" s="14" t="n">
        <f aca="false">IF(J2668&lt;=0,1,0)</f>
        <v>0</v>
      </c>
      <c r="L2668" s="15" t="n">
        <f aca="false">IFERROR(G2668/F2668,0)</f>
        <v>1</v>
      </c>
      <c r="M2668" s="15" t="n">
        <f aca="false">IFERROR((I2668-H2668)/H2668,0)</f>
        <v>0.029344815292214</v>
      </c>
      <c r="N2668" s="16" t="n">
        <f aca="false">G2668*I2668</f>
        <v>9007.92</v>
      </c>
    </row>
    <row r="2669" customFormat="false" ht="15" hidden="false" customHeight="true" outlineLevel="0" collapsed="false">
      <c r="A2669" s="4" t="s">
        <v>2845</v>
      </c>
      <c r="B2669" s="4" t="s">
        <v>127</v>
      </c>
      <c r="C2669" s="13" t="n">
        <v>45013</v>
      </c>
      <c r="D2669" s="13" t="n">
        <v>45018</v>
      </c>
      <c r="E2669" s="13" t="n">
        <v>45020</v>
      </c>
      <c r="F2669" s="4" t="n">
        <v>13</v>
      </c>
      <c r="G2669" s="4" t="n">
        <v>13</v>
      </c>
      <c r="H2669" s="4" t="n">
        <v>1881</v>
      </c>
      <c r="I2669" s="4" t="n">
        <v>1856.03</v>
      </c>
      <c r="J2669" s="14" t="n">
        <f aca="false">E2669-D2669</f>
        <v>2</v>
      </c>
      <c r="K2669" s="14" t="n">
        <f aca="false">IF(J2669&lt;=0,1,0)</f>
        <v>0</v>
      </c>
      <c r="L2669" s="15" t="n">
        <f aca="false">IFERROR(G2669/F2669,0)</f>
        <v>1</v>
      </c>
      <c r="M2669" s="15" t="n">
        <f aca="false">IFERROR((I2669-H2669)/H2669,0)</f>
        <v>-0.0132748538011696</v>
      </c>
      <c r="N2669" s="16" t="n">
        <f aca="false">G2669*I2669</f>
        <v>24128.39</v>
      </c>
    </row>
    <row r="2670" customFormat="false" ht="15" hidden="false" customHeight="true" outlineLevel="0" collapsed="false">
      <c r="A2670" s="4" t="s">
        <v>2846</v>
      </c>
      <c r="B2670" s="4" t="s">
        <v>137</v>
      </c>
      <c r="C2670" s="13" t="n">
        <v>45405</v>
      </c>
      <c r="D2670" s="13" t="n">
        <v>45423</v>
      </c>
      <c r="E2670" s="13" t="n">
        <v>45425</v>
      </c>
      <c r="F2670" s="4" t="n">
        <v>188</v>
      </c>
      <c r="G2670" s="4" t="n">
        <v>170</v>
      </c>
      <c r="H2670" s="4" t="n">
        <v>1047.25</v>
      </c>
      <c r="I2670" s="4" t="n">
        <v>1089.47</v>
      </c>
      <c r="J2670" s="14" t="n">
        <f aca="false">E2670-D2670</f>
        <v>2</v>
      </c>
      <c r="K2670" s="14" t="n">
        <f aca="false">IF(J2670&lt;=0,1,0)</f>
        <v>0</v>
      </c>
      <c r="L2670" s="15" t="n">
        <f aca="false">IFERROR(G2670/F2670,0)</f>
        <v>0.904255319148936</v>
      </c>
      <c r="M2670" s="15" t="n">
        <f aca="false">IFERROR((I2670-H2670)/H2670,0)</f>
        <v>0.0403151110050132</v>
      </c>
      <c r="N2670" s="16" t="n">
        <f aca="false">G2670*I2670</f>
        <v>185209.9</v>
      </c>
    </row>
    <row r="2671" customFormat="false" ht="15" hidden="false" customHeight="true" outlineLevel="0" collapsed="false">
      <c r="A2671" s="4" t="s">
        <v>2847</v>
      </c>
      <c r="B2671" s="4" t="s">
        <v>68</v>
      </c>
      <c r="C2671" s="13" t="n">
        <v>45591</v>
      </c>
      <c r="D2671" s="13" t="n">
        <v>45609</v>
      </c>
      <c r="E2671" s="13" t="n">
        <v>45607</v>
      </c>
      <c r="F2671" s="4" t="n">
        <v>135</v>
      </c>
      <c r="G2671" s="4" t="n">
        <v>127</v>
      </c>
      <c r="H2671" s="4" t="n">
        <v>1232.83</v>
      </c>
      <c r="I2671" s="4" t="n">
        <v>1235.86</v>
      </c>
      <c r="J2671" s="14" t="n">
        <f aca="false">E2671-D2671</f>
        <v>-2</v>
      </c>
      <c r="K2671" s="14" t="n">
        <f aca="false">IF(J2671&lt;=0,1,0)</f>
        <v>1</v>
      </c>
      <c r="L2671" s="15" t="n">
        <f aca="false">IFERROR(G2671/F2671,0)</f>
        <v>0.940740740740741</v>
      </c>
      <c r="M2671" s="15" t="n">
        <f aca="false">IFERROR((I2671-H2671)/H2671,0)</f>
        <v>0.00245775978845419</v>
      </c>
      <c r="N2671" s="16" t="n">
        <f aca="false">G2671*I2671</f>
        <v>156954.22</v>
      </c>
    </row>
    <row r="2672" customFormat="false" ht="15" hidden="false" customHeight="true" outlineLevel="0" collapsed="false">
      <c r="A2672" s="4" t="s">
        <v>2848</v>
      </c>
      <c r="B2672" s="4" t="s">
        <v>77</v>
      </c>
      <c r="C2672" s="13" t="n">
        <v>45111</v>
      </c>
      <c r="D2672" s="13" t="n">
        <v>45119</v>
      </c>
      <c r="E2672" s="13" t="n">
        <v>45129</v>
      </c>
      <c r="F2672" s="4" t="n">
        <v>1425</v>
      </c>
      <c r="G2672" s="4" t="n">
        <v>1425</v>
      </c>
      <c r="H2672" s="4" t="n">
        <v>36.83</v>
      </c>
      <c r="I2672" s="4" t="n">
        <v>35.7</v>
      </c>
      <c r="J2672" s="14" t="n">
        <f aca="false">E2672-D2672</f>
        <v>10</v>
      </c>
      <c r="K2672" s="14" t="n">
        <f aca="false">IF(J2672&lt;=0,1,0)</f>
        <v>0</v>
      </c>
      <c r="L2672" s="15" t="n">
        <f aca="false">IFERROR(G2672/F2672,0)</f>
        <v>1</v>
      </c>
      <c r="M2672" s="15" t="n">
        <f aca="false">IFERROR((I2672-H2672)/H2672,0)</f>
        <v>-0.0306815096388812</v>
      </c>
      <c r="N2672" s="16" t="n">
        <f aca="false">G2672*I2672</f>
        <v>50872.5</v>
      </c>
    </row>
    <row r="2673" customFormat="false" ht="15" hidden="false" customHeight="true" outlineLevel="0" collapsed="false">
      <c r="A2673" s="4" t="s">
        <v>2849</v>
      </c>
      <c r="B2673" s="4" t="s">
        <v>139</v>
      </c>
      <c r="C2673" s="13" t="n">
        <v>45233</v>
      </c>
      <c r="D2673" s="13" t="n">
        <v>45244</v>
      </c>
      <c r="E2673" s="13" t="n">
        <v>45245</v>
      </c>
      <c r="F2673" s="4" t="n">
        <v>607</v>
      </c>
      <c r="G2673" s="4" t="n">
        <v>529</v>
      </c>
      <c r="H2673" s="4" t="n">
        <v>207.64</v>
      </c>
      <c r="I2673" s="4" t="n">
        <v>214.97</v>
      </c>
      <c r="J2673" s="14" t="n">
        <f aca="false">E2673-D2673</f>
        <v>1</v>
      </c>
      <c r="K2673" s="14" t="n">
        <f aca="false">IF(J2673&lt;=0,1,0)</f>
        <v>0</v>
      </c>
      <c r="L2673" s="15" t="n">
        <f aca="false">IFERROR(G2673/F2673,0)</f>
        <v>0.871499176276771</v>
      </c>
      <c r="M2673" s="15" t="n">
        <f aca="false">IFERROR((I2673-H2673)/H2673,0)</f>
        <v>0.0353014833365441</v>
      </c>
      <c r="N2673" s="16" t="n">
        <f aca="false">G2673*I2673</f>
        <v>113719.13</v>
      </c>
    </row>
    <row r="2674" customFormat="false" ht="15" hidden="false" customHeight="true" outlineLevel="0" collapsed="false">
      <c r="A2674" s="4" t="s">
        <v>2850</v>
      </c>
      <c r="B2674" s="4" t="s">
        <v>163</v>
      </c>
      <c r="C2674" s="13" t="n">
        <v>45486</v>
      </c>
      <c r="D2674" s="13" t="n">
        <v>45504</v>
      </c>
      <c r="E2674" s="13" t="n">
        <v>45507</v>
      </c>
      <c r="F2674" s="4" t="n">
        <v>335</v>
      </c>
      <c r="G2674" s="4" t="n">
        <v>327</v>
      </c>
      <c r="H2674" s="4" t="n">
        <v>482.79</v>
      </c>
      <c r="I2674" s="4" t="n">
        <v>494.83</v>
      </c>
      <c r="J2674" s="14" t="n">
        <f aca="false">E2674-D2674</f>
        <v>3</v>
      </c>
      <c r="K2674" s="14" t="n">
        <f aca="false">IF(J2674&lt;=0,1,0)</f>
        <v>0</v>
      </c>
      <c r="L2674" s="15" t="n">
        <f aca="false">IFERROR(G2674/F2674,0)</f>
        <v>0.976119402985075</v>
      </c>
      <c r="M2674" s="15" t="n">
        <f aca="false">IFERROR((I2674-H2674)/H2674,0)</f>
        <v>0.0249383790053646</v>
      </c>
      <c r="N2674" s="16" t="n">
        <f aca="false">G2674*I2674</f>
        <v>161809.41</v>
      </c>
    </row>
    <row r="2675" customFormat="false" ht="15" hidden="false" customHeight="true" outlineLevel="0" collapsed="false">
      <c r="A2675" s="4" t="s">
        <v>2851</v>
      </c>
      <c r="B2675" s="4" t="s">
        <v>107</v>
      </c>
      <c r="C2675" s="13" t="n">
        <v>45067</v>
      </c>
      <c r="D2675" s="13" t="n">
        <v>45073</v>
      </c>
      <c r="E2675" s="13" t="n">
        <v>45067</v>
      </c>
      <c r="F2675" s="4" t="n">
        <v>1588</v>
      </c>
      <c r="G2675" s="4" t="n">
        <v>1588</v>
      </c>
      <c r="H2675" s="4" t="n">
        <v>40.41</v>
      </c>
      <c r="I2675" s="4" t="n">
        <v>40.42</v>
      </c>
      <c r="J2675" s="14" t="n">
        <f aca="false">E2675-D2675</f>
        <v>-6</v>
      </c>
      <c r="K2675" s="14" t="n">
        <f aca="false">IF(J2675&lt;=0,1,0)</f>
        <v>1</v>
      </c>
      <c r="L2675" s="15" t="n">
        <f aca="false">IFERROR(G2675/F2675,0)</f>
        <v>1</v>
      </c>
      <c r="M2675" s="15" t="n">
        <f aca="false">IFERROR((I2675-H2675)/H2675,0)</f>
        <v>0.000247463499134004</v>
      </c>
      <c r="N2675" s="16" t="n">
        <f aca="false">G2675*I2675</f>
        <v>64186.96</v>
      </c>
    </row>
    <row r="2676" customFormat="false" ht="15" hidden="false" customHeight="true" outlineLevel="0" collapsed="false">
      <c r="A2676" s="4" t="s">
        <v>2852</v>
      </c>
      <c r="B2676" s="4" t="s">
        <v>95</v>
      </c>
      <c r="C2676" s="13" t="n">
        <v>45303</v>
      </c>
      <c r="D2676" s="13" t="n">
        <v>45312</v>
      </c>
      <c r="E2676" s="13" t="n">
        <v>45313</v>
      </c>
      <c r="F2676" s="4" t="n">
        <v>4057</v>
      </c>
      <c r="G2676" s="4" t="n">
        <v>3994</v>
      </c>
      <c r="H2676" s="4" t="n">
        <v>20.39</v>
      </c>
      <c r="I2676" s="4" t="n">
        <v>20.56</v>
      </c>
      <c r="J2676" s="14" t="n">
        <f aca="false">E2676-D2676</f>
        <v>1</v>
      </c>
      <c r="K2676" s="14" t="n">
        <f aca="false">IF(J2676&lt;=0,1,0)</f>
        <v>0</v>
      </c>
      <c r="L2676" s="15" t="n">
        <f aca="false">IFERROR(G2676/F2676,0)</f>
        <v>0.984471284200148</v>
      </c>
      <c r="M2676" s="15" t="n">
        <f aca="false">IFERROR((I2676-H2676)/H2676,0)</f>
        <v>0.00833742030407053</v>
      </c>
      <c r="N2676" s="16" t="n">
        <f aca="false">G2676*I2676</f>
        <v>82116.64</v>
      </c>
    </row>
    <row r="2677" customFormat="false" ht="15" hidden="false" customHeight="true" outlineLevel="0" collapsed="false">
      <c r="A2677" s="4" t="s">
        <v>2853</v>
      </c>
      <c r="B2677" s="4" t="s">
        <v>87</v>
      </c>
      <c r="C2677" s="13" t="n">
        <v>45005</v>
      </c>
      <c r="D2677" s="13" t="n">
        <v>45015</v>
      </c>
      <c r="E2677" s="13" t="n">
        <v>45013</v>
      </c>
      <c r="F2677" s="4" t="n">
        <v>1667</v>
      </c>
      <c r="G2677" s="4" t="n">
        <v>1548</v>
      </c>
      <c r="H2677" s="4" t="n">
        <v>161.95</v>
      </c>
      <c r="I2677" s="4" t="n">
        <v>166.1</v>
      </c>
      <c r="J2677" s="14" t="n">
        <f aca="false">E2677-D2677</f>
        <v>-2</v>
      </c>
      <c r="K2677" s="14" t="n">
        <f aca="false">IF(J2677&lt;=0,1,0)</f>
        <v>1</v>
      </c>
      <c r="L2677" s="15" t="n">
        <f aca="false">IFERROR(G2677/F2677,0)</f>
        <v>0.928614277144571</v>
      </c>
      <c r="M2677" s="15" t="n">
        <f aca="false">IFERROR((I2677-H2677)/H2677,0)</f>
        <v>0.0256251929607904</v>
      </c>
      <c r="N2677" s="16" t="n">
        <f aca="false">G2677*I2677</f>
        <v>257122.8</v>
      </c>
    </row>
    <row r="2678" customFormat="false" ht="15" hidden="false" customHeight="true" outlineLevel="0" collapsed="false">
      <c r="A2678" s="4" t="s">
        <v>2854</v>
      </c>
      <c r="B2678" s="4" t="s">
        <v>107</v>
      </c>
      <c r="C2678" s="13" t="n">
        <v>45389</v>
      </c>
      <c r="D2678" s="13" t="n">
        <v>45395</v>
      </c>
      <c r="E2678" s="13" t="n">
        <v>45394</v>
      </c>
      <c r="F2678" s="4" t="n">
        <v>2159</v>
      </c>
      <c r="G2678" s="4" t="n">
        <v>2090</v>
      </c>
      <c r="H2678" s="4" t="n">
        <v>40.41</v>
      </c>
      <c r="I2678" s="4" t="n">
        <v>40.76</v>
      </c>
      <c r="J2678" s="14" t="n">
        <f aca="false">E2678-D2678</f>
        <v>-1</v>
      </c>
      <c r="K2678" s="14" t="n">
        <f aca="false">IF(J2678&lt;=0,1,0)</f>
        <v>1</v>
      </c>
      <c r="L2678" s="15" t="n">
        <f aca="false">IFERROR(G2678/F2678,0)</f>
        <v>0.968040759610931</v>
      </c>
      <c r="M2678" s="15" t="n">
        <f aca="false">IFERROR((I2678-H2678)/H2678,0)</f>
        <v>0.00866122246968576</v>
      </c>
      <c r="N2678" s="16" t="n">
        <f aca="false">G2678*I2678</f>
        <v>85188.4</v>
      </c>
    </row>
    <row r="2679" customFormat="false" ht="15" hidden="false" customHeight="true" outlineLevel="0" collapsed="false">
      <c r="A2679" s="4" t="s">
        <v>2855</v>
      </c>
      <c r="B2679" s="4" t="s">
        <v>37</v>
      </c>
      <c r="C2679" s="13" t="n">
        <v>45623</v>
      </c>
      <c r="D2679" s="13" t="n">
        <v>45630</v>
      </c>
      <c r="E2679" s="13" t="n">
        <v>45632</v>
      </c>
      <c r="F2679" s="4" t="n">
        <v>3705</v>
      </c>
      <c r="G2679" s="4" t="n">
        <v>3630</v>
      </c>
      <c r="H2679" s="4" t="n">
        <v>22.26</v>
      </c>
      <c r="I2679" s="4" t="n">
        <v>20.92</v>
      </c>
      <c r="J2679" s="14" t="n">
        <f aca="false">E2679-D2679</f>
        <v>2</v>
      </c>
      <c r="K2679" s="14" t="n">
        <f aca="false">IF(J2679&lt;=0,1,0)</f>
        <v>0</v>
      </c>
      <c r="L2679" s="15" t="n">
        <f aca="false">IFERROR(G2679/F2679,0)</f>
        <v>0.979757085020243</v>
      </c>
      <c r="M2679" s="15" t="n">
        <f aca="false">IFERROR((I2679-H2679)/H2679,0)</f>
        <v>-0.0601976639712489</v>
      </c>
      <c r="N2679" s="16" t="n">
        <f aca="false">G2679*I2679</f>
        <v>75939.6</v>
      </c>
    </row>
    <row r="2680" customFormat="false" ht="15" hidden="false" customHeight="true" outlineLevel="0" collapsed="false">
      <c r="A2680" s="4" t="s">
        <v>2856</v>
      </c>
      <c r="B2680" s="4" t="s">
        <v>107</v>
      </c>
      <c r="C2680" s="13" t="n">
        <v>45321</v>
      </c>
      <c r="D2680" s="13" t="n">
        <v>45329</v>
      </c>
      <c r="E2680" s="13" t="n">
        <v>45328</v>
      </c>
      <c r="F2680" s="4" t="n">
        <v>737</v>
      </c>
      <c r="G2680" s="4" t="n">
        <v>737</v>
      </c>
      <c r="H2680" s="4" t="n">
        <v>40.41</v>
      </c>
      <c r="I2680" s="4" t="n">
        <v>41.24</v>
      </c>
      <c r="J2680" s="14" t="n">
        <f aca="false">E2680-D2680</f>
        <v>-1</v>
      </c>
      <c r="K2680" s="14" t="n">
        <f aca="false">IF(J2680&lt;=0,1,0)</f>
        <v>1</v>
      </c>
      <c r="L2680" s="15" t="n">
        <f aca="false">IFERROR(G2680/F2680,0)</f>
        <v>1</v>
      </c>
      <c r="M2680" s="15" t="n">
        <f aca="false">IFERROR((I2680-H2680)/H2680,0)</f>
        <v>0.020539470428112</v>
      </c>
      <c r="N2680" s="16" t="n">
        <f aca="false">G2680*I2680</f>
        <v>30393.88</v>
      </c>
    </row>
    <row r="2681" customFormat="false" ht="15" hidden="false" customHeight="true" outlineLevel="0" collapsed="false">
      <c r="A2681" s="4" t="s">
        <v>2857</v>
      </c>
      <c r="B2681" s="4" t="s">
        <v>107</v>
      </c>
      <c r="C2681" s="13" t="n">
        <v>45296</v>
      </c>
      <c r="D2681" s="13" t="n">
        <v>45303</v>
      </c>
      <c r="E2681" s="13" t="n">
        <v>45303</v>
      </c>
      <c r="F2681" s="4" t="n">
        <v>655</v>
      </c>
      <c r="G2681" s="4" t="n">
        <v>643</v>
      </c>
      <c r="H2681" s="4" t="n">
        <v>40.41</v>
      </c>
      <c r="I2681" s="4" t="n">
        <v>40.27</v>
      </c>
      <c r="J2681" s="14" t="n">
        <f aca="false">E2681-D2681</f>
        <v>0</v>
      </c>
      <c r="K2681" s="14" t="n">
        <f aca="false">IF(J2681&lt;=0,1,0)</f>
        <v>1</v>
      </c>
      <c r="L2681" s="15" t="n">
        <f aca="false">IFERROR(G2681/F2681,0)</f>
        <v>0.981679389312977</v>
      </c>
      <c r="M2681" s="15" t="n">
        <f aca="false">IFERROR((I2681-H2681)/H2681,0)</f>
        <v>-0.00346448898787413</v>
      </c>
      <c r="N2681" s="16" t="n">
        <f aca="false">G2681*I2681</f>
        <v>25893.61</v>
      </c>
    </row>
    <row r="2682" customFormat="false" ht="15" hidden="false" customHeight="true" outlineLevel="0" collapsed="false">
      <c r="A2682" s="4" t="s">
        <v>2858</v>
      </c>
      <c r="B2682" s="4" t="s">
        <v>133</v>
      </c>
      <c r="C2682" s="13" t="n">
        <v>45173</v>
      </c>
      <c r="D2682" s="13" t="n">
        <v>45183</v>
      </c>
      <c r="E2682" s="13" t="n">
        <v>45185</v>
      </c>
      <c r="F2682" s="4" t="n">
        <v>847</v>
      </c>
      <c r="G2682" s="4" t="n">
        <v>793</v>
      </c>
      <c r="H2682" s="4" t="n">
        <v>138.21</v>
      </c>
      <c r="I2682" s="4" t="n">
        <v>138.68</v>
      </c>
      <c r="J2682" s="14" t="n">
        <f aca="false">E2682-D2682</f>
        <v>2</v>
      </c>
      <c r="K2682" s="14" t="n">
        <f aca="false">IF(J2682&lt;=0,1,0)</f>
        <v>0</v>
      </c>
      <c r="L2682" s="15" t="n">
        <f aca="false">IFERROR(G2682/F2682,0)</f>
        <v>0.936245572609209</v>
      </c>
      <c r="M2682" s="15" t="n">
        <f aca="false">IFERROR((I2682-H2682)/H2682,0)</f>
        <v>0.00340062224151652</v>
      </c>
      <c r="N2682" s="16" t="n">
        <f aca="false">G2682*I2682</f>
        <v>109973.24</v>
      </c>
    </row>
    <row r="2683" customFormat="false" ht="15" hidden="false" customHeight="true" outlineLevel="0" collapsed="false">
      <c r="A2683" s="4" t="s">
        <v>2859</v>
      </c>
      <c r="B2683" s="4" t="s">
        <v>37</v>
      </c>
      <c r="C2683" s="13" t="n">
        <v>45528</v>
      </c>
      <c r="D2683" s="13" t="n">
        <v>45536</v>
      </c>
      <c r="E2683" s="13" t="n">
        <v>45535</v>
      </c>
      <c r="F2683" s="4" t="n">
        <v>1820</v>
      </c>
      <c r="G2683" s="4" t="n">
        <v>1784</v>
      </c>
      <c r="H2683" s="4" t="n">
        <v>22.26</v>
      </c>
      <c r="I2683" s="4" t="n">
        <v>21.51</v>
      </c>
      <c r="J2683" s="14" t="n">
        <f aca="false">E2683-D2683</f>
        <v>-1</v>
      </c>
      <c r="K2683" s="14" t="n">
        <f aca="false">IF(J2683&lt;=0,1,0)</f>
        <v>1</v>
      </c>
      <c r="L2683" s="15" t="n">
        <f aca="false">IFERROR(G2683/F2683,0)</f>
        <v>0.98021978021978</v>
      </c>
      <c r="M2683" s="15" t="n">
        <f aca="false">IFERROR((I2683-H2683)/H2683,0)</f>
        <v>-0.0336927223719677</v>
      </c>
      <c r="N2683" s="16" t="n">
        <f aca="false">G2683*I2683</f>
        <v>38373.84</v>
      </c>
    </row>
    <row r="2684" customFormat="false" ht="15" hidden="false" customHeight="true" outlineLevel="0" collapsed="false">
      <c r="A2684" s="4" t="s">
        <v>2860</v>
      </c>
      <c r="B2684" s="4" t="s">
        <v>121</v>
      </c>
      <c r="C2684" s="13" t="n">
        <v>45080</v>
      </c>
      <c r="D2684" s="13" t="n">
        <v>45090</v>
      </c>
      <c r="E2684" s="13" t="n">
        <v>45096</v>
      </c>
      <c r="F2684" s="4" t="n">
        <v>550</v>
      </c>
      <c r="G2684" s="4" t="n">
        <v>498</v>
      </c>
      <c r="H2684" s="4" t="n">
        <v>206.07</v>
      </c>
      <c r="I2684" s="4" t="n">
        <v>212.16</v>
      </c>
      <c r="J2684" s="14" t="n">
        <f aca="false">E2684-D2684</f>
        <v>6</v>
      </c>
      <c r="K2684" s="14" t="n">
        <f aca="false">IF(J2684&lt;=0,1,0)</f>
        <v>0</v>
      </c>
      <c r="L2684" s="15" t="n">
        <f aca="false">IFERROR(G2684/F2684,0)</f>
        <v>0.905454545454545</v>
      </c>
      <c r="M2684" s="15" t="n">
        <f aca="false">IFERROR((I2684-H2684)/H2684,0)</f>
        <v>0.0295530644926482</v>
      </c>
      <c r="N2684" s="16" t="n">
        <f aca="false">G2684*I2684</f>
        <v>105655.68</v>
      </c>
    </row>
    <row r="2685" customFormat="false" ht="15" hidden="false" customHeight="true" outlineLevel="0" collapsed="false">
      <c r="A2685" s="4" t="s">
        <v>2861</v>
      </c>
      <c r="B2685" s="4" t="s">
        <v>74</v>
      </c>
      <c r="C2685" s="13" t="n">
        <v>45551</v>
      </c>
      <c r="D2685" s="13" t="n">
        <v>45557</v>
      </c>
      <c r="E2685" s="13" t="n">
        <v>45561</v>
      </c>
      <c r="F2685" s="4" t="n">
        <v>17</v>
      </c>
      <c r="G2685" s="4" t="n">
        <v>17</v>
      </c>
      <c r="H2685" s="4" t="n">
        <v>1294.62</v>
      </c>
      <c r="I2685" s="4" t="n">
        <v>1384.37</v>
      </c>
      <c r="J2685" s="14" t="n">
        <f aca="false">E2685-D2685</f>
        <v>4</v>
      </c>
      <c r="K2685" s="14" t="n">
        <f aca="false">IF(J2685&lt;=0,1,0)</f>
        <v>0</v>
      </c>
      <c r="L2685" s="15" t="n">
        <f aca="false">IFERROR(G2685/F2685,0)</f>
        <v>1</v>
      </c>
      <c r="M2685" s="15" t="n">
        <f aca="false">IFERROR((I2685-H2685)/H2685,0)</f>
        <v>0.0693253618822512</v>
      </c>
      <c r="N2685" s="16" t="n">
        <f aca="false">G2685*I2685</f>
        <v>23534.29</v>
      </c>
    </row>
    <row r="2686" customFormat="false" ht="15" hidden="false" customHeight="true" outlineLevel="0" collapsed="false">
      <c r="A2686" s="4" t="s">
        <v>2862</v>
      </c>
      <c r="B2686" s="4" t="s">
        <v>109</v>
      </c>
      <c r="C2686" s="13" t="n">
        <v>44933</v>
      </c>
      <c r="D2686" s="13" t="n">
        <v>44953</v>
      </c>
      <c r="E2686" s="13" t="n">
        <v>44955</v>
      </c>
      <c r="F2686" s="4" t="n">
        <v>443</v>
      </c>
      <c r="G2686" s="4" t="n">
        <v>417</v>
      </c>
      <c r="H2686" s="4" t="n">
        <v>858.02</v>
      </c>
      <c r="I2686" s="4" t="n">
        <v>847.54</v>
      </c>
      <c r="J2686" s="14" t="n">
        <f aca="false">E2686-D2686</f>
        <v>2</v>
      </c>
      <c r="K2686" s="14" t="n">
        <f aca="false">IF(J2686&lt;=0,1,0)</f>
        <v>0</v>
      </c>
      <c r="L2686" s="15" t="n">
        <f aca="false">IFERROR(G2686/F2686,0)</f>
        <v>0.941309255079007</v>
      </c>
      <c r="M2686" s="15" t="n">
        <f aca="false">IFERROR((I2686-H2686)/H2686,0)</f>
        <v>-0.0122141675019231</v>
      </c>
      <c r="N2686" s="16" t="n">
        <f aca="false">G2686*I2686</f>
        <v>353424.18</v>
      </c>
    </row>
    <row r="2687" customFormat="false" ht="15" hidden="false" customHeight="true" outlineLevel="0" collapsed="false">
      <c r="A2687" s="4" t="s">
        <v>2863</v>
      </c>
      <c r="B2687" s="4" t="s">
        <v>68</v>
      </c>
      <c r="C2687" s="13" t="n">
        <v>45523</v>
      </c>
      <c r="D2687" s="13" t="n">
        <v>45541</v>
      </c>
      <c r="E2687" s="13" t="n">
        <v>45544</v>
      </c>
      <c r="F2687" s="4" t="n">
        <v>385</v>
      </c>
      <c r="G2687" s="4" t="n">
        <v>351</v>
      </c>
      <c r="H2687" s="4" t="n">
        <v>1232.83</v>
      </c>
      <c r="I2687" s="4" t="n">
        <v>1213.68</v>
      </c>
      <c r="J2687" s="14" t="n">
        <f aca="false">E2687-D2687</f>
        <v>3</v>
      </c>
      <c r="K2687" s="14" t="n">
        <f aca="false">IF(J2687&lt;=0,1,0)</f>
        <v>0</v>
      </c>
      <c r="L2687" s="15" t="n">
        <f aca="false">IFERROR(G2687/F2687,0)</f>
        <v>0.911688311688312</v>
      </c>
      <c r="M2687" s="15" t="n">
        <f aca="false">IFERROR((I2687-H2687)/H2687,0)</f>
        <v>-0.0155333663197682</v>
      </c>
      <c r="N2687" s="16" t="n">
        <f aca="false">G2687*I2687</f>
        <v>426001.68</v>
      </c>
    </row>
    <row r="2688" customFormat="false" ht="15" hidden="false" customHeight="true" outlineLevel="0" collapsed="false">
      <c r="A2688" s="4" t="s">
        <v>2864</v>
      </c>
      <c r="B2688" s="4" t="s">
        <v>63</v>
      </c>
      <c r="C2688" s="13" t="n">
        <v>45271</v>
      </c>
      <c r="D2688" s="13" t="n">
        <v>45282</v>
      </c>
      <c r="E2688" s="13" t="n">
        <v>45285</v>
      </c>
      <c r="F2688" s="4" t="n">
        <v>1791</v>
      </c>
      <c r="G2688" s="4" t="n">
        <v>1701</v>
      </c>
      <c r="H2688" s="4" t="n">
        <v>239.8</v>
      </c>
      <c r="I2688" s="4" t="n">
        <v>254.67</v>
      </c>
      <c r="J2688" s="14" t="n">
        <f aca="false">E2688-D2688</f>
        <v>3</v>
      </c>
      <c r="K2688" s="14" t="n">
        <f aca="false">IF(J2688&lt;=0,1,0)</f>
        <v>0</v>
      </c>
      <c r="L2688" s="15" t="n">
        <f aca="false">IFERROR(G2688/F2688,0)</f>
        <v>0.949748743718593</v>
      </c>
      <c r="M2688" s="15" t="n">
        <f aca="false">IFERROR((I2688-H2688)/H2688,0)</f>
        <v>0.0620100083402835</v>
      </c>
      <c r="N2688" s="16" t="n">
        <f aca="false">G2688*I2688</f>
        <v>433193.67</v>
      </c>
    </row>
    <row r="2689" customFormat="false" ht="15" hidden="false" customHeight="true" outlineLevel="0" collapsed="false">
      <c r="A2689" s="4" t="s">
        <v>2865</v>
      </c>
      <c r="B2689" s="4" t="s">
        <v>32</v>
      </c>
      <c r="C2689" s="13" t="n">
        <v>45649</v>
      </c>
      <c r="D2689" s="13" t="n">
        <v>45656</v>
      </c>
      <c r="E2689" s="13" t="n">
        <v>45658</v>
      </c>
      <c r="F2689" s="4" t="n">
        <v>2573</v>
      </c>
      <c r="G2689" s="4" t="n">
        <v>2295</v>
      </c>
      <c r="H2689" s="4" t="n">
        <v>32.49</v>
      </c>
      <c r="I2689" s="4" t="n">
        <v>32.68</v>
      </c>
      <c r="J2689" s="14" t="n">
        <f aca="false">E2689-D2689</f>
        <v>2</v>
      </c>
      <c r="K2689" s="14" t="n">
        <f aca="false">IF(J2689&lt;=0,1,0)</f>
        <v>0</v>
      </c>
      <c r="L2689" s="15" t="n">
        <f aca="false">IFERROR(G2689/F2689,0)</f>
        <v>0.891954916439953</v>
      </c>
      <c r="M2689" s="15" t="n">
        <f aca="false">IFERROR((I2689-H2689)/H2689,0)</f>
        <v>0.0058479532163742</v>
      </c>
      <c r="N2689" s="16" t="n">
        <f aca="false">G2689*I2689</f>
        <v>75000.6</v>
      </c>
    </row>
    <row r="2690" customFormat="false" ht="15" hidden="false" customHeight="true" outlineLevel="0" collapsed="false">
      <c r="A2690" s="4" t="s">
        <v>2866</v>
      </c>
      <c r="B2690" s="4" t="s">
        <v>101</v>
      </c>
      <c r="C2690" s="13" t="n">
        <v>45329</v>
      </c>
      <c r="D2690" s="13" t="n">
        <v>45346</v>
      </c>
      <c r="E2690" s="13" t="n">
        <v>45347</v>
      </c>
      <c r="F2690" s="4" t="n">
        <v>415</v>
      </c>
      <c r="G2690" s="4" t="n">
        <v>399</v>
      </c>
      <c r="H2690" s="4" t="n">
        <v>442.74</v>
      </c>
      <c r="I2690" s="4" t="n">
        <v>446.01</v>
      </c>
      <c r="J2690" s="14" t="n">
        <f aca="false">E2690-D2690</f>
        <v>1</v>
      </c>
      <c r="K2690" s="14" t="n">
        <f aca="false">IF(J2690&lt;=0,1,0)</f>
        <v>0</v>
      </c>
      <c r="L2690" s="15" t="n">
        <f aca="false">IFERROR(G2690/F2690,0)</f>
        <v>0.96144578313253</v>
      </c>
      <c r="M2690" s="15" t="n">
        <f aca="false">IFERROR((I2690-H2690)/H2690,0)</f>
        <v>0.00738582463748471</v>
      </c>
      <c r="N2690" s="16" t="n">
        <f aca="false">G2690*I2690</f>
        <v>177957.99</v>
      </c>
    </row>
    <row r="2691" customFormat="false" ht="15" hidden="false" customHeight="true" outlineLevel="0" collapsed="false">
      <c r="A2691" s="4" t="s">
        <v>2867</v>
      </c>
      <c r="B2691" s="4" t="s">
        <v>52</v>
      </c>
      <c r="C2691" s="13" t="n">
        <v>45073</v>
      </c>
      <c r="D2691" s="13" t="n">
        <v>45084</v>
      </c>
      <c r="E2691" s="13" t="n">
        <v>45095</v>
      </c>
      <c r="F2691" s="4" t="n">
        <v>1390</v>
      </c>
      <c r="G2691" s="4" t="n">
        <v>1197</v>
      </c>
      <c r="H2691" s="4" t="n">
        <v>170.24</v>
      </c>
      <c r="I2691" s="4" t="n">
        <v>171.54</v>
      </c>
      <c r="J2691" s="14" t="n">
        <f aca="false">E2691-D2691</f>
        <v>11</v>
      </c>
      <c r="K2691" s="14" t="n">
        <f aca="false">IF(J2691&lt;=0,1,0)</f>
        <v>0</v>
      </c>
      <c r="L2691" s="15" t="n">
        <f aca="false">IFERROR(G2691/F2691,0)</f>
        <v>0.861151079136691</v>
      </c>
      <c r="M2691" s="15" t="n">
        <f aca="false">IFERROR((I2691-H2691)/H2691,0)</f>
        <v>0.00763627819548862</v>
      </c>
      <c r="N2691" s="16" t="n">
        <f aca="false">G2691*I2691</f>
        <v>205333.38</v>
      </c>
    </row>
    <row r="2692" customFormat="false" ht="15" hidden="false" customHeight="true" outlineLevel="0" collapsed="false">
      <c r="A2692" s="4" t="s">
        <v>2868</v>
      </c>
      <c r="B2692" s="4" t="s">
        <v>65</v>
      </c>
      <c r="C2692" s="13" t="n">
        <v>44952</v>
      </c>
      <c r="D2692" s="13" t="n">
        <v>44972</v>
      </c>
      <c r="E2692" s="13" t="n">
        <v>44971</v>
      </c>
      <c r="F2692" s="4" t="n">
        <v>121</v>
      </c>
      <c r="G2692" s="4" t="n">
        <v>121</v>
      </c>
      <c r="H2692" s="4" t="n">
        <v>1365.59</v>
      </c>
      <c r="I2692" s="4" t="n">
        <v>1372.3</v>
      </c>
      <c r="J2692" s="14" t="n">
        <f aca="false">E2692-D2692</f>
        <v>-1</v>
      </c>
      <c r="K2692" s="14" t="n">
        <f aca="false">IF(J2692&lt;=0,1,0)</f>
        <v>1</v>
      </c>
      <c r="L2692" s="15" t="n">
        <f aca="false">IFERROR(G2692/F2692,0)</f>
        <v>1</v>
      </c>
      <c r="M2692" s="15" t="n">
        <f aca="false">IFERROR((I2692-H2692)/H2692,0)</f>
        <v>0.00491362707694113</v>
      </c>
      <c r="N2692" s="16" t="n">
        <f aca="false">G2692*I2692</f>
        <v>166048.3</v>
      </c>
    </row>
    <row r="2693" customFormat="false" ht="15" hidden="false" customHeight="true" outlineLevel="0" collapsed="false">
      <c r="A2693" s="4" t="s">
        <v>2869</v>
      </c>
      <c r="B2693" s="4" t="s">
        <v>137</v>
      </c>
      <c r="C2693" s="13" t="n">
        <v>45301</v>
      </c>
      <c r="D2693" s="13" t="n">
        <v>45318</v>
      </c>
      <c r="E2693" s="13" t="n">
        <v>45324</v>
      </c>
      <c r="F2693" s="4" t="n">
        <v>433</v>
      </c>
      <c r="G2693" s="4" t="n">
        <v>419</v>
      </c>
      <c r="H2693" s="4" t="n">
        <v>1047.25</v>
      </c>
      <c r="I2693" s="4" t="n">
        <v>1092.68</v>
      </c>
      <c r="J2693" s="14" t="n">
        <f aca="false">E2693-D2693</f>
        <v>6</v>
      </c>
      <c r="K2693" s="14" t="n">
        <f aca="false">IF(J2693&lt;=0,1,0)</f>
        <v>0</v>
      </c>
      <c r="L2693" s="15" t="n">
        <f aca="false">IFERROR(G2693/F2693,0)</f>
        <v>0.967667436489607</v>
      </c>
      <c r="M2693" s="15" t="n">
        <f aca="false">IFERROR((I2693-H2693)/H2693,0)</f>
        <v>0.0433802816901409</v>
      </c>
      <c r="N2693" s="16" t="n">
        <f aca="false">G2693*I2693</f>
        <v>457832.92</v>
      </c>
    </row>
    <row r="2694" customFormat="false" ht="15" hidden="false" customHeight="true" outlineLevel="0" collapsed="false">
      <c r="A2694" s="4" t="s">
        <v>2870</v>
      </c>
      <c r="B2694" s="4" t="s">
        <v>143</v>
      </c>
      <c r="C2694" s="13" t="n">
        <v>45199</v>
      </c>
      <c r="D2694" s="13" t="n">
        <v>45206</v>
      </c>
      <c r="E2694" s="13" t="n">
        <v>45224</v>
      </c>
      <c r="F2694" s="4" t="n">
        <v>4621</v>
      </c>
      <c r="G2694" s="4" t="n">
        <v>4351</v>
      </c>
      <c r="H2694" s="4" t="n">
        <v>20.6</v>
      </c>
      <c r="I2694" s="4" t="n">
        <v>21.13</v>
      </c>
      <c r="J2694" s="14" t="n">
        <f aca="false">E2694-D2694</f>
        <v>18</v>
      </c>
      <c r="K2694" s="14" t="n">
        <f aca="false">IF(J2694&lt;=0,1,0)</f>
        <v>0</v>
      </c>
      <c r="L2694" s="15" t="n">
        <f aca="false">IFERROR(G2694/F2694,0)</f>
        <v>0.941571088508981</v>
      </c>
      <c r="M2694" s="15" t="n">
        <f aca="false">IFERROR((I2694-H2694)/H2694,0)</f>
        <v>0.0257281553398057</v>
      </c>
      <c r="N2694" s="16" t="n">
        <f aca="false">G2694*I2694</f>
        <v>91936.63</v>
      </c>
    </row>
    <row r="2695" customFormat="false" ht="15" hidden="false" customHeight="true" outlineLevel="0" collapsed="false">
      <c r="A2695" s="4" t="s">
        <v>2871</v>
      </c>
      <c r="B2695" s="4" t="s">
        <v>41</v>
      </c>
      <c r="C2695" s="13" t="n">
        <v>45379</v>
      </c>
      <c r="D2695" s="13" t="n">
        <v>45386</v>
      </c>
      <c r="E2695" s="13" t="n">
        <v>45385</v>
      </c>
      <c r="F2695" s="4" t="n">
        <v>1028</v>
      </c>
      <c r="G2695" s="4" t="n">
        <v>1028</v>
      </c>
      <c r="H2695" s="4" t="n">
        <v>45.51</v>
      </c>
      <c r="I2695" s="4" t="n">
        <v>44.9</v>
      </c>
      <c r="J2695" s="14" t="n">
        <f aca="false">E2695-D2695</f>
        <v>-1</v>
      </c>
      <c r="K2695" s="14" t="n">
        <f aca="false">IF(J2695&lt;=0,1,0)</f>
        <v>1</v>
      </c>
      <c r="L2695" s="15" t="n">
        <f aca="false">IFERROR(G2695/F2695,0)</f>
        <v>1</v>
      </c>
      <c r="M2695" s="15" t="n">
        <f aca="false">IFERROR((I2695-H2695)/H2695,0)</f>
        <v>-0.013403647549989</v>
      </c>
      <c r="N2695" s="16" t="n">
        <f aca="false">G2695*I2695</f>
        <v>46157.2</v>
      </c>
    </row>
    <row r="2696" customFormat="false" ht="15" hidden="false" customHeight="true" outlineLevel="0" collapsed="false">
      <c r="A2696" s="4" t="s">
        <v>2872</v>
      </c>
      <c r="B2696" s="4" t="s">
        <v>133</v>
      </c>
      <c r="C2696" s="13" t="n">
        <v>45185</v>
      </c>
      <c r="D2696" s="13" t="n">
        <v>45197</v>
      </c>
      <c r="E2696" s="13" t="n">
        <v>45202</v>
      </c>
      <c r="F2696" s="4" t="n">
        <v>1939</v>
      </c>
      <c r="G2696" s="4" t="n">
        <v>1798</v>
      </c>
      <c r="H2696" s="4" t="n">
        <v>138.21</v>
      </c>
      <c r="I2696" s="4" t="n">
        <v>138.35</v>
      </c>
      <c r="J2696" s="14" t="n">
        <f aca="false">E2696-D2696</f>
        <v>5</v>
      </c>
      <c r="K2696" s="14" t="n">
        <f aca="false">IF(J2696&lt;=0,1,0)</f>
        <v>0</v>
      </c>
      <c r="L2696" s="15" t="n">
        <f aca="false">IFERROR(G2696/F2696,0)</f>
        <v>0.927282104177411</v>
      </c>
      <c r="M2696" s="15" t="n">
        <f aca="false">IFERROR((I2696-H2696)/H2696,0)</f>
        <v>0.00101295130598355</v>
      </c>
      <c r="N2696" s="16" t="n">
        <f aca="false">G2696*I2696</f>
        <v>248753.3</v>
      </c>
    </row>
    <row r="2697" customFormat="false" ht="15" hidden="false" customHeight="true" outlineLevel="0" collapsed="false">
      <c r="A2697" s="4" t="s">
        <v>2873</v>
      </c>
      <c r="B2697" s="4" t="s">
        <v>141</v>
      </c>
      <c r="C2697" s="13" t="n">
        <v>45445</v>
      </c>
      <c r="D2697" s="13" t="n">
        <v>45462</v>
      </c>
      <c r="E2697" s="13" t="n">
        <v>45466</v>
      </c>
      <c r="F2697" s="4" t="n">
        <v>132</v>
      </c>
      <c r="G2697" s="4" t="n">
        <v>129</v>
      </c>
      <c r="H2697" s="4" t="n">
        <v>1252.36</v>
      </c>
      <c r="I2697" s="4" t="n">
        <v>1206.42</v>
      </c>
      <c r="J2697" s="14" t="n">
        <f aca="false">E2697-D2697</f>
        <v>4</v>
      </c>
      <c r="K2697" s="14" t="n">
        <f aca="false">IF(J2697&lt;=0,1,0)</f>
        <v>0</v>
      </c>
      <c r="L2697" s="15" t="n">
        <f aca="false">IFERROR(G2697/F2697,0)</f>
        <v>0.977272727272727</v>
      </c>
      <c r="M2697" s="15" t="n">
        <f aca="false">IFERROR((I2697-H2697)/H2697,0)</f>
        <v>-0.0366827429812513</v>
      </c>
      <c r="N2697" s="16" t="n">
        <f aca="false">G2697*I2697</f>
        <v>155628.18</v>
      </c>
    </row>
    <row r="2698" customFormat="false" ht="15" hidden="false" customHeight="true" outlineLevel="0" collapsed="false">
      <c r="A2698" s="4" t="s">
        <v>2874</v>
      </c>
      <c r="B2698" s="4" t="s">
        <v>61</v>
      </c>
      <c r="C2698" s="13" t="n">
        <v>45363</v>
      </c>
      <c r="D2698" s="13" t="n">
        <v>45374</v>
      </c>
      <c r="E2698" s="13" t="n">
        <v>45382</v>
      </c>
      <c r="F2698" s="4" t="n">
        <v>589</v>
      </c>
      <c r="G2698" s="4" t="n">
        <v>567</v>
      </c>
      <c r="H2698" s="4" t="n">
        <v>107.41</v>
      </c>
      <c r="I2698" s="4" t="n">
        <v>108.38</v>
      </c>
      <c r="J2698" s="14" t="n">
        <f aca="false">E2698-D2698</f>
        <v>8</v>
      </c>
      <c r="K2698" s="14" t="n">
        <f aca="false">IF(J2698&lt;=0,1,0)</f>
        <v>0</v>
      </c>
      <c r="L2698" s="15" t="n">
        <f aca="false">IFERROR(G2698/F2698,0)</f>
        <v>0.962648556876061</v>
      </c>
      <c r="M2698" s="15" t="n">
        <f aca="false">IFERROR((I2698-H2698)/H2698,0)</f>
        <v>0.00903081649753281</v>
      </c>
      <c r="N2698" s="16" t="n">
        <f aca="false">G2698*I2698</f>
        <v>61451.46</v>
      </c>
    </row>
    <row r="2699" customFormat="false" ht="15" hidden="false" customHeight="true" outlineLevel="0" collapsed="false">
      <c r="A2699" s="4" t="s">
        <v>2875</v>
      </c>
      <c r="B2699" s="4" t="s">
        <v>65</v>
      </c>
      <c r="C2699" s="13" t="n">
        <v>44936</v>
      </c>
      <c r="D2699" s="13" t="n">
        <v>44955</v>
      </c>
      <c r="E2699" s="13" t="n">
        <v>44956</v>
      </c>
      <c r="F2699" s="4" t="n">
        <v>402</v>
      </c>
      <c r="G2699" s="4" t="n">
        <v>393</v>
      </c>
      <c r="H2699" s="4" t="n">
        <v>1365.59</v>
      </c>
      <c r="I2699" s="4" t="n">
        <v>1373.04</v>
      </c>
      <c r="J2699" s="14" t="n">
        <f aca="false">E2699-D2699</f>
        <v>1</v>
      </c>
      <c r="K2699" s="14" t="n">
        <f aca="false">IF(J2699&lt;=0,1,0)</f>
        <v>0</v>
      </c>
      <c r="L2699" s="15" t="n">
        <f aca="false">IFERROR(G2699/F2699,0)</f>
        <v>0.977611940298508</v>
      </c>
      <c r="M2699" s="15" t="n">
        <f aca="false">IFERROR((I2699-H2699)/H2699,0)</f>
        <v>0.00545551739541154</v>
      </c>
      <c r="N2699" s="16" t="n">
        <f aca="false">G2699*I2699</f>
        <v>539604.72</v>
      </c>
    </row>
    <row r="2700" customFormat="false" ht="15" hidden="false" customHeight="true" outlineLevel="0" collapsed="false">
      <c r="A2700" s="4" t="s">
        <v>2876</v>
      </c>
      <c r="B2700" s="4" t="s">
        <v>79</v>
      </c>
      <c r="C2700" s="13" t="n">
        <v>45634</v>
      </c>
      <c r="D2700" s="13" t="n">
        <v>45651</v>
      </c>
      <c r="E2700" s="13" t="n">
        <v>45653</v>
      </c>
      <c r="F2700" s="4" t="n">
        <v>170</v>
      </c>
      <c r="G2700" s="4" t="n">
        <v>159</v>
      </c>
      <c r="H2700" s="4" t="n">
        <v>821.48</v>
      </c>
      <c r="I2700" s="4" t="n">
        <v>875.43</v>
      </c>
      <c r="J2700" s="14" t="n">
        <f aca="false">E2700-D2700</f>
        <v>2</v>
      </c>
      <c r="K2700" s="14" t="n">
        <f aca="false">IF(J2700&lt;=0,1,0)</f>
        <v>0</v>
      </c>
      <c r="L2700" s="15" t="n">
        <f aca="false">IFERROR(G2700/F2700,0)</f>
        <v>0.935294117647059</v>
      </c>
      <c r="M2700" s="15" t="n">
        <f aca="false">IFERROR((I2700-H2700)/H2700,0)</f>
        <v>0.0656741490967521</v>
      </c>
      <c r="N2700" s="16" t="n">
        <f aca="false">G2700*I2700</f>
        <v>139193.37</v>
      </c>
    </row>
    <row r="2701" customFormat="false" ht="15" hidden="false" customHeight="true" outlineLevel="0" collapsed="false">
      <c r="A2701" s="4" t="s">
        <v>2877</v>
      </c>
      <c r="B2701" s="4" t="s">
        <v>125</v>
      </c>
      <c r="C2701" s="13" t="n">
        <v>45128</v>
      </c>
      <c r="D2701" s="13" t="n">
        <v>45134</v>
      </c>
      <c r="E2701" s="13" t="n">
        <v>45135</v>
      </c>
      <c r="F2701" s="4" t="n">
        <v>6</v>
      </c>
      <c r="G2701" s="4" t="n">
        <v>5</v>
      </c>
      <c r="H2701" s="4" t="n">
        <v>729.32</v>
      </c>
      <c r="I2701" s="4" t="n">
        <v>732.35</v>
      </c>
      <c r="J2701" s="14" t="n">
        <f aca="false">E2701-D2701</f>
        <v>1</v>
      </c>
      <c r="K2701" s="14" t="n">
        <f aca="false">IF(J2701&lt;=0,1,0)</f>
        <v>0</v>
      </c>
      <c r="L2701" s="15" t="n">
        <f aca="false">IFERROR(G2701/F2701,0)</f>
        <v>0.833333333333333</v>
      </c>
      <c r="M2701" s="15" t="n">
        <f aca="false">IFERROR((I2701-H2701)/H2701,0)</f>
        <v>0.00415455492787799</v>
      </c>
      <c r="N2701" s="16" t="n">
        <f aca="false">G2701*I2701</f>
        <v>3661.75</v>
      </c>
    </row>
    <row r="2702" customFormat="false" ht="15" hidden="false" customHeight="true" outlineLevel="0" collapsed="false">
      <c r="A2702" s="4" t="s">
        <v>2878</v>
      </c>
      <c r="B2702" s="4" t="s">
        <v>74</v>
      </c>
      <c r="C2702" s="13" t="n">
        <v>45095</v>
      </c>
      <c r="D2702" s="13" t="n">
        <v>45102</v>
      </c>
      <c r="E2702" s="13" t="n">
        <v>45104</v>
      </c>
      <c r="F2702" s="4" t="n">
        <v>11</v>
      </c>
      <c r="G2702" s="4" t="n">
        <v>11</v>
      </c>
      <c r="H2702" s="4" t="n">
        <v>1294.62</v>
      </c>
      <c r="I2702" s="4" t="n">
        <v>1303.84</v>
      </c>
      <c r="J2702" s="14" t="n">
        <f aca="false">E2702-D2702</f>
        <v>2</v>
      </c>
      <c r="K2702" s="14" t="n">
        <f aca="false">IF(J2702&lt;=0,1,0)</f>
        <v>0</v>
      </c>
      <c r="L2702" s="15" t="n">
        <f aca="false">IFERROR(G2702/F2702,0)</f>
        <v>1</v>
      </c>
      <c r="M2702" s="15" t="n">
        <f aca="false">IFERROR((I2702-H2702)/H2702,0)</f>
        <v>0.00712178090868365</v>
      </c>
      <c r="N2702" s="16" t="n">
        <f aca="false">G2702*I2702</f>
        <v>14342.24</v>
      </c>
    </row>
    <row r="2703" customFormat="false" ht="15" hidden="false" customHeight="true" outlineLevel="0" collapsed="false">
      <c r="A2703" s="4" t="s">
        <v>2879</v>
      </c>
      <c r="B2703" s="4" t="s">
        <v>123</v>
      </c>
      <c r="C2703" s="13" t="n">
        <v>45401</v>
      </c>
      <c r="D2703" s="13" t="n">
        <v>45413</v>
      </c>
      <c r="E2703" s="13" t="n">
        <v>45413</v>
      </c>
      <c r="F2703" s="4" t="n">
        <v>153</v>
      </c>
      <c r="G2703" s="4" t="n">
        <v>145</v>
      </c>
      <c r="H2703" s="4" t="n">
        <v>214.07</v>
      </c>
      <c r="I2703" s="4" t="n">
        <v>244.47</v>
      </c>
      <c r="J2703" s="14" t="n">
        <f aca="false">E2703-D2703</f>
        <v>0</v>
      </c>
      <c r="K2703" s="14" t="n">
        <f aca="false">IF(J2703&lt;=0,1,0)</f>
        <v>1</v>
      </c>
      <c r="L2703" s="15" t="n">
        <f aca="false">IFERROR(G2703/F2703,0)</f>
        <v>0.947712418300654</v>
      </c>
      <c r="M2703" s="15" t="n">
        <f aca="false">IFERROR((I2703-H2703)/H2703,0)</f>
        <v>0.142009623020507</v>
      </c>
      <c r="N2703" s="16" t="n">
        <f aca="false">G2703*I2703</f>
        <v>35448.15</v>
      </c>
    </row>
    <row r="2704" customFormat="false" ht="15" hidden="false" customHeight="true" outlineLevel="0" collapsed="false">
      <c r="A2704" s="4" t="s">
        <v>2880</v>
      </c>
      <c r="B2704" s="4" t="s">
        <v>58</v>
      </c>
      <c r="C2704" s="13" t="n">
        <v>45121</v>
      </c>
      <c r="D2704" s="13" t="n">
        <v>45134</v>
      </c>
      <c r="E2704" s="13" t="n">
        <v>45130</v>
      </c>
      <c r="F2704" s="4" t="n">
        <v>295</v>
      </c>
      <c r="G2704" s="4" t="n">
        <v>292</v>
      </c>
      <c r="H2704" s="4" t="n">
        <v>135.68</v>
      </c>
      <c r="I2704" s="4" t="n">
        <v>136.21</v>
      </c>
      <c r="J2704" s="14" t="n">
        <f aca="false">E2704-D2704</f>
        <v>-4</v>
      </c>
      <c r="K2704" s="14" t="n">
        <f aca="false">IF(J2704&lt;=0,1,0)</f>
        <v>1</v>
      </c>
      <c r="L2704" s="15" t="n">
        <f aca="false">IFERROR(G2704/F2704,0)</f>
        <v>0.989830508474576</v>
      </c>
      <c r="M2704" s="15" t="n">
        <f aca="false">IFERROR((I2704-H2704)/H2704,0)</f>
        <v>0.00390625000000001</v>
      </c>
      <c r="N2704" s="16" t="n">
        <f aca="false">G2704*I2704</f>
        <v>39773.32</v>
      </c>
    </row>
    <row r="2705" customFormat="false" ht="15" hidden="false" customHeight="true" outlineLevel="0" collapsed="false">
      <c r="A2705" s="4" t="s">
        <v>2881</v>
      </c>
      <c r="B2705" s="4" t="s">
        <v>135</v>
      </c>
      <c r="C2705" s="13" t="n">
        <v>45566</v>
      </c>
      <c r="D2705" s="13" t="n">
        <v>45577</v>
      </c>
      <c r="E2705" s="13" t="n">
        <v>45576</v>
      </c>
      <c r="F2705" s="4" t="n">
        <v>175</v>
      </c>
      <c r="G2705" s="4" t="n">
        <v>175</v>
      </c>
      <c r="H2705" s="4" t="n">
        <v>328.06</v>
      </c>
      <c r="I2705" s="4" t="n">
        <v>324.39</v>
      </c>
      <c r="J2705" s="14" t="n">
        <f aca="false">E2705-D2705</f>
        <v>-1</v>
      </c>
      <c r="K2705" s="14" t="n">
        <f aca="false">IF(J2705&lt;=0,1,0)</f>
        <v>1</v>
      </c>
      <c r="L2705" s="15" t="n">
        <f aca="false">IFERROR(G2705/F2705,0)</f>
        <v>1</v>
      </c>
      <c r="M2705" s="15" t="n">
        <f aca="false">IFERROR((I2705-H2705)/H2705,0)</f>
        <v>-0.0111869779918308</v>
      </c>
      <c r="N2705" s="16" t="n">
        <f aca="false">G2705*I2705</f>
        <v>56768.25</v>
      </c>
    </row>
    <row r="2706" customFormat="false" ht="15" hidden="false" customHeight="true" outlineLevel="0" collapsed="false">
      <c r="A2706" s="4" t="s">
        <v>2882</v>
      </c>
      <c r="B2706" s="4" t="s">
        <v>79</v>
      </c>
      <c r="C2706" s="13" t="n">
        <v>45033</v>
      </c>
      <c r="D2706" s="13" t="n">
        <v>45053</v>
      </c>
      <c r="E2706" s="13" t="n">
        <v>45052</v>
      </c>
      <c r="F2706" s="4" t="n">
        <v>362</v>
      </c>
      <c r="G2706" s="4" t="n">
        <v>346</v>
      </c>
      <c r="H2706" s="4" t="n">
        <v>821.48</v>
      </c>
      <c r="I2706" s="4" t="n">
        <v>829.68</v>
      </c>
      <c r="J2706" s="14" t="n">
        <f aca="false">E2706-D2706</f>
        <v>-1</v>
      </c>
      <c r="K2706" s="14" t="n">
        <f aca="false">IF(J2706&lt;=0,1,0)</f>
        <v>1</v>
      </c>
      <c r="L2706" s="15" t="n">
        <f aca="false">IFERROR(G2706/F2706,0)</f>
        <v>0.955801104972376</v>
      </c>
      <c r="M2706" s="15" t="n">
        <f aca="false">IFERROR((I2706-H2706)/H2706,0)</f>
        <v>0.00998198373667032</v>
      </c>
      <c r="N2706" s="16" t="n">
        <f aca="false">G2706*I2706</f>
        <v>287069.28</v>
      </c>
    </row>
    <row r="2707" customFormat="false" ht="15" hidden="false" customHeight="true" outlineLevel="0" collapsed="false">
      <c r="A2707" s="4" t="s">
        <v>2883</v>
      </c>
      <c r="B2707" s="4" t="s">
        <v>153</v>
      </c>
      <c r="C2707" s="13" t="n">
        <v>45045</v>
      </c>
      <c r="D2707" s="13" t="n">
        <v>45063</v>
      </c>
      <c r="E2707" s="13" t="n">
        <v>45074</v>
      </c>
      <c r="F2707" s="4" t="n">
        <v>147</v>
      </c>
      <c r="G2707" s="4" t="n">
        <v>140</v>
      </c>
      <c r="H2707" s="4" t="n">
        <v>1492.04</v>
      </c>
      <c r="I2707" s="4" t="n">
        <v>1506.58</v>
      </c>
      <c r="J2707" s="14" t="n">
        <f aca="false">E2707-D2707</f>
        <v>11</v>
      </c>
      <c r="K2707" s="14" t="n">
        <f aca="false">IF(J2707&lt;=0,1,0)</f>
        <v>0</v>
      </c>
      <c r="L2707" s="15" t="n">
        <f aca="false">IFERROR(G2707/F2707,0)</f>
        <v>0.952380952380952</v>
      </c>
      <c r="M2707" s="15" t="n">
        <f aca="false">IFERROR((I2707-H2707)/H2707,0)</f>
        <v>0.00974504704967693</v>
      </c>
      <c r="N2707" s="16" t="n">
        <f aca="false">G2707*I2707</f>
        <v>210921.2</v>
      </c>
    </row>
    <row r="2708" customFormat="false" ht="15" hidden="false" customHeight="true" outlineLevel="0" collapsed="false">
      <c r="A2708" s="4" t="s">
        <v>2884</v>
      </c>
      <c r="B2708" s="4" t="s">
        <v>151</v>
      </c>
      <c r="C2708" s="13" t="n">
        <v>45345</v>
      </c>
      <c r="D2708" s="13" t="n">
        <v>45352</v>
      </c>
      <c r="E2708" s="13" t="n">
        <v>45354</v>
      </c>
      <c r="F2708" s="4" t="n">
        <v>14</v>
      </c>
      <c r="G2708" s="4" t="n">
        <v>14</v>
      </c>
      <c r="H2708" s="4" t="n">
        <v>503.46</v>
      </c>
      <c r="I2708" s="4" t="n">
        <v>523.46</v>
      </c>
      <c r="J2708" s="14" t="n">
        <f aca="false">E2708-D2708</f>
        <v>2</v>
      </c>
      <c r="K2708" s="14" t="n">
        <f aca="false">IF(J2708&lt;=0,1,0)</f>
        <v>0</v>
      </c>
      <c r="L2708" s="15" t="n">
        <f aca="false">IFERROR(G2708/F2708,0)</f>
        <v>1</v>
      </c>
      <c r="M2708" s="15" t="n">
        <f aca="false">IFERROR((I2708-H2708)/H2708,0)</f>
        <v>0.0397251022921385</v>
      </c>
      <c r="N2708" s="16" t="n">
        <f aca="false">G2708*I2708</f>
        <v>7328.44</v>
      </c>
    </row>
    <row r="2709" customFormat="false" ht="15" hidden="false" customHeight="true" outlineLevel="0" collapsed="false">
      <c r="A2709" s="4" t="s">
        <v>2885</v>
      </c>
      <c r="B2709" s="4" t="s">
        <v>133</v>
      </c>
      <c r="C2709" s="13" t="n">
        <v>45312</v>
      </c>
      <c r="D2709" s="13" t="n">
        <v>45324</v>
      </c>
      <c r="E2709" s="13" t="n">
        <v>45323</v>
      </c>
      <c r="F2709" s="4" t="n">
        <v>1171</v>
      </c>
      <c r="G2709" s="4" t="n">
        <v>1126</v>
      </c>
      <c r="H2709" s="4" t="n">
        <v>138.21</v>
      </c>
      <c r="I2709" s="4" t="n">
        <v>142.15</v>
      </c>
      <c r="J2709" s="14" t="n">
        <f aca="false">E2709-D2709</f>
        <v>-1</v>
      </c>
      <c r="K2709" s="14" t="n">
        <f aca="false">IF(J2709&lt;=0,1,0)</f>
        <v>1</v>
      </c>
      <c r="L2709" s="15" t="n">
        <f aca="false">IFERROR(G2709/F2709,0)</f>
        <v>0.961571306575576</v>
      </c>
      <c r="M2709" s="15" t="n">
        <f aca="false">IFERROR((I2709-H2709)/H2709,0)</f>
        <v>0.0285073438969684</v>
      </c>
      <c r="N2709" s="16" t="n">
        <f aca="false">G2709*I2709</f>
        <v>160060.9</v>
      </c>
    </row>
    <row r="2710" customFormat="false" ht="15" hidden="false" customHeight="true" outlineLevel="0" collapsed="false">
      <c r="A2710" s="4" t="s">
        <v>2886</v>
      </c>
      <c r="B2710" s="4" t="s">
        <v>139</v>
      </c>
      <c r="C2710" s="13" t="n">
        <v>44965</v>
      </c>
      <c r="D2710" s="13" t="n">
        <v>44975</v>
      </c>
      <c r="E2710" s="13" t="n">
        <v>44971</v>
      </c>
      <c r="F2710" s="4" t="n">
        <v>1865</v>
      </c>
      <c r="G2710" s="4" t="n">
        <v>1699</v>
      </c>
      <c r="H2710" s="4" t="n">
        <v>207.64</v>
      </c>
      <c r="I2710" s="4" t="n">
        <v>206.16</v>
      </c>
      <c r="J2710" s="14" t="n">
        <f aca="false">E2710-D2710</f>
        <v>-4</v>
      </c>
      <c r="K2710" s="14" t="n">
        <f aca="false">IF(J2710&lt;=0,1,0)</f>
        <v>1</v>
      </c>
      <c r="L2710" s="15" t="n">
        <f aca="false">IFERROR(G2710/F2710,0)</f>
        <v>0.910991957104558</v>
      </c>
      <c r="M2710" s="15" t="n">
        <f aca="false">IFERROR((I2710-H2710)/H2710,0)</f>
        <v>-0.00712772105567323</v>
      </c>
      <c r="N2710" s="16" t="n">
        <f aca="false">G2710*I2710</f>
        <v>350265.84</v>
      </c>
    </row>
    <row r="2711" customFormat="false" ht="15" hidden="false" customHeight="true" outlineLevel="0" collapsed="false">
      <c r="A2711" s="4" t="s">
        <v>2887</v>
      </c>
      <c r="B2711" s="4" t="s">
        <v>157</v>
      </c>
      <c r="C2711" s="13" t="n">
        <v>45036</v>
      </c>
      <c r="D2711" s="13" t="n">
        <v>45045</v>
      </c>
      <c r="E2711" s="13" t="n">
        <v>45043</v>
      </c>
      <c r="F2711" s="4" t="n">
        <v>2415</v>
      </c>
      <c r="G2711" s="4" t="n">
        <v>2313</v>
      </c>
      <c r="H2711" s="4" t="n">
        <v>13.1</v>
      </c>
      <c r="I2711" s="4" t="n">
        <v>13.25</v>
      </c>
      <c r="J2711" s="14" t="n">
        <f aca="false">E2711-D2711</f>
        <v>-2</v>
      </c>
      <c r="K2711" s="14" t="n">
        <f aca="false">IF(J2711&lt;=0,1,0)</f>
        <v>1</v>
      </c>
      <c r="L2711" s="15" t="n">
        <f aca="false">IFERROR(G2711/F2711,0)</f>
        <v>0.95776397515528</v>
      </c>
      <c r="M2711" s="15" t="n">
        <f aca="false">IFERROR((I2711-H2711)/H2711,0)</f>
        <v>0.0114503816793893</v>
      </c>
      <c r="N2711" s="16" t="n">
        <f aca="false">G2711*I2711</f>
        <v>30647.25</v>
      </c>
    </row>
    <row r="2712" customFormat="false" ht="15" hidden="false" customHeight="true" outlineLevel="0" collapsed="false">
      <c r="A2712" s="4" t="s">
        <v>2888</v>
      </c>
      <c r="B2712" s="4" t="s">
        <v>83</v>
      </c>
      <c r="C2712" s="13" t="n">
        <v>45567</v>
      </c>
      <c r="D2712" s="13" t="n">
        <v>45578</v>
      </c>
      <c r="E2712" s="13" t="n">
        <v>45579</v>
      </c>
      <c r="F2712" s="4" t="n">
        <v>1033</v>
      </c>
      <c r="G2712" s="4" t="n">
        <v>1033</v>
      </c>
      <c r="H2712" s="4" t="n">
        <v>101.36</v>
      </c>
      <c r="I2712" s="4" t="n">
        <v>106.85</v>
      </c>
      <c r="J2712" s="14" t="n">
        <f aca="false">E2712-D2712</f>
        <v>1</v>
      </c>
      <c r="K2712" s="14" t="n">
        <f aca="false">IF(J2712&lt;=0,1,0)</f>
        <v>0</v>
      </c>
      <c r="L2712" s="15" t="n">
        <f aca="false">IFERROR(G2712/F2712,0)</f>
        <v>1</v>
      </c>
      <c r="M2712" s="15" t="n">
        <f aca="false">IFERROR((I2712-H2712)/H2712,0)</f>
        <v>0.0541633780584056</v>
      </c>
      <c r="N2712" s="16" t="n">
        <f aca="false">G2712*I2712</f>
        <v>110376.05</v>
      </c>
    </row>
    <row r="2713" customFormat="false" ht="15" hidden="false" customHeight="true" outlineLevel="0" collapsed="false">
      <c r="A2713" s="4" t="s">
        <v>2889</v>
      </c>
      <c r="B2713" s="4" t="s">
        <v>159</v>
      </c>
      <c r="C2713" s="13" t="n">
        <v>45001</v>
      </c>
      <c r="D2713" s="13" t="n">
        <v>45009</v>
      </c>
      <c r="E2713" s="13" t="n">
        <v>45006</v>
      </c>
      <c r="F2713" s="4" t="n">
        <v>4419</v>
      </c>
      <c r="G2713" s="4" t="n">
        <v>4419</v>
      </c>
      <c r="H2713" s="4" t="n">
        <v>32.91</v>
      </c>
      <c r="I2713" s="4" t="n">
        <v>33</v>
      </c>
      <c r="J2713" s="14" t="n">
        <f aca="false">E2713-D2713</f>
        <v>-3</v>
      </c>
      <c r="K2713" s="14" t="n">
        <f aca="false">IF(J2713&lt;=0,1,0)</f>
        <v>1</v>
      </c>
      <c r="L2713" s="15" t="n">
        <f aca="false">IFERROR(G2713/F2713,0)</f>
        <v>1</v>
      </c>
      <c r="M2713" s="15" t="n">
        <f aca="false">IFERROR((I2713-H2713)/H2713,0)</f>
        <v>0.00273473108477677</v>
      </c>
      <c r="N2713" s="16" t="n">
        <f aca="false">G2713*I2713</f>
        <v>145827</v>
      </c>
    </row>
    <row r="2714" customFormat="false" ht="15" hidden="false" customHeight="true" outlineLevel="0" collapsed="false">
      <c r="A2714" s="4" t="s">
        <v>2890</v>
      </c>
      <c r="B2714" s="4" t="s">
        <v>109</v>
      </c>
      <c r="C2714" s="13" t="n">
        <v>45275</v>
      </c>
      <c r="D2714" s="13" t="n">
        <v>45294</v>
      </c>
      <c r="E2714" s="13" t="n">
        <v>45297</v>
      </c>
      <c r="F2714" s="4" t="n">
        <v>195</v>
      </c>
      <c r="G2714" s="4" t="n">
        <v>186</v>
      </c>
      <c r="H2714" s="4" t="n">
        <v>858.02</v>
      </c>
      <c r="I2714" s="4" t="n">
        <v>876.81</v>
      </c>
      <c r="J2714" s="14" t="n">
        <f aca="false">E2714-D2714</f>
        <v>3</v>
      </c>
      <c r="K2714" s="14" t="n">
        <f aca="false">IF(J2714&lt;=0,1,0)</f>
        <v>0</v>
      </c>
      <c r="L2714" s="15" t="n">
        <f aca="false">IFERROR(G2714/F2714,0)</f>
        <v>0.953846153846154</v>
      </c>
      <c r="M2714" s="15" t="n">
        <f aca="false">IFERROR((I2714-H2714)/H2714,0)</f>
        <v>0.0218992564275891</v>
      </c>
      <c r="N2714" s="16" t="n">
        <f aca="false">G2714*I2714</f>
        <v>163086.66</v>
      </c>
    </row>
    <row r="2715" customFormat="false" ht="15" hidden="false" customHeight="true" outlineLevel="0" collapsed="false">
      <c r="A2715" s="4" t="s">
        <v>2891</v>
      </c>
      <c r="B2715" s="4" t="s">
        <v>109</v>
      </c>
      <c r="C2715" s="13" t="n">
        <v>45149</v>
      </c>
      <c r="D2715" s="13" t="n">
        <v>45166</v>
      </c>
      <c r="E2715" s="13" t="n">
        <v>45163</v>
      </c>
      <c r="F2715" s="4" t="n">
        <v>240</v>
      </c>
      <c r="G2715" s="4" t="n">
        <v>235</v>
      </c>
      <c r="H2715" s="4" t="n">
        <v>858.02</v>
      </c>
      <c r="I2715" s="4" t="n">
        <v>884.03</v>
      </c>
      <c r="J2715" s="14" t="n">
        <f aca="false">E2715-D2715</f>
        <v>-3</v>
      </c>
      <c r="K2715" s="14" t="n">
        <f aca="false">IF(J2715&lt;=0,1,0)</f>
        <v>1</v>
      </c>
      <c r="L2715" s="15" t="n">
        <f aca="false">IFERROR(G2715/F2715,0)</f>
        <v>0.979166666666667</v>
      </c>
      <c r="M2715" s="15" t="n">
        <f aca="false">IFERROR((I2715-H2715)/H2715,0)</f>
        <v>0.0303139786951353</v>
      </c>
      <c r="N2715" s="16" t="n">
        <f aca="false">G2715*I2715</f>
        <v>207747.05</v>
      </c>
    </row>
    <row r="2716" customFormat="false" ht="15" hidden="false" customHeight="true" outlineLevel="0" collapsed="false">
      <c r="A2716" s="4" t="s">
        <v>2892</v>
      </c>
      <c r="B2716" s="4" t="s">
        <v>161</v>
      </c>
      <c r="C2716" s="13" t="n">
        <v>44987</v>
      </c>
      <c r="D2716" s="13" t="n">
        <v>44997</v>
      </c>
      <c r="E2716" s="13" t="n">
        <v>45002</v>
      </c>
      <c r="F2716" s="4" t="n">
        <v>1574</v>
      </c>
      <c r="G2716" s="4" t="n">
        <v>1555</v>
      </c>
      <c r="H2716" s="4" t="n">
        <v>101.94</v>
      </c>
      <c r="I2716" s="4" t="n">
        <v>104.05</v>
      </c>
      <c r="J2716" s="14" t="n">
        <f aca="false">E2716-D2716</f>
        <v>5</v>
      </c>
      <c r="K2716" s="14" t="n">
        <f aca="false">IF(J2716&lt;=0,1,0)</f>
        <v>0</v>
      </c>
      <c r="L2716" s="15" t="n">
        <f aca="false">IFERROR(G2716/F2716,0)</f>
        <v>0.987928843710292</v>
      </c>
      <c r="M2716" s="15" t="n">
        <f aca="false">IFERROR((I2716-H2716)/H2716,0)</f>
        <v>0.0206984500686678</v>
      </c>
      <c r="N2716" s="16" t="n">
        <f aca="false">G2716*I2716</f>
        <v>161797.75</v>
      </c>
    </row>
    <row r="2717" customFormat="false" ht="15" hidden="false" customHeight="true" outlineLevel="0" collapsed="false">
      <c r="A2717" s="4" t="s">
        <v>2893</v>
      </c>
      <c r="B2717" s="4" t="s">
        <v>133</v>
      </c>
      <c r="C2717" s="13" t="n">
        <v>45573</v>
      </c>
      <c r="D2717" s="13" t="n">
        <v>45583</v>
      </c>
      <c r="E2717" s="13" t="n">
        <v>45589</v>
      </c>
      <c r="F2717" s="4" t="n">
        <v>1717</v>
      </c>
      <c r="G2717" s="4" t="n">
        <v>1625</v>
      </c>
      <c r="H2717" s="4" t="n">
        <v>138.21</v>
      </c>
      <c r="I2717" s="4" t="n">
        <v>137.89</v>
      </c>
      <c r="J2717" s="14" t="n">
        <f aca="false">E2717-D2717</f>
        <v>6</v>
      </c>
      <c r="K2717" s="14" t="n">
        <f aca="false">IF(J2717&lt;=0,1,0)</f>
        <v>0</v>
      </c>
      <c r="L2717" s="15" t="n">
        <f aca="false">IFERROR(G2717/F2717,0)</f>
        <v>0.946418171228888</v>
      </c>
      <c r="M2717" s="15" t="n">
        <f aca="false">IFERROR((I2717-H2717)/H2717,0)</f>
        <v>-0.00231531727081992</v>
      </c>
      <c r="N2717" s="16" t="n">
        <f aca="false">G2717*I2717</f>
        <v>224071.25</v>
      </c>
    </row>
    <row r="2718" customFormat="false" ht="15" hidden="false" customHeight="true" outlineLevel="0" collapsed="false">
      <c r="A2718" s="4" t="s">
        <v>2894</v>
      </c>
      <c r="B2718" s="4" t="s">
        <v>95</v>
      </c>
      <c r="C2718" s="13" t="n">
        <v>45242</v>
      </c>
      <c r="D2718" s="13" t="n">
        <v>45251</v>
      </c>
      <c r="E2718" s="13" t="n">
        <v>45251</v>
      </c>
      <c r="F2718" s="4" t="n">
        <v>2976</v>
      </c>
      <c r="G2718" s="4" t="n">
        <v>2976</v>
      </c>
      <c r="H2718" s="4" t="n">
        <v>20.39</v>
      </c>
      <c r="I2718" s="4" t="n">
        <v>21.25</v>
      </c>
      <c r="J2718" s="14" t="n">
        <f aca="false">E2718-D2718</f>
        <v>0</v>
      </c>
      <c r="K2718" s="14" t="n">
        <f aca="false">IF(J2718&lt;=0,1,0)</f>
        <v>1</v>
      </c>
      <c r="L2718" s="15" t="n">
        <f aca="false">IFERROR(G2718/F2718,0)</f>
        <v>1</v>
      </c>
      <c r="M2718" s="15" t="n">
        <f aca="false">IFERROR((I2718-H2718)/H2718,0)</f>
        <v>0.0421775380088278</v>
      </c>
      <c r="N2718" s="16" t="n">
        <f aca="false">G2718*I2718</f>
        <v>63240</v>
      </c>
    </row>
    <row r="2719" customFormat="false" ht="15" hidden="false" customHeight="true" outlineLevel="0" collapsed="false">
      <c r="A2719" s="4" t="s">
        <v>2895</v>
      </c>
      <c r="B2719" s="4" t="s">
        <v>127</v>
      </c>
      <c r="C2719" s="13" t="n">
        <v>45111</v>
      </c>
      <c r="D2719" s="13" t="n">
        <v>45117</v>
      </c>
      <c r="E2719" s="13" t="n">
        <v>45120</v>
      </c>
      <c r="F2719" s="4" t="n">
        <v>6</v>
      </c>
      <c r="G2719" s="4" t="n">
        <v>6</v>
      </c>
      <c r="H2719" s="4" t="n">
        <v>1881</v>
      </c>
      <c r="I2719" s="4" t="n">
        <v>1863.32</v>
      </c>
      <c r="J2719" s="14" t="n">
        <f aca="false">E2719-D2719</f>
        <v>3</v>
      </c>
      <c r="K2719" s="14" t="n">
        <f aca="false">IF(J2719&lt;=0,1,0)</f>
        <v>0</v>
      </c>
      <c r="L2719" s="15" t="n">
        <f aca="false">IFERROR(G2719/F2719,0)</f>
        <v>1</v>
      </c>
      <c r="M2719" s="15" t="n">
        <f aca="false">IFERROR((I2719-H2719)/H2719,0)</f>
        <v>-0.00939925571504522</v>
      </c>
      <c r="N2719" s="16" t="n">
        <f aca="false">G2719*I2719</f>
        <v>11179.92</v>
      </c>
    </row>
    <row r="2720" customFormat="false" ht="15" hidden="false" customHeight="true" outlineLevel="0" collapsed="false">
      <c r="A2720" s="4" t="s">
        <v>2896</v>
      </c>
      <c r="B2720" s="4" t="s">
        <v>143</v>
      </c>
      <c r="C2720" s="13" t="n">
        <v>45462</v>
      </c>
      <c r="D2720" s="13" t="n">
        <v>45470</v>
      </c>
      <c r="E2720" s="13" t="n">
        <v>45491</v>
      </c>
      <c r="F2720" s="4" t="n">
        <v>706</v>
      </c>
      <c r="G2720" s="4" t="n">
        <v>689</v>
      </c>
      <c r="H2720" s="4" t="n">
        <v>20.6</v>
      </c>
      <c r="I2720" s="4" t="n">
        <v>21.89</v>
      </c>
      <c r="J2720" s="14" t="n">
        <f aca="false">E2720-D2720</f>
        <v>21</v>
      </c>
      <c r="K2720" s="14" t="n">
        <f aca="false">IF(J2720&lt;=0,1,0)</f>
        <v>0</v>
      </c>
      <c r="L2720" s="15" t="n">
        <f aca="false">IFERROR(G2720/F2720,0)</f>
        <v>0.975920679886686</v>
      </c>
      <c r="M2720" s="15" t="n">
        <f aca="false">IFERROR((I2720-H2720)/H2720,0)</f>
        <v>0.0626213592233009</v>
      </c>
      <c r="N2720" s="16" t="n">
        <f aca="false">G2720*I2720</f>
        <v>15082.21</v>
      </c>
    </row>
    <row r="2721" customFormat="false" ht="15" hidden="false" customHeight="true" outlineLevel="0" collapsed="false">
      <c r="A2721" s="4" t="s">
        <v>2897</v>
      </c>
      <c r="B2721" s="4" t="s">
        <v>85</v>
      </c>
      <c r="C2721" s="13" t="n">
        <v>45567</v>
      </c>
      <c r="D2721" s="13" t="n">
        <v>45577</v>
      </c>
      <c r="E2721" s="13" t="n">
        <v>45576</v>
      </c>
      <c r="F2721" s="4" t="n">
        <v>1881</v>
      </c>
      <c r="G2721" s="4" t="n">
        <v>1807</v>
      </c>
      <c r="H2721" s="4" t="n">
        <v>241.88</v>
      </c>
      <c r="I2721" s="4" t="n">
        <v>231.52</v>
      </c>
      <c r="J2721" s="14" t="n">
        <f aca="false">E2721-D2721</f>
        <v>-1</v>
      </c>
      <c r="K2721" s="14" t="n">
        <f aca="false">IF(J2721&lt;=0,1,0)</f>
        <v>1</v>
      </c>
      <c r="L2721" s="15" t="n">
        <f aca="false">IFERROR(G2721/F2721,0)</f>
        <v>0.960659223817119</v>
      </c>
      <c r="M2721" s="15" t="n">
        <f aca="false">IFERROR((I2721-H2721)/H2721,0)</f>
        <v>-0.0428311559450967</v>
      </c>
      <c r="N2721" s="16" t="n">
        <f aca="false">G2721*I2721</f>
        <v>418356.64</v>
      </c>
    </row>
    <row r="2722" customFormat="false" ht="15" hidden="false" customHeight="true" outlineLevel="0" collapsed="false">
      <c r="A2722" s="4" t="s">
        <v>2898</v>
      </c>
      <c r="B2722" s="4" t="s">
        <v>37</v>
      </c>
      <c r="C2722" s="13" t="n">
        <v>45333</v>
      </c>
      <c r="D2722" s="13" t="n">
        <v>45341</v>
      </c>
      <c r="E2722" s="13" t="n">
        <v>45342</v>
      </c>
      <c r="F2722" s="4" t="n">
        <v>2947</v>
      </c>
      <c r="G2722" s="4" t="n">
        <v>2848</v>
      </c>
      <c r="H2722" s="4" t="n">
        <v>22.26</v>
      </c>
      <c r="I2722" s="4" t="n">
        <v>21.47</v>
      </c>
      <c r="J2722" s="14" t="n">
        <f aca="false">E2722-D2722</f>
        <v>1</v>
      </c>
      <c r="K2722" s="14" t="n">
        <f aca="false">IF(J2722&lt;=0,1,0)</f>
        <v>0</v>
      </c>
      <c r="L2722" s="15" t="n">
        <f aca="false">IFERROR(G2722/F2722,0)</f>
        <v>0.966406515100102</v>
      </c>
      <c r="M2722" s="15" t="n">
        <f aca="false">IFERROR((I2722-H2722)/H2722,0)</f>
        <v>-0.0354896675651394</v>
      </c>
      <c r="N2722" s="16" t="n">
        <f aca="false">G2722*I2722</f>
        <v>61146.56</v>
      </c>
    </row>
    <row r="2723" customFormat="false" ht="15" hidden="false" customHeight="true" outlineLevel="0" collapsed="false">
      <c r="A2723" s="4" t="s">
        <v>2899</v>
      </c>
      <c r="B2723" s="4" t="s">
        <v>72</v>
      </c>
      <c r="C2723" s="13" t="n">
        <v>45097</v>
      </c>
      <c r="D2723" s="13" t="n">
        <v>45106</v>
      </c>
      <c r="E2723" s="13" t="n">
        <v>45112</v>
      </c>
      <c r="F2723" s="4" t="n">
        <v>2997</v>
      </c>
      <c r="G2723" s="4" t="n">
        <v>2997</v>
      </c>
      <c r="H2723" s="4" t="n">
        <v>34.53</v>
      </c>
      <c r="I2723" s="4" t="n">
        <v>34.97</v>
      </c>
      <c r="J2723" s="14" t="n">
        <f aca="false">E2723-D2723</f>
        <v>6</v>
      </c>
      <c r="K2723" s="14" t="n">
        <f aca="false">IF(J2723&lt;=0,1,0)</f>
        <v>0</v>
      </c>
      <c r="L2723" s="15" t="n">
        <f aca="false">IFERROR(G2723/F2723,0)</f>
        <v>1</v>
      </c>
      <c r="M2723" s="15" t="n">
        <f aca="false">IFERROR((I2723-H2723)/H2723,0)</f>
        <v>0.0127425427164784</v>
      </c>
      <c r="N2723" s="16" t="n">
        <f aca="false">G2723*I2723</f>
        <v>104805.09</v>
      </c>
    </row>
    <row r="2724" customFormat="false" ht="15" hidden="false" customHeight="true" outlineLevel="0" collapsed="false">
      <c r="A2724" s="4" t="s">
        <v>2900</v>
      </c>
      <c r="B2724" s="4" t="s">
        <v>37</v>
      </c>
      <c r="C2724" s="13" t="n">
        <v>45076</v>
      </c>
      <c r="D2724" s="13" t="n">
        <v>45084</v>
      </c>
      <c r="E2724" s="13" t="n">
        <v>45083</v>
      </c>
      <c r="F2724" s="4" t="n">
        <v>4260</v>
      </c>
      <c r="G2724" s="4" t="n">
        <v>4169</v>
      </c>
      <c r="H2724" s="4" t="n">
        <v>22.26</v>
      </c>
      <c r="I2724" s="4" t="n">
        <v>21.94</v>
      </c>
      <c r="J2724" s="14" t="n">
        <f aca="false">E2724-D2724</f>
        <v>-1</v>
      </c>
      <c r="K2724" s="14" t="n">
        <f aca="false">IF(J2724&lt;=0,1,0)</f>
        <v>1</v>
      </c>
      <c r="L2724" s="15" t="n">
        <f aca="false">IFERROR(G2724/F2724,0)</f>
        <v>0.978638497652582</v>
      </c>
      <c r="M2724" s="15" t="n">
        <f aca="false">IFERROR((I2724-H2724)/H2724,0)</f>
        <v>-0.0143755615453729</v>
      </c>
      <c r="N2724" s="16" t="n">
        <f aca="false">G2724*I2724</f>
        <v>91467.86</v>
      </c>
    </row>
    <row r="2725" customFormat="false" ht="15" hidden="false" customHeight="true" outlineLevel="0" collapsed="false">
      <c r="A2725" s="4" t="s">
        <v>2901</v>
      </c>
      <c r="B2725" s="4" t="s">
        <v>143</v>
      </c>
      <c r="C2725" s="13" t="n">
        <v>45408</v>
      </c>
      <c r="D2725" s="13" t="n">
        <v>45415</v>
      </c>
      <c r="E2725" s="13" t="n">
        <v>45427</v>
      </c>
      <c r="F2725" s="4" t="n">
        <v>4346</v>
      </c>
      <c r="G2725" s="4" t="n">
        <v>4079</v>
      </c>
      <c r="H2725" s="4" t="n">
        <v>20.6</v>
      </c>
      <c r="I2725" s="4" t="n">
        <v>21.69</v>
      </c>
      <c r="J2725" s="14" t="n">
        <f aca="false">E2725-D2725</f>
        <v>12</v>
      </c>
      <c r="K2725" s="14" t="n">
        <f aca="false">IF(J2725&lt;=0,1,0)</f>
        <v>0</v>
      </c>
      <c r="L2725" s="15" t="n">
        <f aca="false">IFERROR(G2725/F2725,0)</f>
        <v>0.938564196962724</v>
      </c>
      <c r="M2725" s="15" t="n">
        <f aca="false">IFERROR((I2725-H2725)/H2725,0)</f>
        <v>0.0529126213592233</v>
      </c>
      <c r="N2725" s="16" t="n">
        <f aca="false">G2725*I2725</f>
        <v>88473.51</v>
      </c>
    </row>
    <row r="2726" customFormat="false" ht="15" hidden="false" customHeight="true" outlineLevel="0" collapsed="false">
      <c r="A2726" s="4" t="s">
        <v>2902</v>
      </c>
      <c r="B2726" s="4" t="s">
        <v>111</v>
      </c>
      <c r="C2726" s="13" t="n">
        <v>45261</v>
      </c>
      <c r="D2726" s="13" t="n">
        <v>45272</v>
      </c>
      <c r="E2726" s="13" t="n">
        <v>45273</v>
      </c>
      <c r="F2726" s="4" t="n">
        <v>950</v>
      </c>
      <c r="G2726" s="4" t="n">
        <v>922</v>
      </c>
      <c r="H2726" s="4" t="n">
        <v>148.08</v>
      </c>
      <c r="I2726" s="4" t="n">
        <v>148.96</v>
      </c>
      <c r="J2726" s="14" t="n">
        <f aca="false">E2726-D2726</f>
        <v>1</v>
      </c>
      <c r="K2726" s="14" t="n">
        <f aca="false">IF(J2726&lt;=0,1,0)</f>
        <v>0</v>
      </c>
      <c r="L2726" s="15" t="n">
        <f aca="false">IFERROR(G2726/F2726,0)</f>
        <v>0.970526315789474</v>
      </c>
      <c r="M2726" s="15" t="n">
        <f aca="false">IFERROR((I2726-H2726)/H2726,0)</f>
        <v>0.00594273365748241</v>
      </c>
      <c r="N2726" s="16" t="n">
        <f aca="false">G2726*I2726</f>
        <v>137341.12</v>
      </c>
    </row>
    <row r="2727" customFormat="false" ht="15" hidden="false" customHeight="true" outlineLevel="0" collapsed="false">
      <c r="A2727" s="4" t="s">
        <v>2903</v>
      </c>
      <c r="B2727" s="4" t="s">
        <v>89</v>
      </c>
      <c r="C2727" s="13" t="n">
        <v>45106</v>
      </c>
      <c r="D2727" s="13" t="n">
        <v>45110</v>
      </c>
      <c r="E2727" s="13" t="n">
        <v>45121</v>
      </c>
      <c r="F2727" s="4" t="n">
        <v>1</v>
      </c>
      <c r="G2727" s="4" t="n">
        <v>1</v>
      </c>
      <c r="H2727" s="4" t="n">
        <v>1929.81</v>
      </c>
      <c r="I2727" s="4" t="n">
        <v>1914.59</v>
      </c>
      <c r="J2727" s="14" t="n">
        <f aca="false">E2727-D2727</f>
        <v>11</v>
      </c>
      <c r="K2727" s="14" t="n">
        <f aca="false">IF(J2727&lt;=0,1,0)</f>
        <v>0</v>
      </c>
      <c r="L2727" s="15" t="n">
        <f aca="false">IFERROR(G2727/F2727,0)</f>
        <v>1</v>
      </c>
      <c r="M2727" s="15" t="n">
        <f aca="false">IFERROR((I2727-H2727)/H2727,0)</f>
        <v>-0.00788678678211846</v>
      </c>
      <c r="N2727" s="16" t="n">
        <f aca="false">G2727*I2727</f>
        <v>1914.59</v>
      </c>
    </row>
    <row r="2728" customFormat="false" ht="15" hidden="false" customHeight="true" outlineLevel="0" collapsed="false">
      <c r="A2728" s="4" t="s">
        <v>2904</v>
      </c>
      <c r="B2728" s="4" t="s">
        <v>101</v>
      </c>
      <c r="C2728" s="13" t="n">
        <v>45506</v>
      </c>
      <c r="D2728" s="13" t="n">
        <v>45524</v>
      </c>
      <c r="E2728" s="13" t="n">
        <v>45525</v>
      </c>
      <c r="F2728" s="4" t="n">
        <v>477</v>
      </c>
      <c r="G2728" s="4" t="n">
        <v>443</v>
      </c>
      <c r="H2728" s="4" t="n">
        <v>442.74</v>
      </c>
      <c r="I2728" s="4" t="n">
        <v>444.13</v>
      </c>
      <c r="J2728" s="14" t="n">
        <f aca="false">E2728-D2728</f>
        <v>1</v>
      </c>
      <c r="K2728" s="14" t="n">
        <f aca="false">IF(J2728&lt;=0,1,0)</f>
        <v>0</v>
      </c>
      <c r="L2728" s="15" t="n">
        <f aca="false">IFERROR(G2728/F2728,0)</f>
        <v>0.928721174004193</v>
      </c>
      <c r="M2728" s="15" t="n">
        <f aca="false">IFERROR((I2728-H2728)/H2728,0)</f>
        <v>0.00313954013642315</v>
      </c>
      <c r="N2728" s="16" t="n">
        <f aca="false">G2728*I2728</f>
        <v>196749.59</v>
      </c>
    </row>
    <row r="2729" customFormat="false" ht="15" hidden="false" customHeight="true" outlineLevel="0" collapsed="false">
      <c r="A2729" s="4" t="s">
        <v>2905</v>
      </c>
      <c r="B2729" s="4" t="s">
        <v>95</v>
      </c>
      <c r="C2729" s="13" t="n">
        <v>45274</v>
      </c>
      <c r="D2729" s="13" t="n">
        <v>45280</v>
      </c>
      <c r="E2729" s="13" t="n">
        <v>45280</v>
      </c>
      <c r="F2729" s="4" t="n">
        <v>1323</v>
      </c>
      <c r="G2729" s="4" t="n">
        <v>1323</v>
      </c>
      <c r="H2729" s="4" t="n">
        <v>20.39</v>
      </c>
      <c r="I2729" s="4" t="n">
        <v>20.83</v>
      </c>
      <c r="J2729" s="14" t="n">
        <f aca="false">E2729-D2729</f>
        <v>0</v>
      </c>
      <c r="K2729" s="14" t="n">
        <f aca="false">IF(J2729&lt;=0,1,0)</f>
        <v>1</v>
      </c>
      <c r="L2729" s="15" t="n">
        <f aca="false">IFERROR(G2729/F2729,0)</f>
        <v>1</v>
      </c>
      <c r="M2729" s="15" t="n">
        <f aca="false">IFERROR((I2729-H2729)/H2729,0)</f>
        <v>0.0215792054928886</v>
      </c>
      <c r="N2729" s="16" t="n">
        <f aca="false">G2729*I2729</f>
        <v>27558.09</v>
      </c>
    </row>
    <row r="2730" customFormat="false" ht="15" hidden="false" customHeight="true" outlineLevel="0" collapsed="false">
      <c r="A2730" s="4" t="s">
        <v>2906</v>
      </c>
      <c r="B2730" s="4" t="s">
        <v>103</v>
      </c>
      <c r="C2730" s="13" t="n">
        <v>45186</v>
      </c>
      <c r="D2730" s="13" t="n">
        <v>45204</v>
      </c>
      <c r="E2730" s="13" t="n">
        <v>45205</v>
      </c>
      <c r="F2730" s="4" t="n">
        <v>426</v>
      </c>
      <c r="G2730" s="4" t="n">
        <v>426</v>
      </c>
      <c r="H2730" s="4" t="n">
        <v>1400.22</v>
      </c>
      <c r="I2730" s="4" t="n">
        <v>1387.23</v>
      </c>
      <c r="J2730" s="14" t="n">
        <f aca="false">E2730-D2730</f>
        <v>1</v>
      </c>
      <c r="K2730" s="14" t="n">
        <f aca="false">IF(J2730&lt;=0,1,0)</f>
        <v>0</v>
      </c>
      <c r="L2730" s="15" t="n">
        <f aca="false">IFERROR(G2730/F2730,0)</f>
        <v>1</v>
      </c>
      <c r="M2730" s="15" t="n">
        <f aca="false">IFERROR((I2730-H2730)/H2730,0)</f>
        <v>-0.00927711359643485</v>
      </c>
      <c r="N2730" s="16" t="n">
        <f aca="false">G2730*I2730</f>
        <v>590959.98</v>
      </c>
    </row>
    <row r="2731" customFormat="false" ht="15" hidden="false" customHeight="true" outlineLevel="0" collapsed="false">
      <c r="A2731" s="4" t="s">
        <v>2907</v>
      </c>
      <c r="B2731" s="4" t="s">
        <v>85</v>
      </c>
      <c r="C2731" s="13" t="n">
        <v>45459</v>
      </c>
      <c r="D2731" s="13" t="n">
        <v>45471</v>
      </c>
      <c r="E2731" s="13" t="n">
        <v>45473</v>
      </c>
      <c r="F2731" s="4" t="n">
        <v>1590</v>
      </c>
      <c r="G2731" s="4" t="n">
        <v>1535</v>
      </c>
      <c r="H2731" s="4" t="n">
        <v>241.88</v>
      </c>
      <c r="I2731" s="4" t="n">
        <v>234.29</v>
      </c>
      <c r="J2731" s="14" t="n">
        <f aca="false">E2731-D2731</f>
        <v>2</v>
      </c>
      <c r="K2731" s="14" t="n">
        <f aca="false">IF(J2731&lt;=0,1,0)</f>
        <v>0</v>
      </c>
      <c r="L2731" s="15" t="n">
        <f aca="false">IFERROR(G2731/F2731,0)</f>
        <v>0.965408805031447</v>
      </c>
      <c r="M2731" s="15" t="n">
        <f aca="false">IFERROR((I2731-H2731)/H2731,0)</f>
        <v>-0.0313791962956838</v>
      </c>
      <c r="N2731" s="16" t="n">
        <f aca="false">G2731*I2731</f>
        <v>359635.15</v>
      </c>
    </row>
    <row r="2732" customFormat="false" ht="15" hidden="false" customHeight="true" outlineLevel="0" collapsed="false">
      <c r="A2732" s="4" t="s">
        <v>2908</v>
      </c>
      <c r="B2732" s="4" t="s">
        <v>139</v>
      </c>
      <c r="C2732" s="13" t="n">
        <v>45484</v>
      </c>
      <c r="D2732" s="13" t="n">
        <v>45494</v>
      </c>
      <c r="E2732" s="13" t="n">
        <v>45490</v>
      </c>
      <c r="F2732" s="4" t="n">
        <v>1285</v>
      </c>
      <c r="G2732" s="4" t="n">
        <v>1181</v>
      </c>
      <c r="H2732" s="4" t="n">
        <v>207.64</v>
      </c>
      <c r="I2732" s="4" t="n">
        <v>219.14</v>
      </c>
      <c r="J2732" s="14" t="n">
        <f aca="false">E2732-D2732</f>
        <v>-4</v>
      </c>
      <c r="K2732" s="14" t="n">
        <f aca="false">IF(J2732&lt;=0,1,0)</f>
        <v>1</v>
      </c>
      <c r="L2732" s="15" t="n">
        <f aca="false">IFERROR(G2732/F2732,0)</f>
        <v>0.919066147859922</v>
      </c>
      <c r="M2732" s="15" t="n">
        <f aca="false">IFERROR((I2732-H2732)/H2732,0)</f>
        <v>0.0553843190136775</v>
      </c>
      <c r="N2732" s="16" t="n">
        <f aca="false">G2732*I2732</f>
        <v>258804.34</v>
      </c>
    </row>
    <row r="2733" customFormat="false" ht="15" hidden="false" customHeight="true" outlineLevel="0" collapsed="false">
      <c r="A2733" s="4" t="s">
        <v>2909</v>
      </c>
      <c r="B2733" s="4" t="s">
        <v>72</v>
      </c>
      <c r="C2733" s="13" t="n">
        <v>45203</v>
      </c>
      <c r="D2733" s="13" t="n">
        <v>45212</v>
      </c>
      <c r="E2733" s="13" t="n">
        <v>45225</v>
      </c>
      <c r="F2733" s="4" t="n">
        <v>1417</v>
      </c>
      <c r="G2733" s="4" t="n">
        <v>1375</v>
      </c>
      <c r="H2733" s="4" t="n">
        <v>34.53</v>
      </c>
      <c r="I2733" s="4" t="n">
        <v>35.66</v>
      </c>
      <c r="J2733" s="14" t="n">
        <f aca="false">E2733-D2733</f>
        <v>13</v>
      </c>
      <c r="K2733" s="14" t="n">
        <f aca="false">IF(J2733&lt;=0,1,0)</f>
        <v>0</v>
      </c>
      <c r="L2733" s="15" t="n">
        <f aca="false">IFERROR(G2733/F2733,0)</f>
        <v>0.970359915314044</v>
      </c>
      <c r="M2733" s="15" t="n">
        <f aca="false">IFERROR((I2733-H2733)/H2733,0)</f>
        <v>0.0327251665218649</v>
      </c>
      <c r="N2733" s="16" t="n">
        <f aca="false">G2733*I2733</f>
        <v>49032.5</v>
      </c>
    </row>
    <row r="2734" customFormat="false" ht="15" hidden="false" customHeight="true" outlineLevel="0" collapsed="false">
      <c r="A2734" s="4" t="s">
        <v>2910</v>
      </c>
      <c r="B2734" s="4" t="s">
        <v>37</v>
      </c>
      <c r="C2734" s="13" t="n">
        <v>45526</v>
      </c>
      <c r="D2734" s="13" t="n">
        <v>45535</v>
      </c>
      <c r="E2734" s="13" t="n">
        <v>45536</v>
      </c>
      <c r="F2734" s="4" t="n">
        <v>2586</v>
      </c>
      <c r="G2734" s="4" t="n">
        <v>2478</v>
      </c>
      <c r="H2734" s="4" t="n">
        <v>22.26</v>
      </c>
      <c r="I2734" s="4" t="n">
        <v>21.55</v>
      </c>
      <c r="J2734" s="14" t="n">
        <f aca="false">E2734-D2734</f>
        <v>1</v>
      </c>
      <c r="K2734" s="14" t="n">
        <f aca="false">IF(J2734&lt;=0,1,0)</f>
        <v>0</v>
      </c>
      <c r="L2734" s="15" t="n">
        <f aca="false">IFERROR(G2734/F2734,0)</f>
        <v>0.958236658932715</v>
      </c>
      <c r="M2734" s="15" t="n">
        <f aca="false">IFERROR((I2734-H2734)/H2734,0)</f>
        <v>-0.0318957771787961</v>
      </c>
      <c r="N2734" s="16" t="n">
        <f aca="false">G2734*I2734</f>
        <v>53400.9</v>
      </c>
    </row>
    <row r="2735" customFormat="false" ht="15" hidden="false" customHeight="true" outlineLevel="0" collapsed="false">
      <c r="A2735" s="4" t="s">
        <v>2911</v>
      </c>
      <c r="B2735" s="4" t="s">
        <v>147</v>
      </c>
      <c r="C2735" s="13" t="n">
        <v>45169</v>
      </c>
      <c r="D2735" s="13" t="n">
        <v>45182</v>
      </c>
      <c r="E2735" s="13" t="n">
        <v>45185</v>
      </c>
      <c r="F2735" s="4" t="n">
        <v>69</v>
      </c>
      <c r="G2735" s="4" t="n">
        <v>69</v>
      </c>
      <c r="H2735" s="4" t="n">
        <v>203.3</v>
      </c>
      <c r="I2735" s="4" t="n">
        <v>207.66</v>
      </c>
      <c r="J2735" s="14" t="n">
        <f aca="false">E2735-D2735</f>
        <v>3</v>
      </c>
      <c r="K2735" s="14" t="n">
        <f aca="false">IF(J2735&lt;=0,1,0)</f>
        <v>0</v>
      </c>
      <c r="L2735" s="15" t="n">
        <f aca="false">IFERROR(G2735/F2735,0)</f>
        <v>1</v>
      </c>
      <c r="M2735" s="15" t="n">
        <f aca="false">IFERROR((I2735-H2735)/H2735,0)</f>
        <v>0.0214461387112641</v>
      </c>
      <c r="N2735" s="16" t="n">
        <f aca="false">G2735*I2735</f>
        <v>14328.54</v>
      </c>
    </row>
    <row r="2736" customFormat="false" ht="15" hidden="false" customHeight="true" outlineLevel="0" collapsed="false">
      <c r="A2736" s="4" t="s">
        <v>2912</v>
      </c>
      <c r="B2736" s="4" t="s">
        <v>161</v>
      </c>
      <c r="C2736" s="13" t="n">
        <v>44967</v>
      </c>
      <c r="D2736" s="13" t="n">
        <v>44977</v>
      </c>
      <c r="E2736" s="13" t="n">
        <v>44981</v>
      </c>
      <c r="F2736" s="4" t="n">
        <v>333</v>
      </c>
      <c r="G2736" s="4" t="n">
        <v>327</v>
      </c>
      <c r="H2736" s="4" t="n">
        <v>101.94</v>
      </c>
      <c r="I2736" s="4" t="n">
        <v>103.18</v>
      </c>
      <c r="J2736" s="14" t="n">
        <f aca="false">E2736-D2736</f>
        <v>4</v>
      </c>
      <c r="K2736" s="14" t="n">
        <f aca="false">IF(J2736&lt;=0,1,0)</f>
        <v>0</v>
      </c>
      <c r="L2736" s="15" t="n">
        <f aca="false">IFERROR(G2736/F2736,0)</f>
        <v>0.981981981981982</v>
      </c>
      <c r="M2736" s="15" t="n">
        <f aca="false">IFERROR((I2736-H2736)/H2736,0)</f>
        <v>0.0121640180498333</v>
      </c>
      <c r="N2736" s="16" t="n">
        <f aca="false">G2736*I2736</f>
        <v>33739.86</v>
      </c>
    </row>
    <row r="2737" customFormat="false" ht="15" hidden="false" customHeight="true" outlineLevel="0" collapsed="false">
      <c r="A2737" s="4" t="s">
        <v>2913</v>
      </c>
      <c r="B2737" s="4" t="s">
        <v>97</v>
      </c>
      <c r="C2737" s="13" t="n">
        <v>45337</v>
      </c>
      <c r="D2737" s="13" t="n">
        <v>45348</v>
      </c>
      <c r="E2737" s="13" t="n">
        <v>45349</v>
      </c>
      <c r="F2737" s="4" t="n">
        <v>1632</v>
      </c>
      <c r="G2737" s="4" t="n">
        <v>1606</v>
      </c>
      <c r="H2737" s="4" t="n">
        <v>123.04</v>
      </c>
      <c r="I2737" s="4" t="n">
        <v>125.33</v>
      </c>
      <c r="J2737" s="14" t="n">
        <f aca="false">E2737-D2737</f>
        <v>1</v>
      </c>
      <c r="K2737" s="14" t="n">
        <f aca="false">IF(J2737&lt;=0,1,0)</f>
        <v>0</v>
      </c>
      <c r="L2737" s="15" t="n">
        <f aca="false">IFERROR(G2737/F2737,0)</f>
        <v>0.98406862745098</v>
      </c>
      <c r="M2737" s="15" t="n">
        <f aca="false">IFERROR((I2737-H2737)/H2737,0)</f>
        <v>0.018611833550065</v>
      </c>
      <c r="N2737" s="16" t="n">
        <f aca="false">G2737*I2737</f>
        <v>201279.98</v>
      </c>
    </row>
    <row r="2738" customFormat="false" ht="15" hidden="false" customHeight="true" outlineLevel="0" collapsed="false">
      <c r="A2738" s="4" t="s">
        <v>2914</v>
      </c>
      <c r="B2738" s="4" t="s">
        <v>141</v>
      </c>
      <c r="C2738" s="13" t="n">
        <v>45346</v>
      </c>
      <c r="D2738" s="13" t="n">
        <v>45366</v>
      </c>
      <c r="E2738" s="13" t="n">
        <v>45368</v>
      </c>
      <c r="F2738" s="4" t="n">
        <v>113</v>
      </c>
      <c r="G2738" s="4" t="n">
        <v>112</v>
      </c>
      <c r="H2738" s="4" t="n">
        <v>1252.36</v>
      </c>
      <c r="I2738" s="4" t="n">
        <v>1214.13</v>
      </c>
      <c r="J2738" s="14" t="n">
        <f aca="false">E2738-D2738</f>
        <v>2</v>
      </c>
      <c r="K2738" s="14" t="n">
        <f aca="false">IF(J2738&lt;=0,1,0)</f>
        <v>0</v>
      </c>
      <c r="L2738" s="15" t="n">
        <f aca="false">IFERROR(G2738/F2738,0)</f>
        <v>0.991150442477876</v>
      </c>
      <c r="M2738" s="15" t="n">
        <f aca="false">IFERROR((I2738-H2738)/H2738,0)</f>
        <v>-0.0305263662205754</v>
      </c>
      <c r="N2738" s="16" t="n">
        <f aca="false">G2738*I2738</f>
        <v>135982.56</v>
      </c>
    </row>
    <row r="2739" customFormat="false" ht="15" hidden="false" customHeight="true" outlineLevel="0" collapsed="false">
      <c r="A2739" s="4" t="s">
        <v>2915</v>
      </c>
      <c r="B2739" s="4" t="s">
        <v>99</v>
      </c>
      <c r="C2739" s="13" t="n">
        <v>44999</v>
      </c>
      <c r="D2739" s="13" t="n">
        <v>45007</v>
      </c>
      <c r="E2739" s="13" t="n">
        <v>45016</v>
      </c>
      <c r="F2739" s="4" t="n">
        <v>513</v>
      </c>
      <c r="G2739" s="4" t="n">
        <v>480</v>
      </c>
      <c r="H2739" s="4" t="n">
        <v>11.5</v>
      </c>
      <c r="I2739" s="4" t="n">
        <v>11.69</v>
      </c>
      <c r="J2739" s="14" t="n">
        <f aca="false">E2739-D2739</f>
        <v>9</v>
      </c>
      <c r="K2739" s="14" t="n">
        <f aca="false">IF(J2739&lt;=0,1,0)</f>
        <v>0</v>
      </c>
      <c r="L2739" s="15" t="n">
        <f aca="false">IFERROR(G2739/F2739,0)</f>
        <v>0.935672514619883</v>
      </c>
      <c r="M2739" s="15" t="n">
        <f aca="false">IFERROR((I2739-H2739)/H2739,0)</f>
        <v>0.0165217391304347</v>
      </c>
      <c r="N2739" s="16" t="n">
        <f aca="false">G2739*I2739</f>
        <v>5611.2</v>
      </c>
    </row>
    <row r="2740" customFormat="false" ht="15" hidden="false" customHeight="true" outlineLevel="0" collapsed="false">
      <c r="A2740" s="4" t="s">
        <v>2916</v>
      </c>
      <c r="B2740" s="4" t="s">
        <v>101</v>
      </c>
      <c r="C2740" s="13" t="n">
        <v>45500</v>
      </c>
      <c r="D2740" s="13" t="n">
        <v>45518</v>
      </c>
      <c r="E2740" s="13" t="n">
        <v>45519</v>
      </c>
      <c r="F2740" s="4" t="n">
        <v>144</v>
      </c>
      <c r="G2740" s="4" t="n">
        <v>138</v>
      </c>
      <c r="H2740" s="4" t="n">
        <v>442.74</v>
      </c>
      <c r="I2740" s="4" t="n">
        <v>450.77</v>
      </c>
      <c r="J2740" s="14" t="n">
        <f aca="false">E2740-D2740</f>
        <v>1</v>
      </c>
      <c r="K2740" s="14" t="n">
        <f aca="false">IF(J2740&lt;=0,1,0)</f>
        <v>0</v>
      </c>
      <c r="L2740" s="15" t="n">
        <f aca="false">IFERROR(G2740/F2740,0)</f>
        <v>0.958333333333333</v>
      </c>
      <c r="M2740" s="15" t="n">
        <f aca="false">IFERROR((I2740-H2740)/H2740,0)</f>
        <v>0.0181370556082576</v>
      </c>
      <c r="N2740" s="16" t="n">
        <f aca="false">G2740*I2740</f>
        <v>62206.26</v>
      </c>
    </row>
    <row r="2741" customFormat="false" ht="15" hidden="false" customHeight="true" outlineLevel="0" collapsed="false">
      <c r="A2741" s="4" t="s">
        <v>2917</v>
      </c>
      <c r="B2741" s="4" t="s">
        <v>97</v>
      </c>
      <c r="C2741" s="13" t="n">
        <v>45537</v>
      </c>
      <c r="D2741" s="13" t="n">
        <v>45546</v>
      </c>
      <c r="E2741" s="13" t="n">
        <v>45551</v>
      </c>
      <c r="F2741" s="4" t="n">
        <v>1643</v>
      </c>
      <c r="G2741" s="4" t="n">
        <v>1591</v>
      </c>
      <c r="H2741" s="4" t="n">
        <v>123.04</v>
      </c>
      <c r="I2741" s="4" t="n">
        <v>121.98</v>
      </c>
      <c r="J2741" s="14" t="n">
        <f aca="false">E2741-D2741</f>
        <v>5</v>
      </c>
      <c r="K2741" s="14" t="n">
        <f aca="false">IF(J2741&lt;=0,1,0)</f>
        <v>0</v>
      </c>
      <c r="L2741" s="15" t="n">
        <f aca="false">IFERROR(G2741/F2741,0)</f>
        <v>0.96835057821059</v>
      </c>
      <c r="M2741" s="15" t="n">
        <f aca="false">IFERROR((I2741-H2741)/H2741,0)</f>
        <v>-0.00861508452535763</v>
      </c>
      <c r="N2741" s="16" t="n">
        <f aca="false">G2741*I2741</f>
        <v>194070.18</v>
      </c>
    </row>
    <row r="2742" customFormat="false" ht="15" hidden="false" customHeight="true" outlineLevel="0" collapsed="false">
      <c r="A2742" s="4" t="s">
        <v>2918</v>
      </c>
      <c r="B2742" s="4" t="s">
        <v>47</v>
      </c>
      <c r="C2742" s="13" t="n">
        <v>45094</v>
      </c>
      <c r="D2742" s="13" t="n">
        <v>45105</v>
      </c>
      <c r="E2742" s="13" t="n">
        <v>45103</v>
      </c>
      <c r="F2742" s="4" t="n">
        <v>422</v>
      </c>
      <c r="G2742" s="4" t="n">
        <v>415</v>
      </c>
      <c r="H2742" s="4" t="n">
        <v>228.68</v>
      </c>
      <c r="I2742" s="4" t="n">
        <v>225.43</v>
      </c>
      <c r="J2742" s="14" t="n">
        <f aca="false">E2742-D2742</f>
        <v>-2</v>
      </c>
      <c r="K2742" s="14" t="n">
        <f aca="false">IF(J2742&lt;=0,1,0)</f>
        <v>1</v>
      </c>
      <c r="L2742" s="15" t="n">
        <f aca="false">IFERROR(G2742/F2742,0)</f>
        <v>0.983412322274882</v>
      </c>
      <c r="M2742" s="15" t="n">
        <f aca="false">IFERROR((I2742-H2742)/H2742,0)</f>
        <v>-0.0142119993003323</v>
      </c>
      <c r="N2742" s="16" t="n">
        <f aca="false">G2742*I2742</f>
        <v>93553.45</v>
      </c>
    </row>
    <row r="2743" customFormat="false" ht="15" hidden="false" customHeight="true" outlineLevel="0" collapsed="false">
      <c r="A2743" s="4" t="s">
        <v>2919</v>
      </c>
      <c r="B2743" s="4" t="s">
        <v>149</v>
      </c>
      <c r="C2743" s="13" t="n">
        <v>45626</v>
      </c>
      <c r="D2743" s="13" t="n">
        <v>45632</v>
      </c>
      <c r="E2743" s="13" t="n">
        <v>45633</v>
      </c>
      <c r="F2743" s="4" t="n">
        <v>5</v>
      </c>
      <c r="G2743" s="4" t="n">
        <v>5</v>
      </c>
      <c r="H2743" s="4" t="n">
        <v>1458.52</v>
      </c>
      <c r="I2743" s="4" t="n">
        <v>1467.72</v>
      </c>
      <c r="J2743" s="14" t="n">
        <f aca="false">E2743-D2743</f>
        <v>1</v>
      </c>
      <c r="K2743" s="14" t="n">
        <f aca="false">IF(J2743&lt;=0,1,0)</f>
        <v>0</v>
      </c>
      <c r="L2743" s="15" t="n">
        <f aca="false">IFERROR(G2743/F2743,0)</f>
        <v>1</v>
      </c>
      <c r="M2743" s="15" t="n">
        <f aca="false">IFERROR((I2743-H2743)/H2743,0)</f>
        <v>0.00630776403477501</v>
      </c>
      <c r="N2743" s="16" t="n">
        <f aca="false">G2743*I2743</f>
        <v>7338.6</v>
      </c>
    </row>
    <row r="2744" customFormat="false" ht="15" hidden="false" customHeight="true" outlineLevel="0" collapsed="false">
      <c r="A2744" s="4" t="s">
        <v>2920</v>
      </c>
      <c r="B2744" s="4" t="s">
        <v>37</v>
      </c>
      <c r="C2744" s="13" t="n">
        <v>45009</v>
      </c>
      <c r="D2744" s="13" t="n">
        <v>45018</v>
      </c>
      <c r="E2744" s="13" t="n">
        <v>45014</v>
      </c>
      <c r="F2744" s="4" t="n">
        <v>2458</v>
      </c>
      <c r="G2744" s="4" t="n">
        <v>2376</v>
      </c>
      <c r="H2744" s="4" t="n">
        <v>22.26</v>
      </c>
      <c r="I2744" s="4" t="n">
        <v>22.03</v>
      </c>
      <c r="J2744" s="14" t="n">
        <f aca="false">E2744-D2744</f>
        <v>-4</v>
      </c>
      <c r="K2744" s="14" t="n">
        <f aca="false">IF(J2744&lt;=0,1,0)</f>
        <v>1</v>
      </c>
      <c r="L2744" s="15" t="n">
        <f aca="false">IFERROR(G2744/F2744,0)</f>
        <v>0.966639544344996</v>
      </c>
      <c r="M2744" s="15" t="n">
        <f aca="false">IFERROR((I2744-H2744)/H2744,0)</f>
        <v>-0.0103324348607368</v>
      </c>
      <c r="N2744" s="16" t="n">
        <f aca="false">G2744*I2744</f>
        <v>52343.28</v>
      </c>
    </row>
    <row r="2745" customFormat="false" ht="15" hidden="false" customHeight="true" outlineLevel="0" collapsed="false">
      <c r="A2745" s="4" t="s">
        <v>2921</v>
      </c>
      <c r="B2745" s="4" t="s">
        <v>85</v>
      </c>
      <c r="C2745" s="13" t="n">
        <v>45156</v>
      </c>
      <c r="D2745" s="13" t="n">
        <v>45167</v>
      </c>
      <c r="E2745" s="13" t="n">
        <v>45168</v>
      </c>
      <c r="F2745" s="4" t="n">
        <v>1987</v>
      </c>
      <c r="G2745" s="4" t="n">
        <v>1870</v>
      </c>
      <c r="H2745" s="4" t="n">
        <v>241.88</v>
      </c>
      <c r="I2745" s="4" t="n">
        <v>237.58</v>
      </c>
      <c r="J2745" s="14" t="n">
        <f aca="false">E2745-D2745</f>
        <v>1</v>
      </c>
      <c r="K2745" s="14" t="n">
        <f aca="false">IF(J2745&lt;=0,1,0)</f>
        <v>0</v>
      </c>
      <c r="L2745" s="15" t="n">
        <f aca="false">IFERROR(G2745/F2745,0)</f>
        <v>0.941117262204328</v>
      </c>
      <c r="M2745" s="15" t="n">
        <f aca="false">IFERROR((I2745-H2745)/H2745,0)</f>
        <v>-0.0177774102860922</v>
      </c>
      <c r="N2745" s="16" t="n">
        <f aca="false">G2745*I2745</f>
        <v>444274.6</v>
      </c>
    </row>
    <row r="2746" customFormat="false" ht="15" hidden="false" customHeight="true" outlineLevel="0" collapsed="false">
      <c r="A2746" s="4" t="s">
        <v>2922</v>
      </c>
      <c r="B2746" s="4" t="s">
        <v>93</v>
      </c>
      <c r="C2746" s="13" t="n">
        <v>45569</v>
      </c>
      <c r="D2746" s="13" t="n">
        <v>45579</v>
      </c>
      <c r="E2746" s="13" t="n">
        <v>45581</v>
      </c>
      <c r="F2746" s="4" t="n">
        <v>1260</v>
      </c>
      <c r="G2746" s="4" t="n">
        <v>1260</v>
      </c>
      <c r="H2746" s="4" t="n">
        <v>174.25</v>
      </c>
      <c r="I2746" s="4" t="n">
        <v>185.81</v>
      </c>
      <c r="J2746" s="14" t="n">
        <f aca="false">E2746-D2746</f>
        <v>2</v>
      </c>
      <c r="K2746" s="14" t="n">
        <f aca="false">IF(J2746&lt;=0,1,0)</f>
        <v>0</v>
      </c>
      <c r="L2746" s="15" t="n">
        <f aca="false">IFERROR(G2746/F2746,0)</f>
        <v>1</v>
      </c>
      <c r="M2746" s="15" t="n">
        <f aca="false">IFERROR((I2746-H2746)/H2746,0)</f>
        <v>0.0663414634146342</v>
      </c>
      <c r="N2746" s="16" t="n">
        <f aca="false">G2746*I2746</f>
        <v>234120.6</v>
      </c>
    </row>
    <row r="2747" customFormat="false" ht="15" hidden="false" customHeight="true" outlineLevel="0" collapsed="false">
      <c r="A2747" s="4" t="s">
        <v>2923</v>
      </c>
      <c r="B2747" s="4" t="s">
        <v>61</v>
      </c>
      <c r="C2747" s="13" t="n">
        <v>45358</v>
      </c>
      <c r="D2747" s="13" t="n">
        <v>45370</v>
      </c>
      <c r="E2747" s="13" t="n">
        <v>45376</v>
      </c>
      <c r="F2747" s="4" t="n">
        <v>1156</v>
      </c>
      <c r="G2747" s="4" t="n">
        <v>1120</v>
      </c>
      <c r="H2747" s="4" t="n">
        <v>107.41</v>
      </c>
      <c r="I2747" s="4" t="n">
        <v>107.05</v>
      </c>
      <c r="J2747" s="14" t="n">
        <f aca="false">E2747-D2747</f>
        <v>6</v>
      </c>
      <c r="K2747" s="14" t="n">
        <f aca="false">IF(J2747&lt;=0,1,0)</f>
        <v>0</v>
      </c>
      <c r="L2747" s="15" t="n">
        <f aca="false">IFERROR(G2747/F2747,0)</f>
        <v>0.968858131487889</v>
      </c>
      <c r="M2747" s="15" t="n">
        <f aca="false">IFERROR((I2747-H2747)/H2747,0)</f>
        <v>-0.00335164323619774</v>
      </c>
      <c r="N2747" s="16" t="n">
        <f aca="false">G2747*I2747</f>
        <v>119896</v>
      </c>
    </row>
    <row r="2748" customFormat="false" ht="15" hidden="false" customHeight="true" outlineLevel="0" collapsed="false">
      <c r="A2748" s="4" t="s">
        <v>2924</v>
      </c>
      <c r="B2748" s="4" t="s">
        <v>145</v>
      </c>
      <c r="C2748" s="13" t="n">
        <v>44989</v>
      </c>
      <c r="D2748" s="13" t="n">
        <v>45001</v>
      </c>
      <c r="E2748" s="13" t="n">
        <v>45002</v>
      </c>
      <c r="F2748" s="4" t="n">
        <v>258</v>
      </c>
      <c r="G2748" s="4" t="n">
        <v>247</v>
      </c>
      <c r="H2748" s="4" t="n">
        <v>237.04</v>
      </c>
      <c r="I2748" s="4" t="n">
        <v>242.98</v>
      </c>
      <c r="J2748" s="14" t="n">
        <f aca="false">E2748-D2748</f>
        <v>1</v>
      </c>
      <c r="K2748" s="14" t="n">
        <f aca="false">IF(J2748&lt;=0,1,0)</f>
        <v>0</v>
      </c>
      <c r="L2748" s="15" t="n">
        <f aca="false">IFERROR(G2748/F2748,0)</f>
        <v>0.957364341085271</v>
      </c>
      <c r="M2748" s="15" t="n">
        <f aca="false">IFERROR((I2748-H2748)/H2748,0)</f>
        <v>0.025059061761728</v>
      </c>
      <c r="N2748" s="16" t="n">
        <f aca="false">G2748*I2748</f>
        <v>60016.06</v>
      </c>
    </row>
    <row r="2749" customFormat="false" ht="15" hidden="false" customHeight="true" outlineLevel="0" collapsed="false">
      <c r="A2749" s="4" t="s">
        <v>2925</v>
      </c>
      <c r="B2749" s="4" t="s">
        <v>131</v>
      </c>
      <c r="C2749" s="13" t="n">
        <v>45442</v>
      </c>
      <c r="D2749" s="13" t="n">
        <v>45452</v>
      </c>
      <c r="E2749" s="13" t="n">
        <v>45453</v>
      </c>
      <c r="F2749" s="4" t="n">
        <v>802</v>
      </c>
      <c r="G2749" s="4" t="n">
        <v>784</v>
      </c>
      <c r="H2749" s="4" t="n">
        <v>88.52</v>
      </c>
      <c r="I2749" s="4" t="n">
        <v>89.78</v>
      </c>
      <c r="J2749" s="14" t="n">
        <f aca="false">E2749-D2749</f>
        <v>1</v>
      </c>
      <c r="K2749" s="14" t="n">
        <f aca="false">IF(J2749&lt;=0,1,0)</f>
        <v>0</v>
      </c>
      <c r="L2749" s="15" t="n">
        <f aca="false">IFERROR(G2749/F2749,0)</f>
        <v>0.977556109725686</v>
      </c>
      <c r="M2749" s="15" t="n">
        <f aca="false">IFERROR((I2749-H2749)/H2749,0)</f>
        <v>0.0142340713962947</v>
      </c>
      <c r="N2749" s="16" t="n">
        <f aca="false">G2749*I2749</f>
        <v>70387.52</v>
      </c>
    </row>
    <row r="2750" customFormat="false" ht="15" hidden="false" customHeight="true" outlineLevel="0" collapsed="false">
      <c r="A2750" s="4" t="s">
        <v>2926</v>
      </c>
      <c r="B2750" s="4" t="s">
        <v>79</v>
      </c>
      <c r="C2750" s="13" t="n">
        <v>45595</v>
      </c>
      <c r="D2750" s="13" t="n">
        <v>45615</v>
      </c>
      <c r="E2750" s="13" t="n">
        <v>45615</v>
      </c>
      <c r="F2750" s="4" t="n">
        <v>365</v>
      </c>
      <c r="G2750" s="4" t="n">
        <v>349</v>
      </c>
      <c r="H2750" s="4" t="n">
        <v>821.48</v>
      </c>
      <c r="I2750" s="4" t="n">
        <v>886.92</v>
      </c>
      <c r="J2750" s="14" t="n">
        <f aca="false">E2750-D2750</f>
        <v>0</v>
      </c>
      <c r="K2750" s="14" t="n">
        <f aca="false">IF(J2750&lt;=0,1,0)</f>
        <v>1</v>
      </c>
      <c r="L2750" s="15" t="n">
        <f aca="false">IFERROR(G2750/F2750,0)</f>
        <v>0.956164383561644</v>
      </c>
      <c r="M2750" s="15" t="n">
        <f aca="false">IFERROR((I2750-H2750)/H2750,0)</f>
        <v>0.0796610994789891</v>
      </c>
      <c r="N2750" s="16" t="n">
        <f aca="false">G2750*I2750</f>
        <v>309535.08</v>
      </c>
    </row>
    <row r="2751" customFormat="false" ht="15" hidden="false" customHeight="true" outlineLevel="0" collapsed="false">
      <c r="A2751" s="4" t="s">
        <v>2927</v>
      </c>
      <c r="B2751" s="4" t="s">
        <v>107</v>
      </c>
      <c r="C2751" s="13" t="n">
        <v>45192</v>
      </c>
      <c r="D2751" s="13" t="n">
        <v>45201</v>
      </c>
      <c r="E2751" s="13" t="n">
        <v>45197</v>
      </c>
      <c r="F2751" s="4" t="n">
        <v>2344</v>
      </c>
      <c r="G2751" s="4" t="n">
        <v>2283</v>
      </c>
      <c r="H2751" s="4" t="n">
        <v>40.41</v>
      </c>
      <c r="I2751" s="4" t="n">
        <v>40.54</v>
      </c>
      <c r="J2751" s="14" t="n">
        <f aca="false">E2751-D2751</f>
        <v>-4</v>
      </c>
      <c r="K2751" s="14" t="n">
        <f aca="false">IF(J2751&lt;=0,1,0)</f>
        <v>1</v>
      </c>
      <c r="L2751" s="15" t="n">
        <f aca="false">IFERROR(G2751/F2751,0)</f>
        <v>0.973976109215017</v>
      </c>
      <c r="M2751" s="15" t="n">
        <f aca="false">IFERROR((I2751-H2751)/H2751,0)</f>
        <v>0.00321702548874047</v>
      </c>
      <c r="N2751" s="16" t="n">
        <f aca="false">G2751*I2751</f>
        <v>92552.82</v>
      </c>
    </row>
    <row r="2752" customFormat="false" ht="15" hidden="false" customHeight="true" outlineLevel="0" collapsed="false">
      <c r="A2752" s="4" t="s">
        <v>2928</v>
      </c>
      <c r="B2752" s="4" t="s">
        <v>141</v>
      </c>
      <c r="C2752" s="13" t="n">
        <v>44996</v>
      </c>
      <c r="D2752" s="13" t="n">
        <v>45013</v>
      </c>
      <c r="E2752" s="13" t="n">
        <v>45016</v>
      </c>
      <c r="F2752" s="4" t="n">
        <v>365</v>
      </c>
      <c r="G2752" s="4" t="n">
        <v>365</v>
      </c>
      <c r="H2752" s="4" t="n">
        <v>1252.36</v>
      </c>
      <c r="I2752" s="4" t="n">
        <v>1241.68</v>
      </c>
      <c r="J2752" s="14" t="n">
        <f aca="false">E2752-D2752</f>
        <v>3</v>
      </c>
      <c r="K2752" s="14" t="n">
        <f aca="false">IF(J2752&lt;=0,1,0)</f>
        <v>0</v>
      </c>
      <c r="L2752" s="15" t="n">
        <f aca="false">IFERROR(G2752/F2752,0)</f>
        <v>1</v>
      </c>
      <c r="M2752" s="15" t="n">
        <f aca="false">IFERROR((I2752-H2752)/H2752,0)</f>
        <v>-0.00852789932607225</v>
      </c>
      <c r="N2752" s="16" t="n">
        <f aca="false">G2752*I2752</f>
        <v>453213.2</v>
      </c>
    </row>
    <row r="2753" customFormat="false" ht="15" hidden="false" customHeight="true" outlineLevel="0" collapsed="false">
      <c r="A2753" s="4" t="s">
        <v>2929</v>
      </c>
      <c r="B2753" s="4" t="s">
        <v>72</v>
      </c>
      <c r="C2753" s="13" t="n">
        <v>45363</v>
      </c>
      <c r="D2753" s="13" t="n">
        <v>45371</v>
      </c>
      <c r="E2753" s="13" t="n">
        <v>45380</v>
      </c>
      <c r="F2753" s="4" t="n">
        <v>2468</v>
      </c>
      <c r="G2753" s="4" t="n">
        <v>2387</v>
      </c>
      <c r="H2753" s="4" t="n">
        <v>34.53</v>
      </c>
      <c r="I2753" s="4" t="n">
        <v>36.6</v>
      </c>
      <c r="J2753" s="14" t="n">
        <f aca="false">E2753-D2753</f>
        <v>9</v>
      </c>
      <c r="K2753" s="14" t="n">
        <f aca="false">IF(J2753&lt;=0,1,0)</f>
        <v>0</v>
      </c>
      <c r="L2753" s="15" t="n">
        <f aca="false">IFERROR(G2753/F2753,0)</f>
        <v>0.967179902755267</v>
      </c>
      <c r="M2753" s="15" t="n">
        <f aca="false">IFERROR((I2753-H2753)/H2753,0)</f>
        <v>0.0599478714161599</v>
      </c>
      <c r="N2753" s="16" t="n">
        <f aca="false">G2753*I2753</f>
        <v>87364.2</v>
      </c>
    </row>
    <row r="2754" customFormat="false" ht="15" hidden="false" customHeight="true" outlineLevel="0" collapsed="false">
      <c r="A2754" s="4" t="s">
        <v>2930</v>
      </c>
      <c r="B2754" s="4" t="s">
        <v>129</v>
      </c>
      <c r="C2754" s="13" t="n">
        <v>45475</v>
      </c>
      <c r="D2754" s="13" t="n">
        <v>45494</v>
      </c>
      <c r="E2754" s="13" t="n">
        <v>45493</v>
      </c>
      <c r="F2754" s="4" t="n">
        <v>305</v>
      </c>
      <c r="G2754" s="4" t="n">
        <v>296</v>
      </c>
      <c r="H2754" s="4" t="n">
        <v>709.66</v>
      </c>
      <c r="I2754" s="4" t="n">
        <v>713.53</v>
      </c>
      <c r="J2754" s="14" t="n">
        <f aca="false">E2754-D2754</f>
        <v>-1</v>
      </c>
      <c r="K2754" s="14" t="n">
        <f aca="false">IF(J2754&lt;=0,1,0)</f>
        <v>1</v>
      </c>
      <c r="L2754" s="15" t="n">
        <f aca="false">IFERROR(G2754/F2754,0)</f>
        <v>0.970491803278689</v>
      </c>
      <c r="M2754" s="15" t="n">
        <f aca="false">IFERROR((I2754-H2754)/H2754,0)</f>
        <v>0.00545331567229378</v>
      </c>
      <c r="N2754" s="16" t="n">
        <f aca="false">G2754*I2754</f>
        <v>211204.88</v>
      </c>
    </row>
    <row r="2755" customFormat="false" ht="15" hidden="false" customHeight="true" outlineLevel="0" collapsed="false">
      <c r="A2755" s="4" t="s">
        <v>2931</v>
      </c>
      <c r="B2755" s="4" t="s">
        <v>123</v>
      </c>
      <c r="C2755" s="13" t="n">
        <v>45058</v>
      </c>
      <c r="D2755" s="13" t="n">
        <v>45069</v>
      </c>
      <c r="E2755" s="13" t="n">
        <v>45069</v>
      </c>
      <c r="F2755" s="4" t="n">
        <v>50</v>
      </c>
      <c r="G2755" s="4" t="n">
        <v>48</v>
      </c>
      <c r="H2755" s="4" t="n">
        <v>214.07</v>
      </c>
      <c r="I2755" s="4" t="n">
        <v>221.61</v>
      </c>
      <c r="J2755" s="14" t="n">
        <f aca="false">E2755-D2755</f>
        <v>0</v>
      </c>
      <c r="K2755" s="14" t="n">
        <f aca="false">IF(J2755&lt;=0,1,0)</f>
        <v>1</v>
      </c>
      <c r="L2755" s="15" t="n">
        <f aca="false">IFERROR(G2755/F2755,0)</f>
        <v>0.96</v>
      </c>
      <c r="M2755" s="15" t="n">
        <f aca="false">IFERROR((I2755-H2755)/H2755,0)</f>
        <v>0.0352221236044286</v>
      </c>
      <c r="N2755" s="16" t="n">
        <f aca="false">G2755*I2755</f>
        <v>10637.28</v>
      </c>
    </row>
    <row r="2756" customFormat="false" ht="15" hidden="false" customHeight="true" outlineLevel="0" collapsed="false">
      <c r="A2756" s="4" t="s">
        <v>2932</v>
      </c>
      <c r="B2756" s="4" t="s">
        <v>93</v>
      </c>
      <c r="C2756" s="13" t="n">
        <v>45563</v>
      </c>
      <c r="D2756" s="13" t="n">
        <v>45572</v>
      </c>
      <c r="E2756" s="13" t="n">
        <v>45575</v>
      </c>
      <c r="F2756" s="4" t="n">
        <v>303</v>
      </c>
      <c r="G2756" s="4" t="n">
        <v>293</v>
      </c>
      <c r="H2756" s="4" t="n">
        <v>174.25</v>
      </c>
      <c r="I2756" s="4" t="n">
        <v>186.42</v>
      </c>
      <c r="J2756" s="14" t="n">
        <f aca="false">E2756-D2756</f>
        <v>3</v>
      </c>
      <c r="K2756" s="14" t="n">
        <f aca="false">IF(J2756&lt;=0,1,0)</f>
        <v>0</v>
      </c>
      <c r="L2756" s="15" t="n">
        <f aca="false">IFERROR(G2756/F2756,0)</f>
        <v>0.966996699669967</v>
      </c>
      <c r="M2756" s="15" t="n">
        <f aca="false">IFERROR((I2756-H2756)/H2756,0)</f>
        <v>0.0698421807747489</v>
      </c>
      <c r="N2756" s="16" t="n">
        <f aca="false">G2756*I2756</f>
        <v>54621.06</v>
      </c>
    </row>
    <row r="2757" customFormat="false" ht="15" hidden="false" customHeight="true" outlineLevel="0" collapsed="false">
      <c r="A2757" s="4" t="s">
        <v>2933</v>
      </c>
      <c r="B2757" s="4" t="s">
        <v>58</v>
      </c>
      <c r="C2757" s="13" t="n">
        <v>45374</v>
      </c>
      <c r="D2757" s="13" t="n">
        <v>45387</v>
      </c>
      <c r="E2757" s="13" t="n">
        <v>45385</v>
      </c>
      <c r="F2757" s="4" t="n">
        <v>68</v>
      </c>
      <c r="G2757" s="4" t="n">
        <v>66</v>
      </c>
      <c r="H2757" s="4" t="n">
        <v>135.68</v>
      </c>
      <c r="I2757" s="4" t="n">
        <v>143.98</v>
      </c>
      <c r="J2757" s="14" t="n">
        <f aca="false">E2757-D2757</f>
        <v>-2</v>
      </c>
      <c r="K2757" s="14" t="n">
        <f aca="false">IF(J2757&lt;=0,1,0)</f>
        <v>1</v>
      </c>
      <c r="L2757" s="15" t="n">
        <f aca="false">IFERROR(G2757/F2757,0)</f>
        <v>0.970588235294118</v>
      </c>
      <c r="M2757" s="15" t="n">
        <f aca="false">IFERROR((I2757-H2757)/H2757,0)</f>
        <v>0.0611733490566037</v>
      </c>
      <c r="N2757" s="16" t="n">
        <f aca="false">G2757*I2757</f>
        <v>9502.68</v>
      </c>
    </row>
    <row r="2758" customFormat="false" ht="15" hidden="false" customHeight="true" outlineLevel="0" collapsed="false">
      <c r="A2758" s="4" t="s">
        <v>2934</v>
      </c>
      <c r="B2758" s="4" t="s">
        <v>141</v>
      </c>
      <c r="C2758" s="13" t="n">
        <v>45113</v>
      </c>
      <c r="D2758" s="13" t="n">
        <v>45131</v>
      </c>
      <c r="E2758" s="13" t="n">
        <v>45131</v>
      </c>
      <c r="F2758" s="4" t="n">
        <v>176</v>
      </c>
      <c r="G2758" s="4" t="n">
        <v>168</v>
      </c>
      <c r="H2758" s="4" t="n">
        <v>1252.36</v>
      </c>
      <c r="I2758" s="4" t="n">
        <v>1241.94</v>
      </c>
      <c r="J2758" s="14" t="n">
        <f aca="false">E2758-D2758</f>
        <v>0</v>
      </c>
      <c r="K2758" s="14" t="n">
        <f aca="false">IF(J2758&lt;=0,1,0)</f>
        <v>1</v>
      </c>
      <c r="L2758" s="15" t="n">
        <f aca="false">IFERROR(G2758/F2758,0)</f>
        <v>0.954545454545455</v>
      </c>
      <c r="M2758" s="15" t="n">
        <f aca="false">IFERROR((I2758-H2758)/H2758,0)</f>
        <v>-0.00832029129004427</v>
      </c>
      <c r="N2758" s="16" t="n">
        <f aca="false">G2758*I2758</f>
        <v>208645.92</v>
      </c>
    </row>
    <row r="2759" customFormat="false" ht="15" hidden="false" customHeight="true" outlineLevel="0" collapsed="false">
      <c r="A2759" s="4" t="s">
        <v>2935</v>
      </c>
      <c r="B2759" s="4" t="s">
        <v>129</v>
      </c>
      <c r="C2759" s="13" t="n">
        <v>45223</v>
      </c>
      <c r="D2759" s="13" t="n">
        <v>45243</v>
      </c>
      <c r="E2759" s="13" t="n">
        <v>45249</v>
      </c>
      <c r="F2759" s="4" t="n">
        <v>231</v>
      </c>
      <c r="G2759" s="4" t="n">
        <v>214</v>
      </c>
      <c r="H2759" s="4" t="n">
        <v>709.66</v>
      </c>
      <c r="I2759" s="4" t="n">
        <v>718.73</v>
      </c>
      <c r="J2759" s="14" t="n">
        <f aca="false">E2759-D2759</f>
        <v>6</v>
      </c>
      <c r="K2759" s="14" t="n">
        <f aca="false">IF(J2759&lt;=0,1,0)</f>
        <v>0</v>
      </c>
      <c r="L2759" s="15" t="n">
        <f aca="false">IFERROR(G2759/F2759,0)</f>
        <v>0.926406926406927</v>
      </c>
      <c r="M2759" s="15" t="n">
        <f aca="false">IFERROR((I2759-H2759)/H2759,0)</f>
        <v>0.0127807682552209</v>
      </c>
      <c r="N2759" s="16" t="n">
        <f aca="false">G2759*I2759</f>
        <v>153808.22</v>
      </c>
    </row>
    <row r="2760" customFormat="false" ht="15" hidden="false" customHeight="true" outlineLevel="0" collapsed="false">
      <c r="A2760" s="4" t="s">
        <v>2936</v>
      </c>
      <c r="B2760" s="4" t="s">
        <v>117</v>
      </c>
      <c r="C2760" s="13" t="n">
        <v>44977</v>
      </c>
      <c r="D2760" s="13" t="n">
        <v>44991</v>
      </c>
      <c r="E2760" s="13" t="n">
        <v>44998</v>
      </c>
      <c r="F2760" s="4" t="n">
        <v>285</v>
      </c>
      <c r="G2760" s="4" t="n">
        <v>270</v>
      </c>
      <c r="H2760" s="4" t="n">
        <v>396.01</v>
      </c>
      <c r="I2760" s="4" t="n">
        <v>388.99</v>
      </c>
      <c r="J2760" s="14" t="n">
        <f aca="false">E2760-D2760</f>
        <v>7</v>
      </c>
      <c r="K2760" s="14" t="n">
        <f aca="false">IF(J2760&lt;=0,1,0)</f>
        <v>0</v>
      </c>
      <c r="L2760" s="15" t="n">
        <f aca="false">IFERROR(G2760/F2760,0)</f>
        <v>0.947368421052632</v>
      </c>
      <c r="M2760" s="15" t="n">
        <f aca="false">IFERROR((I2760-H2760)/H2760,0)</f>
        <v>-0.0177268250801747</v>
      </c>
      <c r="N2760" s="16" t="n">
        <f aca="false">G2760*I2760</f>
        <v>105027.3</v>
      </c>
    </row>
    <row r="2761" customFormat="false" ht="15" hidden="false" customHeight="true" outlineLevel="0" collapsed="false">
      <c r="A2761" s="4" t="s">
        <v>2937</v>
      </c>
      <c r="B2761" s="4" t="s">
        <v>50</v>
      </c>
      <c r="C2761" s="13" t="n">
        <v>45588</v>
      </c>
      <c r="D2761" s="13" t="n">
        <v>45607</v>
      </c>
      <c r="E2761" s="13" t="n">
        <v>45606</v>
      </c>
      <c r="F2761" s="4" t="n">
        <v>194</v>
      </c>
      <c r="G2761" s="4" t="n">
        <v>191</v>
      </c>
      <c r="H2761" s="4" t="n">
        <v>707.19</v>
      </c>
      <c r="I2761" s="4" t="n">
        <v>769.26</v>
      </c>
      <c r="J2761" s="14" t="n">
        <f aca="false">E2761-D2761</f>
        <v>-1</v>
      </c>
      <c r="K2761" s="14" t="n">
        <f aca="false">IF(J2761&lt;=0,1,0)</f>
        <v>1</v>
      </c>
      <c r="L2761" s="15" t="n">
        <f aca="false">IFERROR(G2761/F2761,0)</f>
        <v>0.984536082474227</v>
      </c>
      <c r="M2761" s="15" t="n">
        <f aca="false">IFERROR((I2761-H2761)/H2761,0)</f>
        <v>0.0877699062486742</v>
      </c>
      <c r="N2761" s="16" t="n">
        <f aca="false">G2761*I2761</f>
        <v>146928.66</v>
      </c>
    </row>
    <row r="2762" customFormat="false" ht="15" hidden="false" customHeight="true" outlineLevel="0" collapsed="false">
      <c r="A2762" s="4" t="s">
        <v>2938</v>
      </c>
      <c r="B2762" s="4" t="s">
        <v>139</v>
      </c>
      <c r="C2762" s="13" t="n">
        <v>45403</v>
      </c>
      <c r="D2762" s="13" t="n">
        <v>45415</v>
      </c>
      <c r="E2762" s="13" t="n">
        <v>45417</v>
      </c>
      <c r="F2762" s="4" t="n">
        <v>1506</v>
      </c>
      <c r="G2762" s="4" t="n">
        <v>1337</v>
      </c>
      <c r="H2762" s="4" t="n">
        <v>207.64</v>
      </c>
      <c r="I2762" s="4" t="n">
        <v>216.61</v>
      </c>
      <c r="J2762" s="14" t="n">
        <f aca="false">E2762-D2762</f>
        <v>2</v>
      </c>
      <c r="K2762" s="14" t="n">
        <f aca="false">IF(J2762&lt;=0,1,0)</f>
        <v>0</v>
      </c>
      <c r="L2762" s="15" t="n">
        <f aca="false">IFERROR(G2762/F2762,0)</f>
        <v>0.887782204515272</v>
      </c>
      <c r="M2762" s="15" t="n">
        <f aca="false">IFERROR((I2762-H2762)/H2762,0)</f>
        <v>0.0431997688306686</v>
      </c>
      <c r="N2762" s="16" t="n">
        <f aca="false">G2762*I2762</f>
        <v>289607.57</v>
      </c>
    </row>
    <row r="2763" customFormat="false" ht="15" hidden="false" customHeight="true" outlineLevel="0" collapsed="false">
      <c r="A2763" s="4" t="s">
        <v>2939</v>
      </c>
      <c r="B2763" s="4" t="s">
        <v>70</v>
      </c>
      <c r="C2763" s="13" t="n">
        <v>45153</v>
      </c>
      <c r="D2763" s="13" t="n">
        <v>45160</v>
      </c>
      <c r="E2763" s="13" t="n">
        <v>45159</v>
      </c>
      <c r="F2763" s="4" t="n">
        <v>2047</v>
      </c>
      <c r="G2763" s="4" t="n">
        <v>1926</v>
      </c>
      <c r="H2763" s="4" t="n">
        <v>35.88</v>
      </c>
      <c r="I2763" s="4" t="n">
        <v>36.8</v>
      </c>
      <c r="J2763" s="14" t="n">
        <f aca="false">E2763-D2763</f>
        <v>-1</v>
      </c>
      <c r="K2763" s="14" t="n">
        <f aca="false">IF(J2763&lt;=0,1,0)</f>
        <v>1</v>
      </c>
      <c r="L2763" s="15" t="n">
        <f aca="false">IFERROR(G2763/F2763,0)</f>
        <v>0.940889106008793</v>
      </c>
      <c r="M2763" s="15" t="n">
        <f aca="false">IFERROR((I2763-H2763)/H2763,0)</f>
        <v>0.0256410256410255</v>
      </c>
      <c r="N2763" s="16" t="n">
        <f aca="false">G2763*I2763</f>
        <v>70876.8</v>
      </c>
    </row>
    <row r="2764" customFormat="false" ht="15" hidden="false" customHeight="true" outlineLevel="0" collapsed="false">
      <c r="A2764" s="4" t="s">
        <v>2940</v>
      </c>
      <c r="B2764" s="4" t="s">
        <v>155</v>
      </c>
      <c r="C2764" s="13" t="n">
        <v>45179</v>
      </c>
      <c r="D2764" s="13" t="n">
        <v>45185</v>
      </c>
      <c r="E2764" s="13" t="n">
        <v>45184</v>
      </c>
      <c r="F2764" s="4" t="n">
        <v>3414</v>
      </c>
      <c r="G2764" s="4" t="n">
        <v>3349</v>
      </c>
      <c r="H2764" s="4" t="n">
        <v>24.04</v>
      </c>
      <c r="I2764" s="4" t="n">
        <v>23.41</v>
      </c>
      <c r="J2764" s="14" t="n">
        <f aca="false">E2764-D2764</f>
        <v>-1</v>
      </c>
      <c r="K2764" s="14" t="n">
        <f aca="false">IF(J2764&lt;=0,1,0)</f>
        <v>1</v>
      </c>
      <c r="L2764" s="15" t="n">
        <f aca="false">IFERROR(G2764/F2764,0)</f>
        <v>0.980960749853544</v>
      </c>
      <c r="M2764" s="15" t="n">
        <f aca="false">IFERROR((I2764-H2764)/H2764,0)</f>
        <v>-0.0262063227953411</v>
      </c>
      <c r="N2764" s="16" t="n">
        <f aca="false">G2764*I2764</f>
        <v>78400.09</v>
      </c>
    </row>
    <row r="2765" customFormat="false" ht="15" hidden="false" customHeight="true" outlineLevel="0" collapsed="false">
      <c r="A2765" s="4" t="s">
        <v>2941</v>
      </c>
      <c r="B2765" s="4" t="s">
        <v>87</v>
      </c>
      <c r="C2765" s="13" t="n">
        <v>45229</v>
      </c>
      <c r="D2765" s="13" t="n">
        <v>45241</v>
      </c>
      <c r="E2765" s="13" t="n">
        <v>45242</v>
      </c>
      <c r="F2765" s="4" t="n">
        <v>935</v>
      </c>
      <c r="G2765" s="4" t="n">
        <v>858</v>
      </c>
      <c r="H2765" s="4" t="n">
        <v>161.95</v>
      </c>
      <c r="I2765" s="4" t="n">
        <v>176.56</v>
      </c>
      <c r="J2765" s="14" t="n">
        <f aca="false">E2765-D2765</f>
        <v>1</v>
      </c>
      <c r="K2765" s="14" t="n">
        <f aca="false">IF(J2765&lt;=0,1,0)</f>
        <v>0</v>
      </c>
      <c r="L2765" s="15" t="n">
        <f aca="false">IFERROR(G2765/F2765,0)</f>
        <v>0.917647058823529</v>
      </c>
      <c r="M2765" s="15" t="n">
        <f aca="false">IFERROR((I2765-H2765)/H2765,0)</f>
        <v>0.0902130287125657</v>
      </c>
      <c r="N2765" s="16" t="n">
        <f aca="false">G2765*I2765</f>
        <v>151488.48</v>
      </c>
    </row>
    <row r="2766" customFormat="false" ht="15" hidden="false" customHeight="true" outlineLevel="0" collapsed="false">
      <c r="A2766" s="4" t="s">
        <v>2942</v>
      </c>
      <c r="B2766" s="4" t="s">
        <v>147</v>
      </c>
      <c r="C2766" s="13" t="n">
        <v>45069</v>
      </c>
      <c r="D2766" s="13" t="n">
        <v>45080</v>
      </c>
      <c r="E2766" s="13" t="n">
        <v>45081</v>
      </c>
      <c r="F2766" s="4" t="n">
        <v>293</v>
      </c>
      <c r="G2766" s="4" t="n">
        <v>284</v>
      </c>
      <c r="H2766" s="4" t="n">
        <v>203.3</v>
      </c>
      <c r="I2766" s="4" t="n">
        <v>203.84</v>
      </c>
      <c r="J2766" s="14" t="n">
        <f aca="false">E2766-D2766</f>
        <v>1</v>
      </c>
      <c r="K2766" s="14" t="n">
        <f aca="false">IF(J2766&lt;=0,1,0)</f>
        <v>0</v>
      </c>
      <c r="L2766" s="15" t="n">
        <f aca="false">IFERROR(G2766/F2766,0)</f>
        <v>0.969283276450512</v>
      </c>
      <c r="M2766" s="15" t="n">
        <f aca="false">IFERROR((I2766-H2766)/H2766,0)</f>
        <v>0.00265617314313818</v>
      </c>
      <c r="N2766" s="16" t="n">
        <f aca="false">G2766*I2766</f>
        <v>57890.56</v>
      </c>
    </row>
    <row r="2767" customFormat="false" ht="15" hidden="false" customHeight="true" outlineLevel="0" collapsed="false">
      <c r="A2767" s="4" t="s">
        <v>2943</v>
      </c>
      <c r="B2767" s="4" t="s">
        <v>99</v>
      </c>
      <c r="C2767" s="13" t="n">
        <v>45102</v>
      </c>
      <c r="D2767" s="13" t="n">
        <v>45109</v>
      </c>
      <c r="E2767" s="13" t="n">
        <v>45115</v>
      </c>
      <c r="F2767" s="4" t="n">
        <v>1479</v>
      </c>
      <c r="G2767" s="4" t="n">
        <v>1395</v>
      </c>
      <c r="H2767" s="4" t="n">
        <v>11.5</v>
      </c>
      <c r="I2767" s="4" t="n">
        <v>11.78</v>
      </c>
      <c r="J2767" s="14" t="n">
        <f aca="false">E2767-D2767</f>
        <v>6</v>
      </c>
      <c r="K2767" s="14" t="n">
        <f aca="false">IF(J2767&lt;=0,1,0)</f>
        <v>0</v>
      </c>
      <c r="L2767" s="15" t="n">
        <f aca="false">IFERROR(G2767/F2767,0)</f>
        <v>0.943204868154158</v>
      </c>
      <c r="M2767" s="15" t="n">
        <f aca="false">IFERROR((I2767-H2767)/H2767,0)</f>
        <v>0.0243478260869565</v>
      </c>
      <c r="N2767" s="16" t="n">
        <f aca="false">G2767*I2767</f>
        <v>16433.1</v>
      </c>
    </row>
    <row r="2768" customFormat="false" ht="15" hidden="false" customHeight="true" outlineLevel="0" collapsed="false">
      <c r="A2768" s="4" t="s">
        <v>2944</v>
      </c>
      <c r="B2768" s="4" t="s">
        <v>105</v>
      </c>
      <c r="C2768" s="13" t="n">
        <v>45084</v>
      </c>
      <c r="D2768" s="13" t="n">
        <v>45103</v>
      </c>
      <c r="E2768" s="13" t="n">
        <v>45106</v>
      </c>
      <c r="F2768" s="4" t="n">
        <v>297</v>
      </c>
      <c r="G2768" s="4" t="n">
        <v>293</v>
      </c>
      <c r="H2768" s="4" t="n">
        <v>685.84</v>
      </c>
      <c r="I2768" s="4" t="n">
        <v>689.48</v>
      </c>
      <c r="J2768" s="14" t="n">
        <f aca="false">E2768-D2768</f>
        <v>3</v>
      </c>
      <c r="K2768" s="14" t="n">
        <f aca="false">IF(J2768&lt;=0,1,0)</f>
        <v>0</v>
      </c>
      <c r="L2768" s="15" t="n">
        <f aca="false">IFERROR(G2768/F2768,0)</f>
        <v>0.986531986531987</v>
      </c>
      <c r="M2768" s="15" t="n">
        <f aca="false">IFERROR((I2768-H2768)/H2768,0)</f>
        <v>0.00530736031727515</v>
      </c>
      <c r="N2768" s="16" t="n">
        <f aca="false">G2768*I2768</f>
        <v>202017.64</v>
      </c>
    </row>
    <row r="2769" customFormat="false" ht="15" hidden="false" customHeight="true" outlineLevel="0" collapsed="false">
      <c r="A2769" s="4" t="s">
        <v>2945</v>
      </c>
      <c r="B2769" s="4" t="s">
        <v>109</v>
      </c>
      <c r="C2769" s="13" t="n">
        <v>45299</v>
      </c>
      <c r="D2769" s="13" t="n">
        <v>45316</v>
      </c>
      <c r="E2769" s="13" t="n">
        <v>45316</v>
      </c>
      <c r="F2769" s="4" t="n">
        <v>387</v>
      </c>
      <c r="G2769" s="4" t="n">
        <v>371</v>
      </c>
      <c r="H2769" s="4" t="n">
        <v>858.02</v>
      </c>
      <c r="I2769" s="4" t="n">
        <v>879.25</v>
      </c>
      <c r="J2769" s="14" t="n">
        <f aca="false">E2769-D2769</f>
        <v>0</v>
      </c>
      <c r="K2769" s="14" t="n">
        <f aca="false">IF(J2769&lt;=0,1,0)</f>
        <v>1</v>
      </c>
      <c r="L2769" s="15" t="n">
        <f aca="false">IFERROR(G2769/F2769,0)</f>
        <v>0.958656330749354</v>
      </c>
      <c r="M2769" s="15" t="n">
        <f aca="false">IFERROR((I2769-H2769)/H2769,0)</f>
        <v>0.0247430129833804</v>
      </c>
      <c r="N2769" s="16" t="n">
        <f aca="false">G2769*I2769</f>
        <v>326201.75</v>
      </c>
    </row>
    <row r="2770" customFormat="false" ht="15" hidden="false" customHeight="true" outlineLevel="0" collapsed="false">
      <c r="A2770" s="4" t="s">
        <v>2946</v>
      </c>
      <c r="B2770" s="4" t="s">
        <v>125</v>
      </c>
      <c r="C2770" s="13" t="n">
        <v>45509</v>
      </c>
      <c r="D2770" s="13" t="n">
        <v>45516</v>
      </c>
      <c r="E2770" s="13" t="n">
        <v>45521</v>
      </c>
      <c r="F2770" s="4" t="n">
        <v>5</v>
      </c>
      <c r="G2770" s="4" t="n">
        <v>4</v>
      </c>
      <c r="H2770" s="4" t="n">
        <v>729.32</v>
      </c>
      <c r="I2770" s="4" t="n">
        <v>735.16</v>
      </c>
      <c r="J2770" s="14" t="n">
        <f aca="false">E2770-D2770</f>
        <v>5</v>
      </c>
      <c r="K2770" s="14" t="n">
        <f aca="false">IF(J2770&lt;=0,1,0)</f>
        <v>0</v>
      </c>
      <c r="L2770" s="15" t="n">
        <f aca="false">IFERROR(G2770/F2770,0)</f>
        <v>0.8</v>
      </c>
      <c r="M2770" s="15" t="n">
        <f aca="false">IFERROR((I2770-H2770)/H2770,0)</f>
        <v>0.0080074590029067</v>
      </c>
      <c r="N2770" s="16" t="n">
        <f aca="false">G2770*I2770</f>
        <v>2940.64</v>
      </c>
    </row>
    <row r="2771" customFormat="false" ht="15" hidden="false" customHeight="true" outlineLevel="0" collapsed="false">
      <c r="A2771" s="4" t="s">
        <v>2947</v>
      </c>
      <c r="B2771" s="4" t="s">
        <v>125</v>
      </c>
      <c r="C2771" s="13" t="n">
        <v>45112</v>
      </c>
      <c r="D2771" s="13" t="n">
        <v>45117</v>
      </c>
      <c r="E2771" s="13" t="n">
        <v>45125</v>
      </c>
      <c r="F2771" s="4" t="n">
        <v>14</v>
      </c>
      <c r="G2771" s="4" t="n">
        <v>12</v>
      </c>
      <c r="H2771" s="4" t="n">
        <v>729.32</v>
      </c>
      <c r="I2771" s="4" t="n">
        <v>734.09</v>
      </c>
      <c r="J2771" s="14" t="n">
        <f aca="false">E2771-D2771</f>
        <v>8</v>
      </c>
      <c r="K2771" s="14" t="n">
        <f aca="false">IF(J2771&lt;=0,1,0)</f>
        <v>0</v>
      </c>
      <c r="L2771" s="15" t="n">
        <f aca="false">IFERROR(G2771/F2771,0)</f>
        <v>0.857142857142857</v>
      </c>
      <c r="M2771" s="15" t="n">
        <f aca="false">IFERROR((I2771-H2771)/H2771,0)</f>
        <v>0.00654033894586736</v>
      </c>
      <c r="N2771" s="16" t="n">
        <f aca="false">G2771*I2771</f>
        <v>8809.08</v>
      </c>
    </row>
    <row r="2772" customFormat="false" ht="15" hidden="false" customHeight="true" outlineLevel="0" collapsed="false">
      <c r="A2772" s="4" t="s">
        <v>2948</v>
      </c>
      <c r="B2772" s="4" t="s">
        <v>103</v>
      </c>
      <c r="C2772" s="13" t="n">
        <v>45652</v>
      </c>
      <c r="D2772" s="13" t="n">
        <v>45669</v>
      </c>
      <c r="E2772" s="13" t="n">
        <v>45673</v>
      </c>
      <c r="F2772" s="4" t="n">
        <v>105</v>
      </c>
      <c r="G2772" s="4" t="n">
        <v>100</v>
      </c>
      <c r="H2772" s="4" t="n">
        <v>1400.22</v>
      </c>
      <c r="I2772" s="4" t="n">
        <v>1452.28</v>
      </c>
      <c r="J2772" s="14" t="n">
        <f aca="false">E2772-D2772</f>
        <v>4</v>
      </c>
      <c r="K2772" s="14" t="n">
        <f aca="false">IF(J2772&lt;=0,1,0)</f>
        <v>0</v>
      </c>
      <c r="L2772" s="15" t="n">
        <f aca="false">IFERROR(G2772/F2772,0)</f>
        <v>0.952380952380952</v>
      </c>
      <c r="M2772" s="15" t="n">
        <f aca="false">IFERROR((I2772-H2772)/H2772,0)</f>
        <v>0.0371798717344417</v>
      </c>
      <c r="N2772" s="16" t="n">
        <f aca="false">G2772*I2772</f>
        <v>145228</v>
      </c>
    </row>
    <row r="2773" customFormat="false" ht="15" hidden="false" customHeight="true" outlineLevel="0" collapsed="false">
      <c r="A2773" s="4" t="s">
        <v>2949</v>
      </c>
      <c r="B2773" s="4" t="s">
        <v>101</v>
      </c>
      <c r="C2773" s="13" t="n">
        <v>45641</v>
      </c>
      <c r="D2773" s="13" t="n">
        <v>45660</v>
      </c>
      <c r="E2773" s="13" t="n">
        <v>45663</v>
      </c>
      <c r="F2773" s="4" t="n">
        <v>447</v>
      </c>
      <c r="G2773" s="4" t="n">
        <v>421</v>
      </c>
      <c r="H2773" s="4" t="n">
        <v>442.74</v>
      </c>
      <c r="I2773" s="4" t="n">
        <v>451.27</v>
      </c>
      <c r="J2773" s="14" t="n">
        <f aca="false">E2773-D2773</f>
        <v>3</v>
      </c>
      <c r="K2773" s="14" t="n">
        <f aca="false">IF(J2773&lt;=0,1,0)</f>
        <v>0</v>
      </c>
      <c r="L2773" s="15" t="n">
        <f aca="false">IFERROR(G2773/F2773,0)</f>
        <v>0.941834451901566</v>
      </c>
      <c r="M2773" s="15" t="n">
        <f aca="false">IFERROR((I2773-H2773)/H2773,0)</f>
        <v>0.0192663865925825</v>
      </c>
      <c r="N2773" s="16" t="n">
        <f aca="false">G2773*I2773</f>
        <v>189984.67</v>
      </c>
    </row>
    <row r="2774" customFormat="false" ht="15" hidden="false" customHeight="true" outlineLevel="0" collapsed="false">
      <c r="A2774" s="4" t="s">
        <v>2950</v>
      </c>
      <c r="B2774" s="4" t="s">
        <v>91</v>
      </c>
      <c r="C2774" s="13" t="n">
        <v>45252</v>
      </c>
      <c r="D2774" s="13" t="n">
        <v>45271</v>
      </c>
      <c r="E2774" s="13" t="n">
        <v>45269</v>
      </c>
      <c r="F2774" s="4" t="n">
        <v>307</v>
      </c>
      <c r="G2774" s="4" t="n">
        <v>294</v>
      </c>
      <c r="H2774" s="4" t="n">
        <v>496.29</v>
      </c>
      <c r="I2774" s="4" t="n">
        <v>492.09</v>
      </c>
      <c r="J2774" s="14" t="n">
        <f aca="false">E2774-D2774</f>
        <v>-2</v>
      </c>
      <c r="K2774" s="14" t="n">
        <f aca="false">IF(J2774&lt;=0,1,0)</f>
        <v>1</v>
      </c>
      <c r="L2774" s="15" t="n">
        <f aca="false">IFERROR(G2774/F2774,0)</f>
        <v>0.957654723127036</v>
      </c>
      <c r="M2774" s="15" t="n">
        <f aca="false">IFERROR((I2774-H2774)/H2774,0)</f>
        <v>-0.00846279393096787</v>
      </c>
      <c r="N2774" s="16" t="n">
        <f aca="false">G2774*I2774</f>
        <v>144674.46</v>
      </c>
    </row>
    <row r="2775" customFormat="false" ht="15" hidden="false" customHeight="true" outlineLevel="0" collapsed="false">
      <c r="A2775" s="4" t="s">
        <v>2951</v>
      </c>
      <c r="B2775" s="4" t="s">
        <v>81</v>
      </c>
      <c r="C2775" s="13" t="n">
        <v>45638</v>
      </c>
      <c r="D2775" s="13" t="n">
        <v>45643</v>
      </c>
      <c r="E2775" s="13" t="n">
        <v>45648</v>
      </c>
      <c r="F2775" s="4" t="n">
        <v>9</v>
      </c>
      <c r="G2775" s="4" t="n">
        <v>9</v>
      </c>
      <c r="H2775" s="4" t="n">
        <v>697.63</v>
      </c>
      <c r="I2775" s="4" t="n">
        <v>676.25</v>
      </c>
      <c r="J2775" s="14" t="n">
        <f aca="false">E2775-D2775</f>
        <v>5</v>
      </c>
      <c r="K2775" s="14" t="n">
        <f aca="false">IF(J2775&lt;=0,1,0)</f>
        <v>0</v>
      </c>
      <c r="L2775" s="15" t="n">
        <f aca="false">IFERROR(G2775/F2775,0)</f>
        <v>1</v>
      </c>
      <c r="M2775" s="15" t="n">
        <f aca="false">IFERROR((I2775-H2775)/H2775,0)</f>
        <v>-0.0306466178346688</v>
      </c>
      <c r="N2775" s="16" t="n">
        <f aca="false">G2775*I2775</f>
        <v>6086.25</v>
      </c>
    </row>
    <row r="2776" customFormat="false" ht="15" hidden="false" customHeight="true" outlineLevel="0" collapsed="false">
      <c r="A2776" s="4" t="s">
        <v>2952</v>
      </c>
      <c r="B2776" s="4" t="s">
        <v>50</v>
      </c>
      <c r="C2776" s="13" t="n">
        <v>45344</v>
      </c>
      <c r="D2776" s="13" t="n">
        <v>45364</v>
      </c>
      <c r="E2776" s="13" t="n">
        <v>45364</v>
      </c>
      <c r="F2776" s="4" t="n">
        <v>376</v>
      </c>
      <c r="G2776" s="4" t="n">
        <v>376</v>
      </c>
      <c r="H2776" s="4" t="n">
        <v>707.19</v>
      </c>
      <c r="I2776" s="4" t="n">
        <v>730.59</v>
      </c>
      <c r="J2776" s="14" t="n">
        <f aca="false">E2776-D2776</f>
        <v>0</v>
      </c>
      <c r="K2776" s="14" t="n">
        <f aca="false">IF(J2776&lt;=0,1,0)</f>
        <v>1</v>
      </c>
      <c r="L2776" s="15" t="n">
        <f aca="false">IFERROR(G2776/F2776,0)</f>
        <v>1</v>
      </c>
      <c r="M2776" s="15" t="n">
        <f aca="false">IFERROR((I2776-H2776)/H2776,0)</f>
        <v>0.0330887031773639</v>
      </c>
      <c r="N2776" s="16" t="n">
        <f aca="false">G2776*I2776</f>
        <v>274701.84</v>
      </c>
    </row>
    <row r="2777" customFormat="false" ht="15" hidden="false" customHeight="true" outlineLevel="0" collapsed="false">
      <c r="A2777" s="4" t="s">
        <v>2953</v>
      </c>
      <c r="B2777" s="4" t="s">
        <v>85</v>
      </c>
      <c r="C2777" s="13" t="n">
        <v>45366</v>
      </c>
      <c r="D2777" s="13" t="n">
        <v>45376</v>
      </c>
      <c r="E2777" s="13" t="n">
        <v>45381</v>
      </c>
      <c r="F2777" s="4" t="n">
        <v>731</v>
      </c>
      <c r="G2777" s="4" t="n">
        <v>711</v>
      </c>
      <c r="H2777" s="4" t="n">
        <v>241.88</v>
      </c>
      <c r="I2777" s="4" t="n">
        <v>235.74</v>
      </c>
      <c r="J2777" s="14" t="n">
        <f aca="false">E2777-D2777</f>
        <v>5</v>
      </c>
      <c r="K2777" s="14" t="n">
        <f aca="false">IF(J2777&lt;=0,1,0)</f>
        <v>0</v>
      </c>
      <c r="L2777" s="15" t="n">
        <f aca="false">IFERROR(G2777/F2777,0)</f>
        <v>0.972640218878249</v>
      </c>
      <c r="M2777" s="15" t="n">
        <f aca="false">IFERROR((I2777-H2777)/H2777,0)</f>
        <v>-0.025384488175955</v>
      </c>
      <c r="N2777" s="16" t="n">
        <f aca="false">G2777*I2777</f>
        <v>167611.14</v>
      </c>
    </row>
    <row r="2778" customFormat="false" ht="15" hidden="false" customHeight="true" outlineLevel="0" collapsed="false">
      <c r="A2778" s="4" t="s">
        <v>2954</v>
      </c>
      <c r="B2778" s="4" t="s">
        <v>137</v>
      </c>
      <c r="C2778" s="13" t="n">
        <v>45127</v>
      </c>
      <c r="D2778" s="13" t="n">
        <v>45146</v>
      </c>
      <c r="E2778" s="13" t="n">
        <v>45140</v>
      </c>
      <c r="F2778" s="4" t="n">
        <v>135</v>
      </c>
      <c r="G2778" s="4" t="n">
        <v>120</v>
      </c>
      <c r="H2778" s="4" t="n">
        <v>1047.25</v>
      </c>
      <c r="I2778" s="4" t="n">
        <v>1074.89</v>
      </c>
      <c r="J2778" s="14" t="n">
        <f aca="false">E2778-D2778</f>
        <v>-6</v>
      </c>
      <c r="K2778" s="14" t="n">
        <f aca="false">IF(J2778&lt;=0,1,0)</f>
        <v>1</v>
      </c>
      <c r="L2778" s="15" t="n">
        <f aca="false">IFERROR(G2778/F2778,0)</f>
        <v>0.888888888888889</v>
      </c>
      <c r="M2778" s="15" t="n">
        <f aca="false">IFERROR((I2778-H2778)/H2778,0)</f>
        <v>0.0263929338744331</v>
      </c>
      <c r="N2778" s="16" t="n">
        <f aca="false">G2778*I2778</f>
        <v>128986.8</v>
      </c>
    </row>
    <row r="2779" customFormat="false" ht="15" hidden="false" customHeight="true" outlineLevel="0" collapsed="false">
      <c r="A2779" s="4" t="s">
        <v>2955</v>
      </c>
      <c r="B2779" s="4" t="s">
        <v>91</v>
      </c>
      <c r="C2779" s="13" t="n">
        <v>45156</v>
      </c>
      <c r="D2779" s="13" t="n">
        <v>45174</v>
      </c>
      <c r="E2779" s="13" t="n">
        <v>45177</v>
      </c>
      <c r="F2779" s="4" t="n">
        <v>484</v>
      </c>
      <c r="G2779" s="4" t="n">
        <v>480</v>
      </c>
      <c r="H2779" s="4" t="n">
        <v>496.29</v>
      </c>
      <c r="I2779" s="4" t="n">
        <v>484.63</v>
      </c>
      <c r="J2779" s="14" t="n">
        <f aca="false">E2779-D2779</f>
        <v>3</v>
      </c>
      <c r="K2779" s="14" t="n">
        <f aca="false">IF(J2779&lt;=0,1,0)</f>
        <v>0</v>
      </c>
      <c r="L2779" s="15" t="n">
        <f aca="false">IFERROR(G2779/F2779,0)</f>
        <v>0.991735537190083</v>
      </c>
      <c r="M2779" s="15" t="n">
        <f aca="false">IFERROR((I2779-H2779)/H2779,0)</f>
        <v>-0.0234943279131154</v>
      </c>
      <c r="N2779" s="16" t="n">
        <f aca="false">G2779*I2779</f>
        <v>232622.4</v>
      </c>
    </row>
    <row r="2780" customFormat="false" ht="15" hidden="false" customHeight="true" outlineLevel="0" collapsed="false">
      <c r="A2780" s="4" t="s">
        <v>2956</v>
      </c>
      <c r="B2780" s="4" t="s">
        <v>143</v>
      </c>
      <c r="C2780" s="13" t="n">
        <v>45421</v>
      </c>
      <c r="D2780" s="13" t="n">
        <v>45429</v>
      </c>
      <c r="E2780" s="13" t="n">
        <v>45441</v>
      </c>
      <c r="F2780" s="4" t="n">
        <v>4228</v>
      </c>
      <c r="G2780" s="4" t="n">
        <v>3816</v>
      </c>
      <c r="H2780" s="4" t="n">
        <v>20.6</v>
      </c>
      <c r="I2780" s="4" t="n">
        <v>22.04</v>
      </c>
      <c r="J2780" s="14" t="n">
        <f aca="false">E2780-D2780</f>
        <v>12</v>
      </c>
      <c r="K2780" s="14" t="n">
        <f aca="false">IF(J2780&lt;=0,1,0)</f>
        <v>0</v>
      </c>
      <c r="L2780" s="15" t="n">
        <f aca="false">IFERROR(G2780/F2780,0)</f>
        <v>0.902554399243141</v>
      </c>
      <c r="M2780" s="15" t="n">
        <f aca="false">IFERROR((I2780-H2780)/H2780,0)</f>
        <v>0.0699029126213591</v>
      </c>
      <c r="N2780" s="16" t="n">
        <f aca="false">G2780*I2780</f>
        <v>84104.64</v>
      </c>
    </row>
    <row r="2781" customFormat="false" ht="15" hidden="false" customHeight="true" outlineLevel="0" collapsed="false">
      <c r="A2781" s="4" t="s">
        <v>2957</v>
      </c>
      <c r="B2781" s="4" t="s">
        <v>151</v>
      </c>
      <c r="C2781" s="13" t="n">
        <v>45054</v>
      </c>
      <c r="D2781" s="13" t="n">
        <v>45058</v>
      </c>
      <c r="E2781" s="13" t="n">
        <v>45061</v>
      </c>
      <c r="F2781" s="4" t="n">
        <v>13</v>
      </c>
      <c r="G2781" s="4" t="n">
        <v>13</v>
      </c>
      <c r="H2781" s="4" t="n">
        <v>503.46</v>
      </c>
      <c r="I2781" s="4" t="n">
        <v>505.06</v>
      </c>
      <c r="J2781" s="14" t="n">
        <f aca="false">E2781-D2781</f>
        <v>3</v>
      </c>
      <c r="K2781" s="14" t="n">
        <f aca="false">IF(J2781&lt;=0,1,0)</f>
        <v>0</v>
      </c>
      <c r="L2781" s="15" t="n">
        <f aca="false">IFERROR(G2781/F2781,0)</f>
        <v>1</v>
      </c>
      <c r="M2781" s="15" t="n">
        <f aca="false">IFERROR((I2781-H2781)/H2781,0)</f>
        <v>0.00317800818337112</v>
      </c>
      <c r="N2781" s="16" t="n">
        <f aca="false">G2781*I2781</f>
        <v>6565.78</v>
      </c>
    </row>
    <row r="2782" customFormat="false" ht="15" hidden="false" customHeight="true" outlineLevel="0" collapsed="false">
      <c r="A2782" s="4" t="s">
        <v>2958</v>
      </c>
      <c r="B2782" s="4" t="s">
        <v>37</v>
      </c>
      <c r="C2782" s="13" t="n">
        <v>45065</v>
      </c>
      <c r="D2782" s="13" t="n">
        <v>45074</v>
      </c>
      <c r="E2782" s="13" t="n">
        <v>45073</v>
      </c>
      <c r="F2782" s="4" t="n">
        <v>4560</v>
      </c>
      <c r="G2782" s="4" t="n">
        <v>4560</v>
      </c>
      <c r="H2782" s="4" t="n">
        <v>22.26</v>
      </c>
      <c r="I2782" s="4" t="n">
        <v>22.13</v>
      </c>
      <c r="J2782" s="14" t="n">
        <f aca="false">E2782-D2782</f>
        <v>-1</v>
      </c>
      <c r="K2782" s="14" t="n">
        <f aca="false">IF(J2782&lt;=0,1,0)</f>
        <v>1</v>
      </c>
      <c r="L2782" s="15" t="n">
        <f aca="false">IFERROR(G2782/F2782,0)</f>
        <v>1</v>
      </c>
      <c r="M2782" s="15" t="n">
        <f aca="false">IFERROR((I2782-H2782)/H2782,0)</f>
        <v>-0.00584007187780784</v>
      </c>
      <c r="N2782" s="16" t="n">
        <f aca="false">G2782*I2782</f>
        <v>100912.8</v>
      </c>
    </row>
    <row r="2783" customFormat="false" ht="15" hidden="false" customHeight="true" outlineLevel="0" collapsed="false">
      <c r="A2783" s="4" t="s">
        <v>2959</v>
      </c>
      <c r="B2783" s="4" t="s">
        <v>47</v>
      </c>
      <c r="C2783" s="13" t="n">
        <v>45140</v>
      </c>
      <c r="D2783" s="13" t="n">
        <v>45152</v>
      </c>
      <c r="E2783" s="13" t="n">
        <v>45154</v>
      </c>
      <c r="F2783" s="4" t="n">
        <v>493</v>
      </c>
      <c r="G2783" s="4" t="n">
        <v>488</v>
      </c>
      <c r="H2783" s="4" t="n">
        <v>228.68</v>
      </c>
      <c r="I2783" s="4" t="n">
        <v>224.68</v>
      </c>
      <c r="J2783" s="14" t="n">
        <f aca="false">E2783-D2783</f>
        <v>2</v>
      </c>
      <c r="K2783" s="14" t="n">
        <f aca="false">IF(J2783&lt;=0,1,0)</f>
        <v>0</v>
      </c>
      <c r="L2783" s="15" t="n">
        <f aca="false">IFERROR(G2783/F2783,0)</f>
        <v>0.989858012170385</v>
      </c>
      <c r="M2783" s="15" t="n">
        <f aca="false">IFERROR((I2783-H2783)/H2783,0)</f>
        <v>-0.0174916914465629</v>
      </c>
      <c r="N2783" s="16" t="n">
        <f aca="false">G2783*I2783</f>
        <v>109643.84</v>
      </c>
    </row>
    <row r="2784" customFormat="false" ht="15" hidden="false" customHeight="true" outlineLevel="0" collapsed="false">
      <c r="A2784" s="4" t="s">
        <v>2960</v>
      </c>
      <c r="B2784" s="4" t="s">
        <v>95</v>
      </c>
      <c r="C2784" s="13" t="n">
        <v>45371</v>
      </c>
      <c r="D2784" s="13" t="n">
        <v>45379</v>
      </c>
      <c r="E2784" s="13" t="n">
        <v>45382</v>
      </c>
      <c r="F2784" s="4" t="n">
        <v>4960</v>
      </c>
      <c r="G2784" s="4" t="n">
        <v>4960</v>
      </c>
      <c r="H2784" s="4" t="n">
        <v>20.39</v>
      </c>
      <c r="I2784" s="4" t="n">
        <v>20.97</v>
      </c>
      <c r="J2784" s="14" t="n">
        <f aca="false">E2784-D2784</f>
        <v>3</v>
      </c>
      <c r="K2784" s="14" t="n">
        <f aca="false">IF(J2784&lt;=0,1,0)</f>
        <v>0</v>
      </c>
      <c r="L2784" s="15" t="n">
        <f aca="false">IFERROR(G2784/F2784,0)</f>
        <v>1</v>
      </c>
      <c r="M2784" s="15" t="n">
        <f aca="false">IFERROR((I2784-H2784)/H2784,0)</f>
        <v>0.028445316331535</v>
      </c>
      <c r="N2784" s="16" t="n">
        <f aca="false">G2784*I2784</f>
        <v>104011.2</v>
      </c>
    </row>
    <row r="2785" customFormat="false" ht="15" hidden="false" customHeight="true" outlineLevel="0" collapsed="false">
      <c r="A2785" s="4" t="s">
        <v>2961</v>
      </c>
      <c r="B2785" s="4" t="s">
        <v>37</v>
      </c>
      <c r="C2785" s="13" t="n">
        <v>45585</v>
      </c>
      <c r="D2785" s="13" t="n">
        <v>45592</v>
      </c>
      <c r="E2785" s="13" t="n">
        <v>45593</v>
      </c>
      <c r="F2785" s="4" t="n">
        <v>4228</v>
      </c>
      <c r="G2785" s="4" t="n">
        <v>4228</v>
      </c>
      <c r="H2785" s="4" t="n">
        <v>22.26</v>
      </c>
      <c r="I2785" s="4" t="n">
        <v>21.43</v>
      </c>
      <c r="J2785" s="14" t="n">
        <f aca="false">E2785-D2785</f>
        <v>1</v>
      </c>
      <c r="K2785" s="14" t="n">
        <f aca="false">IF(J2785&lt;=0,1,0)</f>
        <v>0</v>
      </c>
      <c r="L2785" s="15" t="n">
        <f aca="false">IFERROR(G2785/F2785,0)</f>
        <v>1</v>
      </c>
      <c r="M2785" s="15" t="n">
        <f aca="false">IFERROR((I2785-H2785)/H2785,0)</f>
        <v>-0.037286612758311</v>
      </c>
      <c r="N2785" s="16" t="n">
        <f aca="false">G2785*I2785</f>
        <v>90606.04</v>
      </c>
    </row>
    <row r="2786" customFormat="false" ht="15" hidden="false" customHeight="true" outlineLevel="0" collapsed="false">
      <c r="A2786" s="4" t="s">
        <v>2962</v>
      </c>
      <c r="B2786" s="4" t="s">
        <v>103</v>
      </c>
      <c r="C2786" s="13" t="n">
        <v>45035</v>
      </c>
      <c r="D2786" s="13" t="n">
        <v>45054</v>
      </c>
      <c r="E2786" s="13" t="n">
        <v>45062</v>
      </c>
      <c r="F2786" s="4" t="n">
        <v>224</v>
      </c>
      <c r="G2786" s="4" t="n">
        <v>224</v>
      </c>
      <c r="H2786" s="4" t="n">
        <v>1400.22</v>
      </c>
      <c r="I2786" s="4" t="n">
        <v>1389.75</v>
      </c>
      <c r="J2786" s="14" t="n">
        <f aca="false">E2786-D2786</f>
        <v>8</v>
      </c>
      <c r="K2786" s="14" t="n">
        <f aca="false">IF(J2786&lt;=0,1,0)</f>
        <v>0</v>
      </c>
      <c r="L2786" s="15" t="n">
        <f aca="false">IFERROR(G2786/F2786,0)</f>
        <v>1</v>
      </c>
      <c r="M2786" s="15" t="n">
        <f aca="false">IFERROR((I2786-H2786)/H2786,0)</f>
        <v>-0.00747739640913573</v>
      </c>
      <c r="N2786" s="16" t="n">
        <f aca="false">G2786*I2786</f>
        <v>311304</v>
      </c>
    </row>
    <row r="2787" customFormat="false" ht="15" hidden="false" customHeight="true" outlineLevel="0" collapsed="false">
      <c r="A2787" s="4" t="s">
        <v>2963</v>
      </c>
      <c r="B2787" s="4" t="s">
        <v>119</v>
      </c>
      <c r="C2787" s="13" t="n">
        <v>45155</v>
      </c>
      <c r="D2787" s="13" t="n">
        <v>45162</v>
      </c>
      <c r="E2787" s="13" t="n">
        <v>45168</v>
      </c>
      <c r="F2787" s="4" t="n">
        <v>2175</v>
      </c>
      <c r="G2787" s="4" t="n">
        <v>2079</v>
      </c>
      <c r="H2787" s="4" t="n">
        <v>50.92</v>
      </c>
      <c r="I2787" s="4" t="n">
        <v>49.24</v>
      </c>
      <c r="J2787" s="14" t="n">
        <f aca="false">E2787-D2787</f>
        <v>6</v>
      </c>
      <c r="K2787" s="14" t="n">
        <f aca="false">IF(J2787&lt;=0,1,0)</f>
        <v>0</v>
      </c>
      <c r="L2787" s="15" t="n">
        <f aca="false">IFERROR(G2787/F2787,0)</f>
        <v>0.955862068965517</v>
      </c>
      <c r="M2787" s="15" t="n">
        <f aca="false">IFERROR((I2787-H2787)/H2787,0)</f>
        <v>-0.0329929300864101</v>
      </c>
      <c r="N2787" s="16" t="n">
        <f aca="false">G2787*I2787</f>
        <v>102369.96</v>
      </c>
    </row>
    <row r="2788" customFormat="false" ht="15" hidden="false" customHeight="true" outlineLevel="0" collapsed="false">
      <c r="A2788" s="4" t="s">
        <v>2964</v>
      </c>
      <c r="B2788" s="4" t="s">
        <v>139</v>
      </c>
      <c r="C2788" s="13" t="n">
        <v>45134</v>
      </c>
      <c r="D2788" s="13" t="n">
        <v>45143</v>
      </c>
      <c r="E2788" s="13" t="n">
        <v>45148</v>
      </c>
      <c r="F2788" s="4" t="n">
        <v>1834</v>
      </c>
      <c r="G2788" s="4" t="n">
        <v>1686</v>
      </c>
      <c r="H2788" s="4" t="n">
        <v>207.64</v>
      </c>
      <c r="I2788" s="4" t="n">
        <v>211.09</v>
      </c>
      <c r="J2788" s="14" t="n">
        <f aca="false">E2788-D2788</f>
        <v>5</v>
      </c>
      <c r="K2788" s="14" t="n">
        <f aca="false">IF(J2788&lt;=0,1,0)</f>
        <v>0</v>
      </c>
      <c r="L2788" s="15" t="n">
        <f aca="false">IFERROR(G2788/F2788,0)</f>
        <v>0.919302071973828</v>
      </c>
      <c r="M2788" s="15" t="n">
        <f aca="false">IFERROR((I2788-H2788)/H2788,0)</f>
        <v>0.0166152957041033</v>
      </c>
      <c r="N2788" s="16" t="n">
        <f aca="false">G2788*I2788</f>
        <v>355897.74</v>
      </c>
    </row>
    <row r="2789" customFormat="false" ht="15" hidden="false" customHeight="true" outlineLevel="0" collapsed="false">
      <c r="A2789" s="4" t="s">
        <v>2965</v>
      </c>
      <c r="B2789" s="4" t="s">
        <v>95</v>
      </c>
      <c r="C2789" s="13" t="n">
        <v>45476</v>
      </c>
      <c r="D2789" s="13" t="n">
        <v>45485</v>
      </c>
      <c r="E2789" s="13" t="n">
        <v>45488</v>
      </c>
      <c r="F2789" s="4" t="n">
        <v>2214</v>
      </c>
      <c r="G2789" s="4" t="n">
        <v>2203</v>
      </c>
      <c r="H2789" s="4" t="n">
        <v>20.39</v>
      </c>
      <c r="I2789" s="4" t="n">
        <v>21.46</v>
      </c>
      <c r="J2789" s="14" t="n">
        <f aca="false">E2789-D2789</f>
        <v>3</v>
      </c>
      <c r="K2789" s="14" t="n">
        <f aca="false">IF(J2789&lt;=0,1,0)</f>
        <v>0</v>
      </c>
      <c r="L2789" s="15" t="n">
        <f aca="false">IFERROR(G2789/F2789,0)</f>
        <v>0.995031616982837</v>
      </c>
      <c r="M2789" s="15" t="n">
        <f aca="false">IFERROR((I2789-H2789)/H2789,0)</f>
        <v>0.0524767042667975</v>
      </c>
      <c r="N2789" s="16" t="n">
        <f aca="false">G2789*I2789</f>
        <v>47276.38</v>
      </c>
    </row>
    <row r="2790" customFormat="false" ht="15" hidden="false" customHeight="true" outlineLevel="0" collapsed="false">
      <c r="A2790" s="4" t="s">
        <v>2966</v>
      </c>
      <c r="B2790" s="4" t="s">
        <v>85</v>
      </c>
      <c r="C2790" s="13" t="n">
        <v>45299</v>
      </c>
      <c r="D2790" s="13" t="n">
        <v>45311</v>
      </c>
      <c r="E2790" s="13" t="n">
        <v>45317</v>
      </c>
      <c r="F2790" s="4" t="n">
        <v>1932</v>
      </c>
      <c r="G2790" s="4" t="n">
        <v>1815</v>
      </c>
      <c r="H2790" s="4" t="n">
        <v>241.88</v>
      </c>
      <c r="I2790" s="4" t="n">
        <v>239.52</v>
      </c>
      <c r="J2790" s="14" t="n">
        <f aca="false">E2790-D2790</f>
        <v>6</v>
      </c>
      <c r="K2790" s="14" t="n">
        <f aca="false">IF(J2790&lt;=0,1,0)</f>
        <v>0</v>
      </c>
      <c r="L2790" s="15" t="n">
        <f aca="false">IFERROR(G2790/F2790,0)</f>
        <v>0.93944099378882</v>
      </c>
      <c r="M2790" s="15" t="n">
        <f aca="false">IFERROR((I2790-H2790)/H2790,0)</f>
        <v>-0.00975690425004128</v>
      </c>
      <c r="N2790" s="16" t="n">
        <f aca="false">G2790*I2790</f>
        <v>434728.8</v>
      </c>
    </row>
    <row r="2791" customFormat="false" ht="15" hidden="false" customHeight="true" outlineLevel="0" collapsed="false">
      <c r="A2791" s="4" t="s">
        <v>2967</v>
      </c>
      <c r="B2791" s="4" t="s">
        <v>70</v>
      </c>
      <c r="C2791" s="13" t="n">
        <v>45167</v>
      </c>
      <c r="D2791" s="13" t="n">
        <v>45175</v>
      </c>
      <c r="E2791" s="13" t="n">
        <v>45174</v>
      </c>
      <c r="F2791" s="4" t="n">
        <v>2118</v>
      </c>
      <c r="G2791" s="4" t="n">
        <v>1970</v>
      </c>
      <c r="H2791" s="4" t="n">
        <v>35.88</v>
      </c>
      <c r="I2791" s="4" t="n">
        <v>36.36</v>
      </c>
      <c r="J2791" s="14" t="n">
        <f aca="false">E2791-D2791</f>
        <v>-1</v>
      </c>
      <c r="K2791" s="14" t="n">
        <f aca="false">IF(J2791&lt;=0,1,0)</f>
        <v>1</v>
      </c>
      <c r="L2791" s="15" t="n">
        <f aca="false">IFERROR(G2791/F2791,0)</f>
        <v>0.930122757318225</v>
      </c>
      <c r="M2791" s="15" t="n">
        <f aca="false">IFERROR((I2791-H2791)/H2791,0)</f>
        <v>0.0133779264214046</v>
      </c>
      <c r="N2791" s="16" t="n">
        <f aca="false">G2791*I2791</f>
        <v>71629.2</v>
      </c>
    </row>
    <row r="2792" customFormat="false" ht="15" hidden="false" customHeight="true" outlineLevel="0" collapsed="false">
      <c r="A2792" s="4" t="s">
        <v>2968</v>
      </c>
      <c r="B2792" s="4" t="s">
        <v>93</v>
      </c>
      <c r="C2792" s="13" t="n">
        <v>45359</v>
      </c>
      <c r="D2792" s="13" t="n">
        <v>45369</v>
      </c>
      <c r="E2792" s="13" t="n">
        <v>45369</v>
      </c>
      <c r="F2792" s="4" t="n">
        <v>1459</v>
      </c>
      <c r="G2792" s="4" t="n">
        <v>1453</v>
      </c>
      <c r="H2792" s="4" t="n">
        <v>174.25</v>
      </c>
      <c r="I2792" s="4" t="n">
        <v>180.39</v>
      </c>
      <c r="J2792" s="14" t="n">
        <f aca="false">E2792-D2792</f>
        <v>0</v>
      </c>
      <c r="K2792" s="14" t="n">
        <f aca="false">IF(J2792&lt;=0,1,0)</f>
        <v>1</v>
      </c>
      <c r="L2792" s="15" t="n">
        <f aca="false">IFERROR(G2792/F2792,0)</f>
        <v>0.995887594242632</v>
      </c>
      <c r="M2792" s="15" t="n">
        <f aca="false">IFERROR((I2792-H2792)/H2792,0)</f>
        <v>0.0352367288378765</v>
      </c>
      <c r="N2792" s="16" t="n">
        <f aca="false">G2792*I2792</f>
        <v>262106.67</v>
      </c>
    </row>
    <row r="2793" customFormat="false" ht="15" hidden="false" customHeight="true" outlineLevel="0" collapsed="false">
      <c r="A2793" s="4" t="s">
        <v>2969</v>
      </c>
      <c r="B2793" s="4" t="s">
        <v>85</v>
      </c>
      <c r="C2793" s="13" t="n">
        <v>45607</v>
      </c>
      <c r="D2793" s="13" t="n">
        <v>45618</v>
      </c>
      <c r="E2793" s="13" t="n">
        <v>45617</v>
      </c>
      <c r="F2793" s="4" t="n">
        <v>810</v>
      </c>
      <c r="G2793" s="4" t="n">
        <v>772</v>
      </c>
      <c r="H2793" s="4" t="n">
        <v>241.88</v>
      </c>
      <c r="I2793" s="4" t="n">
        <v>233.42</v>
      </c>
      <c r="J2793" s="14" t="n">
        <f aca="false">E2793-D2793</f>
        <v>-1</v>
      </c>
      <c r="K2793" s="14" t="n">
        <f aca="false">IF(J2793&lt;=0,1,0)</f>
        <v>1</v>
      </c>
      <c r="L2793" s="15" t="n">
        <f aca="false">IFERROR(G2793/F2793,0)</f>
        <v>0.953086419753086</v>
      </c>
      <c r="M2793" s="15" t="n">
        <f aca="false">IFERROR((I2793-H2793)/H2793,0)</f>
        <v>-0.0349760211675211</v>
      </c>
      <c r="N2793" s="16" t="n">
        <f aca="false">G2793*I2793</f>
        <v>180200.24</v>
      </c>
    </row>
    <row r="2794" customFormat="false" ht="15" hidden="false" customHeight="true" outlineLevel="0" collapsed="false">
      <c r="A2794" s="4" t="s">
        <v>2970</v>
      </c>
      <c r="B2794" s="4" t="s">
        <v>99</v>
      </c>
      <c r="C2794" s="13" t="n">
        <v>45028</v>
      </c>
      <c r="D2794" s="13" t="n">
        <v>45036</v>
      </c>
      <c r="E2794" s="13" t="n">
        <v>45039</v>
      </c>
      <c r="F2794" s="4" t="n">
        <v>4319</v>
      </c>
      <c r="G2794" s="4" t="n">
        <v>4103</v>
      </c>
      <c r="H2794" s="4" t="n">
        <v>11.5</v>
      </c>
      <c r="I2794" s="4" t="n">
        <v>11.69</v>
      </c>
      <c r="J2794" s="14" t="n">
        <f aca="false">E2794-D2794</f>
        <v>3</v>
      </c>
      <c r="K2794" s="14" t="n">
        <f aca="false">IF(J2794&lt;=0,1,0)</f>
        <v>0</v>
      </c>
      <c r="L2794" s="15" t="n">
        <f aca="false">IFERROR(G2794/F2794,0)</f>
        <v>0.949988423246122</v>
      </c>
      <c r="M2794" s="15" t="n">
        <f aca="false">IFERROR((I2794-H2794)/H2794,0)</f>
        <v>0.0165217391304347</v>
      </c>
      <c r="N2794" s="16" t="n">
        <f aca="false">G2794*I2794</f>
        <v>47964.07</v>
      </c>
    </row>
    <row r="2795" customFormat="false" ht="15" hidden="false" customHeight="true" outlineLevel="0" collapsed="false">
      <c r="A2795" s="4" t="s">
        <v>2971</v>
      </c>
      <c r="B2795" s="4" t="s">
        <v>74</v>
      </c>
      <c r="C2795" s="13" t="n">
        <v>45046</v>
      </c>
      <c r="D2795" s="13" t="n">
        <v>45053</v>
      </c>
      <c r="E2795" s="13" t="n">
        <v>45050</v>
      </c>
      <c r="F2795" s="4" t="n">
        <v>17</v>
      </c>
      <c r="G2795" s="4" t="n">
        <v>17</v>
      </c>
      <c r="H2795" s="4" t="n">
        <v>1294.62</v>
      </c>
      <c r="I2795" s="4" t="n">
        <v>1282.17</v>
      </c>
      <c r="J2795" s="14" t="n">
        <f aca="false">E2795-D2795</f>
        <v>-3</v>
      </c>
      <c r="K2795" s="14" t="n">
        <f aca="false">IF(J2795&lt;=0,1,0)</f>
        <v>1</v>
      </c>
      <c r="L2795" s="15" t="n">
        <f aca="false">IFERROR(G2795/F2795,0)</f>
        <v>1</v>
      </c>
      <c r="M2795" s="15" t="n">
        <f aca="false">IFERROR((I2795-H2795)/H2795,0)</f>
        <v>-0.00961672150901409</v>
      </c>
      <c r="N2795" s="16" t="n">
        <f aca="false">G2795*I2795</f>
        <v>21796.89</v>
      </c>
    </row>
    <row r="2796" customFormat="false" ht="15" hidden="false" customHeight="true" outlineLevel="0" collapsed="false">
      <c r="A2796" s="4" t="s">
        <v>2972</v>
      </c>
      <c r="B2796" s="4" t="s">
        <v>95</v>
      </c>
      <c r="C2796" s="13" t="n">
        <v>45099</v>
      </c>
      <c r="D2796" s="13" t="n">
        <v>45107</v>
      </c>
      <c r="E2796" s="13" t="n">
        <v>45113</v>
      </c>
      <c r="F2796" s="4" t="n">
        <v>527</v>
      </c>
      <c r="G2796" s="4" t="n">
        <v>523</v>
      </c>
      <c r="H2796" s="4" t="n">
        <v>20.39</v>
      </c>
      <c r="I2796" s="4" t="n">
        <v>20.85</v>
      </c>
      <c r="J2796" s="14" t="n">
        <f aca="false">E2796-D2796</f>
        <v>6</v>
      </c>
      <c r="K2796" s="14" t="n">
        <f aca="false">IF(J2796&lt;=0,1,0)</f>
        <v>0</v>
      </c>
      <c r="L2796" s="15" t="n">
        <f aca="false">IFERROR(G2796/F2796,0)</f>
        <v>0.992409867172676</v>
      </c>
      <c r="M2796" s="15" t="n">
        <f aca="false">IFERROR((I2796-H2796)/H2796,0)</f>
        <v>0.0225600784698382</v>
      </c>
      <c r="N2796" s="16" t="n">
        <f aca="false">G2796*I2796</f>
        <v>10904.55</v>
      </c>
    </row>
    <row r="2797" customFormat="false" ht="15" hidden="false" customHeight="true" outlineLevel="0" collapsed="false">
      <c r="A2797" s="4" t="s">
        <v>2973</v>
      </c>
      <c r="B2797" s="4" t="s">
        <v>105</v>
      </c>
      <c r="C2797" s="13" t="n">
        <v>45638</v>
      </c>
      <c r="D2797" s="13" t="n">
        <v>45655</v>
      </c>
      <c r="E2797" s="13" t="n">
        <v>45656</v>
      </c>
      <c r="F2797" s="4" t="n">
        <v>73</v>
      </c>
      <c r="G2797" s="4" t="n">
        <v>71</v>
      </c>
      <c r="H2797" s="4" t="n">
        <v>685.84</v>
      </c>
      <c r="I2797" s="4" t="n">
        <v>724.73</v>
      </c>
      <c r="J2797" s="14" t="n">
        <f aca="false">E2797-D2797</f>
        <v>1</v>
      </c>
      <c r="K2797" s="14" t="n">
        <f aca="false">IF(J2797&lt;=0,1,0)</f>
        <v>0</v>
      </c>
      <c r="L2797" s="15" t="n">
        <f aca="false">IFERROR(G2797/F2797,0)</f>
        <v>0.972602739726027</v>
      </c>
      <c r="M2797" s="15" t="n">
        <f aca="false">IFERROR((I2797-H2797)/H2797,0)</f>
        <v>0.056704187565613</v>
      </c>
      <c r="N2797" s="16" t="n">
        <f aca="false">G2797*I2797</f>
        <v>51455.83</v>
      </c>
    </row>
    <row r="2798" customFormat="false" ht="15" hidden="false" customHeight="true" outlineLevel="0" collapsed="false">
      <c r="A2798" s="4" t="s">
        <v>2974</v>
      </c>
      <c r="B2798" s="4" t="s">
        <v>157</v>
      </c>
      <c r="C2798" s="13" t="n">
        <v>45136</v>
      </c>
      <c r="D2798" s="13" t="n">
        <v>45143</v>
      </c>
      <c r="E2798" s="13" t="n">
        <v>45151</v>
      </c>
      <c r="F2798" s="4" t="n">
        <v>2125</v>
      </c>
      <c r="G2798" s="4" t="n">
        <v>1942</v>
      </c>
      <c r="H2798" s="4" t="n">
        <v>13.1</v>
      </c>
      <c r="I2798" s="4" t="n">
        <v>13.28</v>
      </c>
      <c r="J2798" s="14" t="n">
        <f aca="false">E2798-D2798</f>
        <v>8</v>
      </c>
      <c r="K2798" s="14" t="n">
        <f aca="false">IF(J2798&lt;=0,1,0)</f>
        <v>0</v>
      </c>
      <c r="L2798" s="15" t="n">
        <f aca="false">IFERROR(G2798/F2798,0)</f>
        <v>0.913882352941177</v>
      </c>
      <c r="M2798" s="15" t="n">
        <f aca="false">IFERROR((I2798-H2798)/H2798,0)</f>
        <v>0.0137404580152672</v>
      </c>
      <c r="N2798" s="16" t="n">
        <f aca="false">G2798*I2798</f>
        <v>25789.76</v>
      </c>
    </row>
    <row r="2799" customFormat="false" ht="15" hidden="false" customHeight="true" outlineLevel="0" collapsed="false">
      <c r="A2799" s="4" t="s">
        <v>2975</v>
      </c>
      <c r="B2799" s="4" t="s">
        <v>121</v>
      </c>
      <c r="C2799" s="13" t="n">
        <v>45276</v>
      </c>
      <c r="D2799" s="13" t="n">
        <v>45287</v>
      </c>
      <c r="E2799" s="13" t="n">
        <v>45282</v>
      </c>
      <c r="F2799" s="4" t="n">
        <v>1769</v>
      </c>
      <c r="G2799" s="4" t="n">
        <v>1585</v>
      </c>
      <c r="H2799" s="4" t="n">
        <v>206.07</v>
      </c>
      <c r="I2799" s="4" t="n">
        <v>224.33</v>
      </c>
      <c r="J2799" s="14" t="n">
        <f aca="false">E2799-D2799</f>
        <v>-5</v>
      </c>
      <c r="K2799" s="14" t="n">
        <f aca="false">IF(J2799&lt;=0,1,0)</f>
        <v>1</v>
      </c>
      <c r="L2799" s="15" t="n">
        <f aca="false">IFERROR(G2799/F2799,0)</f>
        <v>0.895986433013002</v>
      </c>
      <c r="M2799" s="15" t="n">
        <f aca="false">IFERROR((I2799-H2799)/H2799,0)</f>
        <v>0.0886106662784492</v>
      </c>
      <c r="N2799" s="16" t="n">
        <f aca="false">G2799*I2799</f>
        <v>355563.05</v>
      </c>
    </row>
    <row r="2800" customFormat="false" ht="15" hidden="false" customHeight="true" outlineLevel="0" collapsed="false">
      <c r="A2800" s="4" t="s">
        <v>2976</v>
      </c>
      <c r="B2800" s="4" t="s">
        <v>41</v>
      </c>
      <c r="C2800" s="13" t="n">
        <v>45420</v>
      </c>
      <c r="D2800" s="13" t="n">
        <v>45428</v>
      </c>
      <c r="E2800" s="13" t="n">
        <v>45430</v>
      </c>
      <c r="F2800" s="4" t="n">
        <v>1659</v>
      </c>
      <c r="G2800" s="4" t="n">
        <v>1657</v>
      </c>
      <c r="H2800" s="4" t="n">
        <v>45.51</v>
      </c>
      <c r="I2800" s="4" t="n">
        <v>43.65</v>
      </c>
      <c r="J2800" s="14" t="n">
        <f aca="false">E2800-D2800</f>
        <v>2</v>
      </c>
      <c r="K2800" s="14" t="n">
        <f aca="false">IF(J2800&lt;=0,1,0)</f>
        <v>0</v>
      </c>
      <c r="L2800" s="15" t="n">
        <f aca="false">IFERROR(G2800/F2800,0)</f>
        <v>0.998794454490657</v>
      </c>
      <c r="M2800" s="15" t="n">
        <f aca="false">IFERROR((I2800-H2800)/H2800,0)</f>
        <v>-0.040870138431114</v>
      </c>
      <c r="N2800" s="16" t="n">
        <f aca="false">G2800*I2800</f>
        <v>72328.05</v>
      </c>
    </row>
    <row r="2801" customFormat="false" ht="15" hidden="false" customHeight="true" outlineLevel="0" collapsed="false">
      <c r="A2801" s="4" t="s">
        <v>2977</v>
      </c>
      <c r="B2801" s="4" t="s">
        <v>37</v>
      </c>
      <c r="C2801" s="13" t="n">
        <v>45317</v>
      </c>
      <c r="D2801" s="13" t="n">
        <v>45324</v>
      </c>
      <c r="E2801" s="13" t="n">
        <v>45326</v>
      </c>
      <c r="F2801" s="4" t="n">
        <v>1295</v>
      </c>
      <c r="G2801" s="4" t="n">
        <v>1269</v>
      </c>
      <c r="H2801" s="4" t="n">
        <v>22.26</v>
      </c>
      <c r="I2801" s="4" t="n">
        <v>21.6</v>
      </c>
      <c r="J2801" s="14" t="n">
        <f aca="false">E2801-D2801</f>
        <v>2</v>
      </c>
      <c r="K2801" s="14" t="n">
        <f aca="false">IF(J2801&lt;=0,1,0)</f>
        <v>0</v>
      </c>
      <c r="L2801" s="15" t="n">
        <f aca="false">IFERROR(G2801/F2801,0)</f>
        <v>0.97992277992278</v>
      </c>
      <c r="M2801" s="15" t="n">
        <f aca="false">IFERROR((I2801-H2801)/H2801,0)</f>
        <v>-0.0296495956873315</v>
      </c>
      <c r="N2801" s="16" t="n">
        <f aca="false">G2801*I2801</f>
        <v>27410.4</v>
      </c>
    </row>
    <row r="2802" customFormat="false" ht="15" hidden="false" customHeight="true" outlineLevel="0" collapsed="false">
      <c r="A2802" s="4" t="s">
        <v>2978</v>
      </c>
      <c r="B2802" s="4" t="s">
        <v>55</v>
      </c>
      <c r="C2802" s="13" t="n">
        <v>45039</v>
      </c>
      <c r="D2802" s="13" t="n">
        <v>45058</v>
      </c>
      <c r="E2802" s="13" t="n">
        <v>45060</v>
      </c>
      <c r="F2802" s="4" t="n">
        <v>435</v>
      </c>
      <c r="G2802" s="4" t="n">
        <v>419</v>
      </c>
      <c r="H2802" s="4" t="n">
        <v>598.09</v>
      </c>
      <c r="I2802" s="4" t="n">
        <v>592.83</v>
      </c>
      <c r="J2802" s="14" t="n">
        <f aca="false">E2802-D2802</f>
        <v>2</v>
      </c>
      <c r="K2802" s="14" t="n">
        <f aca="false">IF(J2802&lt;=0,1,0)</f>
        <v>0</v>
      </c>
      <c r="L2802" s="15" t="n">
        <f aca="false">IFERROR(G2802/F2802,0)</f>
        <v>0.963218390804598</v>
      </c>
      <c r="M2802" s="15" t="n">
        <f aca="false">IFERROR((I2802-H2802)/H2802,0)</f>
        <v>-0.00879466301058368</v>
      </c>
      <c r="N2802" s="16" t="n">
        <f aca="false">G2802*I2802</f>
        <v>248395.77</v>
      </c>
    </row>
    <row r="2803" customFormat="false" ht="15" hidden="false" customHeight="true" outlineLevel="0" collapsed="false">
      <c r="A2803" s="4" t="s">
        <v>2979</v>
      </c>
      <c r="B2803" s="4" t="s">
        <v>65</v>
      </c>
      <c r="C2803" s="13" t="n">
        <v>45399</v>
      </c>
      <c r="D2803" s="13" t="n">
        <v>45417</v>
      </c>
      <c r="E2803" s="13" t="n">
        <v>45415</v>
      </c>
      <c r="F2803" s="4" t="n">
        <v>387</v>
      </c>
      <c r="G2803" s="4" t="n">
        <v>381</v>
      </c>
      <c r="H2803" s="4" t="n">
        <v>1365.59</v>
      </c>
      <c r="I2803" s="4" t="n">
        <v>1358.41</v>
      </c>
      <c r="J2803" s="14" t="n">
        <f aca="false">E2803-D2803</f>
        <v>-2</v>
      </c>
      <c r="K2803" s="14" t="n">
        <f aca="false">IF(J2803&lt;=0,1,0)</f>
        <v>1</v>
      </c>
      <c r="L2803" s="15" t="n">
        <f aca="false">IFERROR(G2803/F2803,0)</f>
        <v>0.984496124031008</v>
      </c>
      <c r="M2803" s="15" t="n">
        <f aca="false">IFERROR((I2803-H2803)/H2803,0)</f>
        <v>-0.00525780065759111</v>
      </c>
      <c r="N2803" s="16" t="n">
        <f aca="false">G2803*I2803</f>
        <v>517554.21</v>
      </c>
    </row>
    <row r="2804" customFormat="false" ht="15" hidden="false" customHeight="true" outlineLevel="0" collapsed="false">
      <c r="A2804" s="4" t="s">
        <v>2980</v>
      </c>
      <c r="B2804" s="4" t="s">
        <v>83</v>
      </c>
      <c r="C2804" s="13" t="n">
        <v>45015</v>
      </c>
      <c r="D2804" s="13" t="n">
        <v>45025</v>
      </c>
      <c r="E2804" s="13" t="n">
        <v>45026</v>
      </c>
      <c r="F2804" s="4" t="n">
        <v>1092</v>
      </c>
      <c r="G2804" s="4" t="n">
        <v>1075</v>
      </c>
      <c r="H2804" s="4" t="n">
        <v>101.36</v>
      </c>
      <c r="I2804" s="4" t="n">
        <v>102.17</v>
      </c>
      <c r="J2804" s="14" t="n">
        <f aca="false">E2804-D2804</f>
        <v>1</v>
      </c>
      <c r="K2804" s="14" t="n">
        <f aca="false">IF(J2804&lt;=0,1,0)</f>
        <v>0</v>
      </c>
      <c r="L2804" s="15" t="n">
        <f aca="false">IFERROR(G2804/F2804,0)</f>
        <v>0.984432234432235</v>
      </c>
      <c r="M2804" s="15" t="n">
        <f aca="false">IFERROR((I2804-H2804)/H2804,0)</f>
        <v>0.00799131807419103</v>
      </c>
      <c r="N2804" s="16" t="n">
        <f aca="false">G2804*I2804</f>
        <v>109832.75</v>
      </c>
    </row>
    <row r="2805" customFormat="false" ht="15" hidden="false" customHeight="true" outlineLevel="0" collapsed="false">
      <c r="A2805" s="4" t="s">
        <v>2981</v>
      </c>
      <c r="B2805" s="4" t="s">
        <v>161</v>
      </c>
      <c r="C2805" s="13" t="n">
        <v>45252</v>
      </c>
      <c r="D2805" s="13" t="n">
        <v>45264</v>
      </c>
      <c r="E2805" s="13" t="n">
        <v>45263</v>
      </c>
      <c r="F2805" s="4" t="n">
        <v>1508</v>
      </c>
      <c r="G2805" s="4" t="n">
        <v>1508</v>
      </c>
      <c r="H2805" s="4" t="n">
        <v>101.94</v>
      </c>
      <c r="I2805" s="4" t="n">
        <v>106.93</v>
      </c>
      <c r="J2805" s="14" t="n">
        <f aca="false">E2805-D2805</f>
        <v>-1</v>
      </c>
      <c r="K2805" s="14" t="n">
        <f aca="false">IF(J2805&lt;=0,1,0)</f>
        <v>1</v>
      </c>
      <c r="L2805" s="15" t="n">
        <f aca="false">IFERROR(G2805/F2805,0)</f>
        <v>1</v>
      </c>
      <c r="M2805" s="15" t="n">
        <f aca="false">IFERROR((I2805-H2805)/H2805,0)</f>
        <v>0.0489503629586032</v>
      </c>
      <c r="N2805" s="16" t="n">
        <f aca="false">G2805*I2805</f>
        <v>161250.44</v>
      </c>
    </row>
    <row r="2806" customFormat="false" ht="15" hidden="false" customHeight="true" outlineLevel="0" collapsed="false">
      <c r="A2806" s="4" t="s">
        <v>2982</v>
      </c>
      <c r="B2806" s="4" t="s">
        <v>107</v>
      </c>
      <c r="C2806" s="13" t="n">
        <v>45405</v>
      </c>
      <c r="D2806" s="13" t="n">
        <v>45412</v>
      </c>
      <c r="E2806" s="13" t="n">
        <v>45409</v>
      </c>
      <c r="F2806" s="4" t="n">
        <v>3255</v>
      </c>
      <c r="G2806" s="4" t="n">
        <v>3214</v>
      </c>
      <c r="H2806" s="4" t="n">
        <v>40.41</v>
      </c>
      <c r="I2806" s="4" t="n">
        <v>40.84</v>
      </c>
      <c r="J2806" s="14" t="n">
        <f aca="false">E2806-D2806</f>
        <v>-3</v>
      </c>
      <c r="K2806" s="14" t="n">
        <f aca="false">IF(J2806&lt;=0,1,0)</f>
        <v>1</v>
      </c>
      <c r="L2806" s="15" t="n">
        <f aca="false">IFERROR(G2806/F2806,0)</f>
        <v>0.987403993855607</v>
      </c>
      <c r="M2806" s="15" t="n">
        <f aca="false">IFERROR((I2806-H2806)/H2806,0)</f>
        <v>0.0106409304627569</v>
      </c>
      <c r="N2806" s="16" t="n">
        <f aca="false">G2806*I2806</f>
        <v>131259.76</v>
      </c>
    </row>
    <row r="2807" customFormat="false" ht="15" hidden="false" customHeight="true" outlineLevel="0" collapsed="false">
      <c r="A2807" s="4" t="s">
        <v>2983</v>
      </c>
      <c r="B2807" s="4" t="s">
        <v>83</v>
      </c>
      <c r="C2807" s="13" t="n">
        <v>44977</v>
      </c>
      <c r="D2807" s="13" t="n">
        <v>44988</v>
      </c>
      <c r="E2807" s="13" t="n">
        <v>44992</v>
      </c>
      <c r="F2807" s="4" t="n">
        <v>684</v>
      </c>
      <c r="G2807" s="4" t="n">
        <v>678</v>
      </c>
      <c r="H2807" s="4" t="n">
        <v>101.36</v>
      </c>
      <c r="I2807" s="4" t="n">
        <v>99.91</v>
      </c>
      <c r="J2807" s="14" t="n">
        <f aca="false">E2807-D2807</f>
        <v>4</v>
      </c>
      <c r="K2807" s="14" t="n">
        <f aca="false">IF(J2807&lt;=0,1,0)</f>
        <v>0</v>
      </c>
      <c r="L2807" s="15" t="n">
        <f aca="false">IFERROR(G2807/F2807,0)</f>
        <v>0.991228070175439</v>
      </c>
      <c r="M2807" s="15" t="n">
        <f aca="false">IFERROR((I2807-H2807)/H2807,0)</f>
        <v>-0.0143054459352802</v>
      </c>
      <c r="N2807" s="16" t="n">
        <f aca="false">G2807*I2807</f>
        <v>67738.98</v>
      </c>
    </row>
    <row r="2808" customFormat="false" ht="15" hidden="false" customHeight="true" outlineLevel="0" collapsed="false">
      <c r="A2808" s="4" t="s">
        <v>2984</v>
      </c>
      <c r="B2808" s="4" t="s">
        <v>105</v>
      </c>
      <c r="C2808" s="13" t="n">
        <v>45148</v>
      </c>
      <c r="D2808" s="13" t="n">
        <v>45165</v>
      </c>
      <c r="E2808" s="13" t="n">
        <v>45168</v>
      </c>
      <c r="F2808" s="4" t="n">
        <v>307</v>
      </c>
      <c r="G2808" s="4" t="n">
        <v>306</v>
      </c>
      <c r="H2808" s="4" t="n">
        <v>685.84</v>
      </c>
      <c r="I2808" s="4" t="n">
        <v>702.76</v>
      </c>
      <c r="J2808" s="14" t="n">
        <f aca="false">E2808-D2808</f>
        <v>3</v>
      </c>
      <c r="K2808" s="14" t="n">
        <f aca="false">IF(J2808&lt;=0,1,0)</f>
        <v>0</v>
      </c>
      <c r="L2808" s="15" t="n">
        <f aca="false">IFERROR(G2808/F2808,0)</f>
        <v>0.996742671009772</v>
      </c>
      <c r="M2808" s="15" t="n">
        <f aca="false">IFERROR((I2808-H2808)/H2808,0)</f>
        <v>0.0246704770792021</v>
      </c>
      <c r="N2808" s="16" t="n">
        <f aca="false">G2808*I2808</f>
        <v>215044.56</v>
      </c>
    </row>
    <row r="2809" customFormat="false" ht="15" hidden="false" customHeight="true" outlineLevel="0" collapsed="false">
      <c r="A2809" s="4" t="s">
        <v>2985</v>
      </c>
      <c r="B2809" s="4" t="s">
        <v>47</v>
      </c>
      <c r="C2809" s="13" t="n">
        <v>45272</v>
      </c>
      <c r="D2809" s="13" t="n">
        <v>45283</v>
      </c>
      <c r="E2809" s="13" t="n">
        <v>45282</v>
      </c>
      <c r="F2809" s="4" t="n">
        <v>1326</v>
      </c>
      <c r="G2809" s="4" t="n">
        <v>1302</v>
      </c>
      <c r="H2809" s="4" t="n">
        <v>228.68</v>
      </c>
      <c r="I2809" s="4" t="n">
        <v>233.02</v>
      </c>
      <c r="J2809" s="14" t="n">
        <f aca="false">E2809-D2809</f>
        <v>-1</v>
      </c>
      <c r="K2809" s="14" t="n">
        <f aca="false">IF(J2809&lt;=0,1,0)</f>
        <v>1</v>
      </c>
      <c r="L2809" s="15" t="n">
        <f aca="false">IFERROR(G2809/F2809,0)</f>
        <v>0.981900452488688</v>
      </c>
      <c r="M2809" s="15" t="n">
        <f aca="false">IFERROR((I2809-H2809)/H2809,0)</f>
        <v>0.0189784852195207</v>
      </c>
      <c r="N2809" s="16" t="n">
        <f aca="false">G2809*I2809</f>
        <v>303392.04</v>
      </c>
    </row>
    <row r="2810" customFormat="false" ht="15" hidden="false" customHeight="true" outlineLevel="0" collapsed="false">
      <c r="A2810" s="4" t="s">
        <v>2986</v>
      </c>
      <c r="B2810" s="4" t="s">
        <v>89</v>
      </c>
      <c r="C2810" s="13" t="n">
        <v>45422</v>
      </c>
      <c r="D2810" s="13" t="n">
        <v>45428</v>
      </c>
      <c r="E2810" s="13" t="n">
        <v>45427</v>
      </c>
      <c r="F2810" s="4" t="n">
        <v>14</v>
      </c>
      <c r="G2810" s="4" t="n">
        <v>13</v>
      </c>
      <c r="H2810" s="4" t="n">
        <v>1929.81</v>
      </c>
      <c r="I2810" s="4" t="n">
        <v>1922.86</v>
      </c>
      <c r="J2810" s="14" t="n">
        <f aca="false">E2810-D2810</f>
        <v>-1</v>
      </c>
      <c r="K2810" s="14" t="n">
        <f aca="false">IF(J2810&lt;=0,1,0)</f>
        <v>1</v>
      </c>
      <c r="L2810" s="15" t="n">
        <f aca="false">IFERROR(G2810/F2810,0)</f>
        <v>0.928571428571429</v>
      </c>
      <c r="M2810" s="15" t="n">
        <f aca="false">IFERROR((I2810-H2810)/H2810,0)</f>
        <v>-0.00360139081049432</v>
      </c>
      <c r="N2810" s="16" t="n">
        <f aca="false">G2810*I2810</f>
        <v>24997.18</v>
      </c>
    </row>
    <row r="2811" customFormat="false" ht="15" hidden="false" customHeight="true" outlineLevel="0" collapsed="false">
      <c r="A2811" s="4" t="s">
        <v>2987</v>
      </c>
      <c r="B2811" s="4" t="s">
        <v>70</v>
      </c>
      <c r="C2811" s="13" t="n">
        <v>45457</v>
      </c>
      <c r="D2811" s="13" t="n">
        <v>45463</v>
      </c>
      <c r="E2811" s="13" t="n">
        <v>45466</v>
      </c>
      <c r="F2811" s="4" t="n">
        <v>4906</v>
      </c>
      <c r="G2811" s="4" t="n">
        <v>4409</v>
      </c>
      <c r="H2811" s="4" t="n">
        <v>35.88</v>
      </c>
      <c r="I2811" s="4" t="n">
        <v>37.69</v>
      </c>
      <c r="J2811" s="14" t="n">
        <f aca="false">E2811-D2811</f>
        <v>3</v>
      </c>
      <c r="K2811" s="14" t="n">
        <f aca="false">IF(J2811&lt;=0,1,0)</f>
        <v>0</v>
      </c>
      <c r="L2811" s="15" t="n">
        <f aca="false">IFERROR(G2811/F2811,0)</f>
        <v>0.898695474928659</v>
      </c>
      <c r="M2811" s="15" t="n">
        <f aca="false">IFERROR((I2811-H2811)/H2811,0)</f>
        <v>0.0504459308807134</v>
      </c>
      <c r="N2811" s="16" t="n">
        <f aca="false">G2811*I2811</f>
        <v>166175.21</v>
      </c>
    </row>
    <row r="2812" customFormat="false" ht="15" hidden="false" customHeight="true" outlineLevel="0" collapsed="false">
      <c r="A2812" s="4" t="s">
        <v>2988</v>
      </c>
      <c r="B2812" s="4" t="s">
        <v>97</v>
      </c>
      <c r="C2812" s="13" t="n">
        <v>45062</v>
      </c>
      <c r="D2812" s="13" t="n">
        <v>45072</v>
      </c>
      <c r="E2812" s="13" t="n">
        <v>45074</v>
      </c>
      <c r="F2812" s="4" t="n">
        <v>590</v>
      </c>
      <c r="G2812" s="4" t="n">
        <v>590</v>
      </c>
      <c r="H2812" s="4" t="n">
        <v>123.04</v>
      </c>
      <c r="I2812" s="4" t="n">
        <v>122.13</v>
      </c>
      <c r="J2812" s="14" t="n">
        <f aca="false">E2812-D2812</f>
        <v>2</v>
      </c>
      <c r="K2812" s="14" t="n">
        <f aca="false">IF(J2812&lt;=0,1,0)</f>
        <v>0</v>
      </c>
      <c r="L2812" s="15" t="n">
        <f aca="false">IFERROR(G2812/F2812,0)</f>
        <v>1</v>
      </c>
      <c r="M2812" s="15" t="n">
        <f aca="false">IFERROR((I2812-H2812)/H2812,0)</f>
        <v>-0.00739596879063728</v>
      </c>
      <c r="N2812" s="16" t="n">
        <f aca="false">G2812*I2812</f>
        <v>72056.7</v>
      </c>
    </row>
    <row r="2813" customFormat="false" ht="15" hidden="false" customHeight="true" outlineLevel="0" collapsed="false">
      <c r="A2813" s="4" t="s">
        <v>2989</v>
      </c>
      <c r="B2813" s="4" t="s">
        <v>107</v>
      </c>
      <c r="C2813" s="13" t="n">
        <v>45292</v>
      </c>
      <c r="D2813" s="13" t="n">
        <v>45299</v>
      </c>
      <c r="E2813" s="13" t="n">
        <v>45301</v>
      </c>
      <c r="F2813" s="4" t="n">
        <v>4095</v>
      </c>
      <c r="G2813" s="4" t="n">
        <v>4011</v>
      </c>
      <c r="H2813" s="4" t="n">
        <v>40.41</v>
      </c>
      <c r="I2813" s="4" t="n">
        <v>40.36</v>
      </c>
      <c r="J2813" s="14" t="n">
        <f aca="false">E2813-D2813</f>
        <v>2</v>
      </c>
      <c r="K2813" s="14" t="n">
        <f aca="false">IF(J2813&lt;=0,1,0)</f>
        <v>0</v>
      </c>
      <c r="L2813" s="15" t="n">
        <f aca="false">IFERROR(G2813/F2813,0)</f>
        <v>0.979487179487179</v>
      </c>
      <c r="M2813" s="15" t="n">
        <f aca="false">IFERROR((I2813-H2813)/H2813,0)</f>
        <v>-0.00123731749566932</v>
      </c>
      <c r="N2813" s="16" t="n">
        <f aca="false">G2813*I2813</f>
        <v>161883.96</v>
      </c>
    </row>
    <row r="2814" customFormat="false" ht="15" hidden="false" customHeight="true" outlineLevel="0" collapsed="false">
      <c r="A2814" s="4" t="s">
        <v>2990</v>
      </c>
      <c r="B2814" s="4" t="s">
        <v>70</v>
      </c>
      <c r="C2814" s="13" t="n">
        <v>45354</v>
      </c>
      <c r="D2814" s="13" t="n">
        <v>45362</v>
      </c>
      <c r="E2814" s="13" t="n">
        <v>45363</v>
      </c>
      <c r="F2814" s="4" t="n">
        <v>3514</v>
      </c>
      <c r="G2814" s="4" t="n">
        <v>3120</v>
      </c>
      <c r="H2814" s="4" t="n">
        <v>35.88</v>
      </c>
      <c r="I2814" s="4" t="n">
        <v>37.43</v>
      </c>
      <c r="J2814" s="14" t="n">
        <f aca="false">E2814-D2814</f>
        <v>1</v>
      </c>
      <c r="K2814" s="14" t="n">
        <f aca="false">IF(J2814&lt;=0,1,0)</f>
        <v>0</v>
      </c>
      <c r="L2814" s="15" t="n">
        <f aca="false">IFERROR(G2814/F2814,0)</f>
        <v>0.887877063175868</v>
      </c>
      <c r="M2814" s="15" t="n">
        <f aca="false">IFERROR((I2814-H2814)/H2814,0)</f>
        <v>0.0431995540691192</v>
      </c>
      <c r="N2814" s="16" t="n">
        <f aca="false">G2814*I2814</f>
        <v>116781.6</v>
      </c>
    </row>
    <row r="2815" customFormat="false" ht="15" hidden="false" customHeight="true" outlineLevel="0" collapsed="false">
      <c r="A2815" s="4" t="s">
        <v>2991</v>
      </c>
      <c r="B2815" s="4" t="s">
        <v>47</v>
      </c>
      <c r="C2815" s="13" t="n">
        <v>45634</v>
      </c>
      <c r="D2815" s="13" t="n">
        <v>45645</v>
      </c>
      <c r="E2815" s="13" t="n">
        <v>45644</v>
      </c>
      <c r="F2815" s="4" t="n">
        <v>1875</v>
      </c>
      <c r="G2815" s="4" t="n">
        <v>1818</v>
      </c>
      <c r="H2815" s="4" t="n">
        <v>228.68</v>
      </c>
      <c r="I2815" s="4" t="n">
        <v>231.82</v>
      </c>
      <c r="J2815" s="14" t="n">
        <f aca="false">E2815-D2815</f>
        <v>-1</v>
      </c>
      <c r="K2815" s="14" t="n">
        <f aca="false">IF(J2815&lt;=0,1,0)</f>
        <v>1</v>
      </c>
      <c r="L2815" s="15" t="n">
        <f aca="false">IFERROR(G2815/F2815,0)</f>
        <v>0.9696</v>
      </c>
      <c r="M2815" s="15" t="n">
        <f aca="false">IFERROR((I2815-H2815)/H2815,0)</f>
        <v>0.0137309777855518</v>
      </c>
      <c r="N2815" s="16" t="n">
        <f aca="false">G2815*I2815</f>
        <v>421448.76</v>
      </c>
    </row>
    <row r="2816" customFormat="false" ht="15" hidden="false" customHeight="true" outlineLevel="0" collapsed="false">
      <c r="A2816" s="4" t="s">
        <v>2992</v>
      </c>
      <c r="B2816" s="4" t="s">
        <v>157</v>
      </c>
      <c r="C2816" s="13" t="n">
        <v>45445</v>
      </c>
      <c r="D2816" s="13" t="n">
        <v>45454</v>
      </c>
      <c r="E2816" s="13" t="n">
        <v>45459</v>
      </c>
      <c r="F2816" s="4" t="n">
        <v>4735</v>
      </c>
      <c r="G2816" s="4" t="n">
        <v>4513</v>
      </c>
      <c r="H2816" s="4" t="n">
        <v>13.1</v>
      </c>
      <c r="I2816" s="4" t="n">
        <v>13.43</v>
      </c>
      <c r="J2816" s="14" t="n">
        <f aca="false">E2816-D2816</f>
        <v>5</v>
      </c>
      <c r="K2816" s="14" t="n">
        <f aca="false">IF(J2816&lt;=0,1,0)</f>
        <v>0</v>
      </c>
      <c r="L2816" s="15" t="n">
        <f aca="false">IFERROR(G2816/F2816,0)</f>
        <v>0.95311510031679</v>
      </c>
      <c r="M2816" s="15" t="n">
        <f aca="false">IFERROR((I2816-H2816)/H2816,0)</f>
        <v>0.0251908396946565</v>
      </c>
      <c r="N2816" s="16" t="n">
        <f aca="false">G2816*I2816</f>
        <v>60609.59</v>
      </c>
    </row>
    <row r="2817" customFormat="false" ht="15" hidden="false" customHeight="true" outlineLevel="0" collapsed="false">
      <c r="A2817" s="4" t="s">
        <v>2993</v>
      </c>
      <c r="B2817" s="4" t="s">
        <v>153</v>
      </c>
      <c r="C2817" s="13" t="n">
        <v>45634</v>
      </c>
      <c r="D2817" s="13" t="n">
        <v>45653</v>
      </c>
      <c r="E2817" s="13" t="n">
        <v>45657</v>
      </c>
      <c r="F2817" s="4" t="n">
        <v>498</v>
      </c>
      <c r="G2817" s="4" t="n">
        <v>452</v>
      </c>
      <c r="H2817" s="4" t="n">
        <v>1492.04</v>
      </c>
      <c r="I2817" s="4" t="n">
        <v>1641.42</v>
      </c>
      <c r="J2817" s="14" t="n">
        <f aca="false">E2817-D2817</f>
        <v>4</v>
      </c>
      <c r="K2817" s="14" t="n">
        <f aca="false">IF(J2817&lt;=0,1,0)</f>
        <v>0</v>
      </c>
      <c r="L2817" s="15" t="n">
        <f aca="false">IFERROR(G2817/F2817,0)</f>
        <v>0.907630522088353</v>
      </c>
      <c r="M2817" s="15" t="n">
        <f aca="false">IFERROR((I2817-H2817)/H2817,0)</f>
        <v>0.10011795930404</v>
      </c>
      <c r="N2817" s="16" t="n">
        <f aca="false">G2817*I2817</f>
        <v>741921.84</v>
      </c>
    </row>
    <row r="2818" customFormat="false" ht="15" hidden="false" customHeight="true" outlineLevel="0" collapsed="false">
      <c r="A2818" s="4" t="s">
        <v>2994</v>
      </c>
      <c r="B2818" s="4" t="s">
        <v>109</v>
      </c>
      <c r="C2818" s="13" t="n">
        <v>45136</v>
      </c>
      <c r="D2818" s="13" t="n">
        <v>45156</v>
      </c>
      <c r="E2818" s="13" t="n">
        <v>45152</v>
      </c>
      <c r="F2818" s="4" t="n">
        <v>220</v>
      </c>
      <c r="G2818" s="4" t="n">
        <v>214</v>
      </c>
      <c r="H2818" s="4" t="n">
        <v>858.02</v>
      </c>
      <c r="I2818" s="4" t="n">
        <v>866.95</v>
      </c>
      <c r="J2818" s="14" t="n">
        <f aca="false">E2818-D2818</f>
        <v>-4</v>
      </c>
      <c r="K2818" s="14" t="n">
        <f aca="false">IF(J2818&lt;=0,1,0)</f>
        <v>1</v>
      </c>
      <c r="L2818" s="15" t="n">
        <f aca="false">IFERROR(G2818/F2818,0)</f>
        <v>0.972727272727273</v>
      </c>
      <c r="M2818" s="15" t="n">
        <f aca="false">IFERROR((I2818-H2818)/H2818,0)</f>
        <v>0.0104076828045967</v>
      </c>
      <c r="N2818" s="16" t="n">
        <f aca="false">G2818*I2818</f>
        <v>185527.3</v>
      </c>
    </row>
    <row r="2819" customFormat="false" ht="15" hidden="false" customHeight="true" outlineLevel="0" collapsed="false">
      <c r="A2819" s="4" t="s">
        <v>2995</v>
      </c>
      <c r="B2819" s="4" t="s">
        <v>131</v>
      </c>
      <c r="C2819" s="13" t="n">
        <v>45359</v>
      </c>
      <c r="D2819" s="13" t="n">
        <v>45369</v>
      </c>
      <c r="E2819" s="13" t="n">
        <v>45368</v>
      </c>
      <c r="F2819" s="4" t="n">
        <v>1421</v>
      </c>
      <c r="G2819" s="4" t="n">
        <v>1342</v>
      </c>
      <c r="H2819" s="4" t="n">
        <v>88.52</v>
      </c>
      <c r="I2819" s="4" t="n">
        <v>90.14</v>
      </c>
      <c r="J2819" s="14" t="n">
        <f aca="false">E2819-D2819</f>
        <v>-1</v>
      </c>
      <c r="K2819" s="14" t="n">
        <f aca="false">IF(J2819&lt;=0,1,0)</f>
        <v>1</v>
      </c>
      <c r="L2819" s="15" t="n">
        <f aca="false">IFERROR(G2819/F2819,0)</f>
        <v>0.944405348346235</v>
      </c>
      <c r="M2819" s="15" t="n">
        <f aca="false">IFERROR((I2819-H2819)/H2819,0)</f>
        <v>0.0183009489380931</v>
      </c>
      <c r="N2819" s="16" t="n">
        <f aca="false">G2819*I2819</f>
        <v>120967.88</v>
      </c>
    </row>
    <row r="2820" customFormat="false" ht="15" hidden="false" customHeight="true" outlineLevel="0" collapsed="false">
      <c r="A2820" s="4" t="s">
        <v>2996</v>
      </c>
      <c r="B2820" s="4" t="s">
        <v>119</v>
      </c>
      <c r="C2820" s="13" t="n">
        <v>45116</v>
      </c>
      <c r="D2820" s="13" t="n">
        <v>45122</v>
      </c>
      <c r="E2820" s="13" t="n">
        <v>45125</v>
      </c>
      <c r="F2820" s="4" t="n">
        <v>816</v>
      </c>
      <c r="G2820" s="4" t="n">
        <v>816</v>
      </c>
      <c r="H2820" s="4" t="n">
        <v>50.92</v>
      </c>
      <c r="I2820" s="4" t="n">
        <v>49.55</v>
      </c>
      <c r="J2820" s="14" t="n">
        <f aca="false">E2820-D2820</f>
        <v>3</v>
      </c>
      <c r="K2820" s="14" t="n">
        <f aca="false">IF(J2820&lt;=0,1,0)</f>
        <v>0</v>
      </c>
      <c r="L2820" s="15" t="n">
        <f aca="false">IFERROR(G2820/F2820,0)</f>
        <v>1</v>
      </c>
      <c r="M2820" s="15" t="n">
        <f aca="false">IFERROR((I2820-H2820)/H2820,0)</f>
        <v>-0.0269049489395131</v>
      </c>
      <c r="N2820" s="16" t="n">
        <f aca="false">G2820*I2820</f>
        <v>40432.8</v>
      </c>
    </row>
    <row r="2821" customFormat="false" ht="15" hidden="false" customHeight="true" outlineLevel="0" collapsed="false">
      <c r="A2821" s="4" t="s">
        <v>2997</v>
      </c>
      <c r="B2821" s="4" t="s">
        <v>147</v>
      </c>
      <c r="C2821" s="13" t="n">
        <v>45442</v>
      </c>
      <c r="D2821" s="13" t="n">
        <v>45456</v>
      </c>
      <c r="E2821" s="13" t="n">
        <v>45459</v>
      </c>
      <c r="F2821" s="4" t="n">
        <v>109</v>
      </c>
      <c r="G2821" s="4" t="n">
        <v>109</v>
      </c>
      <c r="H2821" s="4" t="n">
        <v>203.3</v>
      </c>
      <c r="I2821" s="4" t="n">
        <v>208.83</v>
      </c>
      <c r="J2821" s="14" t="n">
        <f aca="false">E2821-D2821</f>
        <v>3</v>
      </c>
      <c r="K2821" s="14" t="n">
        <f aca="false">IF(J2821&lt;=0,1,0)</f>
        <v>0</v>
      </c>
      <c r="L2821" s="15" t="n">
        <f aca="false">IFERROR(G2821/F2821,0)</f>
        <v>1</v>
      </c>
      <c r="M2821" s="15" t="n">
        <f aca="false">IFERROR((I2821-H2821)/H2821,0)</f>
        <v>0.027201180521397</v>
      </c>
      <c r="N2821" s="16" t="n">
        <f aca="false">G2821*I2821</f>
        <v>22762.47</v>
      </c>
    </row>
    <row r="2822" customFormat="false" ht="15" hidden="false" customHeight="true" outlineLevel="0" collapsed="false">
      <c r="A2822" s="4" t="s">
        <v>2998</v>
      </c>
      <c r="B2822" s="4" t="s">
        <v>89</v>
      </c>
      <c r="C2822" s="13" t="n">
        <v>45307</v>
      </c>
      <c r="D2822" s="13" t="n">
        <v>45312</v>
      </c>
      <c r="E2822" s="13" t="n">
        <v>45317</v>
      </c>
      <c r="F2822" s="4" t="n">
        <v>1</v>
      </c>
      <c r="G2822" s="4" t="n">
        <v>1</v>
      </c>
      <c r="H2822" s="4" t="n">
        <v>1929.81</v>
      </c>
      <c r="I2822" s="4" t="n">
        <v>1878.94</v>
      </c>
      <c r="J2822" s="14" t="n">
        <f aca="false">E2822-D2822</f>
        <v>5</v>
      </c>
      <c r="K2822" s="14" t="n">
        <f aca="false">IF(J2822&lt;=0,1,0)</f>
        <v>0</v>
      </c>
      <c r="L2822" s="15" t="n">
        <f aca="false">IFERROR(G2822/F2822,0)</f>
        <v>1</v>
      </c>
      <c r="M2822" s="15" t="n">
        <f aca="false">IFERROR((I2822-H2822)/H2822,0)</f>
        <v>-0.0263601079899057</v>
      </c>
      <c r="N2822" s="16" t="n">
        <f aca="false">G2822*I2822</f>
        <v>1878.94</v>
      </c>
    </row>
    <row r="2823" customFormat="false" ht="15" hidden="false" customHeight="true" outlineLevel="0" collapsed="false">
      <c r="A2823" s="4" t="s">
        <v>2999</v>
      </c>
      <c r="B2823" s="4" t="s">
        <v>41</v>
      </c>
      <c r="C2823" s="13" t="n">
        <v>45449</v>
      </c>
      <c r="D2823" s="13" t="n">
        <v>45457</v>
      </c>
      <c r="E2823" s="13" t="n">
        <v>45457</v>
      </c>
      <c r="F2823" s="4" t="n">
        <v>1540</v>
      </c>
      <c r="G2823" s="4" t="n">
        <v>1540</v>
      </c>
      <c r="H2823" s="4" t="n">
        <v>45.51</v>
      </c>
      <c r="I2823" s="4" t="n">
        <v>44.26</v>
      </c>
      <c r="J2823" s="14" t="n">
        <f aca="false">E2823-D2823</f>
        <v>0</v>
      </c>
      <c r="K2823" s="14" t="n">
        <f aca="false">IF(J2823&lt;=0,1,0)</f>
        <v>1</v>
      </c>
      <c r="L2823" s="15" t="n">
        <f aca="false">IFERROR(G2823/F2823,0)</f>
        <v>1</v>
      </c>
      <c r="M2823" s="15" t="n">
        <f aca="false">IFERROR((I2823-H2823)/H2823,0)</f>
        <v>-0.027466490881125</v>
      </c>
      <c r="N2823" s="16" t="n">
        <f aca="false">G2823*I2823</f>
        <v>68160.4</v>
      </c>
    </row>
    <row r="2824" customFormat="false" ht="15" hidden="false" customHeight="true" outlineLevel="0" collapsed="false">
      <c r="A2824" s="4" t="s">
        <v>3000</v>
      </c>
      <c r="B2824" s="4" t="s">
        <v>74</v>
      </c>
      <c r="C2824" s="13" t="n">
        <v>45644</v>
      </c>
      <c r="D2824" s="13" t="n">
        <v>45649</v>
      </c>
      <c r="E2824" s="13" t="n">
        <v>45648</v>
      </c>
      <c r="F2824" s="4" t="n">
        <v>4</v>
      </c>
      <c r="G2824" s="4" t="n">
        <v>4</v>
      </c>
      <c r="H2824" s="4" t="n">
        <v>1294.62</v>
      </c>
      <c r="I2824" s="4" t="n">
        <v>1388.46</v>
      </c>
      <c r="J2824" s="14" t="n">
        <f aca="false">E2824-D2824</f>
        <v>-1</v>
      </c>
      <c r="K2824" s="14" t="n">
        <f aca="false">IF(J2824&lt;=0,1,0)</f>
        <v>1</v>
      </c>
      <c r="L2824" s="15" t="n">
        <f aca="false">IFERROR(G2824/F2824,0)</f>
        <v>1</v>
      </c>
      <c r="M2824" s="15" t="n">
        <f aca="false">IFERROR((I2824-H2824)/H2824,0)</f>
        <v>0.0724845900727628</v>
      </c>
      <c r="N2824" s="16" t="n">
        <f aca="false">G2824*I2824</f>
        <v>5553.84</v>
      </c>
    </row>
    <row r="2825" customFormat="false" ht="15" hidden="false" customHeight="true" outlineLevel="0" collapsed="false">
      <c r="A2825" s="4" t="s">
        <v>3001</v>
      </c>
      <c r="B2825" s="4" t="s">
        <v>147</v>
      </c>
      <c r="C2825" s="13" t="n">
        <v>45476</v>
      </c>
      <c r="D2825" s="13" t="n">
        <v>45488</v>
      </c>
      <c r="E2825" s="13" t="n">
        <v>45491</v>
      </c>
      <c r="F2825" s="4" t="n">
        <v>228</v>
      </c>
      <c r="G2825" s="4" t="n">
        <v>217</v>
      </c>
      <c r="H2825" s="4" t="n">
        <v>203.3</v>
      </c>
      <c r="I2825" s="4" t="n">
        <v>209.5</v>
      </c>
      <c r="J2825" s="14" t="n">
        <f aca="false">E2825-D2825</f>
        <v>3</v>
      </c>
      <c r="K2825" s="14" t="n">
        <f aca="false">IF(J2825&lt;=0,1,0)</f>
        <v>0</v>
      </c>
      <c r="L2825" s="15" t="n">
        <f aca="false">IFERROR(G2825/F2825,0)</f>
        <v>0.951754385964912</v>
      </c>
      <c r="M2825" s="15" t="n">
        <f aca="false">IFERROR((I2825-H2825)/H2825,0)</f>
        <v>0.0304968027545499</v>
      </c>
      <c r="N2825" s="16" t="n">
        <f aca="false">G2825*I2825</f>
        <v>45461.5</v>
      </c>
    </row>
    <row r="2826" customFormat="false" ht="15" hidden="false" customHeight="true" outlineLevel="0" collapsed="false">
      <c r="A2826" s="4" t="s">
        <v>3002</v>
      </c>
      <c r="B2826" s="4" t="s">
        <v>109</v>
      </c>
      <c r="C2826" s="13" t="n">
        <v>45068</v>
      </c>
      <c r="D2826" s="13" t="n">
        <v>45086</v>
      </c>
      <c r="E2826" s="13" t="n">
        <v>45089</v>
      </c>
      <c r="F2826" s="4" t="n">
        <v>239</v>
      </c>
      <c r="G2826" s="4" t="n">
        <v>232</v>
      </c>
      <c r="H2826" s="4" t="n">
        <v>858.02</v>
      </c>
      <c r="I2826" s="4" t="n">
        <v>875.9</v>
      </c>
      <c r="J2826" s="14" t="n">
        <f aca="false">E2826-D2826</f>
        <v>3</v>
      </c>
      <c r="K2826" s="14" t="n">
        <f aca="false">IF(J2826&lt;=0,1,0)</f>
        <v>0</v>
      </c>
      <c r="L2826" s="15" t="n">
        <f aca="false">IFERROR(G2826/F2826,0)</f>
        <v>0.97071129707113</v>
      </c>
      <c r="M2826" s="15" t="n">
        <f aca="false">IFERROR((I2826-H2826)/H2826,0)</f>
        <v>0.0208386750891588</v>
      </c>
      <c r="N2826" s="16" t="n">
        <f aca="false">G2826*I2826</f>
        <v>203208.8</v>
      </c>
    </row>
    <row r="2827" customFormat="false" ht="15" hidden="false" customHeight="true" outlineLevel="0" collapsed="false">
      <c r="A2827" s="4" t="s">
        <v>3003</v>
      </c>
      <c r="B2827" s="4" t="s">
        <v>157</v>
      </c>
      <c r="C2827" s="13" t="n">
        <v>45569</v>
      </c>
      <c r="D2827" s="13" t="n">
        <v>45578</v>
      </c>
      <c r="E2827" s="13" t="n">
        <v>45578</v>
      </c>
      <c r="F2827" s="4" t="n">
        <v>2617</v>
      </c>
      <c r="G2827" s="4" t="n">
        <v>2518</v>
      </c>
      <c r="H2827" s="4" t="n">
        <v>13.1</v>
      </c>
      <c r="I2827" s="4" t="n">
        <v>13.57</v>
      </c>
      <c r="J2827" s="14" t="n">
        <f aca="false">E2827-D2827</f>
        <v>0</v>
      </c>
      <c r="K2827" s="14" t="n">
        <f aca="false">IF(J2827&lt;=0,1,0)</f>
        <v>1</v>
      </c>
      <c r="L2827" s="15" t="n">
        <f aca="false">IFERROR(G2827/F2827,0)</f>
        <v>0.96217042414979</v>
      </c>
      <c r="M2827" s="15" t="n">
        <f aca="false">IFERROR((I2827-H2827)/H2827,0)</f>
        <v>0.0358778625954199</v>
      </c>
      <c r="N2827" s="16" t="n">
        <f aca="false">G2827*I2827</f>
        <v>34169.26</v>
      </c>
    </row>
    <row r="2828" customFormat="false" ht="15" hidden="false" customHeight="true" outlineLevel="0" collapsed="false">
      <c r="A2828" s="4" t="s">
        <v>3004</v>
      </c>
      <c r="B2828" s="4" t="s">
        <v>131</v>
      </c>
      <c r="C2828" s="13" t="n">
        <v>45236</v>
      </c>
      <c r="D2828" s="13" t="n">
        <v>45245</v>
      </c>
      <c r="E2828" s="13" t="n">
        <v>45244</v>
      </c>
      <c r="F2828" s="4" t="n">
        <v>420</v>
      </c>
      <c r="G2828" s="4" t="n">
        <v>411</v>
      </c>
      <c r="H2828" s="4" t="n">
        <v>88.52</v>
      </c>
      <c r="I2828" s="4" t="n">
        <v>88.32</v>
      </c>
      <c r="J2828" s="14" t="n">
        <f aca="false">E2828-D2828</f>
        <v>-1</v>
      </c>
      <c r="K2828" s="14" t="n">
        <f aca="false">IF(J2828&lt;=0,1,0)</f>
        <v>1</v>
      </c>
      <c r="L2828" s="15" t="n">
        <f aca="false">IFERROR(G2828/F2828,0)</f>
        <v>0.978571428571429</v>
      </c>
      <c r="M2828" s="15" t="n">
        <f aca="false">IFERROR((I2828-H2828)/H2828,0)</f>
        <v>-0.00225937641211029</v>
      </c>
      <c r="N2828" s="16" t="n">
        <f aca="false">G2828*I2828</f>
        <v>36299.52</v>
      </c>
    </row>
    <row r="2829" customFormat="false" ht="15" hidden="false" customHeight="true" outlineLevel="0" collapsed="false">
      <c r="A2829" s="4" t="s">
        <v>3005</v>
      </c>
      <c r="B2829" s="4" t="s">
        <v>91</v>
      </c>
      <c r="C2829" s="13" t="n">
        <v>45215</v>
      </c>
      <c r="D2829" s="13" t="n">
        <v>45232</v>
      </c>
      <c r="E2829" s="13" t="n">
        <v>45237</v>
      </c>
      <c r="F2829" s="4" t="n">
        <v>374</v>
      </c>
      <c r="G2829" s="4" t="n">
        <v>362</v>
      </c>
      <c r="H2829" s="4" t="n">
        <v>496.29</v>
      </c>
      <c r="I2829" s="4" t="n">
        <v>487.82</v>
      </c>
      <c r="J2829" s="14" t="n">
        <f aca="false">E2829-D2829</f>
        <v>5</v>
      </c>
      <c r="K2829" s="14" t="n">
        <f aca="false">IF(J2829&lt;=0,1,0)</f>
        <v>0</v>
      </c>
      <c r="L2829" s="15" t="n">
        <f aca="false">IFERROR(G2829/F2829,0)</f>
        <v>0.967914438502674</v>
      </c>
      <c r="M2829" s="15" t="n">
        <f aca="false">IFERROR((I2829-H2829)/H2829,0)</f>
        <v>-0.0170666344274517</v>
      </c>
      <c r="N2829" s="16" t="n">
        <f aca="false">G2829*I2829</f>
        <v>176590.84</v>
      </c>
    </row>
    <row r="2830" customFormat="false" ht="15" hidden="false" customHeight="true" outlineLevel="0" collapsed="false">
      <c r="A2830" s="4" t="s">
        <v>3006</v>
      </c>
      <c r="B2830" s="4" t="s">
        <v>163</v>
      </c>
      <c r="C2830" s="13" t="n">
        <v>45208</v>
      </c>
      <c r="D2830" s="13" t="n">
        <v>45225</v>
      </c>
      <c r="E2830" s="13" t="n">
        <v>45226</v>
      </c>
      <c r="F2830" s="4" t="n">
        <v>446</v>
      </c>
      <c r="G2830" s="4" t="n">
        <v>430</v>
      </c>
      <c r="H2830" s="4" t="n">
        <v>482.79</v>
      </c>
      <c r="I2830" s="4" t="n">
        <v>492.17</v>
      </c>
      <c r="J2830" s="14" t="n">
        <f aca="false">E2830-D2830</f>
        <v>1</v>
      </c>
      <c r="K2830" s="14" t="n">
        <f aca="false">IF(J2830&lt;=0,1,0)</f>
        <v>0</v>
      </c>
      <c r="L2830" s="15" t="n">
        <f aca="false">IFERROR(G2830/F2830,0)</f>
        <v>0.964125560538117</v>
      </c>
      <c r="M2830" s="15" t="n">
        <f aca="false">IFERROR((I2830-H2830)/H2830,0)</f>
        <v>0.0194287371320864</v>
      </c>
      <c r="N2830" s="16" t="n">
        <f aca="false">G2830*I2830</f>
        <v>211633.1</v>
      </c>
    </row>
    <row r="2831" customFormat="false" ht="15" hidden="false" customHeight="true" outlineLevel="0" collapsed="false">
      <c r="A2831" s="4" t="s">
        <v>3007</v>
      </c>
      <c r="B2831" s="4" t="s">
        <v>95</v>
      </c>
      <c r="C2831" s="13" t="n">
        <v>45292</v>
      </c>
      <c r="D2831" s="13" t="n">
        <v>45298</v>
      </c>
      <c r="E2831" s="13" t="n">
        <v>45297</v>
      </c>
      <c r="F2831" s="4" t="n">
        <v>2732</v>
      </c>
      <c r="G2831" s="4" t="n">
        <v>2732</v>
      </c>
      <c r="H2831" s="4" t="n">
        <v>20.39</v>
      </c>
      <c r="I2831" s="4" t="n">
        <v>21.3</v>
      </c>
      <c r="J2831" s="14" t="n">
        <f aca="false">E2831-D2831</f>
        <v>-1</v>
      </c>
      <c r="K2831" s="14" t="n">
        <f aca="false">IF(J2831&lt;=0,1,0)</f>
        <v>1</v>
      </c>
      <c r="L2831" s="15" t="n">
        <f aca="false">IFERROR(G2831/F2831,0)</f>
        <v>1</v>
      </c>
      <c r="M2831" s="15" t="n">
        <f aca="false">IFERROR((I2831-H2831)/H2831,0)</f>
        <v>0.0446297204512016</v>
      </c>
      <c r="N2831" s="16" t="n">
        <f aca="false">G2831*I2831</f>
        <v>58191.6</v>
      </c>
    </row>
    <row r="2832" customFormat="false" ht="15" hidden="false" customHeight="true" outlineLevel="0" collapsed="false">
      <c r="A2832" s="4" t="s">
        <v>3008</v>
      </c>
      <c r="B2832" s="4" t="s">
        <v>52</v>
      </c>
      <c r="C2832" s="13" t="n">
        <v>44963</v>
      </c>
      <c r="D2832" s="13" t="n">
        <v>44972</v>
      </c>
      <c r="E2832" s="13" t="n">
        <v>44973</v>
      </c>
      <c r="F2832" s="4" t="n">
        <v>684</v>
      </c>
      <c r="G2832" s="4" t="n">
        <v>584</v>
      </c>
      <c r="H2832" s="4" t="n">
        <v>170.24</v>
      </c>
      <c r="I2832" s="4" t="n">
        <v>169.11</v>
      </c>
      <c r="J2832" s="14" t="n">
        <f aca="false">E2832-D2832</f>
        <v>1</v>
      </c>
      <c r="K2832" s="14" t="n">
        <f aca="false">IF(J2832&lt;=0,1,0)</f>
        <v>0</v>
      </c>
      <c r="L2832" s="15" t="n">
        <f aca="false">IFERROR(G2832/F2832,0)</f>
        <v>0.853801169590643</v>
      </c>
      <c r="M2832" s="15" t="n">
        <f aca="false">IFERROR((I2832-H2832)/H2832,0)</f>
        <v>-0.00663768796992479</v>
      </c>
      <c r="N2832" s="16" t="n">
        <f aca="false">G2832*I2832</f>
        <v>98760.24</v>
      </c>
    </row>
    <row r="2833" customFormat="false" ht="15" hidden="false" customHeight="true" outlineLevel="0" collapsed="false">
      <c r="A2833" s="4" t="s">
        <v>3009</v>
      </c>
      <c r="B2833" s="4" t="s">
        <v>61</v>
      </c>
      <c r="C2833" s="13" t="n">
        <v>44951</v>
      </c>
      <c r="D2833" s="13" t="n">
        <v>44961</v>
      </c>
      <c r="E2833" s="13" t="n">
        <v>44965</v>
      </c>
      <c r="F2833" s="4" t="n">
        <v>1513</v>
      </c>
      <c r="G2833" s="4" t="n">
        <v>1475</v>
      </c>
      <c r="H2833" s="4" t="n">
        <v>107.41</v>
      </c>
      <c r="I2833" s="4" t="n">
        <v>110.38</v>
      </c>
      <c r="J2833" s="14" t="n">
        <f aca="false">E2833-D2833</f>
        <v>4</v>
      </c>
      <c r="K2833" s="14" t="n">
        <f aca="false">IF(J2833&lt;=0,1,0)</f>
        <v>0</v>
      </c>
      <c r="L2833" s="15" t="n">
        <f aca="false">IFERROR(G2833/F2833,0)</f>
        <v>0.974884335756775</v>
      </c>
      <c r="M2833" s="15" t="n">
        <f aca="false">IFERROR((I2833-H2833)/H2833,0)</f>
        <v>0.0276510566986314</v>
      </c>
      <c r="N2833" s="16" t="n">
        <f aca="false">G2833*I2833</f>
        <v>162810.5</v>
      </c>
    </row>
    <row r="2834" customFormat="false" ht="15" hidden="false" customHeight="true" outlineLevel="0" collapsed="false">
      <c r="A2834" s="4" t="s">
        <v>3010</v>
      </c>
      <c r="B2834" s="4" t="s">
        <v>153</v>
      </c>
      <c r="C2834" s="13" t="n">
        <v>45009</v>
      </c>
      <c r="D2834" s="13" t="n">
        <v>45028</v>
      </c>
      <c r="E2834" s="13" t="n">
        <v>45033</v>
      </c>
      <c r="F2834" s="4" t="n">
        <v>189</v>
      </c>
      <c r="G2834" s="4" t="n">
        <v>176</v>
      </c>
      <c r="H2834" s="4" t="n">
        <v>1492.04</v>
      </c>
      <c r="I2834" s="4" t="n">
        <v>1508.56</v>
      </c>
      <c r="J2834" s="14" t="n">
        <f aca="false">E2834-D2834</f>
        <v>5</v>
      </c>
      <c r="K2834" s="14" t="n">
        <f aca="false">IF(J2834&lt;=0,1,0)</f>
        <v>0</v>
      </c>
      <c r="L2834" s="15" t="n">
        <f aca="false">IFERROR(G2834/F2834,0)</f>
        <v>0.931216931216931</v>
      </c>
      <c r="M2834" s="15" t="n">
        <f aca="false">IFERROR((I2834-H2834)/H2834,0)</f>
        <v>0.0110720892201281</v>
      </c>
      <c r="N2834" s="16" t="n">
        <f aca="false">G2834*I2834</f>
        <v>265506.56</v>
      </c>
    </row>
    <row r="2835" customFormat="false" ht="15" hidden="false" customHeight="true" outlineLevel="0" collapsed="false">
      <c r="A2835" s="4" t="s">
        <v>3011</v>
      </c>
      <c r="B2835" s="4" t="s">
        <v>117</v>
      </c>
      <c r="C2835" s="13" t="n">
        <v>45516</v>
      </c>
      <c r="D2835" s="13" t="n">
        <v>45528</v>
      </c>
      <c r="E2835" s="13" t="n">
        <v>45533</v>
      </c>
      <c r="F2835" s="4" t="n">
        <v>87</v>
      </c>
      <c r="G2835" s="4" t="n">
        <v>80</v>
      </c>
      <c r="H2835" s="4" t="n">
        <v>396.01</v>
      </c>
      <c r="I2835" s="4" t="n">
        <v>391.55</v>
      </c>
      <c r="J2835" s="14" t="n">
        <f aca="false">E2835-D2835</f>
        <v>5</v>
      </c>
      <c r="K2835" s="14" t="n">
        <f aca="false">IF(J2835&lt;=0,1,0)</f>
        <v>0</v>
      </c>
      <c r="L2835" s="15" t="n">
        <f aca="false">IFERROR(G2835/F2835,0)</f>
        <v>0.919540229885058</v>
      </c>
      <c r="M2835" s="15" t="n">
        <f aca="false">IFERROR((I2835-H2835)/H2835,0)</f>
        <v>-0.011262341860054</v>
      </c>
      <c r="N2835" s="16" t="n">
        <f aca="false">G2835*I2835</f>
        <v>31324</v>
      </c>
    </row>
    <row r="2836" customFormat="false" ht="15" hidden="false" customHeight="true" outlineLevel="0" collapsed="false">
      <c r="A2836" s="4" t="s">
        <v>3012</v>
      </c>
      <c r="B2836" s="4" t="s">
        <v>97</v>
      </c>
      <c r="C2836" s="13" t="n">
        <v>45352</v>
      </c>
      <c r="D2836" s="13" t="n">
        <v>45362</v>
      </c>
      <c r="E2836" s="13" t="n">
        <v>45365</v>
      </c>
      <c r="F2836" s="4" t="n">
        <v>1311</v>
      </c>
      <c r="G2836" s="4" t="n">
        <v>1287</v>
      </c>
      <c r="H2836" s="4" t="n">
        <v>123.04</v>
      </c>
      <c r="I2836" s="4" t="n">
        <v>125.2</v>
      </c>
      <c r="J2836" s="14" t="n">
        <f aca="false">E2836-D2836</f>
        <v>3</v>
      </c>
      <c r="K2836" s="14" t="n">
        <f aca="false">IF(J2836&lt;=0,1,0)</f>
        <v>0</v>
      </c>
      <c r="L2836" s="15" t="n">
        <f aca="false">IFERROR(G2836/F2836,0)</f>
        <v>0.981693363844394</v>
      </c>
      <c r="M2836" s="15" t="n">
        <f aca="false">IFERROR((I2836-H2836)/H2836,0)</f>
        <v>0.017555266579974</v>
      </c>
      <c r="N2836" s="16" t="n">
        <f aca="false">G2836*I2836</f>
        <v>161132.4</v>
      </c>
    </row>
    <row r="2837" customFormat="false" ht="15" hidden="false" customHeight="true" outlineLevel="0" collapsed="false">
      <c r="A2837" s="4" t="s">
        <v>3013</v>
      </c>
      <c r="B2837" s="4" t="s">
        <v>93</v>
      </c>
      <c r="C2837" s="13" t="n">
        <v>45053</v>
      </c>
      <c r="D2837" s="13" t="n">
        <v>45065</v>
      </c>
      <c r="E2837" s="13" t="n">
        <v>45067</v>
      </c>
      <c r="F2837" s="4" t="n">
        <v>1841</v>
      </c>
      <c r="G2837" s="4" t="n">
        <v>1823</v>
      </c>
      <c r="H2837" s="4" t="n">
        <v>174.25</v>
      </c>
      <c r="I2837" s="4" t="n">
        <v>177.51</v>
      </c>
      <c r="J2837" s="14" t="n">
        <f aca="false">E2837-D2837</f>
        <v>2</v>
      </c>
      <c r="K2837" s="14" t="n">
        <f aca="false">IF(J2837&lt;=0,1,0)</f>
        <v>0</v>
      </c>
      <c r="L2837" s="15" t="n">
        <f aca="false">IFERROR(G2837/F2837,0)</f>
        <v>0.990222705051602</v>
      </c>
      <c r="M2837" s="15" t="n">
        <f aca="false">IFERROR((I2837-H2837)/H2837,0)</f>
        <v>0.0187087517934002</v>
      </c>
      <c r="N2837" s="16" t="n">
        <f aca="false">G2837*I2837</f>
        <v>323600.73</v>
      </c>
    </row>
    <row r="2838" customFormat="false" ht="15" hidden="false" customHeight="true" outlineLevel="0" collapsed="false">
      <c r="A2838" s="4" t="s">
        <v>3014</v>
      </c>
      <c r="B2838" s="4" t="s">
        <v>155</v>
      </c>
      <c r="C2838" s="13" t="n">
        <v>45372</v>
      </c>
      <c r="D2838" s="13" t="n">
        <v>45381</v>
      </c>
      <c r="E2838" s="13" t="n">
        <v>45379</v>
      </c>
      <c r="F2838" s="4" t="n">
        <v>1306</v>
      </c>
      <c r="G2838" s="4" t="n">
        <v>1266</v>
      </c>
      <c r="H2838" s="4" t="n">
        <v>24.04</v>
      </c>
      <c r="I2838" s="4" t="n">
        <v>22.94</v>
      </c>
      <c r="J2838" s="14" t="n">
        <f aca="false">E2838-D2838</f>
        <v>-2</v>
      </c>
      <c r="K2838" s="14" t="n">
        <f aca="false">IF(J2838&lt;=0,1,0)</f>
        <v>1</v>
      </c>
      <c r="L2838" s="15" t="n">
        <f aca="false">IFERROR(G2838/F2838,0)</f>
        <v>0.96937212863706</v>
      </c>
      <c r="M2838" s="15" t="n">
        <f aca="false">IFERROR((I2838-H2838)/H2838,0)</f>
        <v>-0.0457570715474209</v>
      </c>
      <c r="N2838" s="16" t="n">
        <f aca="false">G2838*I2838</f>
        <v>29042.04</v>
      </c>
    </row>
    <row r="2839" customFormat="false" ht="15" hidden="false" customHeight="true" outlineLevel="0" collapsed="false">
      <c r="A2839" s="4" t="s">
        <v>3015</v>
      </c>
      <c r="B2839" s="4" t="s">
        <v>147</v>
      </c>
      <c r="C2839" s="13" t="n">
        <v>44956</v>
      </c>
      <c r="D2839" s="13" t="n">
        <v>44967</v>
      </c>
      <c r="E2839" s="13" t="n">
        <v>44971</v>
      </c>
      <c r="F2839" s="4" t="n">
        <v>171</v>
      </c>
      <c r="G2839" s="4" t="n">
        <v>169</v>
      </c>
      <c r="H2839" s="4" t="n">
        <v>203.3</v>
      </c>
      <c r="I2839" s="4" t="n">
        <v>201.48</v>
      </c>
      <c r="J2839" s="14" t="n">
        <f aca="false">E2839-D2839</f>
        <v>4</v>
      </c>
      <c r="K2839" s="14" t="n">
        <f aca="false">IF(J2839&lt;=0,1,0)</f>
        <v>0</v>
      </c>
      <c r="L2839" s="15" t="n">
        <f aca="false">IFERROR(G2839/F2839,0)</f>
        <v>0.988304093567252</v>
      </c>
      <c r="M2839" s="15" t="n">
        <f aca="false">IFERROR((I2839-H2839)/H2839,0)</f>
        <v>-0.0089522872602067</v>
      </c>
      <c r="N2839" s="16" t="n">
        <f aca="false">G2839*I2839</f>
        <v>34050.12</v>
      </c>
    </row>
    <row r="2840" customFormat="false" ht="15" hidden="false" customHeight="true" outlineLevel="0" collapsed="false">
      <c r="A2840" s="4" t="s">
        <v>3016</v>
      </c>
      <c r="B2840" s="4" t="s">
        <v>50</v>
      </c>
      <c r="C2840" s="13" t="n">
        <v>45385</v>
      </c>
      <c r="D2840" s="13" t="n">
        <v>45402</v>
      </c>
      <c r="E2840" s="13" t="n">
        <v>45403</v>
      </c>
      <c r="F2840" s="4" t="n">
        <v>245</v>
      </c>
      <c r="G2840" s="4" t="n">
        <v>239</v>
      </c>
      <c r="H2840" s="4" t="n">
        <v>707.19</v>
      </c>
      <c r="I2840" s="4" t="n">
        <v>747.78</v>
      </c>
      <c r="J2840" s="14" t="n">
        <f aca="false">E2840-D2840</f>
        <v>1</v>
      </c>
      <c r="K2840" s="14" t="n">
        <f aca="false">IF(J2840&lt;=0,1,0)</f>
        <v>0</v>
      </c>
      <c r="L2840" s="15" t="n">
        <f aca="false">IFERROR(G2840/F2840,0)</f>
        <v>0.975510204081633</v>
      </c>
      <c r="M2840" s="15" t="n">
        <f aca="false">IFERROR((I2840-H2840)/H2840,0)</f>
        <v>0.0573961735884273</v>
      </c>
      <c r="N2840" s="16" t="n">
        <f aca="false">G2840*I2840</f>
        <v>178719.42</v>
      </c>
    </row>
    <row r="2841" customFormat="false" ht="15" hidden="false" customHeight="true" outlineLevel="0" collapsed="false">
      <c r="A2841" s="4" t="s">
        <v>3017</v>
      </c>
      <c r="B2841" s="4" t="s">
        <v>93</v>
      </c>
      <c r="C2841" s="13" t="n">
        <v>45253</v>
      </c>
      <c r="D2841" s="13" t="n">
        <v>45264</v>
      </c>
      <c r="E2841" s="13" t="n">
        <v>45265</v>
      </c>
      <c r="F2841" s="4" t="n">
        <v>569</v>
      </c>
      <c r="G2841" s="4" t="n">
        <v>568</v>
      </c>
      <c r="H2841" s="4" t="n">
        <v>174.25</v>
      </c>
      <c r="I2841" s="4" t="n">
        <v>180.65</v>
      </c>
      <c r="J2841" s="14" t="n">
        <f aca="false">E2841-D2841</f>
        <v>1</v>
      </c>
      <c r="K2841" s="14" t="n">
        <f aca="false">IF(J2841&lt;=0,1,0)</f>
        <v>0</v>
      </c>
      <c r="L2841" s="15" t="n">
        <f aca="false">IFERROR(G2841/F2841,0)</f>
        <v>0.998242530755712</v>
      </c>
      <c r="M2841" s="15" t="n">
        <f aca="false">IFERROR((I2841-H2841)/H2841,0)</f>
        <v>0.0367288378766141</v>
      </c>
      <c r="N2841" s="16" t="n">
        <f aca="false">G2841*I2841</f>
        <v>102609.2</v>
      </c>
    </row>
    <row r="2842" customFormat="false" ht="15" hidden="false" customHeight="true" outlineLevel="0" collapsed="false">
      <c r="A2842" s="4" t="s">
        <v>3018</v>
      </c>
      <c r="B2842" s="4" t="s">
        <v>93</v>
      </c>
      <c r="C2842" s="13" t="n">
        <v>45207</v>
      </c>
      <c r="D2842" s="13" t="n">
        <v>45216</v>
      </c>
      <c r="E2842" s="13" t="n">
        <v>45219</v>
      </c>
      <c r="F2842" s="4" t="n">
        <v>1903</v>
      </c>
      <c r="G2842" s="4" t="n">
        <v>1818</v>
      </c>
      <c r="H2842" s="4" t="n">
        <v>174.25</v>
      </c>
      <c r="I2842" s="4" t="n">
        <v>180.28</v>
      </c>
      <c r="J2842" s="14" t="n">
        <f aca="false">E2842-D2842</f>
        <v>3</v>
      </c>
      <c r="K2842" s="14" t="n">
        <f aca="false">IF(J2842&lt;=0,1,0)</f>
        <v>0</v>
      </c>
      <c r="L2842" s="15" t="n">
        <f aca="false">IFERROR(G2842/F2842,0)</f>
        <v>0.955333683657383</v>
      </c>
      <c r="M2842" s="15" t="n">
        <f aca="false">IFERROR((I2842-H2842)/H2842,0)</f>
        <v>0.0346054519368723</v>
      </c>
      <c r="N2842" s="16" t="n">
        <f aca="false">G2842*I2842</f>
        <v>327749.04</v>
      </c>
    </row>
    <row r="2843" customFormat="false" ht="15" hidden="false" customHeight="true" outlineLevel="0" collapsed="false">
      <c r="A2843" s="4" t="s">
        <v>3019</v>
      </c>
      <c r="B2843" s="4" t="s">
        <v>127</v>
      </c>
      <c r="C2843" s="13" t="n">
        <v>45388</v>
      </c>
      <c r="D2843" s="13" t="n">
        <v>45395</v>
      </c>
      <c r="E2843" s="13" t="n">
        <v>45397</v>
      </c>
      <c r="F2843" s="4" t="n">
        <v>13</v>
      </c>
      <c r="G2843" s="4" t="n">
        <v>13</v>
      </c>
      <c r="H2843" s="4" t="n">
        <v>1881</v>
      </c>
      <c r="I2843" s="4" t="n">
        <v>1752.07</v>
      </c>
      <c r="J2843" s="14" t="n">
        <f aca="false">E2843-D2843</f>
        <v>2</v>
      </c>
      <c r="K2843" s="14" t="n">
        <f aca="false">IF(J2843&lt;=0,1,0)</f>
        <v>0</v>
      </c>
      <c r="L2843" s="15" t="n">
        <f aca="false">IFERROR(G2843/F2843,0)</f>
        <v>1</v>
      </c>
      <c r="M2843" s="15" t="n">
        <f aca="false">IFERROR((I2843-H2843)/H2843,0)</f>
        <v>-0.0685433280170123</v>
      </c>
      <c r="N2843" s="16" t="n">
        <f aca="false">G2843*I2843</f>
        <v>22776.91</v>
      </c>
    </row>
    <row r="2844" customFormat="false" ht="15" hidden="false" customHeight="true" outlineLevel="0" collapsed="false">
      <c r="A2844" s="4" t="s">
        <v>3020</v>
      </c>
      <c r="B2844" s="4" t="s">
        <v>109</v>
      </c>
      <c r="C2844" s="13" t="n">
        <v>44959</v>
      </c>
      <c r="D2844" s="13" t="n">
        <v>44979</v>
      </c>
      <c r="E2844" s="13" t="n">
        <v>44978</v>
      </c>
      <c r="F2844" s="4" t="n">
        <v>381</v>
      </c>
      <c r="G2844" s="4" t="n">
        <v>381</v>
      </c>
      <c r="H2844" s="4" t="n">
        <v>858.02</v>
      </c>
      <c r="I2844" s="4" t="n">
        <v>847.29</v>
      </c>
      <c r="J2844" s="14" t="n">
        <f aca="false">E2844-D2844</f>
        <v>-1</v>
      </c>
      <c r="K2844" s="14" t="n">
        <f aca="false">IF(J2844&lt;=0,1,0)</f>
        <v>1</v>
      </c>
      <c r="L2844" s="15" t="n">
        <f aca="false">IFERROR(G2844/F2844,0)</f>
        <v>1</v>
      </c>
      <c r="M2844" s="15" t="n">
        <f aca="false">IFERROR((I2844-H2844)/H2844,0)</f>
        <v>-0.0125055360014918</v>
      </c>
      <c r="N2844" s="16" t="n">
        <f aca="false">G2844*I2844</f>
        <v>322817.49</v>
      </c>
    </row>
    <row r="2845" customFormat="false" ht="15" hidden="false" customHeight="true" outlineLevel="0" collapsed="false">
      <c r="A2845" s="4" t="s">
        <v>3021</v>
      </c>
      <c r="B2845" s="4" t="s">
        <v>55</v>
      </c>
      <c r="C2845" s="13" t="n">
        <v>45618</v>
      </c>
      <c r="D2845" s="13" t="n">
        <v>45638</v>
      </c>
      <c r="E2845" s="13" t="n">
        <v>45636</v>
      </c>
      <c r="F2845" s="4" t="n">
        <v>347</v>
      </c>
      <c r="G2845" s="4" t="n">
        <v>325</v>
      </c>
      <c r="H2845" s="4" t="n">
        <v>598.09</v>
      </c>
      <c r="I2845" s="4" t="n">
        <v>564.3</v>
      </c>
      <c r="J2845" s="14" t="n">
        <f aca="false">E2845-D2845</f>
        <v>-2</v>
      </c>
      <c r="K2845" s="14" t="n">
        <f aca="false">IF(J2845&lt;=0,1,0)</f>
        <v>1</v>
      </c>
      <c r="L2845" s="15" t="n">
        <f aca="false">IFERROR(G2845/F2845,0)</f>
        <v>0.936599423631124</v>
      </c>
      <c r="M2845" s="15" t="n">
        <f aca="false">IFERROR((I2845-H2845)/H2845,0)</f>
        <v>-0.05649651390259</v>
      </c>
      <c r="N2845" s="16" t="n">
        <f aca="false">G2845*I2845</f>
        <v>183397.5</v>
      </c>
    </row>
    <row r="2846" customFormat="false" ht="15" hidden="false" customHeight="true" outlineLevel="0" collapsed="false">
      <c r="A2846" s="4" t="s">
        <v>3022</v>
      </c>
      <c r="B2846" s="4" t="s">
        <v>131</v>
      </c>
      <c r="C2846" s="13" t="n">
        <v>45097</v>
      </c>
      <c r="D2846" s="13" t="n">
        <v>45106</v>
      </c>
      <c r="E2846" s="13" t="n">
        <v>45104</v>
      </c>
      <c r="F2846" s="4" t="n">
        <v>1981</v>
      </c>
      <c r="G2846" s="4" t="n">
        <v>1926</v>
      </c>
      <c r="H2846" s="4" t="n">
        <v>88.52</v>
      </c>
      <c r="I2846" s="4" t="n">
        <v>89.48</v>
      </c>
      <c r="J2846" s="14" t="n">
        <f aca="false">E2846-D2846</f>
        <v>-2</v>
      </c>
      <c r="K2846" s="14" t="n">
        <f aca="false">IF(J2846&lt;=0,1,0)</f>
        <v>1</v>
      </c>
      <c r="L2846" s="15" t="n">
        <f aca="false">IFERROR(G2846/F2846,0)</f>
        <v>0.97223624432105</v>
      </c>
      <c r="M2846" s="15" t="n">
        <f aca="false">IFERROR((I2846-H2846)/H2846,0)</f>
        <v>0.0108450067781293</v>
      </c>
      <c r="N2846" s="16" t="n">
        <f aca="false">G2846*I2846</f>
        <v>172338.48</v>
      </c>
    </row>
    <row r="2847" customFormat="false" ht="15" hidden="false" customHeight="true" outlineLevel="0" collapsed="false">
      <c r="A2847" s="4" t="s">
        <v>3023</v>
      </c>
      <c r="B2847" s="4" t="s">
        <v>87</v>
      </c>
      <c r="C2847" s="13" t="n">
        <v>45455</v>
      </c>
      <c r="D2847" s="13" t="n">
        <v>45464</v>
      </c>
      <c r="E2847" s="13" t="n">
        <v>45467</v>
      </c>
      <c r="F2847" s="4" t="n">
        <v>1279</v>
      </c>
      <c r="G2847" s="4" t="n">
        <v>1152</v>
      </c>
      <c r="H2847" s="4" t="n">
        <v>161.95</v>
      </c>
      <c r="I2847" s="4" t="n">
        <v>189.11</v>
      </c>
      <c r="J2847" s="14" t="n">
        <f aca="false">E2847-D2847</f>
        <v>3</v>
      </c>
      <c r="K2847" s="14" t="n">
        <f aca="false">IF(J2847&lt;=0,1,0)</f>
        <v>0</v>
      </c>
      <c r="L2847" s="15" t="n">
        <f aca="false">IFERROR(G2847/F2847,0)</f>
        <v>0.900703674745895</v>
      </c>
      <c r="M2847" s="15" t="n">
        <f aca="false">IFERROR((I2847-H2847)/H2847,0)</f>
        <v>0.167706082124113</v>
      </c>
      <c r="N2847" s="16" t="n">
        <f aca="false">G2847*I2847</f>
        <v>217854.72</v>
      </c>
    </row>
    <row r="2848" customFormat="false" ht="15" hidden="false" customHeight="true" outlineLevel="0" collapsed="false">
      <c r="A2848" s="4" t="s">
        <v>3024</v>
      </c>
      <c r="B2848" s="4" t="s">
        <v>87</v>
      </c>
      <c r="C2848" s="13" t="n">
        <v>45069</v>
      </c>
      <c r="D2848" s="13" t="n">
        <v>45078</v>
      </c>
      <c r="E2848" s="13" t="n">
        <v>45079</v>
      </c>
      <c r="F2848" s="4" t="n">
        <v>905</v>
      </c>
      <c r="G2848" s="4" t="n">
        <v>852</v>
      </c>
      <c r="H2848" s="4" t="n">
        <v>161.95</v>
      </c>
      <c r="I2848" s="4" t="n">
        <v>170.79</v>
      </c>
      <c r="J2848" s="14" t="n">
        <f aca="false">E2848-D2848</f>
        <v>1</v>
      </c>
      <c r="K2848" s="14" t="n">
        <f aca="false">IF(J2848&lt;=0,1,0)</f>
        <v>0</v>
      </c>
      <c r="L2848" s="15" t="n">
        <f aca="false">IFERROR(G2848/F2848,0)</f>
        <v>0.941436464088398</v>
      </c>
      <c r="M2848" s="15" t="n">
        <f aca="false">IFERROR((I2848-H2848)/H2848,0)</f>
        <v>0.0545847483791294</v>
      </c>
      <c r="N2848" s="16" t="n">
        <f aca="false">G2848*I2848</f>
        <v>145513.08</v>
      </c>
    </row>
    <row r="2849" customFormat="false" ht="15" hidden="false" customHeight="true" outlineLevel="0" collapsed="false">
      <c r="A2849" s="4" t="s">
        <v>3025</v>
      </c>
      <c r="B2849" s="4" t="s">
        <v>149</v>
      </c>
      <c r="C2849" s="13" t="n">
        <v>45205</v>
      </c>
      <c r="D2849" s="13" t="n">
        <v>45210</v>
      </c>
      <c r="E2849" s="13" t="n">
        <v>45211</v>
      </c>
      <c r="F2849" s="4" t="n">
        <v>11</v>
      </c>
      <c r="G2849" s="4" t="n">
        <v>11</v>
      </c>
      <c r="H2849" s="4" t="n">
        <v>1458.52</v>
      </c>
      <c r="I2849" s="4" t="n">
        <v>1457.3</v>
      </c>
      <c r="J2849" s="14" t="n">
        <f aca="false">E2849-D2849</f>
        <v>1</v>
      </c>
      <c r="K2849" s="14" t="n">
        <f aca="false">IF(J2849&lt;=0,1,0)</f>
        <v>0</v>
      </c>
      <c r="L2849" s="15" t="n">
        <f aca="false">IFERROR(G2849/F2849,0)</f>
        <v>1</v>
      </c>
      <c r="M2849" s="15" t="n">
        <f aca="false">IFERROR((I2849-H2849)/H2849,0)</f>
        <v>-0.000836464361133222</v>
      </c>
      <c r="N2849" s="16" t="n">
        <f aca="false">G2849*I2849</f>
        <v>16030.3</v>
      </c>
    </row>
    <row r="2850" customFormat="false" ht="15" hidden="false" customHeight="true" outlineLevel="0" collapsed="false">
      <c r="A2850" s="4" t="s">
        <v>3026</v>
      </c>
      <c r="B2850" s="4" t="s">
        <v>79</v>
      </c>
      <c r="C2850" s="13" t="n">
        <v>45226</v>
      </c>
      <c r="D2850" s="13" t="n">
        <v>45244</v>
      </c>
      <c r="E2850" s="13" t="n">
        <v>45252</v>
      </c>
      <c r="F2850" s="4" t="n">
        <v>147</v>
      </c>
      <c r="G2850" s="4" t="n">
        <v>147</v>
      </c>
      <c r="H2850" s="4" t="n">
        <v>821.48</v>
      </c>
      <c r="I2850" s="4" t="n">
        <v>837.09</v>
      </c>
      <c r="J2850" s="14" t="n">
        <f aca="false">E2850-D2850</f>
        <v>8</v>
      </c>
      <c r="K2850" s="14" t="n">
        <f aca="false">IF(J2850&lt;=0,1,0)</f>
        <v>0</v>
      </c>
      <c r="L2850" s="15" t="n">
        <f aca="false">IFERROR(G2850/F2850,0)</f>
        <v>1</v>
      </c>
      <c r="M2850" s="15" t="n">
        <f aca="false">IFERROR((I2850-H2850)/H2850,0)</f>
        <v>0.0190022885523689</v>
      </c>
      <c r="N2850" s="16" t="n">
        <f aca="false">G2850*I2850</f>
        <v>123052.23</v>
      </c>
    </row>
    <row r="2851" customFormat="false" ht="15" hidden="false" customHeight="true" outlineLevel="0" collapsed="false">
      <c r="A2851" s="4" t="s">
        <v>3027</v>
      </c>
      <c r="B2851" s="4" t="s">
        <v>147</v>
      </c>
      <c r="C2851" s="13" t="n">
        <v>45639</v>
      </c>
      <c r="D2851" s="13" t="n">
        <v>45653</v>
      </c>
      <c r="E2851" s="13" t="n">
        <v>45655</v>
      </c>
      <c r="F2851" s="4" t="n">
        <v>155</v>
      </c>
      <c r="G2851" s="4" t="n">
        <v>151</v>
      </c>
      <c r="H2851" s="4" t="n">
        <v>203.3</v>
      </c>
      <c r="I2851" s="4" t="n">
        <v>211.47</v>
      </c>
      <c r="J2851" s="14" t="n">
        <f aca="false">E2851-D2851</f>
        <v>2</v>
      </c>
      <c r="K2851" s="14" t="n">
        <f aca="false">IF(J2851&lt;=0,1,0)</f>
        <v>0</v>
      </c>
      <c r="L2851" s="15" t="n">
        <f aca="false">IFERROR(G2851/F2851,0)</f>
        <v>0.974193548387097</v>
      </c>
      <c r="M2851" s="15" t="n">
        <f aca="false">IFERROR((I2851-H2851)/H2851,0)</f>
        <v>0.0401869158878504</v>
      </c>
      <c r="N2851" s="16" t="n">
        <f aca="false">G2851*I2851</f>
        <v>31931.97</v>
      </c>
    </row>
    <row r="2852" customFormat="false" ht="15" hidden="false" customHeight="true" outlineLevel="0" collapsed="false">
      <c r="A2852" s="4" t="s">
        <v>3028</v>
      </c>
      <c r="B2852" s="4" t="s">
        <v>159</v>
      </c>
      <c r="C2852" s="13" t="n">
        <v>45416</v>
      </c>
      <c r="D2852" s="13" t="n">
        <v>45424</v>
      </c>
      <c r="E2852" s="13" t="n">
        <v>45429</v>
      </c>
      <c r="F2852" s="4" t="n">
        <v>3435</v>
      </c>
      <c r="G2852" s="4" t="n">
        <v>3399</v>
      </c>
      <c r="H2852" s="4" t="n">
        <v>32.91</v>
      </c>
      <c r="I2852" s="4" t="n">
        <v>33.14</v>
      </c>
      <c r="J2852" s="14" t="n">
        <f aca="false">E2852-D2852</f>
        <v>5</v>
      </c>
      <c r="K2852" s="14" t="n">
        <f aca="false">IF(J2852&lt;=0,1,0)</f>
        <v>0</v>
      </c>
      <c r="L2852" s="15" t="n">
        <f aca="false">IFERROR(G2852/F2852,0)</f>
        <v>0.989519650655022</v>
      </c>
      <c r="M2852" s="15" t="n">
        <f aca="false">IFERROR((I2852-H2852)/H2852,0)</f>
        <v>0.0069887572166516</v>
      </c>
      <c r="N2852" s="16" t="n">
        <f aca="false">G2852*I2852</f>
        <v>112642.86</v>
      </c>
    </row>
    <row r="2853" customFormat="false" ht="15" hidden="false" customHeight="true" outlineLevel="0" collapsed="false">
      <c r="A2853" s="4" t="s">
        <v>3029</v>
      </c>
      <c r="B2853" s="4" t="s">
        <v>105</v>
      </c>
      <c r="C2853" s="13" t="n">
        <v>45551</v>
      </c>
      <c r="D2853" s="13" t="n">
        <v>45568</v>
      </c>
      <c r="E2853" s="13" t="n">
        <v>45572</v>
      </c>
      <c r="F2853" s="4" t="n">
        <v>349</v>
      </c>
      <c r="G2853" s="4" t="n">
        <v>341</v>
      </c>
      <c r="H2853" s="4" t="n">
        <v>685.84</v>
      </c>
      <c r="I2853" s="4" t="n">
        <v>715.72</v>
      </c>
      <c r="J2853" s="14" t="n">
        <f aca="false">E2853-D2853</f>
        <v>4</v>
      </c>
      <c r="K2853" s="14" t="n">
        <f aca="false">IF(J2853&lt;=0,1,0)</f>
        <v>0</v>
      </c>
      <c r="L2853" s="15" t="n">
        <f aca="false">IFERROR(G2853/F2853,0)</f>
        <v>0.977077363896848</v>
      </c>
      <c r="M2853" s="15" t="n">
        <f aca="false">IFERROR((I2853-H2853)/H2853,0)</f>
        <v>0.0435670127143357</v>
      </c>
      <c r="N2853" s="16" t="n">
        <f aca="false">G2853*I2853</f>
        <v>244060.52</v>
      </c>
    </row>
    <row r="2854" customFormat="false" ht="15" hidden="false" customHeight="true" outlineLevel="0" collapsed="false">
      <c r="A2854" s="4" t="s">
        <v>3030</v>
      </c>
      <c r="B2854" s="4" t="s">
        <v>119</v>
      </c>
      <c r="C2854" s="13" t="n">
        <v>45373</v>
      </c>
      <c r="D2854" s="13" t="n">
        <v>45379</v>
      </c>
      <c r="E2854" s="13" t="n">
        <v>45381</v>
      </c>
      <c r="F2854" s="4" t="n">
        <v>2073</v>
      </c>
      <c r="G2854" s="4" t="n">
        <v>1977</v>
      </c>
      <c r="H2854" s="4" t="n">
        <v>50.92</v>
      </c>
      <c r="I2854" s="4" t="n">
        <v>47.89</v>
      </c>
      <c r="J2854" s="14" t="n">
        <f aca="false">E2854-D2854</f>
        <v>2</v>
      </c>
      <c r="K2854" s="14" t="n">
        <f aca="false">IF(J2854&lt;=0,1,0)</f>
        <v>0</v>
      </c>
      <c r="L2854" s="15" t="n">
        <f aca="false">IFERROR(G2854/F2854,0)</f>
        <v>0.953690303907381</v>
      </c>
      <c r="M2854" s="15" t="n">
        <f aca="false">IFERROR((I2854-H2854)/H2854,0)</f>
        <v>-0.0595051060487039</v>
      </c>
      <c r="N2854" s="16" t="n">
        <f aca="false">G2854*I2854</f>
        <v>94678.53</v>
      </c>
    </row>
    <row r="2855" customFormat="false" ht="15" hidden="false" customHeight="true" outlineLevel="0" collapsed="false">
      <c r="A2855" s="4" t="s">
        <v>3031</v>
      </c>
      <c r="B2855" s="4" t="s">
        <v>47</v>
      </c>
      <c r="C2855" s="13" t="n">
        <v>45163</v>
      </c>
      <c r="D2855" s="13" t="n">
        <v>45172</v>
      </c>
      <c r="E2855" s="13" t="n">
        <v>45173</v>
      </c>
      <c r="F2855" s="4" t="n">
        <v>510</v>
      </c>
      <c r="G2855" s="4" t="n">
        <v>503</v>
      </c>
      <c r="H2855" s="4" t="n">
        <v>228.68</v>
      </c>
      <c r="I2855" s="4" t="n">
        <v>226.9</v>
      </c>
      <c r="J2855" s="14" t="n">
        <f aca="false">E2855-D2855</f>
        <v>1</v>
      </c>
      <c r="K2855" s="14" t="n">
        <f aca="false">IF(J2855&lt;=0,1,0)</f>
        <v>0</v>
      </c>
      <c r="L2855" s="15" t="n">
        <f aca="false">IFERROR(G2855/F2855,0)</f>
        <v>0.986274509803922</v>
      </c>
      <c r="M2855" s="15" t="n">
        <f aca="false">IFERROR((I2855-H2855)/H2855,0)</f>
        <v>-0.00778380269372049</v>
      </c>
      <c r="N2855" s="16" t="n">
        <f aca="false">G2855*I2855</f>
        <v>114130.7</v>
      </c>
    </row>
    <row r="2856" customFormat="false" ht="15" hidden="false" customHeight="true" outlineLevel="0" collapsed="false">
      <c r="A2856" s="4" t="s">
        <v>3032</v>
      </c>
      <c r="B2856" s="4" t="s">
        <v>87</v>
      </c>
      <c r="C2856" s="13" t="n">
        <v>45580</v>
      </c>
      <c r="D2856" s="13" t="n">
        <v>45592</v>
      </c>
      <c r="E2856" s="13" t="n">
        <v>45588</v>
      </c>
      <c r="F2856" s="4" t="n">
        <v>1590</v>
      </c>
      <c r="G2856" s="4" t="n">
        <v>1457</v>
      </c>
      <c r="H2856" s="4" t="n">
        <v>161.95</v>
      </c>
      <c r="I2856" s="4" t="n">
        <v>195.36</v>
      </c>
      <c r="J2856" s="14" t="n">
        <f aca="false">E2856-D2856</f>
        <v>-4</v>
      </c>
      <c r="K2856" s="14" t="n">
        <f aca="false">IF(J2856&lt;=0,1,0)</f>
        <v>1</v>
      </c>
      <c r="L2856" s="15" t="n">
        <f aca="false">IFERROR(G2856/F2856,0)</f>
        <v>0.916352201257862</v>
      </c>
      <c r="M2856" s="15" t="n">
        <f aca="false">IFERROR((I2856-H2856)/H2856,0)</f>
        <v>0.206298240197592</v>
      </c>
      <c r="N2856" s="16" t="n">
        <f aca="false">G2856*I2856</f>
        <v>284639.52</v>
      </c>
    </row>
    <row r="2857" customFormat="false" ht="15" hidden="false" customHeight="true" outlineLevel="0" collapsed="false">
      <c r="A2857" s="4" t="s">
        <v>3033</v>
      </c>
      <c r="B2857" s="4" t="s">
        <v>63</v>
      </c>
      <c r="C2857" s="13" t="n">
        <v>45450</v>
      </c>
      <c r="D2857" s="13" t="n">
        <v>45460</v>
      </c>
      <c r="E2857" s="13" t="n">
        <v>45465</v>
      </c>
      <c r="F2857" s="4" t="n">
        <v>1649</v>
      </c>
      <c r="G2857" s="4" t="n">
        <v>1473</v>
      </c>
      <c r="H2857" s="4" t="n">
        <v>239.8</v>
      </c>
      <c r="I2857" s="4" t="n">
        <v>260.91</v>
      </c>
      <c r="J2857" s="14" t="n">
        <f aca="false">E2857-D2857</f>
        <v>5</v>
      </c>
      <c r="K2857" s="14" t="n">
        <f aca="false">IF(J2857&lt;=0,1,0)</f>
        <v>0</v>
      </c>
      <c r="L2857" s="15" t="n">
        <f aca="false">IFERROR(G2857/F2857,0)</f>
        <v>0.893268647665252</v>
      </c>
      <c r="M2857" s="15" t="n">
        <f aca="false">IFERROR((I2857-H2857)/H2857,0)</f>
        <v>0.0880316930775647</v>
      </c>
      <c r="N2857" s="16" t="n">
        <f aca="false">G2857*I2857</f>
        <v>384320.43</v>
      </c>
    </row>
    <row r="2858" customFormat="false" ht="15" hidden="false" customHeight="true" outlineLevel="0" collapsed="false">
      <c r="A2858" s="4" t="s">
        <v>3034</v>
      </c>
      <c r="B2858" s="4" t="s">
        <v>74</v>
      </c>
      <c r="C2858" s="13" t="n">
        <v>45448</v>
      </c>
      <c r="D2858" s="13" t="n">
        <v>45454</v>
      </c>
      <c r="E2858" s="13" t="n">
        <v>45462</v>
      </c>
      <c r="F2858" s="4" t="n">
        <v>10</v>
      </c>
      <c r="G2858" s="4" t="n">
        <v>10</v>
      </c>
      <c r="H2858" s="4" t="n">
        <v>1294.62</v>
      </c>
      <c r="I2858" s="4" t="n">
        <v>1360.17</v>
      </c>
      <c r="J2858" s="14" t="n">
        <f aca="false">E2858-D2858</f>
        <v>8</v>
      </c>
      <c r="K2858" s="14" t="n">
        <f aca="false">IF(J2858&lt;=0,1,0)</f>
        <v>0</v>
      </c>
      <c r="L2858" s="15" t="n">
        <f aca="false">IFERROR(G2858/F2858,0)</f>
        <v>1</v>
      </c>
      <c r="M2858" s="15" t="n">
        <f aca="false">IFERROR((I2858-H2858)/H2858,0)</f>
        <v>0.0506326180655329</v>
      </c>
      <c r="N2858" s="16" t="n">
        <f aca="false">G2858*I2858</f>
        <v>13601.7</v>
      </c>
    </row>
    <row r="2859" customFormat="false" ht="15" hidden="false" customHeight="true" outlineLevel="0" collapsed="false">
      <c r="A2859" s="4" t="s">
        <v>3035</v>
      </c>
      <c r="B2859" s="4" t="s">
        <v>101</v>
      </c>
      <c r="C2859" s="13" t="n">
        <v>45441</v>
      </c>
      <c r="D2859" s="13" t="n">
        <v>45459</v>
      </c>
      <c r="E2859" s="13" t="n">
        <v>45458</v>
      </c>
      <c r="F2859" s="4" t="n">
        <v>472</v>
      </c>
      <c r="G2859" s="4" t="n">
        <v>452</v>
      </c>
      <c r="H2859" s="4" t="n">
        <v>442.74</v>
      </c>
      <c r="I2859" s="4" t="n">
        <v>445.23</v>
      </c>
      <c r="J2859" s="14" t="n">
        <f aca="false">E2859-D2859</f>
        <v>-1</v>
      </c>
      <c r="K2859" s="14" t="n">
        <f aca="false">IF(J2859&lt;=0,1,0)</f>
        <v>1</v>
      </c>
      <c r="L2859" s="15" t="n">
        <f aca="false">IFERROR(G2859/F2859,0)</f>
        <v>0.957627118644068</v>
      </c>
      <c r="M2859" s="15" t="n">
        <f aca="false">IFERROR((I2859-H2859)/H2859,0)</f>
        <v>0.00562406830193795</v>
      </c>
      <c r="N2859" s="16" t="n">
        <f aca="false">G2859*I2859</f>
        <v>201243.96</v>
      </c>
    </row>
    <row r="2860" customFormat="false" ht="15" hidden="false" customHeight="true" outlineLevel="0" collapsed="false">
      <c r="A2860" s="4" t="s">
        <v>3036</v>
      </c>
      <c r="B2860" s="4" t="s">
        <v>157</v>
      </c>
      <c r="C2860" s="13" t="n">
        <v>45512</v>
      </c>
      <c r="D2860" s="13" t="n">
        <v>45521</v>
      </c>
      <c r="E2860" s="13" t="n">
        <v>45518</v>
      </c>
      <c r="F2860" s="4" t="n">
        <v>2696</v>
      </c>
      <c r="G2860" s="4" t="n">
        <v>2540</v>
      </c>
      <c r="H2860" s="4" t="n">
        <v>13.1</v>
      </c>
      <c r="I2860" s="4" t="n">
        <v>13.78</v>
      </c>
      <c r="J2860" s="14" t="n">
        <f aca="false">E2860-D2860</f>
        <v>-3</v>
      </c>
      <c r="K2860" s="14" t="n">
        <f aca="false">IF(J2860&lt;=0,1,0)</f>
        <v>1</v>
      </c>
      <c r="L2860" s="15" t="n">
        <f aca="false">IFERROR(G2860/F2860,0)</f>
        <v>0.94213649851632</v>
      </c>
      <c r="M2860" s="15" t="n">
        <f aca="false">IFERROR((I2860-H2860)/H2860,0)</f>
        <v>0.0519083969465649</v>
      </c>
      <c r="N2860" s="16" t="n">
        <f aca="false">G2860*I2860</f>
        <v>35001.2</v>
      </c>
    </row>
    <row r="2861" customFormat="false" ht="15" hidden="false" customHeight="true" outlineLevel="0" collapsed="false">
      <c r="A2861" s="4" t="s">
        <v>3037</v>
      </c>
      <c r="B2861" s="4" t="s">
        <v>135</v>
      </c>
      <c r="C2861" s="13" t="n">
        <v>45152</v>
      </c>
      <c r="D2861" s="13" t="n">
        <v>45166</v>
      </c>
      <c r="E2861" s="13" t="n">
        <v>45169</v>
      </c>
      <c r="F2861" s="4" t="n">
        <v>274</v>
      </c>
      <c r="G2861" s="4" t="n">
        <v>265</v>
      </c>
      <c r="H2861" s="4" t="n">
        <v>328.06</v>
      </c>
      <c r="I2861" s="4" t="n">
        <v>326.9</v>
      </c>
      <c r="J2861" s="14" t="n">
        <f aca="false">E2861-D2861</f>
        <v>3</v>
      </c>
      <c r="K2861" s="14" t="n">
        <f aca="false">IF(J2861&lt;=0,1,0)</f>
        <v>0</v>
      </c>
      <c r="L2861" s="15" t="n">
        <f aca="false">IFERROR(G2861/F2861,0)</f>
        <v>0.967153284671533</v>
      </c>
      <c r="M2861" s="15" t="n">
        <f aca="false">IFERROR((I2861-H2861)/H2861,0)</f>
        <v>-0.00353593854782669</v>
      </c>
      <c r="N2861" s="16" t="n">
        <f aca="false">G2861*I2861</f>
        <v>86628.5</v>
      </c>
    </row>
    <row r="2862" customFormat="false" ht="15" hidden="false" customHeight="true" outlineLevel="0" collapsed="false">
      <c r="A2862" s="4" t="s">
        <v>3038</v>
      </c>
      <c r="B2862" s="4" t="s">
        <v>145</v>
      </c>
      <c r="C2862" s="13" t="n">
        <v>45631</v>
      </c>
      <c r="D2862" s="13" t="n">
        <v>45641</v>
      </c>
      <c r="E2862" s="13" t="n">
        <v>45646</v>
      </c>
      <c r="F2862" s="4" t="n">
        <v>1230</v>
      </c>
      <c r="G2862" s="4" t="n">
        <v>1141</v>
      </c>
      <c r="H2862" s="4" t="n">
        <v>237.04</v>
      </c>
      <c r="I2862" s="4" t="n">
        <v>271.32</v>
      </c>
      <c r="J2862" s="14" t="n">
        <f aca="false">E2862-D2862</f>
        <v>5</v>
      </c>
      <c r="K2862" s="14" t="n">
        <f aca="false">IF(J2862&lt;=0,1,0)</f>
        <v>0</v>
      </c>
      <c r="L2862" s="15" t="n">
        <f aca="false">IFERROR(G2862/F2862,0)</f>
        <v>0.927642276422764</v>
      </c>
      <c r="M2862" s="15" t="n">
        <f aca="false">IFERROR((I2862-H2862)/H2862,0)</f>
        <v>0.144616942288221</v>
      </c>
      <c r="N2862" s="16" t="n">
        <f aca="false">G2862*I2862</f>
        <v>309576.12</v>
      </c>
    </row>
    <row r="2863" customFormat="false" ht="15" hidden="false" customHeight="true" outlineLevel="0" collapsed="false">
      <c r="A2863" s="4" t="s">
        <v>3039</v>
      </c>
      <c r="B2863" s="4" t="s">
        <v>65</v>
      </c>
      <c r="C2863" s="13" t="n">
        <v>45445</v>
      </c>
      <c r="D2863" s="13" t="n">
        <v>45462</v>
      </c>
      <c r="E2863" s="13" t="n">
        <v>45465</v>
      </c>
      <c r="F2863" s="4" t="n">
        <v>141</v>
      </c>
      <c r="G2863" s="4" t="n">
        <v>141</v>
      </c>
      <c r="H2863" s="4" t="n">
        <v>1365.59</v>
      </c>
      <c r="I2863" s="4" t="n">
        <v>1350.11</v>
      </c>
      <c r="J2863" s="14" t="n">
        <f aca="false">E2863-D2863</f>
        <v>3</v>
      </c>
      <c r="K2863" s="14" t="n">
        <f aca="false">IF(J2863&lt;=0,1,0)</f>
        <v>0</v>
      </c>
      <c r="L2863" s="15" t="n">
        <f aca="false">IFERROR(G2863/F2863,0)</f>
        <v>1</v>
      </c>
      <c r="M2863" s="15" t="n">
        <f aca="false">IFERROR((I2863-H2863)/H2863,0)</f>
        <v>-0.0113357596350296</v>
      </c>
      <c r="N2863" s="16" t="n">
        <f aca="false">G2863*I2863</f>
        <v>190365.51</v>
      </c>
    </row>
    <row r="2864" customFormat="false" ht="15" hidden="false" customHeight="true" outlineLevel="0" collapsed="false">
      <c r="A2864" s="4" t="s">
        <v>3040</v>
      </c>
      <c r="B2864" s="4" t="s">
        <v>141</v>
      </c>
      <c r="C2864" s="13" t="n">
        <v>45414</v>
      </c>
      <c r="D2864" s="13" t="n">
        <v>45433</v>
      </c>
      <c r="E2864" s="13" t="n">
        <v>45437</v>
      </c>
      <c r="F2864" s="4" t="n">
        <v>399</v>
      </c>
      <c r="G2864" s="4" t="n">
        <v>399</v>
      </c>
      <c r="H2864" s="4" t="n">
        <v>1252.36</v>
      </c>
      <c r="I2864" s="4" t="n">
        <v>1219.49</v>
      </c>
      <c r="J2864" s="14" t="n">
        <f aca="false">E2864-D2864</f>
        <v>4</v>
      </c>
      <c r="K2864" s="14" t="n">
        <f aca="false">IF(J2864&lt;=0,1,0)</f>
        <v>0</v>
      </c>
      <c r="L2864" s="15" t="n">
        <f aca="false">IFERROR(G2864/F2864,0)</f>
        <v>1</v>
      </c>
      <c r="M2864" s="15" t="n">
        <f aca="false">IFERROR((I2864-H2864)/H2864,0)</f>
        <v>-0.0262464467086141</v>
      </c>
      <c r="N2864" s="16" t="n">
        <f aca="false">G2864*I2864</f>
        <v>486576.51</v>
      </c>
    </row>
    <row r="2865" customFormat="false" ht="15" hidden="false" customHeight="true" outlineLevel="0" collapsed="false">
      <c r="A2865" s="4" t="s">
        <v>3041</v>
      </c>
      <c r="B2865" s="4" t="s">
        <v>41</v>
      </c>
      <c r="C2865" s="13" t="n">
        <v>45038</v>
      </c>
      <c r="D2865" s="13" t="n">
        <v>45044</v>
      </c>
      <c r="E2865" s="13" t="n">
        <v>45046</v>
      </c>
      <c r="F2865" s="4" t="n">
        <v>2054</v>
      </c>
      <c r="G2865" s="4" t="n">
        <v>2020</v>
      </c>
      <c r="H2865" s="4" t="n">
        <v>45.51</v>
      </c>
      <c r="I2865" s="4" t="n">
        <v>45.6</v>
      </c>
      <c r="J2865" s="14" t="n">
        <f aca="false">E2865-D2865</f>
        <v>2</v>
      </c>
      <c r="K2865" s="14" t="n">
        <f aca="false">IF(J2865&lt;=0,1,0)</f>
        <v>0</v>
      </c>
      <c r="L2865" s="15" t="n">
        <f aca="false">IFERROR(G2865/F2865,0)</f>
        <v>0.983446932814021</v>
      </c>
      <c r="M2865" s="15" t="n">
        <f aca="false">IFERROR((I2865-H2865)/H2865,0)</f>
        <v>0.00197758734344108</v>
      </c>
      <c r="N2865" s="16" t="n">
        <f aca="false">G2865*I2865</f>
        <v>92112</v>
      </c>
    </row>
    <row r="2866" customFormat="false" ht="15" hidden="false" customHeight="true" outlineLevel="0" collapsed="false">
      <c r="A2866" s="4" t="s">
        <v>3042</v>
      </c>
      <c r="B2866" s="4" t="s">
        <v>50</v>
      </c>
      <c r="C2866" s="13" t="n">
        <v>45385</v>
      </c>
      <c r="D2866" s="13" t="n">
        <v>45404</v>
      </c>
      <c r="E2866" s="13" t="n">
        <v>45402</v>
      </c>
      <c r="F2866" s="4" t="n">
        <v>67</v>
      </c>
      <c r="G2866" s="4" t="n">
        <v>66</v>
      </c>
      <c r="H2866" s="4" t="n">
        <v>707.19</v>
      </c>
      <c r="I2866" s="4" t="n">
        <v>750.93</v>
      </c>
      <c r="J2866" s="14" t="n">
        <f aca="false">E2866-D2866</f>
        <v>-2</v>
      </c>
      <c r="K2866" s="14" t="n">
        <f aca="false">IF(J2866&lt;=0,1,0)</f>
        <v>1</v>
      </c>
      <c r="L2866" s="15" t="n">
        <f aca="false">IFERROR(G2866/F2866,0)</f>
        <v>0.985074626865672</v>
      </c>
      <c r="M2866" s="15" t="n">
        <f aca="false">IFERROR((I2866-H2866)/H2866,0)</f>
        <v>0.0618504220930724</v>
      </c>
      <c r="N2866" s="16" t="n">
        <f aca="false">G2866*I2866</f>
        <v>49561.38</v>
      </c>
    </row>
    <row r="2867" customFormat="false" ht="15" hidden="false" customHeight="true" outlineLevel="0" collapsed="false">
      <c r="A2867" s="4" t="s">
        <v>3043</v>
      </c>
      <c r="B2867" s="4" t="s">
        <v>81</v>
      </c>
      <c r="C2867" s="13" t="n">
        <v>45277</v>
      </c>
      <c r="D2867" s="13" t="n">
        <v>45283</v>
      </c>
      <c r="E2867" s="13" t="n">
        <v>45289</v>
      </c>
      <c r="F2867" s="4" t="n">
        <v>3</v>
      </c>
      <c r="G2867" s="4" t="n">
        <v>3</v>
      </c>
      <c r="H2867" s="4" t="n">
        <v>697.63</v>
      </c>
      <c r="I2867" s="4" t="n">
        <v>690.64</v>
      </c>
      <c r="J2867" s="14" t="n">
        <f aca="false">E2867-D2867</f>
        <v>6</v>
      </c>
      <c r="K2867" s="14" t="n">
        <f aca="false">IF(J2867&lt;=0,1,0)</f>
        <v>0</v>
      </c>
      <c r="L2867" s="15" t="n">
        <f aca="false">IFERROR(G2867/F2867,0)</f>
        <v>1</v>
      </c>
      <c r="M2867" s="15" t="n">
        <f aca="false">IFERROR((I2867-H2867)/H2867,0)</f>
        <v>-0.0100196379169474</v>
      </c>
      <c r="N2867" s="16" t="n">
        <f aca="false">G2867*I2867</f>
        <v>2071.92</v>
      </c>
    </row>
    <row r="2868" customFormat="false" ht="15" hidden="false" customHeight="true" outlineLevel="0" collapsed="false">
      <c r="A2868" s="4" t="s">
        <v>3044</v>
      </c>
      <c r="B2868" s="4" t="s">
        <v>41</v>
      </c>
      <c r="C2868" s="13" t="n">
        <v>45110</v>
      </c>
      <c r="D2868" s="13" t="n">
        <v>45119</v>
      </c>
      <c r="E2868" s="13" t="n">
        <v>45116</v>
      </c>
      <c r="F2868" s="4" t="n">
        <v>3318</v>
      </c>
      <c r="G2868" s="4" t="n">
        <v>3318</v>
      </c>
      <c r="H2868" s="4" t="n">
        <v>45.51</v>
      </c>
      <c r="I2868" s="4" t="n">
        <v>45.6</v>
      </c>
      <c r="J2868" s="14" t="n">
        <f aca="false">E2868-D2868</f>
        <v>-3</v>
      </c>
      <c r="K2868" s="14" t="n">
        <f aca="false">IF(J2868&lt;=0,1,0)</f>
        <v>1</v>
      </c>
      <c r="L2868" s="15" t="n">
        <f aca="false">IFERROR(G2868/F2868,0)</f>
        <v>1</v>
      </c>
      <c r="M2868" s="15" t="n">
        <f aca="false">IFERROR((I2868-H2868)/H2868,0)</f>
        <v>0.00197758734344108</v>
      </c>
      <c r="N2868" s="16" t="n">
        <f aca="false">G2868*I2868</f>
        <v>151300.8</v>
      </c>
    </row>
    <row r="2869" customFormat="false" ht="15" hidden="false" customHeight="true" outlineLevel="0" collapsed="false">
      <c r="A2869" s="4" t="s">
        <v>3045</v>
      </c>
      <c r="B2869" s="4" t="s">
        <v>81</v>
      </c>
      <c r="C2869" s="13" t="n">
        <v>45281</v>
      </c>
      <c r="D2869" s="13" t="n">
        <v>45287</v>
      </c>
      <c r="E2869" s="13" t="n">
        <v>45289</v>
      </c>
      <c r="F2869" s="4" t="n">
        <v>13</v>
      </c>
      <c r="G2869" s="4" t="n">
        <v>13</v>
      </c>
      <c r="H2869" s="4" t="n">
        <v>697.63</v>
      </c>
      <c r="I2869" s="4" t="n">
        <v>675.5</v>
      </c>
      <c r="J2869" s="14" t="n">
        <f aca="false">E2869-D2869</f>
        <v>2</v>
      </c>
      <c r="K2869" s="14" t="n">
        <f aca="false">IF(J2869&lt;=0,1,0)</f>
        <v>0</v>
      </c>
      <c r="L2869" s="15" t="n">
        <f aca="false">IFERROR(G2869/F2869,0)</f>
        <v>1</v>
      </c>
      <c r="M2869" s="15" t="n">
        <f aca="false">IFERROR((I2869-H2869)/H2869,0)</f>
        <v>-0.0317216862806932</v>
      </c>
      <c r="N2869" s="16" t="n">
        <f aca="false">G2869*I2869</f>
        <v>8781.5</v>
      </c>
    </row>
    <row r="2870" customFormat="false" ht="15" hidden="false" customHeight="true" outlineLevel="0" collapsed="false">
      <c r="A2870" s="4" t="s">
        <v>3046</v>
      </c>
      <c r="B2870" s="4" t="s">
        <v>125</v>
      </c>
      <c r="C2870" s="13" t="n">
        <v>45211</v>
      </c>
      <c r="D2870" s="13" t="n">
        <v>45215</v>
      </c>
      <c r="E2870" s="13" t="n">
        <v>45219</v>
      </c>
      <c r="F2870" s="4" t="n">
        <v>8</v>
      </c>
      <c r="G2870" s="4" t="n">
        <v>7</v>
      </c>
      <c r="H2870" s="4" t="n">
        <v>729.32</v>
      </c>
      <c r="I2870" s="4" t="n">
        <v>718.77</v>
      </c>
      <c r="J2870" s="14" t="n">
        <f aca="false">E2870-D2870</f>
        <v>4</v>
      </c>
      <c r="K2870" s="14" t="n">
        <f aca="false">IF(J2870&lt;=0,1,0)</f>
        <v>0</v>
      </c>
      <c r="L2870" s="15" t="n">
        <f aca="false">IFERROR(G2870/F2870,0)</f>
        <v>0.875</v>
      </c>
      <c r="M2870" s="15" t="n">
        <f aca="false">IFERROR((I2870-H2870)/H2870,0)</f>
        <v>-0.0144655295343609</v>
      </c>
      <c r="N2870" s="16" t="n">
        <f aca="false">G2870*I2870</f>
        <v>5031.39</v>
      </c>
    </row>
    <row r="2871" customFormat="false" ht="15" hidden="false" customHeight="true" outlineLevel="0" collapsed="false">
      <c r="A2871" s="4" t="s">
        <v>3047</v>
      </c>
      <c r="B2871" s="4" t="s">
        <v>79</v>
      </c>
      <c r="C2871" s="13" t="n">
        <v>45041</v>
      </c>
      <c r="D2871" s="13" t="n">
        <v>45058</v>
      </c>
      <c r="E2871" s="13" t="n">
        <v>45058</v>
      </c>
      <c r="F2871" s="4" t="n">
        <v>62</v>
      </c>
      <c r="G2871" s="4" t="n">
        <v>61</v>
      </c>
      <c r="H2871" s="4" t="n">
        <v>821.48</v>
      </c>
      <c r="I2871" s="4" t="n">
        <v>829.41</v>
      </c>
      <c r="J2871" s="14" t="n">
        <f aca="false">E2871-D2871</f>
        <v>0</v>
      </c>
      <c r="K2871" s="14" t="n">
        <f aca="false">IF(J2871&lt;=0,1,0)</f>
        <v>1</v>
      </c>
      <c r="L2871" s="15" t="n">
        <f aca="false">IFERROR(G2871/F2871,0)</f>
        <v>0.983870967741936</v>
      </c>
      <c r="M2871" s="15" t="n">
        <f aca="false">IFERROR((I2871-H2871)/H2871,0)</f>
        <v>0.00965330866241412</v>
      </c>
      <c r="N2871" s="16" t="n">
        <f aca="false">G2871*I2871</f>
        <v>50594.01</v>
      </c>
    </row>
    <row r="2872" customFormat="false" ht="15" hidden="false" customHeight="true" outlineLevel="0" collapsed="false">
      <c r="A2872" s="4" t="s">
        <v>3048</v>
      </c>
      <c r="B2872" s="4" t="s">
        <v>159</v>
      </c>
      <c r="C2872" s="13" t="n">
        <v>45289</v>
      </c>
      <c r="D2872" s="13" t="n">
        <v>45297</v>
      </c>
      <c r="E2872" s="13" t="n">
        <v>45296</v>
      </c>
      <c r="F2872" s="4" t="n">
        <v>517</v>
      </c>
      <c r="G2872" s="4" t="n">
        <v>517</v>
      </c>
      <c r="H2872" s="4" t="n">
        <v>32.91</v>
      </c>
      <c r="I2872" s="4" t="n">
        <v>33.43</v>
      </c>
      <c r="J2872" s="14" t="n">
        <f aca="false">E2872-D2872</f>
        <v>-1</v>
      </c>
      <c r="K2872" s="14" t="n">
        <f aca="false">IF(J2872&lt;=0,1,0)</f>
        <v>1</v>
      </c>
      <c r="L2872" s="15" t="n">
        <f aca="false">IFERROR(G2872/F2872,0)</f>
        <v>1</v>
      </c>
      <c r="M2872" s="15" t="n">
        <f aca="false">IFERROR((I2872-H2872)/H2872,0)</f>
        <v>0.0158006684898208</v>
      </c>
      <c r="N2872" s="16" t="n">
        <f aca="false">G2872*I2872</f>
        <v>17283.31</v>
      </c>
    </row>
    <row r="2873" customFormat="false" ht="15" hidden="false" customHeight="true" outlineLevel="0" collapsed="false">
      <c r="A2873" s="4" t="s">
        <v>3049</v>
      </c>
      <c r="B2873" s="4" t="s">
        <v>157</v>
      </c>
      <c r="C2873" s="13" t="n">
        <v>45599</v>
      </c>
      <c r="D2873" s="13" t="n">
        <v>45607</v>
      </c>
      <c r="E2873" s="13" t="n">
        <v>45604</v>
      </c>
      <c r="F2873" s="4" t="n">
        <v>1800</v>
      </c>
      <c r="G2873" s="4" t="n">
        <v>1665</v>
      </c>
      <c r="H2873" s="4" t="n">
        <v>13.1</v>
      </c>
      <c r="I2873" s="4" t="n">
        <v>13.66</v>
      </c>
      <c r="J2873" s="14" t="n">
        <f aca="false">E2873-D2873</f>
        <v>-3</v>
      </c>
      <c r="K2873" s="14" t="n">
        <f aca="false">IF(J2873&lt;=0,1,0)</f>
        <v>1</v>
      </c>
      <c r="L2873" s="15" t="n">
        <f aca="false">IFERROR(G2873/F2873,0)</f>
        <v>0.925</v>
      </c>
      <c r="M2873" s="15" t="n">
        <f aca="false">IFERROR((I2873-H2873)/H2873,0)</f>
        <v>0.0427480916030535</v>
      </c>
      <c r="N2873" s="16" t="n">
        <f aca="false">G2873*I2873</f>
        <v>22743.9</v>
      </c>
    </row>
    <row r="2874" customFormat="false" ht="15" hidden="false" customHeight="true" outlineLevel="0" collapsed="false">
      <c r="A2874" s="4" t="s">
        <v>3050</v>
      </c>
      <c r="B2874" s="4" t="s">
        <v>125</v>
      </c>
      <c r="C2874" s="13" t="n">
        <v>45336</v>
      </c>
      <c r="D2874" s="13" t="n">
        <v>45341</v>
      </c>
      <c r="E2874" s="13" t="n">
        <v>45347</v>
      </c>
      <c r="F2874" s="4" t="n">
        <v>18</v>
      </c>
      <c r="G2874" s="4" t="n">
        <v>16</v>
      </c>
      <c r="H2874" s="4" t="n">
        <v>729.32</v>
      </c>
      <c r="I2874" s="4" t="n">
        <v>739.57</v>
      </c>
      <c r="J2874" s="14" t="n">
        <f aca="false">E2874-D2874</f>
        <v>6</v>
      </c>
      <c r="K2874" s="14" t="n">
        <f aca="false">IF(J2874&lt;=0,1,0)</f>
        <v>0</v>
      </c>
      <c r="L2874" s="15" t="n">
        <f aca="false">IFERROR(G2874/F2874,0)</f>
        <v>0.888888888888889</v>
      </c>
      <c r="M2874" s="15" t="n">
        <f aca="false">IFERROR((I2874-H2874)/H2874,0)</f>
        <v>0.0140541874622936</v>
      </c>
      <c r="N2874" s="16" t="n">
        <f aca="false">G2874*I2874</f>
        <v>11833.12</v>
      </c>
    </row>
    <row r="2875" customFormat="false" ht="15" hidden="false" customHeight="true" outlineLevel="0" collapsed="false">
      <c r="A2875" s="4" t="s">
        <v>3051</v>
      </c>
      <c r="B2875" s="4" t="s">
        <v>129</v>
      </c>
      <c r="C2875" s="13" t="n">
        <v>45088</v>
      </c>
      <c r="D2875" s="13" t="n">
        <v>45106</v>
      </c>
      <c r="E2875" s="13" t="n">
        <v>45108</v>
      </c>
      <c r="F2875" s="4" t="n">
        <v>176</v>
      </c>
      <c r="G2875" s="4" t="n">
        <v>172</v>
      </c>
      <c r="H2875" s="4" t="n">
        <v>709.66</v>
      </c>
      <c r="I2875" s="4" t="n">
        <v>720.23</v>
      </c>
      <c r="J2875" s="14" t="n">
        <f aca="false">E2875-D2875</f>
        <v>2</v>
      </c>
      <c r="K2875" s="14" t="n">
        <f aca="false">IF(J2875&lt;=0,1,0)</f>
        <v>0</v>
      </c>
      <c r="L2875" s="15" t="n">
        <f aca="false">IFERROR(G2875/F2875,0)</f>
        <v>0.977272727272727</v>
      </c>
      <c r="M2875" s="15" t="n">
        <f aca="false">IFERROR((I2875-H2875)/H2875,0)</f>
        <v>0.014894456500296</v>
      </c>
      <c r="N2875" s="16" t="n">
        <f aca="false">G2875*I2875</f>
        <v>123879.56</v>
      </c>
    </row>
    <row r="2876" customFormat="false" ht="15" hidden="false" customHeight="true" outlineLevel="0" collapsed="false">
      <c r="A2876" s="4" t="s">
        <v>3052</v>
      </c>
      <c r="B2876" s="4" t="s">
        <v>103</v>
      </c>
      <c r="C2876" s="13" t="n">
        <v>45317</v>
      </c>
      <c r="D2876" s="13" t="n">
        <v>45335</v>
      </c>
      <c r="E2876" s="13" t="n">
        <v>45338</v>
      </c>
      <c r="F2876" s="4" t="n">
        <v>423</v>
      </c>
      <c r="G2876" s="4" t="n">
        <v>420</v>
      </c>
      <c r="H2876" s="4" t="n">
        <v>1400.22</v>
      </c>
      <c r="I2876" s="4" t="n">
        <v>1428.08</v>
      </c>
      <c r="J2876" s="14" t="n">
        <f aca="false">E2876-D2876</f>
        <v>3</v>
      </c>
      <c r="K2876" s="14" t="n">
        <f aca="false">IF(J2876&lt;=0,1,0)</f>
        <v>0</v>
      </c>
      <c r="L2876" s="15" t="n">
        <f aca="false">IFERROR(G2876/F2876,0)</f>
        <v>0.99290780141844</v>
      </c>
      <c r="M2876" s="15" t="n">
        <f aca="false">IFERROR((I2876-H2876)/H2876,0)</f>
        <v>0.0198968733484737</v>
      </c>
      <c r="N2876" s="16" t="n">
        <f aca="false">G2876*I2876</f>
        <v>599793.6</v>
      </c>
    </row>
    <row r="2877" customFormat="false" ht="15" hidden="false" customHeight="true" outlineLevel="0" collapsed="false">
      <c r="A2877" s="4" t="s">
        <v>3053</v>
      </c>
      <c r="B2877" s="4" t="s">
        <v>105</v>
      </c>
      <c r="C2877" s="13" t="n">
        <v>45040</v>
      </c>
      <c r="D2877" s="13" t="n">
        <v>45059</v>
      </c>
      <c r="E2877" s="13" t="n">
        <v>45062</v>
      </c>
      <c r="F2877" s="4" t="n">
        <v>371</v>
      </c>
      <c r="G2877" s="4" t="n">
        <v>359</v>
      </c>
      <c r="H2877" s="4" t="n">
        <v>685.84</v>
      </c>
      <c r="I2877" s="4" t="n">
        <v>700.78</v>
      </c>
      <c r="J2877" s="14" t="n">
        <f aca="false">E2877-D2877</f>
        <v>3</v>
      </c>
      <c r="K2877" s="14" t="n">
        <f aca="false">IF(J2877&lt;=0,1,0)</f>
        <v>0</v>
      </c>
      <c r="L2877" s="15" t="n">
        <f aca="false">IFERROR(G2877/F2877,0)</f>
        <v>0.967654986522911</v>
      </c>
      <c r="M2877" s="15" t="n">
        <f aca="false">IFERROR((I2877-H2877)/H2877,0)</f>
        <v>0.0217835063571678</v>
      </c>
      <c r="N2877" s="16" t="n">
        <f aca="false">G2877*I2877</f>
        <v>251580.02</v>
      </c>
    </row>
    <row r="2878" customFormat="false" ht="15" hidden="false" customHeight="true" outlineLevel="0" collapsed="false">
      <c r="A2878" s="4" t="s">
        <v>3054</v>
      </c>
      <c r="B2878" s="4" t="s">
        <v>105</v>
      </c>
      <c r="C2878" s="13" t="n">
        <v>45492</v>
      </c>
      <c r="D2878" s="13" t="n">
        <v>45511</v>
      </c>
      <c r="E2878" s="13" t="n">
        <v>45513</v>
      </c>
      <c r="F2878" s="4" t="n">
        <v>479</v>
      </c>
      <c r="G2878" s="4" t="n">
        <v>457</v>
      </c>
      <c r="H2878" s="4" t="n">
        <v>685.84</v>
      </c>
      <c r="I2878" s="4" t="n">
        <v>708.58</v>
      </c>
      <c r="J2878" s="14" t="n">
        <f aca="false">E2878-D2878</f>
        <v>2</v>
      </c>
      <c r="K2878" s="14" t="n">
        <f aca="false">IF(J2878&lt;=0,1,0)</f>
        <v>0</v>
      </c>
      <c r="L2878" s="15" t="n">
        <f aca="false">IFERROR(G2878/F2878,0)</f>
        <v>0.954070981210856</v>
      </c>
      <c r="M2878" s="15" t="n">
        <f aca="false">IFERROR((I2878-H2878)/H2878,0)</f>
        <v>0.0331564213227575</v>
      </c>
      <c r="N2878" s="16" t="n">
        <f aca="false">G2878*I2878</f>
        <v>323821.06</v>
      </c>
    </row>
    <row r="2879" customFormat="false" ht="15" hidden="false" customHeight="true" outlineLevel="0" collapsed="false">
      <c r="A2879" s="4" t="s">
        <v>3055</v>
      </c>
      <c r="B2879" s="4" t="s">
        <v>111</v>
      </c>
      <c r="C2879" s="13" t="n">
        <v>45351</v>
      </c>
      <c r="D2879" s="13" t="n">
        <v>45361</v>
      </c>
      <c r="E2879" s="13" t="n">
        <v>45361</v>
      </c>
      <c r="F2879" s="4" t="n">
        <v>1753</v>
      </c>
      <c r="G2879" s="4" t="n">
        <v>1671</v>
      </c>
      <c r="H2879" s="4" t="n">
        <v>148.08</v>
      </c>
      <c r="I2879" s="4" t="n">
        <v>149.25</v>
      </c>
      <c r="J2879" s="14" t="n">
        <f aca="false">E2879-D2879</f>
        <v>0</v>
      </c>
      <c r="K2879" s="14" t="n">
        <f aca="false">IF(J2879&lt;=0,1,0)</f>
        <v>1</v>
      </c>
      <c r="L2879" s="15" t="n">
        <f aca="false">IFERROR(G2879/F2879,0)</f>
        <v>0.953223046206503</v>
      </c>
      <c r="M2879" s="15" t="n">
        <f aca="false">IFERROR((I2879-H2879)/H2879,0)</f>
        <v>0.00790113452187998</v>
      </c>
      <c r="N2879" s="16" t="n">
        <f aca="false">G2879*I2879</f>
        <v>249396.75</v>
      </c>
    </row>
    <row r="2880" customFormat="false" ht="15" hidden="false" customHeight="true" outlineLevel="0" collapsed="false">
      <c r="A2880" s="4" t="s">
        <v>3056</v>
      </c>
      <c r="B2880" s="4" t="s">
        <v>115</v>
      </c>
      <c r="C2880" s="13" t="n">
        <v>45307</v>
      </c>
      <c r="D2880" s="13" t="n">
        <v>45318</v>
      </c>
      <c r="E2880" s="13" t="n">
        <v>45327</v>
      </c>
      <c r="F2880" s="4" t="n">
        <v>256</v>
      </c>
      <c r="G2880" s="4" t="n">
        <v>239</v>
      </c>
      <c r="H2880" s="4" t="n">
        <v>115.53</v>
      </c>
      <c r="I2880" s="4" t="n">
        <v>123.14</v>
      </c>
      <c r="J2880" s="14" t="n">
        <f aca="false">E2880-D2880</f>
        <v>9</v>
      </c>
      <c r="K2880" s="14" t="n">
        <f aca="false">IF(J2880&lt;=0,1,0)</f>
        <v>0</v>
      </c>
      <c r="L2880" s="15" t="n">
        <f aca="false">IFERROR(G2880/F2880,0)</f>
        <v>0.93359375</v>
      </c>
      <c r="M2880" s="15" t="n">
        <f aca="false">IFERROR((I2880-H2880)/H2880,0)</f>
        <v>0.0658703367090799</v>
      </c>
      <c r="N2880" s="16" t="n">
        <f aca="false">G2880*I2880</f>
        <v>29430.46</v>
      </c>
    </row>
    <row r="2881" customFormat="false" ht="15" hidden="false" customHeight="true" outlineLevel="0" collapsed="false">
      <c r="A2881" s="4" t="s">
        <v>3057</v>
      </c>
      <c r="B2881" s="4" t="s">
        <v>81</v>
      </c>
      <c r="C2881" s="13" t="n">
        <v>44953</v>
      </c>
      <c r="D2881" s="13" t="n">
        <v>44960</v>
      </c>
      <c r="E2881" s="13" t="n">
        <v>44960</v>
      </c>
      <c r="F2881" s="4" t="n">
        <v>17</v>
      </c>
      <c r="G2881" s="4" t="n">
        <v>16</v>
      </c>
      <c r="H2881" s="4" t="n">
        <v>697.63</v>
      </c>
      <c r="I2881" s="4" t="n">
        <v>703.34</v>
      </c>
      <c r="J2881" s="14" t="n">
        <f aca="false">E2881-D2881</f>
        <v>0</v>
      </c>
      <c r="K2881" s="14" t="n">
        <f aca="false">IF(J2881&lt;=0,1,0)</f>
        <v>1</v>
      </c>
      <c r="L2881" s="15" t="n">
        <f aca="false">IFERROR(G2881/F2881,0)</f>
        <v>0.941176470588235</v>
      </c>
      <c r="M2881" s="15" t="n">
        <f aca="false">IFERROR((I2881-H2881)/H2881,0)</f>
        <v>0.00818485443573246</v>
      </c>
      <c r="N2881" s="16" t="n">
        <f aca="false">G2881*I2881</f>
        <v>11253.44</v>
      </c>
    </row>
    <row r="2882" customFormat="false" ht="15" hidden="false" customHeight="true" outlineLevel="0" collapsed="false">
      <c r="A2882" s="4" t="s">
        <v>3058</v>
      </c>
      <c r="B2882" s="4" t="s">
        <v>107</v>
      </c>
      <c r="C2882" s="13" t="n">
        <v>45625</v>
      </c>
      <c r="D2882" s="13" t="n">
        <v>45633</v>
      </c>
      <c r="E2882" s="13" t="n">
        <v>45637</v>
      </c>
      <c r="F2882" s="4" t="n">
        <v>1013</v>
      </c>
      <c r="G2882" s="4" t="n">
        <v>989</v>
      </c>
      <c r="H2882" s="4" t="n">
        <v>40.41</v>
      </c>
      <c r="I2882" s="4" t="n">
        <v>40.56</v>
      </c>
      <c r="J2882" s="14" t="n">
        <f aca="false">E2882-D2882</f>
        <v>4</v>
      </c>
      <c r="K2882" s="14" t="n">
        <f aca="false">IF(J2882&lt;=0,1,0)</f>
        <v>0</v>
      </c>
      <c r="L2882" s="15" t="n">
        <f aca="false">IFERROR(G2882/F2882,0)</f>
        <v>0.976307996051333</v>
      </c>
      <c r="M2882" s="15" t="n">
        <f aca="false">IFERROR((I2882-H2882)/H2882,0)</f>
        <v>0.00371195248700831</v>
      </c>
      <c r="N2882" s="16" t="n">
        <f aca="false">G2882*I2882</f>
        <v>40113.84</v>
      </c>
    </row>
    <row r="2883" customFormat="false" ht="15" hidden="false" customHeight="true" outlineLevel="0" collapsed="false">
      <c r="A2883" s="4" t="s">
        <v>3059</v>
      </c>
      <c r="B2883" s="4" t="s">
        <v>87</v>
      </c>
      <c r="C2883" s="13" t="n">
        <v>45196</v>
      </c>
      <c r="D2883" s="13" t="n">
        <v>45207</v>
      </c>
      <c r="E2883" s="13" t="n">
        <v>45207</v>
      </c>
      <c r="F2883" s="4" t="n">
        <v>1683</v>
      </c>
      <c r="G2883" s="4" t="n">
        <v>1542</v>
      </c>
      <c r="H2883" s="4" t="n">
        <v>161.95</v>
      </c>
      <c r="I2883" s="4" t="n">
        <v>171.55</v>
      </c>
      <c r="J2883" s="14" t="n">
        <f aca="false">E2883-D2883</f>
        <v>0</v>
      </c>
      <c r="K2883" s="14" t="n">
        <f aca="false">IF(J2883&lt;=0,1,0)</f>
        <v>1</v>
      </c>
      <c r="L2883" s="15" t="n">
        <f aca="false">IFERROR(G2883/F2883,0)</f>
        <v>0.916221033868093</v>
      </c>
      <c r="M2883" s="15" t="n">
        <f aca="false">IFERROR((I2883-H2883)/H2883,0)</f>
        <v>0.0592775548008646</v>
      </c>
      <c r="N2883" s="16" t="n">
        <f aca="false">G2883*I2883</f>
        <v>264530.1</v>
      </c>
    </row>
    <row r="2884" customFormat="false" ht="15" hidden="false" customHeight="true" outlineLevel="0" collapsed="false">
      <c r="A2884" s="4" t="s">
        <v>3060</v>
      </c>
      <c r="B2884" s="4" t="s">
        <v>117</v>
      </c>
      <c r="C2884" s="13" t="n">
        <v>45336</v>
      </c>
      <c r="D2884" s="13" t="n">
        <v>45350</v>
      </c>
      <c r="E2884" s="13" t="n">
        <v>45355</v>
      </c>
      <c r="F2884" s="4" t="n">
        <v>91</v>
      </c>
      <c r="G2884" s="4" t="n">
        <v>84</v>
      </c>
      <c r="H2884" s="4" t="n">
        <v>396.01</v>
      </c>
      <c r="I2884" s="4" t="n">
        <v>399.1</v>
      </c>
      <c r="J2884" s="14" t="n">
        <f aca="false">E2884-D2884</f>
        <v>5</v>
      </c>
      <c r="K2884" s="14" t="n">
        <f aca="false">IF(J2884&lt;=0,1,0)</f>
        <v>0</v>
      </c>
      <c r="L2884" s="15" t="n">
        <f aca="false">IFERROR(G2884/F2884,0)</f>
        <v>0.923076923076923</v>
      </c>
      <c r="M2884" s="15" t="n">
        <f aca="false">IFERROR((I2884-H2884)/H2884,0)</f>
        <v>0.0078028332617864</v>
      </c>
      <c r="N2884" s="16" t="n">
        <f aca="false">G2884*I2884</f>
        <v>33524.4</v>
      </c>
    </row>
    <row r="2885" customFormat="false" ht="15" hidden="false" customHeight="true" outlineLevel="0" collapsed="false">
      <c r="A2885" s="4" t="s">
        <v>3061</v>
      </c>
      <c r="B2885" s="4" t="s">
        <v>52</v>
      </c>
      <c r="C2885" s="13" t="n">
        <v>45276</v>
      </c>
      <c r="D2885" s="13" t="n">
        <v>45285</v>
      </c>
      <c r="E2885" s="13" t="n">
        <v>45292</v>
      </c>
      <c r="F2885" s="4" t="n">
        <v>652</v>
      </c>
      <c r="G2885" s="4" t="n">
        <v>570</v>
      </c>
      <c r="H2885" s="4" t="n">
        <v>170.24</v>
      </c>
      <c r="I2885" s="4" t="n">
        <v>173.41</v>
      </c>
      <c r="J2885" s="14" t="n">
        <f aca="false">E2885-D2885</f>
        <v>7</v>
      </c>
      <c r="K2885" s="14" t="n">
        <f aca="false">IF(J2885&lt;=0,1,0)</f>
        <v>0</v>
      </c>
      <c r="L2885" s="15" t="n">
        <f aca="false">IFERROR(G2885/F2885,0)</f>
        <v>0.874233128834356</v>
      </c>
      <c r="M2885" s="15" t="n">
        <f aca="false">IFERROR((I2885-H2885)/H2885,0)</f>
        <v>0.0186207706766917</v>
      </c>
      <c r="N2885" s="16" t="n">
        <f aca="false">G2885*I2885</f>
        <v>98843.7</v>
      </c>
    </row>
    <row r="2886" customFormat="false" ht="15" hidden="false" customHeight="true" outlineLevel="0" collapsed="false">
      <c r="A2886" s="4" t="s">
        <v>3062</v>
      </c>
      <c r="B2886" s="4" t="s">
        <v>113</v>
      </c>
      <c r="C2886" s="13" t="n">
        <v>45178</v>
      </c>
      <c r="D2886" s="13" t="n">
        <v>45189</v>
      </c>
      <c r="E2886" s="13" t="n">
        <v>45194</v>
      </c>
      <c r="F2886" s="4" t="n">
        <v>534</v>
      </c>
      <c r="G2886" s="4" t="n">
        <v>527</v>
      </c>
      <c r="H2886" s="4" t="n">
        <v>170.42</v>
      </c>
      <c r="I2886" s="4" t="n">
        <v>172.82</v>
      </c>
      <c r="J2886" s="14" t="n">
        <f aca="false">E2886-D2886</f>
        <v>5</v>
      </c>
      <c r="K2886" s="14" t="n">
        <f aca="false">IF(J2886&lt;=0,1,0)</f>
        <v>0</v>
      </c>
      <c r="L2886" s="15" t="n">
        <f aca="false">IFERROR(G2886/F2886,0)</f>
        <v>0.98689138576779</v>
      </c>
      <c r="M2886" s="15" t="n">
        <f aca="false">IFERROR((I2886-H2886)/H2886,0)</f>
        <v>0.0140828541251027</v>
      </c>
      <c r="N2886" s="16" t="n">
        <f aca="false">G2886*I2886</f>
        <v>91076.14</v>
      </c>
    </row>
    <row r="2887" customFormat="false" ht="15" hidden="false" customHeight="true" outlineLevel="0" collapsed="false">
      <c r="A2887" s="4" t="s">
        <v>3063</v>
      </c>
      <c r="B2887" s="4" t="s">
        <v>119</v>
      </c>
      <c r="C2887" s="13" t="n">
        <v>45432</v>
      </c>
      <c r="D2887" s="13" t="n">
        <v>45438</v>
      </c>
      <c r="E2887" s="13" t="n">
        <v>45439</v>
      </c>
      <c r="F2887" s="4" t="n">
        <v>2789</v>
      </c>
      <c r="G2887" s="4" t="n">
        <v>2725</v>
      </c>
      <c r="H2887" s="4" t="n">
        <v>50.92</v>
      </c>
      <c r="I2887" s="4" t="n">
        <v>47.66</v>
      </c>
      <c r="J2887" s="14" t="n">
        <f aca="false">E2887-D2887</f>
        <v>1</v>
      </c>
      <c r="K2887" s="14" t="n">
        <f aca="false">IF(J2887&lt;=0,1,0)</f>
        <v>0</v>
      </c>
      <c r="L2887" s="15" t="n">
        <f aca="false">IFERROR(G2887/F2887,0)</f>
        <v>0.977052707063464</v>
      </c>
      <c r="M2887" s="15" t="n">
        <f aca="false">IFERROR((I2887-H2887)/H2887,0)</f>
        <v>-0.0640219952867244</v>
      </c>
      <c r="N2887" s="16" t="n">
        <f aca="false">G2887*I2887</f>
        <v>129873.5</v>
      </c>
    </row>
    <row r="2888" customFormat="false" ht="15" hidden="false" customHeight="true" outlineLevel="0" collapsed="false">
      <c r="A2888" s="4" t="s">
        <v>3064</v>
      </c>
      <c r="B2888" s="4" t="s">
        <v>123</v>
      </c>
      <c r="C2888" s="13" t="n">
        <v>45566</v>
      </c>
      <c r="D2888" s="13" t="n">
        <v>45579</v>
      </c>
      <c r="E2888" s="13" t="n">
        <v>45578</v>
      </c>
      <c r="F2888" s="4" t="n">
        <v>271</v>
      </c>
      <c r="G2888" s="4" t="n">
        <v>267</v>
      </c>
      <c r="H2888" s="4" t="n">
        <v>214.07</v>
      </c>
      <c r="I2888" s="4" t="n">
        <v>249.72</v>
      </c>
      <c r="J2888" s="14" t="n">
        <f aca="false">E2888-D2888</f>
        <v>-1</v>
      </c>
      <c r="K2888" s="14" t="n">
        <f aca="false">IF(J2888&lt;=0,1,0)</f>
        <v>1</v>
      </c>
      <c r="L2888" s="15" t="n">
        <f aca="false">IFERROR(G2888/F2888,0)</f>
        <v>0.985239852398524</v>
      </c>
      <c r="M2888" s="15" t="n">
        <f aca="false">IFERROR((I2888-H2888)/H2888,0)</f>
        <v>0.166534311206615</v>
      </c>
      <c r="N2888" s="16" t="n">
        <f aca="false">G2888*I2888</f>
        <v>66675.24</v>
      </c>
    </row>
    <row r="2889" customFormat="false" ht="15" hidden="false" customHeight="true" outlineLevel="0" collapsed="false">
      <c r="A2889" s="4" t="s">
        <v>3065</v>
      </c>
      <c r="B2889" s="4" t="s">
        <v>68</v>
      </c>
      <c r="C2889" s="13" t="n">
        <v>45392</v>
      </c>
      <c r="D2889" s="13" t="n">
        <v>45412</v>
      </c>
      <c r="E2889" s="13" t="n">
        <v>45412</v>
      </c>
      <c r="F2889" s="4" t="n">
        <v>80</v>
      </c>
      <c r="G2889" s="4" t="n">
        <v>73</v>
      </c>
      <c r="H2889" s="4" t="n">
        <v>1232.83</v>
      </c>
      <c r="I2889" s="4" t="n">
        <v>1232.85</v>
      </c>
      <c r="J2889" s="14" t="n">
        <f aca="false">E2889-D2889</f>
        <v>0</v>
      </c>
      <c r="K2889" s="14" t="n">
        <f aca="false">IF(J2889&lt;=0,1,0)</f>
        <v>1</v>
      </c>
      <c r="L2889" s="15" t="n">
        <f aca="false">IFERROR(G2889/F2889,0)</f>
        <v>0.9125</v>
      </c>
      <c r="M2889" s="15" t="n">
        <f aca="false">IFERROR((I2889-H2889)/H2889,0)</f>
        <v>1.62228368874718E-005</v>
      </c>
      <c r="N2889" s="16" t="n">
        <f aca="false">G2889*I2889</f>
        <v>89998.05</v>
      </c>
    </row>
    <row r="2890" customFormat="false" ht="15" hidden="false" customHeight="true" outlineLevel="0" collapsed="false">
      <c r="A2890" s="4" t="s">
        <v>3066</v>
      </c>
      <c r="B2890" s="4" t="s">
        <v>93</v>
      </c>
      <c r="C2890" s="13" t="n">
        <v>45634</v>
      </c>
      <c r="D2890" s="13" t="n">
        <v>45644</v>
      </c>
      <c r="E2890" s="13" t="n">
        <v>45645</v>
      </c>
      <c r="F2890" s="4" t="n">
        <v>1752</v>
      </c>
      <c r="G2890" s="4" t="n">
        <v>1730</v>
      </c>
      <c r="H2890" s="4" t="n">
        <v>174.25</v>
      </c>
      <c r="I2890" s="4" t="n">
        <v>189.63</v>
      </c>
      <c r="J2890" s="14" t="n">
        <f aca="false">E2890-D2890</f>
        <v>1</v>
      </c>
      <c r="K2890" s="14" t="n">
        <f aca="false">IF(J2890&lt;=0,1,0)</f>
        <v>0</v>
      </c>
      <c r="L2890" s="15" t="n">
        <f aca="false">IFERROR(G2890/F2890,0)</f>
        <v>0.987442922374429</v>
      </c>
      <c r="M2890" s="15" t="n">
        <f aca="false">IFERROR((I2890-H2890)/H2890,0)</f>
        <v>0.0882639885222381</v>
      </c>
      <c r="N2890" s="16" t="n">
        <f aca="false">G2890*I2890</f>
        <v>328059.9</v>
      </c>
    </row>
    <row r="2891" customFormat="false" ht="15" hidden="false" customHeight="true" outlineLevel="0" collapsed="false">
      <c r="A2891" s="4" t="s">
        <v>3067</v>
      </c>
      <c r="B2891" s="4" t="s">
        <v>85</v>
      </c>
      <c r="C2891" s="13" t="n">
        <v>45214</v>
      </c>
      <c r="D2891" s="13" t="n">
        <v>45226</v>
      </c>
      <c r="E2891" s="13" t="n">
        <v>45232</v>
      </c>
      <c r="F2891" s="4" t="n">
        <v>1819</v>
      </c>
      <c r="G2891" s="4" t="n">
        <v>1715</v>
      </c>
      <c r="H2891" s="4" t="n">
        <v>241.88</v>
      </c>
      <c r="I2891" s="4" t="n">
        <v>237.2</v>
      </c>
      <c r="J2891" s="14" t="n">
        <f aca="false">E2891-D2891</f>
        <v>6</v>
      </c>
      <c r="K2891" s="14" t="n">
        <f aca="false">IF(J2891&lt;=0,1,0)</f>
        <v>0</v>
      </c>
      <c r="L2891" s="15" t="n">
        <f aca="false">IFERROR(G2891/F2891,0)</f>
        <v>0.94282572842221</v>
      </c>
      <c r="M2891" s="15" t="n">
        <f aca="false">IFERROR((I2891-H2891)/H2891,0)</f>
        <v>-0.0193484372416074</v>
      </c>
      <c r="N2891" s="16" t="n">
        <f aca="false">G2891*I2891</f>
        <v>406798</v>
      </c>
    </row>
    <row r="2892" customFormat="false" ht="15" hidden="false" customHeight="true" outlineLevel="0" collapsed="false">
      <c r="A2892" s="4" t="s">
        <v>3068</v>
      </c>
      <c r="B2892" s="4" t="s">
        <v>101</v>
      </c>
      <c r="C2892" s="13" t="n">
        <v>45032</v>
      </c>
      <c r="D2892" s="13" t="n">
        <v>45049</v>
      </c>
      <c r="E2892" s="13" t="n">
        <v>45051</v>
      </c>
      <c r="F2892" s="4" t="n">
        <v>145</v>
      </c>
      <c r="G2892" s="4" t="n">
        <v>136</v>
      </c>
      <c r="H2892" s="4" t="n">
        <v>442.74</v>
      </c>
      <c r="I2892" s="4" t="n">
        <v>447.79</v>
      </c>
      <c r="J2892" s="14" t="n">
        <f aca="false">E2892-D2892</f>
        <v>2</v>
      </c>
      <c r="K2892" s="14" t="n">
        <f aca="false">IF(J2892&lt;=0,1,0)</f>
        <v>0</v>
      </c>
      <c r="L2892" s="15" t="n">
        <f aca="false">IFERROR(G2892/F2892,0)</f>
        <v>0.937931034482759</v>
      </c>
      <c r="M2892" s="15" t="n">
        <f aca="false">IFERROR((I2892-H2892)/H2892,0)</f>
        <v>0.0114062429416814</v>
      </c>
      <c r="N2892" s="16" t="n">
        <f aca="false">G2892*I2892</f>
        <v>60899.44</v>
      </c>
    </row>
    <row r="2893" customFormat="false" ht="15" hidden="false" customHeight="true" outlineLevel="0" collapsed="false">
      <c r="A2893" s="4" t="s">
        <v>3069</v>
      </c>
      <c r="B2893" s="4" t="s">
        <v>113</v>
      </c>
      <c r="C2893" s="13" t="n">
        <v>45438</v>
      </c>
      <c r="D2893" s="13" t="n">
        <v>45450</v>
      </c>
      <c r="E2893" s="13" t="n">
        <v>45460</v>
      </c>
      <c r="F2893" s="4" t="n">
        <v>918</v>
      </c>
      <c r="G2893" s="4" t="n">
        <v>918</v>
      </c>
      <c r="H2893" s="4" t="n">
        <v>170.42</v>
      </c>
      <c r="I2893" s="4" t="n">
        <v>173.75</v>
      </c>
      <c r="J2893" s="14" t="n">
        <f aca="false">E2893-D2893</f>
        <v>10</v>
      </c>
      <c r="K2893" s="14" t="n">
        <f aca="false">IF(J2893&lt;=0,1,0)</f>
        <v>0</v>
      </c>
      <c r="L2893" s="15" t="n">
        <f aca="false">IFERROR(G2893/F2893,0)</f>
        <v>1</v>
      </c>
      <c r="M2893" s="15" t="n">
        <f aca="false">IFERROR((I2893-H2893)/H2893,0)</f>
        <v>0.0195399600985801</v>
      </c>
      <c r="N2893" s="16" t="n">
        <f aca="false">G2893*I2893</f>
        <v>159502.5</v>
      </c>
    </row>
    <row r="2894" customFormat="false" ht="15" hidden="false" customHeight="true" outlineLevel="0" collapsed="false">
      <c r="A2894" s="4" t="s">
        <v>3070</v>
      </c>
      <c r="B2894" s="4" t="s">
        <v>149</v>
      </c>
      <c r="C2894" s="13" t="n">
        <v>45395</v>
      </c>
      <c r="D2894" s="13" t="n">
        <v>45402</v>
      </c>
      <c r="E2894" s="13" t="n">
        <v>45403</v>
      </c>
      <c r="F2894" s="4" t="n">
        <v>10</v>
      </c>
      <c r="G2894" s="4" t="n">
        <v>10</v>
      </c>
      <c r="H2894" s="4" t="n">
        <v>1458.52</v>
      </c>
      <c r="I2894" s="4" t="n">
        <v>1469.07</v>
      </c>
      <c r="J2894" s="14" t="n">
        <f aca="false">E2894-D2894</f>
        <v>1</v>
      </c>
      <c r="K2894" s="14" t="n">
        <f aca="false">IF(J2894&lt;=0,1,0)</f>
        <v>0</v>
      </c>
      <c r="L2894" s="15" t="n">
        <f aca="false">IFERROR(G2894/F2894,0)</f>
        <v>1</v>
      </c>
      <c r="M2894" s="15" t="n">
        <f aca="false">IFERROR((I2894-H2894)/H2894,0)</f>
        <v>0.00723335984422562</v>
      </c>
      <c r="N2894" s="16" t="n">
        <f aca="false">G2894*I2894</f>
        <v>14690.7</v>
      </c>
    </row>
    <row r="2895" customFormat="false" ht="15" hidden="false" customHeight="true" outlineLevel="0" collapsed="false">
      <c r="A2895" s="4" t="s">
        <v>3071</v>
      </c>
      <c r="B2895" s="4" t="s">
        <v>125</v>
      </c>
      <c r="C2895" s="13" t="n">
        <v>44953</v>
      </c>
      <c r="D2895" s="13" t="n">
        <v>44959</v>
      </c>
      <c r="E2895" s="13" t="n">
        <v>44965</v>
      </c>
      <c r="F2895" s="4" t="n">
        <v>2</v>
      </c>
      <c r="G2895" s="4" t="n">
        <v>2</v>
      </c>
      <c r="H2895" s="4" t="n">
        <v>729.32</v>
      </c>
      <c r="I2895" s="4" t="n">
        <v>717.8</v>
      </c>
      <c r="J2895" s="14" t="n">
        <f aca="false">E2895-D2895</f>
        <v>6</v>
      </c>
      <c r="K2895" s="14" t="n">
        <f aca="false">IF(J2895&lt;=0,1,0)</f>
        <v>0</v>
      </c>
      <c r="L2895" s="15" t="n">
        <f aca="false">IFERROR(G2895/F2895,0)</f>
        <v>1</v>
      </c>
      <c r="M2895" s="15" t="n">
        <f aca="false">IFERROR((I2895-H2895)/H2895,0)</f>
        <v>-0.015795535567378</v>
      </c>
      <c r="N2895" s="16" t="n">
        <f aca="false">G2895*I2895</f>
        <v>1435.6</v>
      </c>
    </row>
    <row r="2896" customFormat="false" ht="15" hidden="false" customHeight="true" outlineLevel="0" collapsed="false">
      <c r="A2896" s="4" t="s">
        <v>3072</v>
      </c>
      <c r="B2896" s="4" t="s">
        <v>125</v>
      </c>
      <c r="C2896" s="13" t="n">
        <v>45260</v>
      </c>
      <c r="D2896" s="13" t="n">
        <v>45266</v>
      </c>
      <c r="E2896" s="13" t="n">
        <v>45269</v>
      </c>
      <c r="F2896" s="4" t="n">
        <v>11</v>
      </c>
      <c r="G2896" s="4" t="n">
        <v>9</v>
      </c>
      <c r="H2896" s="4" t="n">
        <v>729.32</v>
      </c>
      <c r="I2896" s="4" t="n">
        <v>736.95</v>
      </c>
      <c r="J2896" s="14" t="n">
        <f aca="false">E2896-D2896</f>
        <v>3</v>
      </c>
      <c r="K2896" s="14" t="n">
        <f aca="false">IF(J2896&lt;=0,1,0)</f>
        <v>0</v>
      </c>
      <c r="L2896" s="15" t="n">
        <f aca="false">IFERROR(G2896/F2896,0)</f>
        <v>0.818181818181818</v>
      </c>
      <c r="M2896" s="15" t="n">
        <f aca="false">IFERROR((I2896-H2896)/H2896,0)</f>
        <v>0.0104618000329074</v>
      </c>
      <c r="N2896" s="16" t="n">
        <f aca="false">G2896*I2896</f>
        <v>6632.55</v>
      </c>
    </row>
    <row r="2897" customFormat="false" ht="15" hidden="false" customHeight="true" outlineLevel="0" collapsed="false">
      <c r="A2897" s="4" t="s">
        <v>3073</v>
      </c>
      <c r="B2897" s="4" t="s">
        <v>161</v>
      </c>
      <c r="C2897" s="13" t="n">
        <v>45395</v>
      </c>
      <c r="D2897" s="13" t="n">
        <v>45407</v>
      </c>
      <c r="E2897" s="13" t="n">
        <v>45406</v>
      </c>
      <c r="F2897" s="4" t="n">
        <v>693</v>
      </c>
      <c r="G2897" s="4" t="n">
        <v>684</v>
      </c>
      <c r="H2897" s="4" t="n">
        <v>101.94</v>
      </c>
      <c r="I2897" s="4" t="n">
        <v>111.46</v>
      </c>
      <c r="J2897" s="14" t="n">
        <f aca="false">E2897-D2897</f>
        <v>-1</v>
      </c>
      <c r="K2897" s="14" t="n">
        <f aca="false">IF(J2897&lt;=0,1,0)</f>
        <v>1</v>
      </c>
      <c r="L2897" s="15" t="n">
        <f aca="false">IFERROR(G2897/F2897,0)</f>
        <v>0.987012987012987</v>
      </c>
      <c r="M2897" s="15" t="n">
        <f aca="false">IFERROR((I2897-H2897)/H2897,0)</f>
        <v>0.0933882676083971</v>
      </c>
      <c r="N2897" s="16" t="n">
        <f aca="false">G2897*I2897</f>
        <v>76238.64</v>
      </c>
    </row>
    <row r="2898" customFormat="false" ht="15" hidden="false" customHeight="true" outlineLevel="0" collapsed="false">
      <c r="A2898" s="4" t="s">
        <v>3074</v>
      </c>
      <c r="B2898" s="4" t="s">
        <v>145</v>
      </c>
      <c r="C2898" s="13" t="n">
        <v>45650</v>
      </c>
      <c r="D2898" s="13" t="n">
        <v>45662</v>
      </c>
      <c r="E2898" s="13" t="n">
        <v>45660</v>
      </c>
      <c r="F2898" s="4" t="n">
        <v>1807</v>
      </c>
      <c r="G2898" s="4" t="n">
        <v>1686</v>
      </c>
      <c r="H2898" s="4" t="n">
        <v>237.04</v>
      </c>
      <c r="I2898" s="4" t="n">
        <v>277.05</v>
      </c>
      <c r="J2898" s="14" t="n">
        <f aca="false">E2898-D2898</f>
        <v>-2</v>
      </c>
      <c r="K2898" s="14" t="n">
        <f aca="false">IF(J2898&lt;=0,1,0)</f>
        <v>1</v>
      </c>
      <c r="L2898" s="15" t="n">
        <f aca="false">IFERROR(G2898/F2898,0)</f>
        <v>0.933038184836746</v>
      </c>
      <c r="M2898" s="15" t="n">
        <f aca="false">IFERROR((I2898-H2898)/H2898,0)</f>
        <v>0.16879007762403</v>
      </c>
      <c r="N2898" s="16" t="n">
        <f aca="false">G2898*I2898</f>
        <v>467106.3</v>
      </c>
    </row>
    <row r="2899" customFormat="false" ht="15" hidden="false" customHeight="true" outlineLevel="0" collapsed="false">
      <c r="A2899" s="4" t="s">
        <v>3075</v>
      </c>
      <c r="B2899" s="4" t="s">
        <v>101</v>
      </c>
      <c r="C2899" s="13" t="n">
        <v>45372</v>
      </c>
      <c r="D2899" s="13" t="n">
        <v>45390</v>
      </c>
      <c r="E2899" s="13" t="n">
        <v>45392</v>
      </c>
      <c r="F2899" s="4" t="n">
        <v>56</v>
      </c>
      <c r="G2899" s="4" t="n">
        <v>52</v>
      </c>
      <c r="H2899" s="4" t="n">
        <v>442.74</v>
      </c>
      <c r="I2899" s="4" t="n">
        <v>438.99</v>
      </c>
      <c r="J2899" s="14" t="n">
        <f aca="false">E2899-D2899</f>
        <v>2</v>
      </c>
      <c r="K2899" s="14" t="n">
        <f aca="false">IF(J2899&lt;=0,1,0)</f>
        <v>0</v>
      </c>
      <c r="L2899" s="15" t="n">
        <f aca="false">IFERROR(G2899/F2899,0)</f>
        <v>0.928571428571429</v>
      </c>
      <c r="M2899" s="15" t="n">
        <f aca="false">IFERROR((I2899-H2899)/H2899,0)</f>
        <v>-0.00846998238243664</v>
      </c>
      <c r="N2899" s="16" t="n">
        <f aca="false">G2899*I2899</f>
        <v>22827.48</v>
      </c>
    </row>
    <row r="2900" customFormat="false" ht="15" hidden="false" customHeight="true" outlineLevel="0" collapsed="false">
      <c r="A2900" s="4" t="s">
        <v>3076</v>
      </c>
      <c r="B2900" s="4" t="s">
        <v>107</v>
      </c>
      <c r="C2900" s="13" t="n">
        <v>45515</v>
      </c>
      <c r="D2900" s="13" t="n">
        <v>45522</v>
      </c>
      <c r="E2900" s="13" t="n">
        <v>45528</v>
      </c>
      <c r="F2900" s="4" t="n">
        <v>1338</v>
      </c>
      <c r="G2900" s="4" t="n">
        <v>1312</v>
      </c>
      <c r="H2900" s="4" t="n">
        <v>40.41</v>
      </c>
      <c r="I2900" s="4" t="n">
        <v>40.42</v>
      </c>
      <c r="J2900" s="14" t="n">
        <f aca="false">E2900-D2900</f>
        <v>6</v>
      </c>
      <c r="K2900" s="14" t="n">
        <f aca="false">IF(J2900&lt;=0,1,0)</f>
        <v>0</v>
      </c>
      <c r="L2900" s="15" t="n">
        <f aca="false">IFERROR(G2900/F2900,0)</f>
        <v>0.980568011958147</v>
      </c>
      <c r="M2900" s="15" t="n">
        <f aca="false">IFERROR((I2900-H2900)/H2900,0)</f>
        <v>0.000247463499134004</v>
      </c>
      <c r="N2900" s="16" t="n">
        <f aca="false">G2900*I2900</f>
        <v>53031.04</v>
      </c>
    </row>
    <row r="2901" customFormat="false" ht="15" hidden="false" customHeight="true" outlineLevel="0" collapsed="false">
      <c r="A2901" s="4" t="s">
        <v>3077</v>
      </c>
      <c r="B2901" s="4" t="s">
        <v>55</v>
      </c>
      <c r="C2901" s="13" t="n">
        <v>45249</v>
      </c>
      <c r="D2901" s="13" t="n">
        <v>45267</v>
      </c>
      <c r="E2901" s="13" t="n">
        <v>45269</v>
      </c>
      <c r="F2901" s="4" t="n">
        <v>199</v>
      </c>
      <c r="G2901" s="4" t="n">
        <v>186</v>
      </c>
      <c r="H2901" s="4" t="n">
        <v>598.09</v>
      </c>
      <c r="I2901" s="4" t="n">
        <v>573.67</v>
      </c>
      <c r="J2901" s="14" t="n">
        <f aca="false">E2901-D2901</f>
        <v>2</v>
      </c>
      <c r="K2901" s="14" t="n">
        <f aca="false">IF(J2901&lt;=0,1,0)</f>
        <v>0</v>
      </c>
      <c r="L2901" s="15" t="n">
        <f aca="false">IFERROR(G2901/F2901,0)</f>
        <v>0.934673366834171</v>
      </c>
      <c r="M2901" s="15" t="n">
        <f aca="false">IFERROR((I2901-H2901)/H2901,0)</f>
        <v>-0.0408299754217594</v>
      </c>
      <c r="N2901" s="16" t="n">
        <f aca="false">G2901*I2901</f>
        <v>106702.62</v>
      </c>
    </row>
    <row r="2902" customFormat="false" ht="15" hidden="false" customHeight="true" outlineLevel="0" collapsed="false">
      <c r="A2902" s="4" t="s">
        <v>3078</v>
      </c>
      <c r="B2902" s="4" t="s">
        <v>52</v>
      </c>
      <c r="C2902" s="13" t="n">
        <v>45571</v>
      </c>
      <c r="D2902" s="13" t="n">
        <v>45580</v>
      </c>
      <c r="E2902" s="13" t="n">
        <v>45585</v>
      </c>
      <c r="F2902" s="4" t="n">
        <v>565</v>
      </c>
      <c r="G2902" s="4" t="n">
        <v>475</v>
      </c>
      <c r="H2902" s="4" t="n">
        <v>170.24</v>
      </c>
      <c r="I2902" s="4" t="n">
        <v>179.41</v>
      </c>
      <c r="J2902" s="14" t="n">
        <f aca="false">E2902-D2902</f>
        <v>5</v>
      </c>
      <c r="K2902" s="14" t="n">
        <f aca="false">IF(J2902&lt;=0,1,0)</f>
        <v>0</v>
      </c>
      <c r="L2902" s="15" t="n">
        <f aca="false">IFERROR(G2902/F2902,0)</f>
        <v>0.84070796460177</v>
      </c>
      <c r="M2902" s="15" t="n">
        <f aca="false">IFERROR((I2902-H2902)/H2902,0)</f>
        <v>0.0538651315789473</v>
      </c>
      <c r="N2902" s="16" t="n">
        <f aca="false">G2902*I2902</f>
        <v>85219.75</v>
      </c>
    </row>
    <row r="2903" customFormat="false" ht="15" hidden="false" customHeight="true" outlineLevel="0" collapsed="false">
      <c r="A2903" s="4" t="s">
        <v>3079</v>
      </c>
      <c r="B2903" s="4" t="s">
        <v>47</v>
      </c>
      <c r="C2903" s="13" t="n">
        <v>45523</v>
      </c>
      <c r="D2903" s="13" t="n">
        <v>45533</v>
      </c>
      <c r="E2903" s="13" t="n">
        <v>45533</v>
      </c>
      <c r="F2903" s="4" t="n">
        <v>1570</v>
      </c>
      <c r="G2903" s="4" t="n">
        <v>1545</v>
      </c>
      <c r="H2903" s="4" t="n">
        <v>228.68</v>
      </c>
      <c r="I2903" s="4" t="n">
        <v>230.95</v>
      </c>
      <c r="J2903" s="14" t="n">
        <f aca="false">E2903-D2903</f>
        <v>0</v>
      </c>
      <c r="K2903" s="14" t="n">
        <f aca="false">IF(J2903&lt;=0,1,0)</f>
        <v>1</v>
      </c>
      <c r="L2903" s="15" t="n">
        <f aca="false">IFERROR(G2903/F2903,0)</f>
        <v>0.984076433121019</v>
      </c>
      <c r="M2903" s="15" t="n">
        <f aca="false">IFERROR((I2903-H2903)/H2903,0)</f>
        <v>0.00992653489592436</v>
      </c>
      <c r="N2903" s="16" t="n">
        <f aca="false">G2903*I2903</f>
        <v>356817.75</v>
      </c>
    </row>
    <row r="2904" customFormat="false" ht="15" hidden="false" customHeight="true" outlineLevel="0" collapsed="false">
      <c r="A2904" s="4" t="s">
        <v>3080</v>
      </c>
      <c r="B2904" s="4" t="s">
        <v>72</v>
      </c>
      <c r="C2904" s="13" t="n">
        <v>45579</v>
      </c>
      <c r="D2904" s="13" t="n">
        <v>45588</v>
      </c>
      <c r="E2904" s="13" t="n">
        <v>45594</v>
      </c>
      <c r="F2904" s="4" t="n">
        <v>4232</v>
      </c>
      <c r="G2904" s="4" t="n">
        <v>4131</v>
      </c>
      <c r="H2904" s="4" t="n">
        <v>34.53</v>
      </c>
      <c r="I2904" s="4" t="n">
        <v>37.13</v>
      </c>
      <c r="J2904" s="14" t="n">
        <f aca="false">E2904-D2904</f>
        <v>6</v>
      </c>
      <c r="K2904" s="14" t="n">
        <f aca="false">IF(J2904&lt;=0,1,0)</f>
        <v>0</v>
      </c>
      <c r="L2904" s="15" t="n">
        <f aca="false">IFERROR(G2904/F2904,0)</f>
        <v>0.976134215500945</v>
      </c>
      <c r="M2904" s="15" t="n">
        <f aca="false">IFERROR((I2904-H2904)/H2904,0)</f>
        <v>0.0752968433246453</v>
      </c>
      <c r="N2904" s="16" t="n">
        <f aca="false">G2904*I2904</f>
        <v>153384.03</v>
      </c>
    </row>
    <row r="2905" customFormat="false" ht="15" hidden="false" customHeight="true" outlineLevel="0" collapsed="false">
      <c r="A2905" s="4" t="s">
        <v>3081</v>
      </c>
      <c r="B2905" s="4" t="s">
        <v>41</v>
      </c>
      <c r="C2905" s="13" t="n">
        <v>45525</v>
      </c>
      <c r="D2905" s="13" t="n">
        <v>45531</v>
      </c>
      <c r="E2905" s="13" t="n">
        <v>45530</v>
      </c>
      <c r="F2905" s="4" t="n">
        <v>1299</v>
      </c>
      <c r="G2905" s="4" t="n">
        <v>1299</v>
      </c>
      <c r="H2905" s="4" t="n">
        <v>45.51</v>
      </c>
      <c r="I2905" s="4" t="n">
        <v>45.29</v>
      </c>
      <c r="J2905" s="14" t="n">
        <f aca="false">E2905-D2905</f>
        <v>-1</v>
      </c>
      <c r="K2905" s="14" t="n">
        <f aca="false">IF(J2905&lt;=0,1,0)</f>
        <v>1</v>
      </c>
      <c r="L2905" s="15" t="n">
        <f aca="false">IFERROR(G2905/F2905,0)</f>
        <v>1</v>
      </c>
      <c r="M2905" s="15" t="n">
        <f aca="false">IFERROR((I2905-H2905)/H2905,0)</f>
        <v>-0.00483410239507798</v>
      </c>
      <c r="N2905" s="16" t="n">
        <f aca="false">G2905*I2905</f>
        <v>58831.71</v>
      </c>
    </row>
    <row r="2906" customFormat="false" ht="15" hidden="false" customHeight="true" outlineLevel="0" collapsed="false">
      <c r="A2906" s="4" t="s">
        <v>3082</v>
      </c>
      <c r="B2906" s="4" t="s">
        <v>159</v>
      </c>
      <c r="C2906" s="13" t="n">
        <v>45508</v>
      </c>
      <c r="D2906" s="13" t="n">
        <v>45514</v>
      </c>
      <c r="E2906" s="13" t="n">
        <v>45517</v>
      </c>
      <c r="F2906" s="4" t="n">
        <v>866</v>
      </c>
      <c r="G2906" s="4" t="n">
        <v>866</v>
      </c>
      <c r="H2906" s="4" t="n">
        <v>32.91</v>
      </c>
      <c r="I2906" s="4" t="n">
        <v>33.73</v>
      </c>
      <c r="J2906" s="14" t="n">
        <f aca="false">E2906-D2906</f>
        <v>3</v>
      </c>
      <c r="K2906" s="14" t="n">
        <f aca="false">IF(J2906&lt;=0,1,0)</f>
        <v>0</v>
      </c>
      <c r="L2906" s="15" t="n">
        <f aca="false">IFERROR(G2906/F2906,0)</f>
        <v>1</v>
      </c>
      <c r="M2906" s="15" t="n">
        <f aca="false">IFERROR((I2906-H2906)/H2906,0)</f>
        <v>0.0249164387724096</v>
      </c>
      <c r="N2906" s="16" t="n">
        <f aca="false">G2906*I2906</f>
        <v>29210.18</v>
      </c>
    </row>
    <row r="2907" customFormat="false" ht="15" hidden="false" customHeight="true" outlineLevel="0" collapsed="false">
      <c r="A2907" s="4" t="s">
        <v>3083</v>
      </c>
      <c r="B2907" s="4" t="s">
        <v>83</v>
      </c>
      <c r="C2907" s="13" t="n">
        <v>45613</v>
      </c>
      <c r="D2907" s="13" t="n">
        <v>45625</v>
      </c>
      <c r="E2907" s="13" t="n">
        <v>45626</v>
      </c>
      <c r="F2907" s="4" t="n">
        <v>252</v>
      </c>
      <c r="G2907" s="4" t="n">
        <v>240</v>
      </c>
      <c r="H2907" s="4" t="n">
        <v>101.36</v>
      </c>
      <c r="I2907" s="4" t="n">
        <v>104.77</v>
      </c>
      <c r="J2907" s="14" t="n">
        <f aca="false">E2907-D2907</f>
        <v>1</v>
      </c>
      <c r="K2907" s="14" t="n">
        <f aca="false">IF(J2907&lt;=0,1,0)</f>
        <v>0</v>
      </c>
      <c r="L2907" s="15" t="n">
        <f aca="false">IFERROR(G2907/F2907,0)</f>
        <v>0.952380952380952</v>
      </c>
      <c r="M2907" s="15" t="n">
        <f aca="false">IFERROR((I2907-H2907)/H2907,0)</f>
        <v>0.0336424625098658</v>
      </c>
      <c r="N2907" s="16" t="n">
        <f aca="false">G2907*I2907</f>
        <v>25144.8</v>
      </c>
    </row>
    <row r="2908" customFormat="false" ht="15" hidden="false" customHeight="true" outlineLevel="0" collapsed="false">
      <c r="A2908" s="4" t="s">
        <v>3084</v>
      </c>
      <c r="B2908" s="4" t="s">
        <v>77</v>
      </c>
      <c r="C2908" s="13" t="n">
        <v>45198</v>
      </c>
      <c r="D2908" s="13" t="n">
        <v>45207</v>
      </c>
      <c r="E2908" s="13" t="n">
        <v>45218</v>
      </c>
      <c r="F2908" s="4" t="n">
        <v>3667</v>
      </c>
      <c r="G2908" s="4" t="n">
        <v>3646</v>
      </c>
      <c r="H2908" s="4" t="n">
        <v>36.83</v>
      </c>
      <c r="I2908" s="4" t="n">
        <v>35.8</v>
      </c>
      <c r="J2908" s="14" t="n">
        <f aca="false">E2908-D2908</f>
        <v>11</v>
      </c>
      <c r="K2908" s="14" t="n">
        <f aca="false">IF(J2908&lt;=0,1,0)</f>
        <v>0</v>
      </c>
      <c r="L2908" s="15" t="n">
        <f aca="false">IFERROR(G2908/F2908,0)</f>
        <v>0.994273247886556</v>
      </c>
      <c r="M2908" s="15" t="n">
        <f aca="false">IFERROR((I2908-H2908)/H2908,0)</f>
        <v>-0.0279663317947326</v>
      </c>
      <c r="N2908" s="16" t="n">
        <f aca="false">G2908*I2908</f>
        <v>130526.8</v>
      </c>
    </row>
    <row r="2909" customFormat="false" ht="15" hidden="false" customHeight="true" outlineLevel="0" collapsed="false">
      <c r="A2909" s="4" t="s">
        <v>3085</v>
      </c>
      <c r="B2909" s="4" t="s">
        <v>123</v>
      </c>
      <c r="C2909" s="13" t="n">
        <v>45296</v>
      </c>
      <c r="D2909" s="13" t="n">
        <v>45307</v>
      </c>
      <c r="E2909" s="13" t="n">
        <v>45306</v>
      </c>
      <c r="F2909" s="4" t="n">
        <v>127</v>
      </c>
      <c r="G2909" s="4" t="n">
        <v>123</v>
      </c>
      <c r="H2909" s="4" t="n">
        <v>214.07</v>
      </c>
      <c r="I2909" s="4" t="n">
        <v>238.73</v>
      </c>
      <c r="J2909" s="14" t="n">
        <f aca="false">E2909-D2909</f>
        <v>-1</v>
      </c>
      <c r="K2909" s="14" t="n">
        <f aca="false">IF(J2909&lt;=0,1,0)</f>
        <v>1</v>
      </c>
      <c r="L2909" s="15" t="n">
        <f aca="false">IFERROR(G2909/F2909,0)</f>
        <v>0.968503937007874</v>
      </c>
      <c r="M2909" s="15" t="n">
        <f aca="false">IFERROR((I2909-H2909)/H2909,0)</f>
        <v>0.11519596393703</v>
      </c>
      <c r="N2909" s="16" t="n">
        <f aca="false">G2909*I2909</f>
        <v>29363.79</v>
      </c>
    </row>
    <row r="2910" customFormat="false" ht="15" hidden="false" customHeight="true" outlineLevel="0" collapsed="false">
      <c r="A2910" s="4" t="s">
        <v>3086</v>
      </c>
      <c r="B2910" s="4" t="s">
        <v>107</v>
      </c>
      <c r="C2910" s="13" t="n">
        <v>45506</v>
      </c>
      <c r="D2910" s="13" t="n">
        <v>45514</v>
      </c>
      <c r="E2910" s="13" t="n">
        <v>45510</v>
      </c>
      <c r="F2910" s="4" t="n">
        <v>4103</v>
      </c>
      <c r="G2910" s="4" t="n">
        <v>4059</v>
      </c>
      <c r="H2910" s="4" t="n">
        <v>40.41</v>
      </c>
      <c r="I2910" s="4" t="n">
        <v>40.7</v>
      </c>
      <c r="J2910" s="14" t="n">
        <f aca="false">E2910-D2910</f>
        <v>-4</v>
      </c>
      <c r="K2910" s="14" t="n">
        <f aca="false">IF(J2910&lt;=0,1,0)</f>
        <v>1</v>
      </c>
      <c r="L2910" s="15" t="n">
        <f aca="false">IFERROR(G2910/F2910,0)</f>
        <v>0.989276139410188</v>
      </c>
      <c r="M2910" s="15" t="n">
        <f aca="false">IFERROR((I2910-H2910)/H2910,0)</f>
        <v>0.00717644147488261</v>
      </c>
      <c r="N2910" s="16" t="n">
        <f aca="false">G2910*I2910</f>
        <v>165201.3</v>
      </c>
    </row>
    <row r="2911" customFormat="false" ht="15" hidden="false" customHeight="true" outlineLevel="0" collapsed="false">
      <c r="A2911" s="4" t="s">
        <v>3087</v>
      </c>
      <c r="B2911" s="4" t="s">
        <v>145</v>
      </c>
      <c r="C2911" s="13" t="n">
        <v>45628</v>
      </c>
      <c r="D2911" s="13" t="n">
        <v>45639</v>
      </c>
      <c r="E2911" s="13" t="n">
        <v>45645</v>
      </c>
      <c r="F2911" s="4" t="n">
        <v>1113</v>
      </c>
      <c r="G2911" s="4" t="n">
        <v>1027</v>
      </c>
      <c r="H2911" s="4" t="n">
        <v>237.04</v>
      </c>
      <c r="I2911" s="4" t="n">
        <v>273.23</v>
      </c>
      <c r="J2911" s="14" t="n">
        <f aca="false">E2911-D2911</f>
        <v>6</v>
      </c>
      <c r="K2911" s="14" t="n">
        <f aca="false">IF(J2911&lt;=0,1,0)</f>
        <v>0</v>
      </c>
      <c r="L2911" s="15" t="n">
        <f aca="false">IFERROR(G2911/F2911,0)</f>
        <v>0.922731356693621</v>
      </c>
      <c r="M2911" s="15" t="n">
        <f aca="false">IFERROR((I2911-H2911)/H2911,0)</f>
        <v>0.152674654066824</v>
      </c>
      <c r="N2911" s="16" t="n">
        <f aca="false">G2911*I2911</f>
        <v>280607.21</v>
      </c>
    </row>
    <row r="2912" customFormat="false" ht="15" hidden="false" customHeight="true" outlineLevel="0" collapsed="false">
      <c r="A2912" s="4" t="s">
        <v>3088</v>
      </c>
      <c r="B2912" s="4" t="s">
        <v>161</v>
      </c>
      <c r="C2912" s="13" t="n">
        <v>45103</v>
      </c>
      <c r="D2912" s="13" t="n">
        <v>45115</v>
      </c>
      <c r="E2912" s="13" t="n">
        <v>45118</v>
      </c>
      <c r="F2912" s="4" t="n">
        <v>546</v>
      </c>
      <c r="G2912" s="4" t="n">
        <v>534</v>
      </c>
      <c r="H2912" s="4" t="n">
        <v>101.94</v>
      </c>
      <c r="I2912" s="4" t="n">
        <v>105.3</v>
      </c>
      <c r="J2912" s="14" t="n">
        <f aca="false">E2912-D2912</f>
        <v>3</v>
      </c>
      <c r="K2912" s="14" t="n">
        <f aca="false">IF(J2912&lt;=0,1,0)</f>
        <v>0</v>
      </c>
      <c r="L2912" s="15" t="n">
        <f aca="false">IFERROR(G2912/F2912,0)</f>
        <v>0.978021978021978</v>
      </c>
      <c r="M2912" s="15" t="n">
        <f aca="false">IFERROR((I2912-H2912)/H2912,0)</f>
        <v>0.0329605650382578</v>
      </c>
      <c r="N2912" s="16" t="n">
        <f aca="false">G2912*I2912</f>
        <v>56230.2</v>
      </c>
    </row>
    <row r="2913" customFormat="false" ht="15" hidden="false" customHeight="true" outlineLevel="0" collapsed="false">
      <c r="A2913" s="4" t="s">
        <v>3089</v>
      </c>
      <c r="B2913" s="4" t="s">
        <v>87</v>
      </c>
      <c r="C2913" s="13" t="n">
        <v>45200</v>
      </c>
      <c r="D2913" s="13" t="n">
        <v>45209</v>
      </c>
      <c r="E2913" s="13" t="n">
        <v>45207</v>
      </c>
      <c r="F2913" s="4" t="n">
        <v>880</v>
      </c>
      <c r="G2913" s="4" t="n">
        <v>832</v>
      </c>
      <c r="H2913" s="4" t="n">
        <v>161.95</v>
      </c>
      <c r="I2913" s="4" t="n">
        <v>175.83</v>
      </c>
      <c r="J2913" s="14" t="n">
        <f aca="false">E2913-D2913</f>
        <v>-2</v>
      </c>
      <c r="K2913" s="14" t="n">
        <f aca="false">IF(J2913&lt;=0,1,0)</f>
        <v>1</v>
      </c>
      <c r="L2913" s="15" t="n">
        <f aca="false">IFERROR(G2913/F2913,0)</f>
        <v>0.945454545454545</v>
      </c>
      <c r="M2913" s="15" t="n">
        <f aca="false">IFERROR((I2913-H2913)/H2913,0)</f>
        <v>0.0857054646495834</v>
      </c>
      <c r="N2913" s="16" t="n">
        <f aca="false">G2913*I2913</f>
        <v>146290.56</v>
      </c>
    </row>
    <row r="2914" customFormat="false" ht="15" hidden="false" customHeight="true" outlineLevel="0" collapsed="false">
      <c r="A2914" s="4" t="s">
        <v>3090</v>
      </c>
      <c r="B2914" s="4" t="s">
        <v>101</v>
      </c>
      <c r="C2914" s="13" t="n">
        <v>45337</v>
      </c>
      <c r="D2914" s="13" t="n">
        <v>45357</v>
      </c>
      <c r="E2914" s="13" t="n">
        <v>45358</v>
      </c>
      <c r="F2914" s="4" t="n">
        <v>433</v>
      </c>
      <c r="G2914" s="4" t="n">
        <v>413</v>
      </c>
      <c r="H2914" s="4" t="n">
        <v>442.74</v>
      </c>
      <c r="I2914" s="4" t="n">
        <v>444.29</v>
      </c>
      <c r="J2914" s="14" t="n">
        <f aca="false">E2914-D2914</f>
        <v>1</v>
      </c>
      <c r="K2914" s="14" t="n">
        <f aca="false">IF(J2914&lt;=0,1,0)</f>
        <v>0</v>
      </c>
      <c r="L2914" s="15" t="n">
        <f aca="false">IFERROR(G2914/F2914,0)</f>
        <v>0.953810623556582</v>
      </c>
      <c r="M2914" s="15" t="n">
        <f aca="false">IFERROR((I2914-H2914)/H2914,0)</f>
        <v>0.00350092605140717</v>
      </c>
      <c r="N2914" s="16" t="n">
        <f aca="false">G2914*I2914</f>
        <v>183491.77</v>
      </c>
    </row>
    <row r="2915" customFormat="false" ht="15" hidden="false" customHeight="true" outlineLevel="0" collapsed="false">
      <c r="A2915" s="4" t="s">
        <v>3091</v>
      </c>
      <c r="B2915" s="4" t="s">
        <v>72</v>
      </c>
      <c r="C2915" s="13" t="n">
        <v>45116</v>
      </c>
      <c r="D2915" s="13" t="n">
        <v>45123</v>
      </c>
      <c r="E2915" s="13" t="n">
        <v>45122</v>
      </c>
      <c r="F2915" s="4" t="n">
        <v>3976</v>
      </c>
      <c r="G2915" s="4" t="n">
        <v>3735</v>
      </c>
      <c r="H2915" s="4" t="n">
        <v>34.53</v>
      </c>
      <c r="I2915" s="4" t="n">
        <v>35.55</v>
      </c>
      <c r="J2915" s="14" t="n">
        <f aca="false">E2915-D2915</f>
        <v>-1</v>
      </c>
      <c r="K2915" s="14" t="n">
        <f aca="false">IF(J2915&lt;=0,1,0)</f>
        <v>1</v>
      </c>
      <c r="L2915" s="15" t="n">
        <f aca="false">IFERROR(G2915/F2915,0)</f>
        <v>0.939386317907445</v>
      </c>
      <c r="M2915" s="15" t="n">
        <f aca="false">IFERROR((I2915-H2915)/H2915,0)</f>
        <v>0.0295395308427453</v>
      </c>
      <c r="N2915" s="16" t="n">
        <f aca="false">G2915*I2915</f>
        <v>132779.25</v>
      </c>
    </row>
    <row r="2916" customFormat="false" ht="15" hidden="false" customHeight="true" outlineLevel="0" collapsed="false">
      <c r="A2916" s="4" t="s">
        <v>3092</v>
      </c>
      <c r="B2916" s="4" t="s">
        <v>101</v>
      </c>
      <c r="C2916" s="13" t="n">
        <v>45208</v>
      </c>
      <c r="D2916" s="13" t="n">
        <v>45228</v>
      </c>
      <c r="E2916" s="13" t="n">
        <v>45229</v>
      </c>
      <c r="F2916" s="4" t="n">
        <v>364</v>
      </c>
      <c r="G2916" s="4" t="n">
        <v>353</v>
      </c>
      <c r="H2916" s="4" t="n">
        <v>442.74</v>
      </c>
      <c r="I2916" s="4" t="n">
        <v>444.2</v>
      </c>
      <c r="J2916" s="14" t="n">
        <f aca="false">E2916-D2916</f>
        <v>1</v>
      </c>
      <c r="K2916" s="14" t="n">
        <f aca="false">IF(J2916&lt;=0,1,0)</f>
        <v>0</v>
      </c>
      <c r="L2916" s="15" t="n">
        <f aca="false">IFERROR(G2916/F2916,0)</f>
        <v>0.96978021978022</v>
      </c>
      <c r="M2916" s="15" t="n">
        <f aca="false">IFERROR((I2916-H2916)/H2916,0)</f>
        <v>0.00329764647422862</v>
      </c>
      <c r="N2916" s="16" t="n">
        <f aca="false">G2916*I2916</f>
        <v>156802.6</v>
      </c>
    </row>
    <row r="2917" customFormat="false" ht="15" hidden="false" customHeight="true" outlineLevel="0" collapsed="false">
      <c r="A2917" s="4" t="s">
        <v>3093</v>
      </c>
      <c r="B2917" s="4" t="s">
        <v>70</v>
      </c>
      <c r="C2917" s="13" t="n">
        <v>45422</v>
      </c>
      <c r="D2917" s="13" t="n">
        <v>45431</v>
      </c>
      <c r="E2917" s="13" t="n">
        <v>45432</v>
      </c>
      <c r="F2917" s="4" t="n">
        <v>2949</v>
      </c>
      <c r="G2917" s="4" t="n">
        <v>2648</v>
      </c>
      <c r="H2917" s="4" t="n">
        <v>35.88</v>
      </c>
      <c r="I2917" s="4" t="n">
        <v>37.61</v>
      </c>
      <c r="J2917" s="14" t="n">
        <f aca="false">E2917-D2917</f>
        <v>1</v>
      </c>
      <c r="K2917" s="14" t="n">
        <f aca="false">IF(J2917&lt;=0,1,0)</f>
        <v>0</v>
      </c>
      <c r="L2917" s="15" t="n">
        <f aca="false">IFERROR(G2917/F2917,0)</f>
        <v>0.897931502204137</v>
      </c>
      <c r="M2917" s="15" t="n">
        <f aca="false">IFERROR((I2917-H2917)/H2917,0)</f>
        <v>0.048216276477146</v>
      </c>
      <c r="N2917" s="16" t="n">
        <f aca="false">G2917*I2917</f>
        <v>99591.28</v>
      </c>
    </row>
    <row r="2918" customFormat="false" ht="15" hidden="false" customHeight="true" outlineLevel="0" collapsed="false">
      <c r="A2918" s="4" t="s">
        <v>3094</v>
      </c>
      <c r="B2918" s="4" t="s">
        <v>85</v>
      </c>
      <c r="C2918" s="13" t="n">
        <v>45472</v>
      </c>
      <c r="D2918" s="13" t="n">
        <v>45483</v>
      </c>
      <c r="E2918" s="13" t="n">
        <v>45488</v>
      </c>
      <c r="F2918" s="4" t="n">
        <v>291</v>
      </c>
      <c r="G2918" s="4" t="n">
        <v>272</v>
      </c>
      <c r="H2918" s="4" t="n">
        <v>241.88</v>
      </c>
      <c r="I2918" s="4" t="n">
        <v>235.77</v>
      </c>
      <c r="J2918" s="14" t="n">
        <f aca="false">E2918-D2918</f>
        <v>5</v>
      </c>
      <c r="K2918" s="14" t="n">
        <f aca="false">IF(J2918&lt;=0,1,0)</f>
        <v>0</v>
      </c>
      <c r="L2918" s="15" t="n">
        <f aca="false">IFERROR(G2918/F2918,0)</f>
        <v>0.934707903780069</v>
      </c>
      <c r="M2918" s="15" t="n">
        <f aca="false">IFERROR((I2918-H2918)/H2918,0)</f>
        <v>-0.0252604597320985</v>
      </c>
      <c r="N2918" s="16" t="n">
        <f aca="false">G2918*I2918</f>
        <v>64129.44</v>
      </c>
    </row>
    <row r="2919" customFormat="false" ht="15" hidden="false" customHeight="true" outlineLevel="0" collapsed="false">
      <c r="A2919" s="4" t="s">
        <v>3095</v>
      </c>
      <c r="B2919" s="4" t="s">
        <v>79</v>
      </c>
      <c r="C2919" s="13" t="n">
        <v>45626</v>
      </c>
      <c r="D2919" s="13" t="n">
        <v>45645</v>
      </c>
      <c r="E2919" s="13" t="n">
        <v>45646</v>
      </c>
      <c r="F2919" s="4" t="n">
        <v>133</v>
      </c>
      <c r="G2919" s="4" t="n">
        <v>126</v>
      </c>
      <c r="H2919" s="4" t="n">
        <v>821.48</v>
      </c>
      <c r="I2919" s="4" t="n">
        <v>869.38</v>
      </c>
      <c r="J2919" s="14" t="n">
        <f aca="false">E2919-D2919</f>
        <v>1</v>
      </c>
      <c r="K2919" s="14" t="n">
        <f aca="false">IF(J2919&lt;=0,1,0)</f>
        <v>0</v>
      </c>
      <c r="L2919" s="15" t="n">
        <f aca="false">IFERROR(G2919/F2919,0)</f>
        <v>0.947368421052632</v>
      </c>
      <c r="M2919" s="15" t="n">
        <f aca="false">IFERROR((I2919-H2919)/H2919,0)</f>
        <v>0.0583093928032332</v>
      </c>
      <c r="N2919" s="16" t="n">
        <f aca="false">G2919*I2919</f>
        <v>109541.88</v>
      </c>
    </row>
    <row r="2920" customFormat="false" ht="15" hidden="false" customHeight="true" outlineLevel="0" collapsed="false">
      <c r="A2920" s="4" t="s">
        <v>3096</v>
      </c>
      <c r="B2920" s="4" t="s">
        <v>83</v>
      </c>
      <c r="C2920" s="13" t="n">
        <v>45094</v>
      </c>
      <c r="D2920" s="13" t="n">
        <v>45105</v>
      </c>
      <c r="E2920" s="13" t="n">
        <v>45109</v>
      </c>
      <c r="F2920" s="4" t="n">
        <v>554</v>
      </c>
      <c r="G2920" s="4" t="n">
        <v>545</v>
      </c>
      <c r="H2920" s="4" t="n">
        <v>101.36</v>
      </c>
      <c r="I2920" s="4" t="n">
        <v>103.1</v>
      </c>
      <c r="J2920" s="14" t="n">
        <f aca="false">E2920-D2920</f>
        <v>4</v>
      </c>
      <c r="K2920" s="14" t="n">
        <f aca="false">IF(J2920&lt;=0,1,0)</f>
        <v>0</v>
      </c>
      <c r="L2920" s="15" t="n">
        <f aca="false">IFERROR(G2920/F2920,0)</f>
        <v>0.983754512635379</v>
      </c>
      <c r="M2920" s="15" t="n">
        <f aca="false">IFERROR((I2920-H2920)/H2920,0)</f>
        <v>0.0171665351223362</v>
      </c>
      <c r="N2920" s="16" t="n">
        <f aca="false">G2920*I2920</f>
        <v>56189.5</v>
      </c>
    </row>
    <row r="2921" customFormat="false" ht="15" hidden="false" customHeight="true" outlineLevel="0" collapsed="false">
      <c r="A2921" s="4" t="s">
        <v>3097</v>
      </c>
      <c r="B2921" s="4" t="s">
        <v>63</v>
      </c>
      <c r="C2921" s="13" t="n">
        <v>44937</v>
      </c>
      <c r="D2921" s="13" t="n">
        <v>44948</v>
      </c>
      <c r="E2921" s="13" t="n">
        <v>44958</v>
      </c>
      <c r="F2921" s="4" t="n">
        <v>1397</v>
      </c>
      <c r="G2921" s="4" t="n">
        <v>1330</v>
      </c>
      <c r="H2921" s="4" t="n">
        <v>239.8</v>
      </c>
      <c r="I2921" s="4" t="n">
        <v>236.2</v>
      </c>
      <c r="J2921" s="14" t="n">
        <f aca="false">E2921-D2921</f>
        <v>10</v>
      </c>
      <c r="K2921" s="14" t="n">
        <f aca="false">IF(J2921&lt;=0,1,0)</f>
        <v>0</v>
      </c>
      <c r="L2921" s="15" t="n">
        <f aca="false">IFERROR(G2921/F2921,0)</f>
        <v>0.952040085898354</v>
      </c>
      <c r="M2921" s="15" t="n">
        <f aca="false">IFERROR((I2921-H2921)/H2921,0)</f>
        <v>-0.0150125104253546</v>
      </c>
      <c r="N2921" s="16" t="n">
        <f aca="false">G2921*I2921</f>
        <v>314146</v>
      </c>
    </row>
    <row r="2922" customFormat="false" ht="15" hidden="false" customHeight="true" outlineLevel="0" collapsed="false">
      <c r="A2922" s="4" t="s">
        <v>3098</v>
      </c>
      <c r="B2922" s="4" t="s">
        <v>161</v>
      </c>
      <c r="C2922" s="13" t="n">
        <v>45350</v>
      </c>
      <c r="D2922" s="13" t="n">
        <v>45359</v>
      </c>
      <c r="E2922" s="13" t="n">
        <v>45364</v>
      </c>
      <c r="F2922" s="4" t="n">
        <v>325</v>
      </c>
      <c r="G2922" s="4" t="n">
        <v>318</v>
      </c>
      <c r="H2922" s="4" t="n">
        <v>101.94</v>
      </c>
      <c r="I2922" s="4" t="n">
        <v>109.68</v>
      </c>
      <c r="J2922" s="14" t="n">
        <f aca="false">E2922-D2922</f>
        <v>5</v>
      </c>
      <c r="K2922" s="14" t="n">
        <f aca="false">IF(J2922&lt;=0,1,0)</f>
        <v>0</v>
      </c>
      <c r="L2922" s="15" t="n">
        <f aca="false">IFERROR(G2922/F2922,0)</f>
        <v>0.978461538461539</v>
      </c>
      <c r="M2922" s="15" t="n">
        <f aca="false">IFERROR((I2922-H2922)/H2922,0)</f>
        <v>0.0759270158917011</v>
      </c>
      <c r="N2922" s="16" t="n">
        <f aca="false">G2922*I2922</f>
        <v>34878.24</v>
      </c>
    </row>
    <row r="2923" customFormat="false" ht="15" hidden="false" customHeight="true" outlineLevel="0" collapsed="false">
      <c r="A2923" s="4" t="s">
        <v>3099</v>
      </c>
      <c r="B2923" s="4" t="s">
        <v>143</v>
      </c>
      <c r="C2923" s="13" t="n">
        <v>44997</v>
      </c>
      <c r="D2923" s="13" t="n">
        <v>45004</v>
      </c>
      <c r="E2923" s="13" t="n">
        <v>45013</v>
      </c>
      <c r="F2923" s="4" t="n">
        <v>4297</v>
      </c>
      <c r="G2923" s="4" t="n">
        <v>4026</v>
      </c>
      <c r="H2923" s="4" t="n">
        <v>20.6</v>
      </c>
      <c r="I2923" s="4" t="n">
        <v>20.88</v>
      </c>
      <c r="J2923" s="14" t="n">
        <f aca="false">E2923-D2923</f>
        <v>9</v>
      </c>
      <c r="K2923" s="14" t="n">
        <f aca="false">IF(J2923&lt;=0,1,0)</f>
        <v>0</v>
      </c>
      <c r="L2923" s="15" t="n">
        <f aca="false">IFERROR(G2923/F2923,0)</f>
        <v>0.936932743774727</v>
      </c>
      <c r="M2923" s="15" t="n">
        <f aca="false">IFERROR((I2923-H2923)/H2923,0)</f>
        <v>0.0135922330097086</v>
      </c>
      <c r="N2923" s="16" t="n">
        <f aca="false">G2923*I2923</f>
        <v>84062.88</v>
      </c>
    </row>
    <row r="2924" customFormat="false" ht="15" hidden="false" customHeight="true" outlineLevel="0" collapsed="false">
      <c r="A2924" s="4" t="s">
        <v>3100</v>
      </c>
      <c r="B2924" s="4" t="s">
        <v>83</v>
      </c>
      <c r="C2924" s="13" t="n">
        <v>45176</v>
      </c>
      <c r="D2924" s="13" t="n">
        <v>45186</v>
      </c>
      <c r="E2924" s="13" t="n">
        <v>45188</v>
      </c>
      <c r="F2924" s="4" t="n">
        <v>1417</v>
      </c>
      <c r="G2924" s="4" t="n">
        <v>1415</v>
      </c>
      <c r="H2924" s="4" t="n">
        <v>101.36</v>
      </c>
      <c r="I2924" s="4" t="n">
        <v>103.48</v>
      </c>
      <c r="J2924" s="14" t="n">
        <f aca="false">E2924-D2924</f>
        <v>2</v>
      </c>
      <c r="K2924" s="14" t="n">
        <f aca="false">IF(J2924&lt;=0,1,0)</f>
        <v>0</v>
      </c>
      <c r="L2924" s="15" t="n">
        <f aca="false">IFERROR(G2924/F2924,0)</f>
        <v>0.998588567395907</v>
      </c>
      <c r="M2924" s="15" t="n">
        <f aca="false">IFERROR((I2924-H2924)/H2924,0)</f>
        <v>0.020915548539858</v>
      </c>
      <c r="N2924" s="16" t="n">
        <f aca="false">G2924*I2924</f>
        <v>146424.2</v>
      </c>
    </row>
    <row r="2925" customFormat="false" ht="15" hidden="false" customHeight="true" outlineLevel="0" collapsed="false">
      <c r="A2925" s="4" t="s">
        <v>3101</v>
      </c>
      <c r="B2925" s="4" t="s">
        <v>159</v>
      </c>
      <c r="C2925" s="13" t="n">
        <v>45383</v>
      </c>
      <c r="D2925" s="13" t="n">
        <v>45391</v>
      </c>
      <c r="E2925" s="13" t="n">
        <v>45396</v>
      </c>
      <c r="F2925" s="4" t="n">
        <v>1963</v>
      </c>
      <c r="G2925" s="4" t="n">
        <v>1963</v>
      </c>
      <c r="H2925" s="4" t="n">
        <v>32.91</v>
      </c>
      <c r="I2925" s="4" t="n">
        <v>33.2</v>
      </c>
      <c r="J2925" s="14" t="n">
        <f aca="false">E2925-D2925</f>
        <v>5</v>
      </c>
      <c r="K2925" s="14" t="n">
        <f aca="false">IF(J2925&lt;=0,1,0)</f>
        <v>0</v>
      </c>
      <c r="L2925" s="15" t="n">
        <f aca="false">IFERROR(G2925/F2925,0)</f>
        <v>1</v>
      </c>
      <c r="M2925" s="15" t="n">
        <f aca="false">IFERROR((I2925-H2925)/H2925,0)</f>
        <v>0.00881191127316944</v>
      </c>
      <c r="N2925" s="16" t="n">
        <f aca="false">G2925*I2925</f>
        <v>65171.6</v>
      </c>
    </row>
    <row r="2926" customFormat="false" ht="15" hidden="false" customHeight="true" outlineLevel="0" collapsed="false">
      <c r="A2926" s="4" t="s">
        <v>3102</v>
      </c>
      <c r="B2926" s="4" t="s">
        <v>119</v>
      </c>
      <c r="C2926" s="13" t="n">
        <v>44933</v>
      </c>
      <c r="D2926" s="13" t="n">
        <v>44942</v>
      </c>
      <c r="E2926" s="13" t="n">
        <v>44943</v>
      </c>
      <c r="F2926" s="4" t="n">
        <v>2859</v>
      </c>
      <c r="G2926" s="4" t="n">
        <v>2833</v>
      </c>
      <c r="H2926" s="4" t="n">
        <v>50.92</v>
      </c>
      <c r="I2926" s="4" t="n">
        <v>51.21</v>
      </c>
      <c r="J2926" s="14" t="n">
        <f aca="false">E2926-D2926</f>
        <v>1</v>
      </c>
      <c r="K2926" s="14" t="n">
        <f aca="false">IF(J2926&lt;=0,1,0)</f>
        <v>0</v>
      </c>
      <c r="L2926" s="15" t="n">
        <f aca="false">IFERROR(G2926/F2926,0)</f>
        <v>0.990905911157748</v>
      </c>
      <c r="M2926" s="15" t="n">
        <f aca="false">IFERROR((I2926-H2926)/H2926,0)</f>
        <v>0.00569520816967791</v>
      </c>
      <c r="N2926" s="16" t="n">
        <f aca="false">G2926*I2926</f>
        <v>145077.93</v>
      </c>
    </row>
    <row r="2927" customFormat="false" ht="15" hidden="false" customHeight="true" outlineLevel="0" collapsed="false">
      <c r="A2927" s="4" t="s">
        <v>3103</v>
      </c>
      <c r="B2927" s="4" t="s">
        <v>85</v>
      </c>
      <c r="C2927" s="13" t="n">
        <v>45343</v>
      </c>
      <c r="D2927" s="13" t="n">
        <v>45353</v>
      </c>
      <c r="E2927" s="13" t="n">
        <v>45349</v>
      </c>
      <c r="F2927" s="4" t="n">
        <v>1627</v>
      </c>
      <c r="G2927" s="4" t="n">
        <v>1564</v>
      </c>
      <c r="H2927" s="4" t="n">
        <v>241.88</v>
      </c>
      <c r="I2927" s="4" t="n">
        <v>236.85</v>
      </c>
      <c r="J2927" s="14" t="n">
        <f aca="false">E2927-D2927</f>
        <v>-4</v>
      </c>
      <c r="K2927" s="14" t="n">
        <f aca="false">IF(J2927&lt;=0,1,0)</f>
        <v>1</v>
      </c>
      <c r="L2927" s="15" t="n">
        <f aca="false">IFERROR(G2927/F2927,0)</f>
        <v>0.961278426551936</v>
      </c>
      <c r="M2927" s="15" t="n">
        <f aca="false">IFERROR((I2927-H2927)/H2927,0)</f>
        <v>-0.0207954357532661</v>
      </c>
      <c r="N2927" s="16" t="n">
        <f aca="false">G2927*I2927</f>
        <v>370433.4</v>
      </c>
    </row>
    <row r="2928" customFormat="false" ht="15" hidden="false" customHeight="true" outlineLevel="0" collapsed="false">
      <c r="A2928" s="4" t="s">
        <v>3104</v>
      </c>
      <c r="B2928" s="4" t="s">
        <v>32</v>
      </c>
      <c r="C2928" s="13" t="n">
        <v>45107</v>
      </c>
      <c r="D2928" s="13" t="n">
        <v>45113</v>
      </c>
      <c r="E2928" s="13" t="n">
        <v>45120</v>
      </c>
      <c r="F2928" s="4" t="n">
        <v>2165</v>
      </c>
      <c r="G2928" s="4" t="n">
        <v>1986</v>
      </c>
      <c r="H2928" s="4" t="n">
        <v>32.49</v>
      </c>
      <c r="I2928" s="4" t="n">
        <v>32.76</v>
      </c>
      <c r="J2928" s="14" t="n">
        <f aca="false">E2928-D2928</f>
        <v>7</v>
      </c>
      <c r="K2928" s="14" t="n">
        <f aca="false">IF(J2928&lt;=0,1,0)</f>
        <v>0</v>
      </c>
      <c r="L2928" s="15" t="n">
        <f aca="false">IFERROR(G2928/F2928,0)</f>
        <v>0.917321016166282</v>
      </c>
      <c r="M2928" s="15" t="n">
        <f aca="false">IFERROR((I2928-H2928)/H2928,0)</f>
        <v>0.0083102493074791</v>
      </c>
      <c r="N2928" s="16" t="n">
        <f aca="false">G2928*I2928</f>
        <v>65061.36</v>
      </c>
    </row>
    <row r="2929" customFormat="false" ht="15" hidden="false" customHeight="true" outlineLevel="0" collapsed="false">
      <c r="A2929" s="4" t="s">
        <v>3105</v>
      </c>
      <c r="B2929" s="4" t="s">
        <v>161</v>
      </c>
      <c r="C2929" s="13" t="n">
        <v>45441</v>
      </c>
      <c r="D2929" s="13" t="n">
        <v>45451</v>
      </c>
      <c r="E2929" s="13" t="n">
        <v>45454</v>
      </c>
      <c r="F2929" s="4" t="n">
        <v>1787</v>
      </c>
      <c r="G2929" s="4" t="n">
        <v>1752</v>
      </c>
      <c r="H2929" s="4" t="n">
        <v>101.94</v>
      </c>
      <c r="I2929" s="4" t="n">
        <v>112.04</v>
      </c>
      <c r="J2929" s="14" t="n">
        <f aca="false">E2929-D2929</f>
        <v>3</v>
      </c>
      <c r="K2929" s="14" t="n">
        <f aca="false">IF(J2929&lt;=0,1,0)</f>
        <v>0</v>
      </c>
      <c r="L2929" s="15" t="n">
        <f aca="false">IFERROR(G2929/F2929,0)</f>
        <v>0.98041410184667</v>
      </c>
      <c r="M2929" s="15" t="n">
        <f aca="false">IFERROR((I2929-H2929)/H2929,0)</f>
        <v>0.0990778889542869</v>
      </c>
      <c r="N2929" s="16" t="n">
        <f aca="false">G2929*I2929</f>
        <v>196294.08</v>
      </c>
    </row>
    <row r="2930" customFormat="false" ht="15" hidden="false" customHeight="true" outlineLevel="0" collapsed="false">
      <c r="A2930" s="4" t="s">
        <v>3106</v>
      </c>
      <c r="B2930" s="4" t="s">
        <v>83</v>
      </c>
      <c r="C2930" s="13" t="n">
        <v>45401</v>
      </c>
      <c r="D2930" s="13" t="n">
        <v>45412</v>
      </c>
      <c r="E2930" s="13" t="n">
        <v>45409</v>
      </c>
      <c r="F2930" s="4" t="n">
        <v>939</v>
      </c>
      <c r="G2930" s="4" t="n">
        <v>932</v>
      </c>
      <c r="H2930" s="4" t="n">
        <v>101.36</v>
      </c>
      <c r="I2930" s="4" t="n">
        <v>103.67</v>
      </c>
      <c r="J2930" s="14" t="n">
        <f aca="false">E2930-D2930</f>
        <v>-3</v>
      </c>
      <c r="K2930" s="14" t="n">
        <f aca="false">IF(J2930&lt;=0,1,0)</f>
        <v>1</v>
      </c>
      <c r="L2930" s="15" t="n">
        <f aca="false">IFERROR(G2930/F2930,0)</f>
        <v>0.992545260915868</v>
      </c>
      <c r="M2930" s="15" t="n">
        <f aca="false">IFERROR((I2930-H2930)/H2930,0)</f>
        <v>0.0227900552486188</v>
      </c>
      <c r="N2930" s="16" t="n">
        <f aca="false">G2930*I2930</f>
        <v>96620.44</v>
      </c>
    </row>
    <row r="2931" customFormat="false" ht="15" hidden="false" customHeight="true" outlineLevel="0" collapsed="false">
      <c r="A2931" s="4" t="s">
        <v>3107</v>
      </c>
      <c r="B2931" s="4" t="s">
        <v>79</v>
      </c>
      <c r="C2931" s="13" t="n">
        <v>45494</v>
      </c>
      <c r="D2931" s="13" t="n">
        <v>45513</v>
      </c>
      <c r="E2931" s="13" t="n">
        <v>45521</v>
      </c>
      <c r="F2931" s="4" t="n">
        <v>305</v>
      </c>
      <c r="G2931" s="4" t="n">
        <v>299</v>
      </c>
      <c r="H2931" s="4" t="n">
        <v>821.48</v>
      </c>
      <c r="I2931" s="4" t="n">
        <v>864.99</v>
      </c>
      <c r="J2931" s="14" t="n">
        <f aca="false">E2931-D2931</f>
        <v>8</v>
      </c>
      <c r="K2931" s="14" t="n">
        <f aca="false">IF(J2931&lt;=0,1,0)</f>
        <v>0</v>
      </c>
      <c r="L2931" s="15" t="n">
        <f aca="false">IFERROR(G2931/F2931,0)</f>
        <v>0.980327868852459</v>
      </c>
      <c r="M2931" s="15" t="n">
        <f aca="false">IFERROR((I2931-H2931)/H2931,0)</f>
        <v>0.052965379558845</v>
      </c>
      <c r="N2931" s="16" t="n">
        <f aca="false">G2931*I2931</f>
        <v>258632.01</v>
      </c>
    </row>
    <row r="2932" customFormat="false" ht="15" hidden="false" customHeight="true" outlineLevel="0" collapsed="false">
      <c r="A2932" s="4" t="s">
        <v>3108</v>
      </c>
      <c r="B2932" s="4" t="s">
        <v>61</v>
      </c>
      <c r="C2932" s="13" t="n">
        <v>45461</v>
      </c>
      <c r="D2932" s="13" t="n">
        <v>45473</v>
      </c>
      <c r="E2932" s="13" t="n">
        <v>45475</v>
      </c>
      <c r="F2932" s="4" t="n">
        <v>1251</v>
      </c>
      <c r="G2932" s="4" t="n">
        <v>1251</v>
      </c>
      <c r="H2932" s="4" t="n">
        <v>107.41</v>
      </c>
      <c r="I2932" s="4" t="n">
        <v>107.51</v>
      </c>
      <c r="J2932" s="14" t="n">
        <f aca="false">E2932-D2932</f>
        <v>2</v>
      </c>
      <c r="K2932" s="14" t="n">
        <f aca="false">IF(J2932&lt;=0,1,0)</f>
        <v>0</v>
      </c>
      <c r="L2932" s="15" t="n">
        <f aca="false">IFERROR(G2932/F2932,0)</f>
        <v>1</v>
      </c>
      <c r="M2932" s="15" t="n">
        <f aca="false">IFERROR((I2932-H2932)/H2932,0)</f>
        <v>0.000931012010055009</v>
      </c>
      <c r="N2932" s="16" t="n">
        <f aca="false">G2932*I2932</f>
        <v>134495.01</v>
      </c>
    </row>
    <row r="2933" customFormat="false" ht="15" hidden="false" customHeight="true" outlineLevel="0" collapsed="false">
      <c r="A2933" s="4" t="s">
        <v>3109</v>
      </c>
      <c r="B2933" s="4" t="s">
        <v>93</v>
      </c>
      <c r="C2933" s="13" t="n">
        <v>45169</v>
      </c>
      <c r="D2933" s="13" t="n">
        <v>45181</v>
      </c>
      <c r="E2933" s="13" t="n">
        <v>45185</v>
      </c>
      <c r="F2933" s="4" t="n">
        <v>748</v>
      </c>
      <c r="G2933" s="4" t="n">
        <v>728</v>
      </c>
      <c r="H2933" s="4" t="n">
        <v>174.25</v>
      </c>
      <c r="I2933" s="4" t="n">
        <v>175.59</v>
      </c>
      <c r="J2933" s="14" t="n">
        <f aca="false">E2933-D2933</f>
        <v>4</v>
      </c>
      <c r="K2933" s="14" t="n">
        <f aca="false">IF(J2933&lt;=0,1,0)</f>
        <v>0</v>
      </c>
      <c r="L2933" s="15" t="n">
        <f aca="false">IFERROR(G2933/F2933,0)</f>
        <v>0.973262032085562</v>
      </c>
      <c r="M2933" s="15" t="n">
        <f aca="false">IFERROR((I2933-H2933)/H2933,0)</f>
        <v>0.00769010043041609</v>
      </c>
      <c r="N2933" s="16" t="n">
        <f aca="false">G2933*I2933</f>
        <v>127829.52</v>
      </c>
    </row>
    <row r="2934" customFormat="false" ht="15" hidden="false" customHeight="true" outlineLevel="0" collapsed="false">
      <c r="A2934" s="4" t="s">
        <v>3110</v>
      </c>
      <c r="B2934" s="4" t="s">
        <v>70</v>
      </c>
      <c r="C2934" s="13" t="n">
        <v>45335</v>
      </c>
      <c r="D2934" s="13" t="n">
        <v>45342</v>
      </c>
      <c r="E2934" s="13" t="n">
        <v>45345</v>
      </c>
      <c r="F2934" s="4" t="n">
        <v>3034</v>
      </c>
      <c r="G2934" s="4" t="n">
        <v>2855</v>
      </c>
      <c r="H2934" s="4" t="n">
        <v>35.88</v>
      </c>
      <c r="I2934" s="4" t="n">
        <v>37.49</v>
      </c>
      <c r="J2934" s="14" t="n">
        <f aca="false">E2934-D2934</f>
        <v>3</v>
      </c>
      <c r="K2934" s="14" t="n">
        <f aca="false">IF(J2934&lt;=0,1,0)</f>
        <v>0</v>
      </c>
      <c r="L2934" s="15" t="n">
        <f aca="false">IFERROR(G2934/F2934,0)</f>
        <v>0.941001977587343</v>
      </c>
      <c r="M2934" s="15" t="n">
        <f aca="false">IFERROR((I2934-H2934)/H2934,0)</f>
        <v>0.0448717948717949</v>
      </c>
      <c r="N2934" s="16" t="n">
        <f aca="false">G2934*I2934</f>
        <v>107033.95</v>
      </c>
    </row>
    <row r="2935" customFormat="false" ht="15" hidden="false" customHeight="true" outlineLevel="0" collapsed="false">
      <c r="A2935" s="4" t="s">
        <v>3111</v>
      </c>
      <c r="B2935" s="4" t="s">
        <v>63</v>
      </c>
      <c r="C2935" s="13" t="n">
        <v>45131</v>
      </c>
      <c r="D2935" s="13" t="n">
        <v>45142</v>
      </c>
      <c r="E2935" s="13" t="n">
        <v>45155</v>
      </c>
      <c r="F2935" s="4" t="n">
        <v>1687</v>
      </c>
      <c r="G2935" s="4" t="n">
        <v>1469</v>
      </c>
      <c r="H2935" s="4" t="n">
        <v>239.8</v>
      </c>
      <c r="I2935" s="4" t="n">
        <v>248.38</v>
      </c>
      <c r="J2935" s="14" t="n">
        <f aca="false">E2935-D2935</f>
        <v>13</v>
      </c>
      <c r="K2935" s="14" t="n">
        <f aca="false">IF(J2935&lt;=0,1,0)</f>
        <v>0</v>
      </c>
      <c r="L2935" s="15" t="n">
        <f aca="false">IFERROR(G2935/F2935,0)</f>
        <v>0.870776526378186</v>
      </c>
      <c r="M2935" s="15" t="n">
        <f aca="false">IFERROR((I2935-H2935)/H2935,0)</f>
        <v>0.0357798165137614</v>
      </c>
      <c r="N2935" s="16" t="n">
        <f aca="false">G2935*I2935</f>
        <v>364870.22</v>
      </c>
    </row>
    <row r="2936" customFormat="false" ht="15" hidden="false" customHeight="true" outlineLevel="0" collapsed="false">
      <c r="A2936" s="4" t="s">
        <v>3112</v>
      </c>
      <c r="B2936" s="4" t="s">
        <v>111</v>
      </c>
      <c r="C2936" s="13" t="n">
        <v>45625</v>
      </c>
      <c r="D2936" s="13" t="n">
        <v>45636</v>
      </c>
      <c r="E2936" s="13" t="n">
        <v>45634</v>
      </c>
      <c r="F2936" s="4" t="n">
        <v>1391</v>
      </c>
      <c r="G2936" s="4" t="n">
        <v>1359</v>
      </c>
      <c r="H2936" s="4" t="n">
        <v>148.08</v>
      </c>
      <c r="I2936" s="4" t="n">
        <v>151.79</v>
      </c>
      <c r="J2936" s="14" t="n">
        <f aca="false">E2936-D2936</f>
        <v>-2</v>
      </c>
      <c r="K2936" s="14" t="n">
        <f aca="false">IF(J2936&lt;=0,1,0)</f>
        <v>1</v>
      </c>
      <c r="L2936" s="15" t="n">
        <f aca="false">IFERROR(G2936/F2936,0)</f>
        <v>0.976994967649173</v>
      </c>
      <c r="M2936" s="15" t="n">
        <f aca="false">IFERROR((I2936-H2936)/H2936,0)</f>
        <v>0.0250540248514315</v>
      </c>
      <c r="N2936" s="16" t="n">
        <f aca="false">G2936*I2936</f>
        <v>206282.61</v>
      </c>
    </row>
    <row r="2937" customFormat="false" ht="15" hidden="false" customHeight="true" outlineLevel="0" collapsed="false">
      <c r="A2937" s="4" t="s">
        <v>3113</v>
      </c>
      <c r="B2937" s="4" t="s">
        <v>131</v>
      </c>
      <c r="C2937" s="13" t="n">
        <v>45031</v>
      </c>
      <c r="D2937" s="13" t="n">
        <v>45041</v>
      </c>
      <c r="E2937" s="13" t="n">
        <v>45041</v>
      </c>
      <c r="F2937" s="4" t="n">
        <v>775</v>
      </c>
      <c r="G2937" s="4" t="n">
        <v>764</v>
      </c>
      <c r="H2937" s="4" t="n">
        <v>88.52</v>
      </c>
      <c r="I2937" s="4" t="n">
        <v>91.23</v>
      </c>
      <c r="J2937" s="14" t="n">
        <f aca="false">E2937-D2937</f>
        <v>0</v>
      </c>
      <c r="K2937" s="14" t="n">
        <f aca="false">IF(J2937&lt;=0,1,0)</f>
        <v>1</v>
      </c>
      <c r="L2937" s="15" t="n">
        <f aca="false">IFERROR(G2937/F2937,0)</f>
        <v>0.985806451612903</v>
      </c>
      <c r="M2937" s="15" t="n">
        <f aca="false">IFERROR((I2937-H2937)/H2937,0)</f>
        <v>0.0306145503840941</v>
      </c>
      <c r="N2937" s="16" t="n">
        <f aca="false">G2937*I2937</f>
        <v>69699.72</v>
      </c>
    </row>
    <row r="2938" customFormat="false" ht="15" hidden="false" customHeight="true" outlineLevel="0" collapsed="false">
      <c r="A2938" s="4" t="s">
        <v>3114</v>
      </c>
      <c r="B2938" s="4" t="s">
        <v>117</v>
      </c>
      <c r="C2938" s="13" t="n">
        <v>45555</v>
      </c>
      <c r="D2938" s="13" t="n">
        <v>45567</v>
      </c>
      <c r="E2938" s="13" t="n">
        <v>45571</v>
      </c>
      <c r="F2938" s="4" t="n">
        <v>99</v>
      </c>
      <c r="G2938" s="4" t="n">
        <v>96</v>
      </c>
      <c r="H2938" s="4" t="n">
        <v>396.01</v>
      </c>
      <c r="I2938" s="4" t="n">
        <v>388.11</v>
      </c>
      <c r="J2938" s="14" t="n">
        <f aca="false">E2938-D2938</f>
        <v>4</v>
      </c>
      <c r="K2938" s="14" t="n">
        <f aca="false">IF(J2938&lt;=0,1,0)</f>
        <v>0</v>
      </c>
      <c r="L2938" s="15" t="n">
        <f aca="false">IFERROR(G2938/F2938,0)</f>
        <v>0.96969696969697</v>
      </c>
      <c r="M2938" s="15" t="n">
        <f aca="false">IFERROR((I2938-H2938)/H2938,0)</f>
        <v>-0.0199489911870912</v>
      </c>
      <c r="N2938" s="16" t="n">
        <f aca="false">G2938*I2938</f>
        <v>37258.56</v>
      </c>
    </row>
    <row r="2939" customFormat="false" ht="15" hidden="false" customHeight="true" outlineLevel="0" collapsed="false">
      <c r="A2939" s="4" t="s">
        <v>3115</v>
      </c>
      <c r="B2939" s="4" t="s">
        <v>77</v>
      </c>
      <c r="C2939" s="13" t="n">
        <v>45106</v>
      </c>
      <c r="D2939" s="13" t="n">
        <v>45114</v>
      </c>
      <c r="E2939" s="13" t="n">
        <v>45127</v>
      </c>
      <c r="F2939" s="4" t="n">
        <v>2713</v>
      </c>
      <c r="G2939" s="4" t="n">
        <v>2687</v>
      </c>
      <c r="H2939" s="4" t="n">
        <v>36.83</v>
      </c>
      <c r="I2939" s="4" t="n">
        <v>36.28</v>
      </c>
      <c r="J2939" s="14" t="n">
        <f aca="false">E2939-D2939</f>
        <v>13</v>
      </c>
      <c r="K2939" s="14" t="n">
        <f aca="false">IF(J2939&lt;=0,1,0)</f>
        <v>0</v>
      </c>
      <c r="L2939" s="15" t="n">
        <f aca="false">IFERROR(G2939/F2939,0)</f>
        <v>0.990416513085146</v>
      </c>
      <c r="M2939" s="15" t="n">
        <f aca="false">IFERROR((I2939-H2939)/H2939,0)</f>
        <v>-0.0149334781428183</v>
      </c>
      <c r="N2939" s="16" t="n">
        <f aca="false">G2939*I2939</f>
        <v>97484.36</v>
      </c>
    </row>
    <row r="2940" customFormat="false" ht="15" hidden="false" customHeight="true" outlineLevel="0" collapsed="false">
      <c r="A2940" s="4" t="s">
        <v>3116</v>
      </c>
      <c r="B2940" s="4" t="s">
        <v>91</v>
      </c>
      <c r="C2940" s="13" t="n">
        <v>45497</v>
      </c>
      <c r="D2940" s="13" t="n">
        <v>45514</v>
      </c>
      <c r="E2940" s="13" t="n">
        <v>45517</v>
      </c>
      <c r="F2940" s="4" t="n">
        <v>267</v>
      </c>
      <c r="G2940" s="4" t="n">
        <v>267</v>
      </c>
      <c r="H2940" s="4" t="n">
        <v>496.29</v>
      </c>
      <c r="I2940" s="4" t="n">
        <v>482.29</v>
      </c>
      <c r="J2940" s="14" t="n">
        <f aca="false">E2940-D2940</f>
        <v>3</v>
      </c>
      <c r="K2940" s="14" t="n">
        <f aca="false">IF(J2940&lt;=0,1,0)</f>
        <v>0</v>
      </c>
      <c r="L2940" s="15" t="n">
        <f aca="false">IFERROR(G2940/F2940,0)</f>
        <v>1</v>
      </c>
      <c r="M2940" s="15" t="n">
        <f aca="false">IFERROR((I2940-H2940)/H2940,0)</f>
        <v>-0.0282093131032259</v>
      </c>
      <c r="N2940" s="16" t="n">
        <f aca="false">G2940*I2940</f>
        <v>128771.43</v>
      </c>
    </row>
    <row r="2941" customFormat="false" ht="15" hidden="false" customHeight="true" outlineLevel="0" collapsed="false">
      <c r="A2941" s="4" t="s">
        <v>3117</v>
      </c>
      <c r="B2941" s="4" t="s">
        <v>37</v>
      </c>
      <c r="C2941" s="13" t="n">
        <v>45506</v>
      </c>
      <c r="D2941" s="13" t="n">
        <v>45512</v>
      </c>
      <c r="E2941" s="13" t="n">
        <v>45514</v>
      </c>
      <c r="F2941" s="4" t="n">
        <v>3753</v>
      </c>
      <c r="G2941" s="4" t="n">
        <v>3709</v>
      </c>
      <c r="H2941" s="4" t="n">
        <v>22.26</v>
      </c>
      <c r="I2941" s="4" t="n">
        <v>21.41</v>
      </c>
      <c r="J2941" s="14" t="n">
        <f aca="false">E2941-D2941</f>
        <v>2</v>
      </c>
      <c r="K2941" s="14" t="n">
        <f aca="false">IF(J2941&lt;=0,1,0)</f>
        <v>0</v>
      </c>
      <c r="L2941" s="15" t="n">
        <f aca="false">IFERROR(G2941/F2941,0)</f>
        <v>0.988276045830003</v>
      </c>
      <c r="M2941" s="15" t="n">
        <f aca="false">IFERROR((I2941-H2941)/H2941,0)</f>
        <v>-0.0381850853548967</v>
      </c>
      <c r="N2941" s="16" t="n">
        <f aca="false">G2941*I2941</f>
        <v>79409.69</v>
      </c>
    </row>
    <row r="2942" customFormat="false" ht="15" hidden="false" customHeight="true" outlineLevel="0" collapsed="false">
      <c r="A2942" s="4" t="s">
        <v>3118</v>
      </c>
      <c r="B2942" s="4" t="s">
        <v>133</v>
      </c>
      <c r="C2942" s="13" t="n">
        <v>45181</v>
      </c>
      <c r="D2942" s="13" t="n">
        <v>45192</v>
      </c>
      <c r="E2942" s="13" t="n">
        <v>45202</v>
      </c>
      <c r="F2942" s="4" t="n">
        <v>340</v>
      </c>
      <c r="G2942" s="4" t="n">
        <v>308</v>
      </c>
      <c r="H2942" s="4" t="n">
        <v>138.21</v>
      </c>
      <c r="I2942" s="4" t="n">
        <v>140.39</v>
      </c>
      <c r="J2942" s="14" t="n">
        <f aca="false">E2942-D2942</f>
        <v>10</v>
      </c>
      <c r="K2942" s="14" t="n">
        <f aca="false">IF(J2942&lt;=0,1,0)</f>
        <v>0</v>
      </c>
      <c r="L2942" s="15" t="n">
        <f aca="false">IFERROR(G2942/F2942,0)</f>
        <v>0.905882352941177</v>
      </c>
      <c r="M2942" s="15" t="n">
        <f aca="false">IFERROR((I2942-H2942)/H2942,0)</f>
        <v>0.0157730989074595</v>
      </c>
      <c r="N2942" s="16" t="n">
        <f aca="false">G2942*I2942</f>
        <v>43240.12</v>
      </c>
    </row>
    <row r="2943" customFormat="false" ht="15" hidden="false" customHeight="true" outlineLevel="0" collapsed="false">
      <c r="A2943" s="4" t="s">
        <v>3119</v>
      </c>
      <c r="B2943" s="4" t="s">
        <v>63</v>
      </c>
      <c r="C2943" s="13" t="n">
        <v>45484</v>
      </c>
      <c r="D2943" s="13" t="n">
        <v>45494</v>
      </c>
      <c r="E2943" s="13" t="n">
        <v>45509</v>
      </c>
      <c r="F2943" s="4" t="n">
        <v>323</v>
      </c>
      <c r="G2943" s="4" t="n">
        <v>298</v>
      </c>
      <c r="H2943" s="4" t="n">
        <v>239.8</v>
      </c>
      <c r="I2943" s="4" t="n">
        <v>261.29</v>
      </c>
      <c r="J2943" s="14" t="n">
        <f aca="false">E2943-D2943</f>
        <v>15</v>
      </c>
      <c r="K2943" s="14" t="n">
        <f aca="false">IF(J2943&lt;=0,1,0)</f>
        <v>0</v>
      </c>
      <c r="L2943" s="15" t="n">
        <f aca="false">IFERROR(G2943/F2943,0)</f>
        <v>0.922600619195046</v>
      </c>
      <c r="M2943" s="15" t="n">
        <f aca="false">IFERROR((I2943-H2943)/H2943,0)</f>
        <v>0.0896163469557965</v>
      </c>
      <c r="N2943" s="16" t="n">
        <f aca="false">G2943*I2943</f>
        <v>77864.42</v>
      </c>
    </row>
    <row r="2944" customFormat="false" ht="15" hidden="false" customHeight="true" outlineLevel="0" collapsed="false">
      <c r="A2944" s="4" t="s">
        <v>3120</v>
      </c>
      <c r="B2944" s="4" t="s">
        <v>72</v>
      </c>
      <c r="C2944" s="13" t="n">
        <v>45576</v>
      </c>
      <c r="D2944" s="13" t="n">
        <v>45583</v>
      </c>
      <c r="E2944" s="13" t="n">
        <v>45583</v>
      </c>
      <c r="F2944" s="4" t="n">
        <v>2945</v>
      </c>
      <c r="G2944" s="4" t="n">
        <v>2796</v>
      </c>
      <c r="H2944" s="4" t="n">
        <v>34.53</v>
      </c>
      <c r="I2944" s="4" t="n">
        <v>37.31</v>
      </c>
      <c r="J2944" s="14" t="n">
        <f aca="false">E2944-D2944</f>
        <v>0</v>
      </c>
      <c r="K2944" s="14" t="n">
        <f aca="false">IF(J2944&lt;=0,1,0)</f>
        <v>1</v>
      </c>
      <c r="L2944" s="15" t="n">
        <f aca="false">IFERROR(G2944/F2944,0)</f>
        <v>0.949405772495756</v>
      </c>
      <c r="M2944" s="15" t="n">
        <f aca="false">IFERROR((I2944-H2944)/H2944,0)</f>
        <v>0.0805097017086592</v>
      </c>
      <c r="N2944" s="16" t="n">
        <f aca="false">G2944*I2944</f>
        <v>104318.76</v>
      </c>
    </row>
    <row r="2945" customFormat="false" ht="15" hidden="false" customHeight="true" outlineLevel="0" collapsed="false">
      <c r="A2945" s="4" t="s">
        <v>3121</v>
      </c>
      <c r="B2945" s="4" t="s">
        <v>121</v>
      </c>
      <c r="C2945" s="13" t="n">
        <v>45289</v>
      </c>
      <c r="D2945" s="13" t="n">
        <v>45301</v>
      </c>
      <c r="E2945" s="13" t="n">
        <v>45303</v>
      </c>
      <c r="F2945" s="4" t="n">
        <v>1353</v>
      </c>
      <c r="G2945" s="4" t="n">
        <v>1206</v>
      </c>
      <c r="H2945" s="4" t="n">
        <v>206.07</v>
      </c>
      <c r="I2945" s="4" t="n">
        <v>217.29</v>
      </c>
      <c r="J2945" s="14" t="n">
        <f aca="false">E2945-D2945</f>
        <v>2</v>
      </c>
      <c r="K2945" s="14" t="n">
        <f aca="false">IF(J2945&lt;=0,1,0)</f>
        <v>0</v>
      </c>
      <c r="L2945" s="15" t="n">
        <f aca="false">IFERROR(G2945/F2945,0)</f>
        <v>0.891352549889135</v>
      </c>
      <c r="M2945" s="15" t="n">
        <f aca="false">IFERROR((I2945-H2945)/H2945,0)</f>
        <v>0.0544475178337458</v>
      </c>
      <c r="N2945" s="16" t="n">
        <f aca="false">G2945*I2945</f>
        <v>262051.74</v>
      </c>
    </row>
    <row r="2946" customFormat="false" ht="15" hidden="false" customHeight="true" outlineLevel="0" collapsed="false">
      <c r="A2946" s="4" t="s">
        <v>3122</v>
      </c>
      <c r="B2946" s="4" t="s">
        <v>47</v>
      </c>
      <c r="C2946" s="13" t="n">
        <v>45483</v>
      </c>
      <c r="D2946" s="13" t="n">
        <v>45492</v>
      </c>
      <c r="E2946" s="13" t="n">
        <v>45492</v>
      </c>
      <c r="F2946" s="4" t="n">
        <v>356</v>
      </c>
      <c r="G2946" s="4" t="n">
        <v>347</v>
      </c>
      <c r="H2946" s="4" t="n">
        <v>228.68</v>
      </c>
      <c r="I2946" s="4" t="n">
        <v>231.14</v>
      </c>
      <c r="J2946" s="14" t="n">
        <f aca="false">E2946-D2946</f>
        <v>0</v>
      </c>
      <c r="K2946" s="14" t="n">
        <f aca="false">IF(J2946&lt;=0,1,0)</f>
        <v>1</v>
      </c>
      <c r="L2946" s="15" t="n">
        <f aca="false">IFERROR(G2946/F2946,0)</f>
        <v>0.974719101123596</v>
      </c>
      <c r="M2946" s="15" t="n">
        <f aca="false">IFERROR((I2946-H2946)/H2946,0)</f>
        <v>0.0107573902396361</v>
      </c>
      <c r="N2946" s="16" t="n">
        <f aca="false">G2946*I2946</f>
        <v>80205.58</v>
      </c>
    </row>
    <row r="2947" customFormat="false" ht="15" hidden="false" customHeight="true" outlineLevel="0" collapsed="false">
      <c r="A2947" s="4" t="s">
        <v>3123</v>
      </c>
      <c r="B2947" s="4" t="s">
        <v>105</v>
      </c>
      <c r="C2947" s="13" t="n">
        <v>45549</v>
      </c>
      <c r="D2947" s="13" t="n">
        <v>45566</v>
      </c>
      <c r="E2947" s="13" t="n">
        <v>45566</v>
      </c>
      <c r="F2947" s="4" t="n">
        <v>248</v>
      </c>
      <c r="G2947" s="4" t="n">
        <v>233</v>
      </c>
      <c r="H2947" s="4" t="n">
        <v>685.84</v>
      </c>
      <c r="I2947" s="4" t="n">
        <v>709.95</v>
      </c>
      <c r="J2947" s="14" t="n">
        <f aca="false">E2947-D2947</f>
        <v>0</v>
      </c>
      <c r="K2947" s="14" t="n">
        <f aca="false">IF(J2947&lt;=0,1,0)</f>
        <v>1</v>
      </c>
      <c r="L2947" s="15" t="n">
        <f aca="false">IFERROR(G2947/F2947,0)</f>
        <v>0.939516129032258</v>
      </c>
      <c r="M2947" s="15" t="n">
        <f aca="false">IFERROR((I2947-H2947)/H2947,0)</f>
        <v>0.0351539717718418</v>
      </c>
      <c r="N2947" s="16" t="n">
        <f aca="false">G2947*I2947</f>
        <v>165418.35</v>
      </c>
    </row>
    <row r="2948" customFormat="false" ht="15" hidden="false" customHeight="true" outlineLevel="0" collapsed="false">
      <c r="A2948" s="4" t="s">
        <v>3124</v>
      </c>
      <c r="B2948" s="4" t="s">
        <v>50</v>
      </c>
      <c r="C2948" s="13" t="n">
        <v>45618</v>
      </c>
      <c r="D2948" s="13" t="n">
        <v>45638</v>
      </c>
      <c r="E2948" s="13" t="n">
        <v>45639</v>
      </c>
      <c r="F2948" s="4" t="n">
        <v>278</v>
      </c>
      <c r="G2948" s="4" t="n">
        <v>278</v>
      </c>
      <c r="H2948" s="4" t="n">
        <v>707.19</v>
      </c>
      <c r="I2948" s="4" t="n">
        <v>758.46</v>
      </c>
      <c r="J2948" s="14" t="n">
        <f aca="false">E2948-D2948</f>
        <v>1</v>
      </c>
      <c r="K2948" s="14" t="n">
        <f aca="false">IF(J2948&lt;=0,1,0)</f>
        <v>0</v>
      </c>
      <c r="L2948" s="15" t="n">
        <f aca="false">IFERROR(G2948/F2948,0)</f>
        <v>1</v>
      </c>
      <c r="M2948" s="15" t="n">
        <f aca="false">IFERROR((I2948-H2948)/H2948,0)</f>
        <v>0.0724981970898909</v>
      </c>
      <c r="N2948" s="16" t="n">
        <f aca="false">G2948*I2948</f>
        <v>210851.88</v>
      </c>
    </row>
    <row r="2949" customFormat="false" ht="15" hidden="false" customHeight="true" outlineLevel="0" collapsed="false">
      <c r="A2949" s="4" t="s">
        <v>3125</v>
      </c>
      <c r="B2949" s="4" t="s">
        <v>135</v>
      </c>
      <c r="C2949" s="13" t="n">
        <v>45501</v>
      </c>
      <c r="D2949" s="13" t="n">
        <v>45514</v>
      </c>
      <c r="E2949" s="13" t="n">
        <v>45517</v>
      </c>
      <c r="F2949" s="4" t="n">
        <v>30</v>
      </c>
      <c r="G2949" s="4" t="n">
        <v>30</v>
      </c>
      <c r="H2949" s="4" t="n">
        <v>328.06</v>
      </c>
      <c r="I2949" s="4" t="n">
        <v>326.48</v>
      </c>
      <c r="J2949" s="14" t="n">
        <f aca="false">E2949-D2949</f>
        <v>3</v>
      </c>
      <c r="K2949" s="14" t="n">
        <f aca="false">IF(J2949&lt;=0,1,0)</f>
        <v>0</v>
      </c>
      <c r="L2949" s="15" t="n">
        <f aca="false">IFERROR(G2949/F2949,0)</f>
        <v>1</v>
      </c>
      <c r="M2949" s="15" t="n">
        <f aca="false">IFERROR((I2949-H2949)/H2949,0)</f>
        <v>-0.00481619215997069</v>
      </c>
      <c r="N2949" s="16" t="n">
        <f aca="false">G2949*I2949</f>
        <v>9794.4</v>
      </c>
    </row>
    <row r="2950" customFormat="false" ht="15" hidden="false" customHeight="true" outlineLevel="0" collapsed="false">
      <c r="A2950" s="4" t="s">
        <v>3126</v>
      </c>
      <c r="B2950" s="4" t="s">
        <v>37</v>
      </c>
      <c r="C2950" s="13" t="n">
        <v>45396</v>
      </c>
      <c r="D2950" s="13" t="n">
        <v>45405</v>
      </c>
      <c r="E2950" s="13" t="n">
        <v>45407</v>
      </c>
      <c r="F2950" s="4" t="n">
        <v>914</v>
      </c>
      <c r="G2950" s="4" t="n">
        <v>914</v>
      </c>
      <c r="H2950" s="4" t="n">
        <v>22.26</v>
      </c>
      <c r="I2950" s="4" t="n">
        <v>21.32</v>
      </c>
      <c r="J2950" s="14" t="n">
        <f aca="false">E2950-D2950</f>
        <v>2</v>
      </c>
      <c r="K2950" s="14" t="n">
        <f aca="false">IF(J2950&lt;=0,1,0)</f>
        <v>0</v>
      </c>
      <c r="L2950" s="15" t="n">
        <f aca="false">IFERROR(G2950/F2950,0)</f>
        <v>1</v>
      </c>
      <c r="M2950" s="15" t="n">
        <f aca="false">IFERROR((I2950-H2950)/H2950,0)</f>
        <v>-0.0422282120395329</v>
      </c>
      <c r="N2950" s="16" t="n">
        <f aca="false">G2950*I2950</f>
        <v>19486.48</v>
      </c>
    </row>
    <row r="2951" customFormat="false" ht="15" hidden="false" customHeight="true" outlineLevel="0" collapsed="false">
      <c r="A2951" s="4" t="s">
        <v>3127</v>
      </c>
      <c r="B2951" s="4" t="s">
        <v>32</v>
      </c>
      <c r="C2951" s="13" t="n">
        <v>45339</v>
      </c>
      <c r="D2951" s="13" t="n">
        <v>45346</v>
      </c>
      <c r="E2951" s="13" t="n">
        <v>45345</v>
      </c>
      <c r="F2951" s="4" t="n">
        <v>970</v>
      </c>
      <c r="G2951" s="4" t="n">
        <v>905</v>
      </c>
      <c r="H2951" s="4" t="n">
        <v>32.49</v>
      </c>
      <c r="I2951" s="4" t="n">
        <v>32.94</v>
      </c>
      <c r="J2951" s="14" t="n">
        <f aca="false">E2951-D2951</f>
        <v>-1</v>
      </c>
      <c r="K2951" s="14" t="n">
        <f aca="false">IF(J2951&lt;=0,1,0)</f>
        <v>1</v>
      </c>
      <c r="L2951" s="15" t="n">
        <f aca="false">IFERROR(G2951/F2951,0)</f>
        <v>0.93298969072165</v>
      </c>
      <c r="M2951" s="15" t="n">
        <f aca="false">IFERROR((I2951-H2951)/H2951,0)</f>
        <v>0.0138504155124652</v>
      </c>
      <c r="N2951" s="16" t="n">
        <f aca="false">G2951*I2951</f>
        <v>29810.7</v>
      </c>
    </row>
    <row r="2952" customFormat="false" ht="15" hidden="false" customHeight="true" outlineLevel="0" collapsed="false">
      <c r="A2952" s="4" t="s">
        <v>3128</v>
      </c>
      <c r="B2952" s="4" t="s">
        <v>153</v>
      </c>
      <c r="C2952" s="13" t="n">
        <v>45119</v>
      </c>
      <c r="D2952" s="13" t="n">
        <v>45137</v>
      </c>
      <c r="E2952" s="13" t="n">
        <v>45146</v>
      </c>
      <c r="F2952" s="4" t="n">
        <v>215</v>
      </c>
      <c r="G2952" s="4" t="n">
        <v>196</v>
      </c>
      <c r="H2952" s="4" t="n">
        <v>1492.04</v>
      </c>
      <c r="I2952" s="4" t="n">
        <v>1505.36</v>
      </c>
      <c r="J2952" s="14" t="n">
        <f aca="false">E2952-D2952</f>
        <v>9</v>
      </c>
      <c r="K2952" s="14" t="n">
        <f aca="false">IF(J2952&lt;=0,1,0)</f>
        <v>0</v>
      </c>
      <c r="L2952" s="15" t="n">
        <f aca="false">IFERROR(G2952/F2952,0)</f>
        <v>0.911627906976744</v>
      </c>
      <c r="M2952" s="15" t="n">
        <f aca="false">IFERROR((I2952-H2952)/H2952,0)</f>
        <v>0.00892737460121708</v>
      </c>
      <c r="N2952" s="16" t="n">
        <f aca="false">G2952*I2952</f>
        <v>295050.56</v>
      </c>
    </row>
    <row r="2953" customFormat="false" ht="15" hidden="false" customHeight="true" outlineLevel="0" collapsed="false">
      <c r="A2953" s="4" t="s">
        <v>3129</v>
      </c>
      <c r="B2953" s="4" t="s">
        <v>97</v>
      </c>
      <c r="C2953" s="13" t="n">
        <v>45313</v>
      </c>
      <c r="D2953" s="13" t="n">
        <v>45323</v>
      </c>
      <c r="E2953" s="13" t="n">
        <v>45325</v>
      </c>
      <c r="F2953" s="4" t="n">
        <v>1346</v>
      </c>
      <c r="G2953" s="4" t="n">
        <v>1267</v>
      </c>
      <c r="H2953" s="4" t="n">
        <v>123.04</v>
      </c>
      <c r="I2953" s="4" t="n">
        <v>122.65</v>
      </c>
      <c r="J2953" s="14" t="n">
        <f aca="false">E2953-D2953</f>
        <v>2</v>
      </c>
      <c r="K2953" s="14" t="n">
        <f aca="false">IF(J2953&lt;=0,1,0)</f>
        <v>0</v>
      </c>
      <c r="L2953" s="15" t="n">
        <f aca="false">IFERROR(G2953/F2953,0)</f>
        <v>0.941307578008915</v>
      </c>
      <c r="M2953" s="15" t="n">
        <f aca="false">IFERROR((I2953-H2953)/H2953,0)</f>
        <v>-0.00316970091027309</v>
      </c>
      <c r="N2953" s="16" t="n">
        <f aca="false">G2953*I2953</f>
        <v>155397.55</v>
      </c>
    </row>
    <row r="2954" customFormat="false" ht="15" hidden="false" customHeight="true" outlineLevel="0" collapsed="false">
      <c r="A2954" s="4" t="s">
        <v>3130</v>
      </c>
      <c r="B2954" s="4" t="s">
        <v>93</v>
      </c>
      <c r="C2954" s="13" t="n">
        <v>45103</v>
      </c>
      <c r="D2954" s="13" t="n">
        <v>45112</v>
      </c>
      <c r="E2954" s="13" t="n">
        <v>45115</v>
      </c>
      <c r="F2954" s="4" t="n">
        <v>437</v>
      </c>
      <c r="G2954" s="4" t="n">
        <v>430</v>
      </c>
      <c r="H2954" s="4" t="n">
        <v>174.25</v>
      </c>
      <c r="I2954" s="4" t="n">
        <v>177.4</v>
      </c>
      <c r="J2954" s="14" t="n">
        <f aca="false">E2954-D2954</f>
        <v>3</v>
      </c>
      <c r="K2954" s="14" t="n">
        <f aca="false">IF(J2954&lt;=0,1,0)</f>
        <v>0</v>
      </c>
      <c r="L2954" s="15" t="n">
        <f aca="false">IFERROR(G2954/F2954,0)</f>
        <v>0.983981693363844</v>
      </c>
      <c r="M2954" s="15" t="n">
        <f aca="false">IFERROR((I2954-H2954)/H2954,0)</f>
        <v>0.018077474892396</v>
      </c>
      <c r="N2954" s="16" t="n">
        <f aca="false">G2954*I2954</f>
        <v>76282</v>
      </c>
    </row>
    <row r="2955" customFormat="false" ht="15" hidden="false" customHeight="true" outlineLevel="0" collapsed="false">
      <c r="A2955" s="4" t="s">
        <v>3131</v>
      </c>
      <c r="B2955" s="4" t="s">
        <v>127</v>
      </c>
      <c r="C2955" s="13" t="n">
        <v>45543</v>
      </c>
      <c r="D2955" s="13" t="n">
        <v>45549</v>
      </c>
      <c r="E2955" s="13" t="n">
        <v>45556</v>
      </c>
      <c r="F2955" s="4" t="n">
        <v>2</v>
      </c>
      <c r="G2955" s="4" t="n">
        <v>2</v>
      </c>
      <c r="H2955" s="4" t="n">
        <v>1881</v>
      </c>
      <c r="I2955" s="4" t="n">
        <v>1747.36</v>
      </c>
      <c r="J2955" s="14" t="n">
        <f aca="false">E2955-D2955</f>
        <v>7</v>
      </c>
      <c r="K2955" s="14" t="n">
        <f aca="false">IF(J2955&lt;=0,1,0)</f>
        <v>0</v>
      </c>
      <c r="L2955" s="15" t="n">
        <f aca="false">IFERROR(G2955/F2955,0)</f>
        <v>1</v>
      </c>
      <c r="M2955" s="15" t="n">
        <f aca="false">IFERROR((I2955-H2955)/H2955,0)</f>
        <v>-0.0710473152578416</v>
      </c>
      <c r="N2955" s="16" t="n">
        <f aca="false">G2955*I2955</f>
        <v>3494.72</v>
      </c>
    </row>
    <row r="2956" customFormat="false" ht="15" hidden="false" customHeight="true" outlineLevel="0" collapsed="false">
      <c r="A2956" s="4" t="s">
        <v>3132</v>
      </c>
      <c r="B2956" s="4" t="s">
        <v>139</v>
      </c>
      <c r="C2956" s="13" t="n">
        <v>45560</v>
      </c>
      <c r="D2956" s="13" t="n">
        <v>45569</v>
      </c>
      <c r="E2956" s="13" t="n">
        <v>45566</v>
      </c>
      <c r="F2956" s="4" t="n">
        <v>504</v>
      </c>
      <c r="G2956" s="4" t="n">
        <v>445</v>
      </c>
      <c r="H2956" s="4" t="n">
        <v>207.64</v>
      </c>
      <c r="I2956" s="4" t="n">
        <v>219.26</v>
      </c>
      <c r="J2956" s="14" t="n">
        <f aca="false">E2956-D2956</f>
        <v>-3</v>
      </c>
      <c r="K2956" s="14" t="n">
        <f aca="false">IF(J2956&lt;=0,1,0)</f>
        <v>1</v>
      </c>
      <c r="L2956" s="15" t="n">
        <f aca="false">IFERROR(G2956/F2956,0)</f>
        <v>0.882936507936508</v>
      </c>
      <c r="M2956" s="15" t="n">
        <f aca="false">IFERROR((I2956-H2956)/H2956,0)</f>
        <v>0.0559622423425159</v>
      </c>
      <c r="N2956" s="16" t="n">
        <f aca="false">G2956*I2956</f>
        <v>97570.7</v>
      </c>
    </row>
    <row r="2957" customFormat="false" ht="15" hidden="false" customHeight="true" outlineLevel="0" collapsed="false">
      <c r="A2957" s="4" t="s">
        <v>3133</v>
      </c>
      <c r="B2957" s="4" t="s">
        <v>83</v>
      </c>
      <c r="C2957" s="13" t="n">
        <v>45598</v>
      </c>
      <c r="D2957" s="13" t="n">
        <v>45610</v>
      </c>
      <c r="E2957" s="13" t="n">
        <v>45611</v>
      </c>
      <c r="F2957" s="4" t="n">
        <v>654</v>
      </c>
      <c r="G2957" s="4" t="n">
        <v>654</v>
      </c>
      <c r="H2957" s="4" t="n">
        <v>101.36</v>
      </c>
      <c r="I2957" s="4" t="n">
        <v>107.57</v>
      </c>
      <c r="J2957" s="14" t="n">
        <f aca="false">E2957-D2957</f>
        <v>1</v>
      </c>
      <c r="K2957" s="14" t="n">
        <f aca="false">IF(J2957&lt;=0,1,0)</f>
        <v>0</v>
      </c>
      <c r="L2957" s="15" t="n">
        <f aca="false">IFERROR(G2957/F2957,0)</f>
        <v>1</v>
      </c>
      <c r="M2957" s="15" t="n">
        <f aca="false">IFERROR((I2957-H2957)/H2957,0)</f>
        <v>0.061266771902131</v>
      </c>
      <c r="N2957" s="16" t="n">
        <f aca="false">G2957*I2957</f>
        <v>70350.78</v>
      </c>
    </row>
    <row r="2958" customFormat="false" ht="15" hidden="false" customHeight="true" outlineLevel="0" collapsed="false">
      <c r="A2958" s="4" t="s">
        <v>3134</v>
      </c>
      <c r="B2958" s="4" t="s">
        <v>155</v>
      </c>
      <c r="C2958" s="13" t="n">
        <v>45554</v>
      </c>
      <c r="D2958" s="13" t="n">
        <v>45560</v>
      </c>
      <c r="E2958" s="13" t="n">
        <v>45558</v>
      </c>
      <c r="F2958" s="4" t="n">
        <v>1772</v>
      </c>
      <c r="G2958" s="4" t="n">
        <v>1665</v>
      </c>
      <c r="H2958" s="4" t="n">
        <v>24.04</v>
      </c>
      <c r="I2958" s="4" t="n">
        <v>22.56</v>
      </c>
      <c r="J2958" s="14" t="n">
        <f aca="false">E2958-D2958</f>
        <v>-2</v>
      </c>
      <c r="K2958" s="14" t="n">
        <f aca="false">IF(J2958&lt;=0,1,0)</f>
        <v>1</v>
      </c>
      <c r="L2958" s="15" t="n">
        <f aca="false">IFERROR(G2958/F2958,0)</f>
        <v>0.93961625282167</v>
      </c>
      <c r="M2958" s="15" t="n">
        <f aca="false">IFERROR((I2958-H2958)/H2958,0)</f>
        <v>-0.0615640599001664</v>
      </c>
      <c r="N2958" s="16" t="n">
        <f aca="false">G2958*I2958</f>
        <v>37562.4</v>
      </c>
    </row>
    <row r="2959" customFormat="false" ht="15" hidden="false" customHeight="true" outlineLevel="0" collapsed="false">
      <c r="A2959" s="4" t="s">
        <v>3135</v>
      </c>
      <c r="B2959" s="4" t="s">
        <v>77</v>
      </c>
      <c r="C2959" s="13" t="n">
        <v>44997</v>
      </c>
      <c r="D2959" s="13" t="n">
        <v>45005</v>
      </c>
      <c r="E2959" s="13" t="n">
        <v>45015</v>
      </c>
      <c r="F2959" s="4" t="n">
        <v>601</v>
      </c>
      <c r="G2959" s="4" t="n">
        <v>601</v>
      </c>
      <c r="H2959" s="4" t="n">
        <v>36.83</v>
      </c>
      <c r="I2959" s="4" t="n">
        <v>36.58</v>
      </c>
      <c r="J2959" s="14" t="n">
        <f aca="false">E2959-D2959</f>
        <v>10</v>
      </c>
      <c r="K2959" s="14" t="n">
        <f aca="false">IF(J2959&lt;=0,1,0)</f>
        <v>0</v>
      </c>
      <c r="L2959" s="15" t="n">
        <f aca="false">IFERROR(G2959/F2959,0)</f>
        <v>1</v>
      </c>
      <c r="M2959" s="15" t="n">
        <f aca="false">IFERROR((I2959-H2959)/H2959,0)</f>
        <v>-0.00678794461037198</v>
      </c>
      <c r="N2959" s="16" t="n">
        <f aca="false">G2959*I2959</f>
        <v>21984.58</v>
      </c>
    </row>
    <row r="2960" customFormat="false" ht="15" hidden="false" customHeight="true" outlineLevel="0" collapsed="false">
      <c r="A2960" s="4" t="s">
        <v>3136</v>
      </c>
      <c r="B2960" s="4" t="s">
        <v>125</v>
      </c>
      <c r="C2960" s="13" t="n">
        <v>44938</v>
      </c>
      <c r="D2960" s="13" t="n">
        <v>44944</v>
      </c>
      <c r="E2960" s="13" t="n">
        <v>44947</v>
      </c>
      <c r="F2960" s="4" t="n">
        <v>17</v>
      </c>
      <c r="G2960" s="4" t="n">
        <v>14</v>
      </c>
      <c r="H2960" s="4" t="n">
        <v>729.32</v>
      </c>
      <c r="I2960" s="4" t="n">
        <v>726.27</v>
      </c>
      <c r="J2960" s="14" t="n">
        <f aca="false">E2960-D2960</f>
        <v>3</v>
      </c>
      <c r="K2960" s="14" t="n">
        <f aca="false">IF(J2960&lt;=0,1,0)</f>
        <v>0</v>
      </c>
      <c r="L2960" s="15" t="n">
        <f aca="false">IFERROR(G2960/F2960,0)</f>
        <v>0.823529411764706</v>
      </c>
      <c r="M2960" s="15" t="n">
        <f aca="false">IFERROR((I2960-H2960)/H2960,0)</f>
        <v>-0.00418197773268259</v>
      </c>
      <c r="N2960" s="16" t="n">
        <f aca="false">G2960*I2960</f>
        <v>10167.78</v>
      </c>
    </row>
    <row r="2961" customFormat="false" ht="15" hidden="false" customHeight="true" outlineLevel="0" collapsed="false">
      <c r="A2961" s="4" t="s">
        <v>3137</v>
      </c>
      <c r="B2961" s="4" t="s">
        <v>131</v>
      </c>
      <c r="C2961" s="13" t="n">
        <v>45225</v>
      </c>
      <c r="D2961" s="13" t="n">
        <v>45236</v>
      </c>
      <c r="E2961" s="13" t="n">
        <v>45231</v>
      </c>
      <c r="F2961" s="4" t="n">
        <v>1343</v>
      </c>
      <c r="G2961" s="4" t="n">
        <v>1271</v>
      </c>
      <c r="H2961" s="4" t="n">
        <v>88.52</v>
      </c>
      <c r="I2961" s="4" t="n">
        <v>88.77</v>
      </c>
      <c r="J2961" s="14" t="n">
        <f aca="false">E2961-D2961</f>
        <v>-5</v>
      </c>
      <c r="K2961" s="14" t="n">
        <f aca="false">IF(J2961&lt;=0,1,0)</f>
        <v>1</v>
      </c>
      <c r="L2961" s="15" t="n">
        <f aca="false">IFERROR(G2961/F2961,0)</f>
        <v>0.946388682055101</v>
      </c>
      <c r="M2961" s="15" t="n">
        <f aca="false">IFERROR((I2961-H2961)/H2961,0)</f>
        <v>0.00282422051513782</v>
      </c>
      <c r="N2961" s="16" t="n">
        <f aca="false">G2961*I2961</f>
        <v>112826.67</v>
      </c>
    </row>
    <row r="2962" customFormat="false" ht="15" hidden="false" customHeight="true" outlineLevel="0" collapsed="false">
      <c r="A2962" s="4" t="s">
        <v>3138</v>
      </c>
      <c r="B2962" s="4" t="s">
        <v>147</v>
      </c>
      <c r="C2962" s="13" t="n">
        <v>45374</v>
      </c>
      <c r="D2962" s="13" t="n">
        <v>45387</v>
      </c>
      <c r="E2962" s="13" t="n">
        <v>45388</v>
      </c>
      <c r="F2962" s="4" t="n">
        <v>242</v>
      </c>
      <c r="G2962" s="4" t="n">
        <v>237</v>
      </c>
      <c r="H2962" s="4" t="n">
        <v>203.3</v>
      </c>
      <c r="I2962" s="4" t="n">
        <v>206.95</v>
      </c>
      <c r="J2962" s="14" t="n">
        <f aca="false">E2962-D2962</f>
        <v>1</v>
      </c>
      <c r="K2962" s="14" t="n">
        <f aca="false">IF(J2962&lt;=0,1,0)</f>
        <v>0</v>
      </c>
      <c r="L2962" s="15" t="n">
        <f aca="false">IFERROR(G2962/F2962,0)</f>
        <v>0.979338842975207</v>
      </c>
      <c r="M2962" s="15" t="n">
        <f aca="false">IFERROR((I2962-H2962)/H2962,0)</f>
        <v>0.0179537629119527</v>
      </c>
      <c r="N2962" s="16" t="n">
        <f aca="false">G2962*I2962</f>
        <v>49047.15</v>
      </c>
    </row>
    <row r="2963" customFormat="false" ht="15" hidden="false" customHeight="true" outlineLevel="0" collapsed="false">
      <c r="A2963" s="4" t="s">
        <v>3139</v>
      </c>
      <c r="B2963" s="4" t="s">
        <v>127</v>
      </c>
      <c r="C2963" s="13" t="n">
        <v>45083</v>
      </c>
      <c r="D2963" s="13" t="n">
        <v>45089</v>
      </c>
      <c r="E2963" s="13" t="n">
        <v>45092</v>
      </c>
      <c r="F2963" s="4" t="n">
        <v>13</v>
      </c>
      <c r="G2963" s="4" t="n">
        <v>13</v>
      </c>
      <c r="H2963" s="4" t="n">
        <v>1881</v>
      </c>
      <c r="I2963" s="4" t="n">
        <v>1844.32</v>
      </c>
      <c r="J2963" s="14" t="n">
        <f aca="false">E2963-D2963</f>
        <v>3</v>
      </c>
      <c r="K2963" s="14" t="n">
        <f aca="false">IF(J2963&lt;=0,1,0)</f>
        <v>0</v>
      </c>
      <c r="L2963" s="15" t="n">
        <f aca="false">IFERROR(G2963/F2963,0)</f>
        <v>1</v>
      </c>
      <c r="M2963" s="15" t="n">
        <f aca="false">IFERROR((I2963-H2963)/H2963,0)</f>
        <v>-0.0195002658160553</v>
      </c>
      <c r="N2963" s="16" t="n">
        <f aca="false">G2963*I2963</f>
        <v>23976.16</v>
      </c>
    </row>
    <row r="2964" customFormat="false" ht="15" hidden="false" customHeight="true" outlineLevel="0" collapsed="false">
      <c r="A2964" s="4" t="s">
        <v>3140</v>
      </c>
      <c r="B2964" s="4" t="s">
        <v>52</v>
      </c>
      <c r="C2964" s="13" t="n">
        <v>45236</v>
      </c>
      <c r="D2964" s="13" t="n">
        <v>45248</v>
      </c>
      <c r="E2964" s="13" t="n">
        <v>45253</v>
      </c>
      <c r="F2964" s="4" t="n">
        <v>1383</v>
      </c>
      <c r="G2964" s="4" t="n">
        <v>1210</v>
      </c>
      <c r="H2964" s="4" t="n">
        <v>170.24</v>
      </c>
      <c r="I2964" s="4" t="n">
        <v>171.97</v>
      </c>
      <c r="J2964" s="14" t="n">
        <f aca="false">E2964-D2964</f>
        <v>5</v>
      </c>
      <c r="K2964" s="14" t="n">
        <f aca="false">IF(J2964&lt;=0,1,0)</f>
        <v>0</v>
      </c>
      <c r="L2964" s="15" t="n">
        <f aca="false">IFERROR(G2964/F2964,0)</f>
        <v>0.874909616775127</v>
      </c>
      <c r="M2964" s="15" t="n">
        <f aca="false">IFERROR((I2964-H2964)/H2964,0)</f>
        <v>0.0101621240601503</v>
      </c>
      <c r="N2964" s="16" t="n">
        <f aca="false">G2964*I2964</f>
        <v>208083.7</v>
      </c>
    </row>
    <row r="2965" customFormat="false" ht="15" hidden="false" customHeight="true" outlineLevel="0" collapsed="false">
      <c r="A2965" s="4" t="s">
        <v>3141</v>
      </c>
      <c r="B2965" s="4" t="s">
        <v>89</v>
      </c>
      <c r="C2965" s="13" t="n">
        <v>45396</v>
      </c>
      <c r="D2965" s="13" t="n">
        <v>45402</v>
      </c>
      <c r="E2965" s="13" t="n">
        <v>45402</v>
      </c>
      <c r="F2965" s="4" t="n">
        <v>5</v>
      </c>
      <c r="G2965" s="4" t="n">
        <v>5</v>
      </c>
      <c r="H2965" s="4" t="n">
        <v>1929.81</v>
      </c>
      <c r="I2965" s="4" t="n">
        <v>1910.02</v>
      </c>
      <c r="J2965" s="14" t="n">
        <f aca="false">E2965-D2965</f>
        <v>0</v>
      </c>
      <c r="K2965" s="14" t="n">
        <f aca="false">IF(J2965&lt;=0,1,0)</f>
        <v>1</v>
      </c>
      <c r="L2965" s="15" t="n">
        <f aca="false">IFERROR(G2965/F2965,0)</f>
        <v>1</v>
      </c>
      <c r="M2965" s="15" t="n">
        <f aca="false">IFERROR((I2965-H2965)/H2965,0)</f>
        <v>-0.0102548955596665</v>
      </c>
      <c r="N2965" s="16" t="n">
        <f aca="false">G2965*I2965</f>
        <v>9550.1</v>
      </c>
    </row>
    <row r="2966" customFormat="false" ht="15" hidden="false" customHeight="true" outlineLevel="0" collapsed="false">
      <c r="A2966" s="4" t="s">
        <v>3142</v>
      </c>
      <c r="B2966" s="4" t="s">
        <v>58</v>
      </c>
      <c r="C2966" s="13" t="n">
        <v>44996</v>
      </c>
      <c r="D2966" s="13" t="n">
        <v>45009</v>
      </c>
      <c r="E2966" s="13" t="n">
        <v>45009</v>
      </c>
      <c r="F2966" s="4" t="n">
        <v>51</v>
      </c>
      <c r="G2966" s="4" t="n">
        <v>50</v>
      </c>
      <c r="H2966" s="4" t="n">
        <v>135.68</v>
      </c>
      <c r="I2966" s="4" t="n">
        <v>139.48</v>
      </c>
      <c r="J2966" s="14" t="n">
        <f aca="false">E2966-D2966</f>
        <v>0</v>
      </c>
      <c r="K2966" s="14" t="n">
        <f aca="false">IF(J2966&lt;=0,1,0)</f>
        <v>1</v>
      </c>
      <c r="L2966" s="15" t="n">
        <f aca="false">IFERROR(G2966/F2966,0)</f>
        <v>0.980392156862745</v>
      </c>
      <c r="M2966" s="15" t="n">
        <f aca="false">IFERROR((I2966-H2966)/H2966,0)</f>
        <v>0.028007075471698</v>
      </c>
      <c r="N2966" s="16" t="n">
        <f aca="false">G2966*I2966</f>
        <v>6974</v>
      </c>
    </row>
    <row r="2967" customFormat="false" ht="15" hidden="false" customHeight="true" outlineLevel="0" collapsed="false">
      <c r="A2967" s="4" t="s">
        <v>3143</v>
      </c>
      <c r="B2967" s="4" t="s">
        <v>97</v>
      </c>
      <c r="C2967" s="13" t="n">
        <v>45341</v>
      </c>
      <c r="D2967" s="13" t="n">
        <v>45350</v>
      </c>
      <c r="E2967" s="13" t="n">
        <v>45355</v>
      </c>
      <c r="F2967" s="4" t="n">
        <v>1935</v>
      </c>
      <c r="G2967" s="4" t="n">
        <v>1935</v>
      </c>
      <c r="H2967" s="4" t="n">
        <v>123.04</v>
      </c>
      <c r="I2967" s="4" t="n">
        <v>122.15</v>
      </c>
      <c r="J2967" s="14" t="n">
        <f aca="false">E2967-D2967</f>
        <v>5</v>
      </c>
      <c r="K2967" s="14" t="n">
        <f aca="false">IF(J2967&lt;=0,1,0)</f>
        <v>0</v>
      </c>
      <c r="L2967" s="15" t="n">
        <f aca="false">IFERROR(G2967/F2967,0)</f>
        <v>1</v>
      </c>
      <c r="M2967" s="15" t="n">
        <f aca="false">IFERROR((I2967-H2967)/H2967,0)</f>
        <v>-0.00723342002600781</v>
      </c>
      <c r="N2967" s="16" t="n">
        <f aca="false">G2967*I2967</f>
        <v>236360.25</v>
      </c>
    </row>
    <row r="2968" customFormat="false" ht="15" hidden="false" customHeight="true" outlineLevel="0" collapsed="false">
      <c r="A2968" s="4" t="s">
        <v>3144</v>
      </c>
      <c r="B2968" s="4" t="s">
        <v>127</v>
      </c>
      <c r="C2968" s="13" t="n">
        <v>44986</v>
      </c>
      <c r="D2968" s="13" t="n">
        <v>44993</v>
      </c>
      <c r="E2968" s="13" t="n">
        <v>44996</v>
      </c>
      <c r="F2968" s="4" t="n">
        <v>9</v>
      </c>
      <c r="G2968" s="4" t="n">
        <v>9</v>
      </c>
      <c r="H2968" s="4" t="n">
        <v>1881</v>
      </c>
      <c r="I2968" s="4" t="n">
        <v>1867.54</v>
      </c>
      <c r="J2968" s="14" t="n">
        <f aca="false">E2968-D2968</f>
        <v>3</v>
      </c>
      <c r="K2968" s="14" t="n">
        <f aca="false">IF(J2968&lt;=0,1,0)</f>
        <v>0</v>
      </c>
      <c r="L2968" s="15" t="n">
        <f aca="false">IFERROR(G2968/F2968,0)</f>
        <v>1</v>
      </c>
      <c r="M2968" s="15" t="n">
        <f aca="false">IFERROR((I2968-H2968)/H2968,0)</f>
        <v>-0.00715576820839981</v>
      </c>
      <c r="N2968" s="16" t="n">
        <f aca="false">G2968*I2968</f>
        <v>16807.86</v>
      </c>
    </row>
    <row r="2969" customFormat="false" ht="15" hidden="false" customHeight="true" outlineLevel="0" collapsed="false">
      <c r="A2969" s="4" t="s">
        <v>3145</v>
      </c>
      <c r="B2969" s="4" t="s">
        <v>55</v>
      </c>
      <c r="C2969" s="13" t="n">
        <v>45460</v>
      </c>
      <c r="D2969" s="13" t="n">
        <v>45479</v>
      </c>
      <c r="E2969" s="13" t="n">
        <v>45478</v>
      </c>
      <c r="F2969" s="4" t="n">
        <v>479</v>
      </c>
      <c r="G2969" s="4" t="n">
        <v>434</v>
      </c>
      <c r="H2969" s="4" t="n">
        <v>598.09</v>
      </c>
      <c r="I2969" s="4" t="n">
        <v>582.62</v>
      </c>
      <c r="J2969" s="14" t="n">
        <f aca="false">E2969-D2969</f>
        <v>-1</v>
      </c>
      <c r="K2969" s="14" t="n">
        <f aca="false">IF(J2969&lt;=0,1,0)</f>
        <v>1</v>
      </c>
      <c r="L2969" s="15" t="n">
        <f aca="false">IFERROR(G2969/F2969,0)</f>
        <v>0.906054279749478</v>
      </c>
      <c r="M2969" s="15" t="n">
        <f aca="false">IFERROR((I2969-H2969)/H2969,0)</f>
        <v>-0.025865672390443</v>
      </c>
      <c r="N2969" s="16" t="n">
        <f aca="false">G2969*I2969</f>
        <v>252857.08</v>
      </c>
    </row>
    <row r="2970" customFormat="false" ht="15" hidden="false" customHeight="true" outlineLevel="0" collapsed="false">
      <c r="A2970" s="4" t="s">
        <v>3146</v>
      </c>
      <c r="B2970" s="4" t="s">
        <v>139</v>
      </c>
      <c r="C2970" s="13" t="n">
        <v>45539</v>
      </c>
      <c r="D2970" s="13" t="n">
        <v>45549</v>
      </c>
      <c r="E2970" s="13" t="n">
        <v>45548</v>
      </c>
      <c r="F2970" s="4" t="n">
        <v>599</v>
      </c>
      <c r="G2970" s="4" t="n">
        <v>511</v>
      </c>
      <c r="H2970" s="4" t="n">
        <v>207.64</v>
      </c>
      <c r="I2970" s="4" t="n">
        <v>220</v>
      </c>
      <c r="J2970" s="14" t="n">
        <f aca="false">E2970-D2970</f>
        <v>-1</v>
      </c>
      <c r="K2970" s="14" t="n">
        <f aca="false">IF(J2970&lt;=0,1,0)</f>
        <v>1</v>
      </c>
      <c r="L2970" s="15" t="n">
        <f aca="false">IFERROR(G2970/F2970,0)</f>
        <v>0.853088480801336</v>
      </c>
      <c r="M2970" s="15" t="n">
        <f aca="false">IFERROR((I2970-H2970)/H2970,0)</f>
        <v>0.0595261028703526</v>
      </c>
      <c r="N2970" s="16" t="n">
        <f aca="false">G2970*I2970</f>
        <v>112420</v>
      </c>
    </row>
    <row r="2971" customFormat="false" ht="15" hidden="false" customHeight="true" outlineLevel="0" collapsed="false">
      <c r="A2971" s="4" t="s">
        <v>3147</v>
      </c>
      <c r="B2971" s="4" t="s">
        <v>37</v>
      </c>
      <c r="C2971" s="13" t="n">
        <v>44990</v>
      </c>
      <c r="D2971" s="13" t="n">
        <v>44998</v>
      </c>
      <c r="E2971" s="13" t="n">
        <v>45001</v>
      </c>
      <c r="F2971" s="4" t="n">
        <v>3236</v>
      </c>
      <c r="G2971" s="4" t="n">
        <v>3236</v>
      </c>
      <c r="H2971" s="4" t="n">
        <v>22.26</v>
      </c>
      <c r="I2971" s="4" t="n">
        <v>21.89</v>
      </c>
      <c r="J2971" s="14" t="n">
        <f aca="false">E2971-D2971</f>
        <v>3</v>
      </c>
      <c r="K2971" s="14" t="n">
        <f aca="false">IF(J2971&lt;=0,1,0)</f>
        <v>0</v>
      </c>
      <c r="L2971" s="15" t="n">
        <f aca="false">IFERROR(G2971/F2971,0)</f>
        <v>1</v>
      </c>
      <c r="M2971" s="15" t="n">
        <f aca="false">IFERROR((I2971-H2971)/H2971,0)</f>
        <v>-0.0166217430368374</v>
      </c>
      <c r="N2971" s="16" t="n">
        <f aca="false">G2971*I2971</f>
        <v>70836.04</v>
      </c>
    </row>
    <row r="2972" customFormat="false" ht="15" hidden="false" customHeight="true" outlineLevel="0" collapsed="false">
      <c r="A2972" s="4" t="s">
        <v>3148</v>
      </c>
      <c r="B2972" s="4" t="s">
        <v>47</v>
      </c>
      <c r="C2972" s="13" t="n">
        <v>45583</v>
      </c>
      <c r="D2972" s="13" t="n">
        <v>45592</v>
      </c>
      <c r="E2972" s="13" t="n">
        <v>45591</v>
      </c>
      <c r="F2972" s="4" t="n">
        <v>1792</v>
      </c>
      <c r="G2972" s="4" t="n">
        <v>1682</v>
      </c>
      <c r="H2972" s="4" t="n">
        <v>228.68</v>
      </c>
      <c r="I2972" s="4" t="n">
        <v>229.12</v>
      </c>
      <c r="J2972" s="14" t="n">
        <f aca="false">E2972-D2972</f>
        <v>-1</v>
      </c>
      <c r="K2972" s="14" t="n">
        <f aca="false">IF(J2972&lt;=0,1,0)</f>
        <v>1</v>
      </c>
      <c r="L2972" s="15" t="n">
        <f aca="false">IFERROR(G2972/F2972,0)</f>
        <v>0.938616071428571</v>
      </c>
      <c r="M2972" s="15" t="n">
        <f aca="false">IFERROR((I2972-H2972)/H2972,0)</f>
        <v>0.00192408605912191</v>
      </c>
      <c r="N2972" s="16" t="n">
        <f aca="false">G2972*I2972</f>
        <v>385379.84</v>
      </c>
    </row>
    <row r="2973" customFormat="false" ht="15" hidden="false" customHeight="true" outlineLevel="0" collapsed="false">
      <c r="A2973" s="4" t="s">
        <v>3149</v>
      </c>
      <c r="B2973" s="4" t="s">
        <v>77</v>
      </c>
      <c r="C2973" s="13" t="n">
        <v>45178</v>
      </c>
      <c r="D2973" s="13" t="n">
        <v>45185</v>
      </c>
      <c r="E2973" s="13" t="n">
        <v>45198</v>
      </c>
      <c r="F2973" s="4" t="n">
        <v>1102</v>
      </c>
      <c r="G2973" s="4" t="n">
        <v>1102</v>
      </c>
      <c r="H2973" s="4" t="n">
        <v>36.83</v>
      </c>
      <c r="I2973" s="4" t="n">
        <v>35.64</v>
      </c>
      <c r="J2973" s="14" t="n">
        <f aca="false">E2973-D2973</f>
        <v>13</v>
      </c>
      <c r="K2973" s="14" t="n">
        <f aca="false">IF(J2973&lt;=0,1,0)</f>
        <v>0</v>
      </c>
      <c r="L2973" s="15" t="n">
        <f aca="false">IFERROR(G2973/F2973,0)</f>
        <v>1</v>
      </c>
      <c r="M2973" s="15" t="n">
        <f aca="false">IFERROR((I2973-H2973)/H2973,0)</f>
        <v>-0.0323106163453706</v>
      </c>
      <c r="N2973" s="16" t="n">
        <f aca="false">G2973*I2973</f>
        <v>39275.28</v>
      </c>
    </row>
    <row r="2974" customFormat="false" ht="15" hidden="false" customHeight="true" outlineLevel="0" collapsed="false">
      <c r="A2974" s="4" t="s">
        <v>3150</v>
      </c>
      <c r="B2974" s="4" t="s">
        <v>117</v>
      </c>
      <c r="C2974" s="13" t="n">
        <v>45095</v>
      </c>
      <c r="D2974" s="13" t="n">
        <v>45108</v>
      </c>
      <c r="E2974" s="13" t="n">
        <v>45113</v>
      </c>
      <c r="F2974" s="4" t="n">
        <v>36</v>
      </c>
      <c r="G2974" s="4" t="n">
        <v>34</v>
      </c>
      <c r="H2974" s="4" t="n">
        <v>396.01</v>
      </c>
      <c r="I2974" s="4" t="n">
        <v>390.65</v>
      </c>
      <c r="J2974" s="14" t="n">
        <f aca="false">E2974-D2974</f>
        <v>5</v>
      </c>
      <c r="K2974" s="14" t="n">
        <f aca="false">IF(J2974&lt;=0,1,0)</f>
        <v>0</v>
      </c>
      <c r="L2974" s="15" t="n">
        <f aca="false">IFERROR(G2974/F2974,0)</f>
        <v>0.944444444444444</v>
      </c>
      <c r="M2974" s="15" t="n">
        <f aca="false">IFERROR((I2974-H2974)/H2974,0)</f>
        <v>-0.0135350117421278</v>
      </c>
      <c r="N2974" s="16" t="n">
        <f aca="false">G2974*I2974</f>
        <v>13282.1</v>
      </c>
    </row>
    <row r="2975" customFormat="false" ht="15" hidden="false" customHeight="true" outlineLevel="0" collapsed="false">
      <c r="A2975" s="4" t="s">
        <v>3151</v>
      </c>
      <c r="B2975" s="4" t="s">
        <v>101</v>
      </c>
      <c r="C2975" s="13" t="n">
        <v>44977</v>
      </c>
      <c r="D2975" s="13" t="n">
        <v>44994</v>
      </c>
      <c r="E2975" s="13" t="n">
        <v>44996</v>
      </c>
      <c r="F2975" s="4" t="n">
        <v>308</v>
      </c>
      <c r="G2975" s="4" t="n">
        <v>306</v>
      </c>
      <c r="H2975" s="4" t="n">
        <v>442.74</v>
      </c>
      <c r="I2975" s="4" t="n">
        <v>437.45</v>
      </c>
      <c r="J2975" s="14" t="n">
        <f aca="false">E2975-D2975</f>
        <v>2</v>
      </c>
      <c r="K2975" s="14" t="n">
        <f aca="false">IF(J2975&lt;=0,1,0)</f>
        <v>0</v>
      </c>
      <c r="L2975" s="15" t="n">
        <f aca="false">IFERROR(G2975/F2975,0)</f>
        <v>0.993506493506494</v>
      </c>
      <c r="M2975" s="15" t="n">
        <f aca="false">IFERROR((I2975-H2975)/H2975,0)</f>
        <v>-0.0119483218141573</v>
      </c>
      <c r="N2975" s="16" t="n">
        <f aca="false">G2975*I2975</f>
        <v>133859.7</v>
      </c>
    </row>
    <row r="2976" customFormat="false" ht="15" hidden="false" customHeight="true" outlineLevel="0" collapsed="false">
      <c r="A2976" s="4" t="s">
        <v>3152</v>
      </c>
      <c r="B2976" s="4" t="s">
        <v>155</v>
      </c>
      <c r="C2976" s="13" t="n">
        <v>44937</v>
      </c>
      <c r="D2976" s="13" t="n">
        <v>44945</v>
      </c>
      <c r="E2976" s="13" t="n">
        <v>44945</v>
      </c>
      <c r="F2976" s="4" t="n">
        <v>4583</v>
      </c>
      <c r="G2976" s="4" t="n">
        <v>4449</v>
      </c>
      <c r="H2976" s="4" t="n">
        <v>24.04</v>
      </c>
      <c r="I2976" s="4" t="n">
        <v>23.87</v>
      </c>
      <c r="J2976" s="14" t="n">
        <f aca="false">E2976-D2976</f>
        <v>0</v>
      </c>
      <c r="K2976" s="14" t="n">
        <f aca="false">IF(J2976&lt;=0,1,0)</f>
        <v>1</v>
      </c>
      <c r="L2976" s="15" t="n">
        <f aca="false">IFERROR(G2976/F2976,0)</f>
        <v>0.970761509927995</v>
      </c>
      <c r="M2976" s="15" t="n">
        <f aca="false">IFERROR((I2976-H2976)/H2976,0)</f>
        <v>-0.00707154742096498</v>
      </c>
      <c r="N2976" s="16" t="n">
        <f aca="false">G2976*I2976</f>
        <v>106197.63</v>
      </c>
    </row>
    <row r="2977" customFormat="false" ht="15" hidden="false" customHeight="true" outlineLevel="0" collapsed="false">
      <c r="A2977" s="4" t="s">
        <v>3153</v>
      </c>
      <c r="B2977" s="4" t="s">
        <v>105</v>
      </c>
      <c r="C2977" s="13" t="n">
        <v>45040</v>
      </c>
      <c r="D2977" s="13" t="n">
        <v>45058</v>
      </c>
      <c r="E2977" s="13" t="n">
        <v>45059</v>
      </c>
      <c r="F2977" s="4" t="n">
        <v>314</v>
      </c>
      <c r="G2977" s="4" t="n">
        <v>299</v>
      </c>
      <c r="H2977" s="4" t="n">
        <v>685.84</v>
      </c>
      <c r="I2977" s="4" t="n">
        <v>688.98</v>
      </c>
      <c r="J2977" s="14" t="n">
        <f aca="false">E2977-D2977</f>
        <v>1</v>
      </c>
      <c r="K2977" s="14" t="n">
        <f aca="false">IF(J2977&lt;=0,1,0)</f>
        <v>0</v>
      </c>
      <c r="L2977" s="15" t="n">
        <f aca="false">IFERROR(G2977/F2977,0)</f>
        <v>0.952229299363057</v>
      </c>
      <c r="M2977" s="15" t="n">
        <f aca="false">IFERROR((I2977-H2977)/H2977,0)</f>
        <v>0.00457832730666043</v>
      </c>
      <c r="N2977" s="16" t="n">
        <f aca="false">G2977*I2977</f>
        <v>206005.02</v>
      </c>
    </row>
    <row r="2978" customFormat="false" ht="15" hidden="false" customHeight="true" outlineLevel="0" collapsed="false">
      <c r="A2978" s="4" t="s">
        <v>3154</v>
      </c>
      <c r="B2978" s="4" t="s">
        <v>155</v>
      </c>
      <c r="C2978" s="13" t="n">
        <v>45605</v>
      </c>
      <c r="D2978" s="13" t="n">
        <v>45613</v>
      </c>
      <c r="E2978" s="13" t="n">
        <v>45616</v>
      </c>
      <c r="F2978" s="4" t="n">
        <v>4601</v>
      </c>
      <c r="G2978" s="4" t="n">
        <v>4550</v>
      </c>
      <c r="H2978" s="4" t="n">
        <v>24.04</v>
      </c>
      <c r="I2978" s="4" t="n">
        <v>22.8</v>
      </c>
      <c r="J2978" s="14" t="n">
        <f aca="false">E2978-D2978</f>
        <v>3</v>
      </c>
      <c r="K2978" s="14" t="n">
        <f aca="false">IF(J2978&lt;=0,1,0)</f>
        <v>0</v>
      </c>
      <c r="L2978" s="15" t="n">
        <f aca="false">IFERROR(G2978/F2978,0)</f>
        <v>0.988915453162356</v>
      </c>
      <c r="M2978" s="15" t="n">
        <f aca="false">IFERROR((I2978-H2978)/H2978,0)</f>
        <v>-0.0515806988352745</v>
      </c>
      <c r="N2978" s="16" t="n">
        <f aca="false">G2978*I2978</f>
        <v>103740</v>
      </c>
    </row>
    <row r="2979" customFormat="false" ht="15" hidden="false" customHeight="true" outlineLevel="0" collapsed="false">
      <c r="A2979" s="4" t="s">
        <v>3155</v>
      </c>
      <c r="B2979" s="4" t="s">
        <v>93</v>
      </c>
      <c r="C2979" s="13" t="n">
        <v>45570</v>
      </c>
      <c r="D2979" s="13" t="n">
        <v>45580</v>
      </c>
      <c r="E2979" s="13" t="n">
        <v>45584</v>
      </c>
      <c r="F2979" s="4" t="n">
        <v>741</v>
      </c>
      <c r="G2979" s="4" t="n">
        <v>690</v>
      </c>
      <c r="H2979" s="4" t="n">
        <v>174.25</v>
      </c>
      <c r="I2979" s="4" t="n">
        <v>187.42</v>
      </c>
      <c r="J2979" s="14" t="n">
        <f aca="false">E2979-D2979</f>
        <v>4</v>
      </c>
      <c r="K2979" s="14" t="n">
        <f aca="false">IF(J2979&lt;=0,1,0)</f>
        <v>0</v>
      </c>
      <c r="L2979" s="15" t="n">
        <f aca="false">IFERROR(G2979/F2979,0)</f>
        <v>0.931174089068826</v>
      </c>
      <c r="M2979" s="15" t="n">
        <f aca="false">IFERROR((I2979-H2979)/H2979,0)</f>
        <v>0.0755810616929698</v>
      </c>
      <c r="N2979" s="16" t="n">
        <f aca="false">G2979*I2979</f>
        <v>129319.8</v>
      </c>
    </row>
    <row r="2980" customFormat="false" ht="15" hidden="false" customHeight="true" outlineLevel="0" collapsed="false">
      <c r="A2980" s="4" t="s">
        <v>3156</v>
      </c>
      <c r="B2980" s="4" t="s">
        <v>72</v>
      </c>
      <c r="C2980" s="13" t="n">
        <v>45571</v>
      </c>
      <c r="D2980" s="13" t="n">
        <v>45577</v>
      </c>
      <c r="E2980" s="13" t="n">
        <v>45583</v>
      </c>
      <c r="F2980" s="4" t="n">
        <v>2460</v>
      </c>
      <c r="G2980" s="4" t="n">
        <v>2456</v>
      </c>
      <c r="H2980" s="4" t="n">
        <v>34.53</v>
      </c>
      <c r="I2980" s="4" t="n">
        <v>37.72</v>
      </c>
      <c r="J2980" s="14" t="n">
        <f aca="false">E2980-D2980</f>
        <v>6</v>
      </c>
      <c r="K2980" s="14" t="n">
        <f aca="false">IF(J2980&lt;=0,1,0)</f>
        <v>0</v>
      </c>
      <c r="L2980" s="15" t="n">
        <f aca="false">IFERROR(G2980/F2980,0)</f>
        <v>0.998373983739837</v>
      </c>
      <c r="M2980" s="15" t="n">
        <f aca="false">IFERROR((I2980-H2980)/H2980,0)</f>
        <v>0.0923834346944685</v>
      </c>
      <c r="N2980" s="16" t="n">
        <f aca="false">G2980*I2980</f>
        <v>92640.32</v>
      </c>
    </row>
    <row r="2981" customFormat="false" ht="15" hidden="false" customHeight="true" outlineLevel="0" collapsed="false">
      <c r="A2981" s="4" t="s">
        <v>3157</v>
      </c>
      <c r="B2981" s="4" t="s">
        <v>41</v>
      </c>
      <c r="C2981" s="13" t="n">
        <v>45551</v>
      </c>
      <c r="D2981" s="13" t="n">
        <v>45557</v>
      </c>
      <c r="E2981" s="13" t="n">
        <v>45558</v>
      </c>
      <c r="F2981" s="4" t="n">
        <v>2359</v>
      </c>
      <c r="G2981" s="4" t="n">
        <v>2327</v>
      </c>
      <c r="H2981" s="4" t="n">
        <v>45.51</v>
      </c>
      <c r="I2981" s="4" t="n">
        <v>43.51</v>
      </c>
      <c r="J2981" s="14" t="n">
        <f aca="false">E2981-D2981</f>
        <v>1</v>
      </c>
      <c r="K2981" s="14" t="n">
        <f aca="false">IF(J2981&lt;=0,1,0)</f>
        <v>0</v>
      </c>
      <c r="L2981" s="15" t="n">
        <f aca="false">IFERROR(G2981/F2981,0)</f>
        <v>0.986434930055108</v>
      </c>
      <c r="M2981" s="15" t="n">
        <f aca="false">IFERROR((I2981-H2981)/H2981,0)</f>
        <v>-0.0439463854098</v>
      </c>
      <c r="N2981" s="16" t="n">
        <f aca="false">G2981*I2981</f>
        <v>101247.77</v>
      </c>
    </row>
    <row r="2982" customFormat="false" ht="15" hidden="false" customHeight="true" outlineLevel="0" collapsed="false">
      <c r="A2982" s="4" t="s">
        <v>3158</v>
      </c>
      <c r="B2982" s="4" t="s">
        <v>93</v>
      </c>
      <c r="C2982" s="13" t="n">
        <v>45196</v>
      </c>
      <c r="D2982" s="13" t="n">
        <v>45208</v>
      </c>
      <c r="E2982" s="13" t="n">
        <v>45210</v>
      </c>
      <c r="F2982" s="4" t="n">
        <v>1870</v>
      </c>
      <c r="G2982" s="4" t="n">
        <v>1870</v>
      </c>
      <c r="H2982" s="4" t="n">
        <v>174.25</v>
      </c>
      <c r="I2982" s="4" t="n">
        <v>179.56</v>
      </c>
      <c r="J2982" s="14" t="n">
        <f aca="false">E2982-D2982</f>
        <v>2</v>
      </c>
      <c r="K2982" s="14" t="n">
        <f aca="false">IF(J2982&lt;=0,1,0)</f>
        <v>0</v>
      </c>
      <c r="L2982" s="15" t="n">
        <f aca="false">IFERROR(G2982/F2982,0)</f>
        <v>1</v>
      </c>
      <c r="M2982" s="15" t="n">
        <f aca="false">IFERROR((I2982-H2982)/H2982,0)</f>
        <v>0.0304734576757532</v>
      </c>
      <c r="N2982" s="16" t="n">
        <f aca="false">G2982*I2982</f>
        <v>335777.2</v>
      </c>
    </row>
    <row r="2983" customFormat="false" ht="15" hidden="false" customHeight="true" outlineLevel="0" collapsed="false">
      <c r="A2983" s="4" t="s">
        <v>3159</v>
      </c>
      <c r="B2983" s="4" t="s">
        <v>125</v>
      </c>
      <c r="C2983" s="13" t="n">
        <v>45554</v>
      </c>
      <c r="D2983" s="13" t="n">
        <v>45558</v>
      </c>
      <c r="E2983" s="13" t="n">
        <v>45565</v>
      </c>
      <c r="F2983" s="4" t="n">
        <v>9</v>
      </c>
      <c r="G2983" s="4" t="n">
        <v>8</v>
      </c>
      <c r="H2983" s="4" t="n">
        <v>729.32</v>
      </c>
      <c r="I2983" s="4" t="n">
        <v>745.27</v>
      </c>
      <c r="J2983" s="14" t="n">
        <f aca="false">E2983-D2983</f>
        <v>7</v>
      </c>
      <c r="K2983" s="14" t="n">
        <f aca="false">IF(J2983&lt;=0,1,0)</f>
        <v>0</v>
      </c>
      <c r="L2983" s="15" t="n">
        <f aca="false">IFERROR(G2983/F2983,0)</f>
        <v>0.888888888888889</v>
      </c>
      <c r="M2983" s="15" t="n">
        <f aca="false">IFERROR((I2983-H2983)/H2983,0)</f>
        <v>0.021869686831569</v>
      </c>
      <c r="N2983" s="16" t="n">
        <f aca="false">G2983*I2983</f>
        <v>5962.16</v>
      </c>
    </row>
    <row r="2984" customFormat="false" ht="15" hidden="false" customHeight="true" outlineLevel="0" collapsed="false">
      <c r="A2984" s="4" t="s">
        <v>3160</v>
      </c>
      <c r="B2984" s="4" t="s">
        <v>87</v>
      </c>
      <c r="C2984" s="13" t="n">
        <v>45451</v>
      </c>
      <c r="D2984" s="13" t="n">
        <v>45463</v>
      </c>
      <c r="E2984" s="13" t="n">
        <v>45462</v>
      </c>
      <c r="F2984" s="4" t="n">
        <v>775</v>
      </c>
      <c r="G2984" s="4" t="n">
        <v>721</v>
      </c>
      <c r="H2984" s="4" t="n">
        <v>161.95</v>
      </c>
      <c r="I2984" s="4" t="n">
        <v>189.52</v>
      </c>
      <c r="J2984" s="14" t="n">
        <f aca="false">E2984-D2984</f>
        <v>-1</v>
      </c>
      <c r="K2984" s="14" t="n">
        <f aca="false">IF(J2984&lt;=0,1,0)</f>
        <v>1</v>
      </c>
      <c r="L2984" s="15" t="n">
        <f aca="false">IFERROR(G2984/F2984,0)</f>
        <v>0.930322580645161</v>
      </c>
      <c r="M2984" s="15" t="n">
        <f aca="false">IFERROR((I2984-H2984)/H2984,0)</f>
        <v>0.170237727693733</v>
      </c>
      <c r="N2984" s="16" t="n">
        <f aca="false">G2984*I2984</f>
        <v>136643.92</v>
      </c>
    </row>
    <row r="2985" customFormat="false" ht="15" hidden="false" customHeight="true" outlineLevel="0" collapsed="false">
      <c r="A2985" s="4" t="s">
        <v>3161</v>
      </c>
      <c r="B2985" s="4" t="s">
        <v>103</v>
      </c>
      <c r="C2985" s="13" t="n">
        <v>45390</v>
      </c>
      <c r="D2985" s="13" t="n">
        <v>45409</v>
      </c>
      <c r="E2985" s="13" t="n">
        <v>45413</v>
      </c>
      <c r="F2985" s="4" t="n">
        <v>292</v>
      </c>
      <c r="G2985" s="4" t="n">
        <v>286</v>
      </c>
      <c r="H2985" s="4" t="n">
        <v>1400.22</v>
      </c>
      <c r="I2985" s="4" t="n">
        <v>1450.65</v>
      </c>
      <c r="J2985" s="14" t="n">
        <f aca="false">E2985-D2985</f>
        <v>4</v>
      </c>
      <c r="K2985" s="14" t="n">
        <f aca="false">IF(J2985&lt;=0,1,0)</f>
        <v>0</v>
      </c>
      <c r="L2985" s="15" t="n">
        <f aca="false">IFERROR(G2985/F2985,0)</f>
        <v>0.979452054794521</v>
      </c>
      <c r="M2985" s="15" t="n">
        <f aca="false">IFERROR((I2985-H2985)/H2985,0)</f>
        <v>0.0360157689505935</v>
      </c>
      <c r="N2985" s="16" t="n">
        <f aca="false">G2985*I2985</f>
        <v>414885.9</v>
      </c>
    </row>
    <row r="2986" customFormat="false" ht="15" hidden="false" customHeight="true" outlineLevel="0" collapsed="false">
      <c r="A2986" s="4" t="s">
        <v>3162</v>
      </c>
      <c r="B2986" s="4" t="s">
        <v>125</v>
      </c>
      <c r="C2986" s="13" t="n">
        <v>45069</v>
      </c>
      <c r="D2986" s="13" t="n">
        <v>45076</v>
      </c>
      <c r="E2986" s="13" t="n">
        <v>45077</v>
      </c>
      <c r="F2986" s="4" t="n">
        <v>16</v>
      </c>
      <c r="G2986" s="4" t="n">
        <v>14</v>
      </c>
      <c r="H2986" s="4" t="n">
        <v>729.32</v>
      </c>
      <c r="I2986" s="4" t="n">
        <v>734.06</v>
      </c>
      <c r="J2986" s="14" t="n">
        <f aca="false">E2986-D2986</f>
        <v>1</v>
      </c>
      <c r="K2986" s="14" t="n">
        <f aca="false">IF(J2986&lt;=0,1,0)</f>
        <v>0</v>
      </c>
      <c r="L2986" s="15" t="n">
        <f aca="false">IFERROR(G2986/F2986,0)</f>
        <v>0.875</v>
      </c>
      <c r="M2986" s="15" t="n">
        <f aca="false">IFERROR((I2986-H2986)/H2986,0)</f>
        <v>0.00649920473866053</v>
      </c>
      <c r="N2986" s="16" t="n">
        <f aca="false">G2986*I2986</f>
        <v>10276.84</v>
      </c>
    </row>
    <row r="2987" customFormat="false" ht="15" hidden="false" customHeight="true" outlineLevel="0" collapsed="false">
      <c r="A2987" s="4" t="s">
        <v>3163</v>
      </c>
      <c r="B2987" s="4" t="s">
        <v>99</v>
      </c>
      <c r="C2987" s="13" t="n">
        <v>44950</v>
      </c>
      <c r="D2987" s="13" t="n">
        <v>44956</v>
      </c>
      <c r="E2987" s="13" t="n">
        <v>44957</v>
      </c>
      <c r="F2987" s="4" t="n">
        <v>836</v>
      </c>
      <c r="G2987" s="4" t="n">
        <v>771</v>
      </c>
      <c r="H2987" s="4" t="n">
        <v>11.5</v>
      </c>
      <c r="I2987" s="4" t="n">
        <v>11.54</v>
      </c>
      <c r="J2987" s="14" t="n">
        <f aca="false">E2987-D2987</f>
        <v>1</v>
      </c>
      <c r="K2987" s="14" t="n">
        <f aca="false">IF(J2987&lt;=0,1,0)</f>
        <v>0</v>
      </c>
      <c r="L2987" s="15" t="n">
        <f aca="false">IFERROR(G2987/F2987,0)</f>
        <v>0.922248803827751</v>
      </c>
      <c r="M2987" s="15" t="n">
        <f aca="false">IFERROR((I2987-H2987)/H2987,0)</f>
        <v>0.00347826086956514</v>
      </c>
      <c r="N2987" s="16" t="n">
        <f aca="false">G2987*I2987</f>
        <v>8897.34</v>
      </c>
    </row>
    <row r="2988" customFormat="false" ht="15" hidden="false" customHeight="true" outlineLevel="0" collapsed="false">
      <c r="A2988" s="4" t="s">
        <v>3164</v>
      </c>
      <c r="B2988" s="4" t="s">
        <v>143</v>
      </c>
      <c r="C2988" s="13" t="n">
        <v>45118</v>
      </c>
      <c r="D2988" s="13" t="n">
        <v>45126</v>
      </c>
      <c r="E2988" s="13" t="n">
        <v>45135</v>
      </c>
      <c r="F2988" s="4" t="n">
        <v>4971</v>
      </c>
      <c r="G2988" s="4" t="n">
        <v>4578</v>
      </c>
      <c r="H2988" s="4" t="n">
        <v>20.6</v>
      </c>
      <c r="I2988" s="4" t="n">
        <v>20.98</v>
      </c>
      <c r="J2988" s="14" t="n">
        <f aca="false">E2988-D2988</f>
        <v>9</v>
      </c>
      <c r="K2988" s="14" t="n">
        <f aca="false">IF(J2988&lt;=0,1,0)</f>
        <v>0</v>
      </c>
      <c r="L2988" s="15" t="n">
        <f aca="false">IFERROR(G2988/F2988,0)</f>
        <v>0.92094146047073</v>
      </c>
      <c r="M2988" s="15" t="n">
        <f aca="false">IFERROR((I2988-H2988)/H2988,0)</f>
        <v>0.0184466019417475</v>
      </c>
      <c r="N2988" s="16" t="n">
        <f aca="false">G2988*I2988</f>
        <v>96046.44</v>
      </c>
    </row>
    <row r="2989" customFormat="false" ht="15" hidden="false" customHeight="true" outlineLevel="0" collapsed="false">
      <c r="A2989" s="4" t="s">
        <v>3165</v>
      </c>
      <c r="B2989" s="4" t="s">
        <v>121</v>
      </c>
      <c r="C2989" s="13" t="n">
        <v>45276</v>
      </c>
      <c r="D2989" s="13" t="n">
        <v>45285</v>
      </c>
      <c r="E2989" s="13" t="n">
        <v>45286</v>
      </c>
      <c r="F2989" s="4" t="n">
        <v>333</v>
      </c>
      <c r="G2989" s="4" t="n">
        <v>304</v>
      </c>
      <c r="H2989" s="4" t="n">
        <v>206.07</v>
      </c>
      <c r="I2989" s="4" t="n">
        <v>217.53</v>
      </c>
      <c r="J2989" s="14" t="n">
        <f aca="false">E2989-D2989</f>
        <v>1</v>
      </c>
      <c r="K2989" s="14" t="n">
        <f aca="false">IF(J2989&lt;=0,1,0)</f>
        <v>0</v>
      </c>
      <c r="L2989" s="15" t="n">
        <f aca="false">IFERROR(G2989/F2989,0)</f>
        <v>0.912912912912913</v>
      </c>
      <c r="M2989" s="15" t="n">
        <f aca="false">IFERROR((I2989-H2989)/H2989,0)</f>
        <v>0.0556121706216335</v>
      </c>
      <c r="N2989" s="16" t="n">
        <f aca="false">G2989*I2989</f>
        <v>66129.12</v>
      </c>
    </row>
    <row r="2990" customFormat="false" ht="15" hidden="false" customHeight="true" outlineLevel="0" collapsed="false">
      <c r="A2990" s="4" t="s">
        <v>3166</v>
      </c>
      <c r="B2990" s="4" t="s">
        <v>129</v>
      </c>
      <c r="C2990" s="13" t="n">
        <v>45361</v>
      </c>
      <c r="D2990" s="13" t="n">
        <v>45378</v>
      </c>
      <c r="E2990" s="13" t="n">
        <v>45383</v>
      </c>
      <c r="F2990" s="4" t="n">
        <v>347</v>
      </c>
      <c r="G2990" s="4" t="n">
        <v>342</v>
      </c>
      <c r="H2990" s="4" t="n">
        <v>709.66</v>
      </c>
      <c r="I2990" s="4" t="n">
        <v>716.18</v>
      </c>
      <c r="J2990" s="14" t="n">
        <f aca="false">E2990-D2990</f>
        <v>5</v>
      </c>
      <c r="K2990" s="14" t="n">
        <f aca="false">IF(J2990&lt;=0,1,0)</f>
        <v>0</v>
      </c>
      <c r="L2990" s="15" t="n">
        <f aca="false">IFERROR(G2990/F2990,0)</f>
        <v>0.985590778097983</v>
      </c>
      <c r="M2990" s="15" t="n">
        <f aca="false">IFERROR((I2990-H2990)/H2990,0)</f>
        <v>0.0091874982385931</v>
      </c>
      <c r="N2990" s="16" t="n">
        <f aca="false">G2990*I2990</f>
        <v>244933.56</v>
      </c>
    </row>
    <row r="2991" customFormat="false" ht="15" hidden="false" customHeight="true" outlineLevel="0" collapsed="false">
      <c r="A2991" s="4" t="s">
        <v>3167</v>
      </c>
      <c r="B2991" s="4" t="s">
        <v>115</v>
      </c>
      <c r="C2991" s="13" t="n">
        <v>45201</v>
      </c>
      <c r="D2991" s="13" t="n">
        <v>45212</v>
      </c>
      <c r="E2991" s="13" t="n">
        <v>45219</v>
      </c>
      <c r="F2991" s="4" t="n">
        <v>245</v>
      </c>
      <c r="G2991" s="4" t="n">
        <v>232</v>
      </c>
      <c r="H2991" s="4" t="n">
        <v>115.53</v>
      </c>
      <c r="I2991" s="4" t="n">
        <v>119.96</v>
      </c>
      <c r="J2991" s="14" t="n">
        <f aca="false">E2991-D2991</f>
        <v>7</v>
      </c>
      <c r="K2991" s="14" t="n">
        <f aca="false">IF(J2991&lt;=0,1,0)</f>
        <v>0</v>
      </c>
      <c r="L2991" s="15" t="n">
        <f aca="false">IFERROR(G2991/F2991,0)</f>
        <v>0.946938775510204</v>
      </c>
      <c r="M2991" s="15" t="n">
        <f aca="false">IFERROR((I2991-H2991)/H2991,0)</f>
        <v>0.0383450186098848</v>
      </c>
      <c r="N2991" s="16" t="n">
        <f aca="false">G2991*I2991</f>
        <v>27830.72</v>
      </c>
    </row>
    <row r="2992" customFormat="false" ht="15" hidden="false" customHeight="true" outlineLevel="0" collapsed="false">
      <c r="A2992" s="4" t="s">
        <v>3168</v>
      </c>
      <c r="B2992" s="4" t="s">
        <v>147</v>
      </c>
      <c r="C2992" s="13" t="n">
        <v>45190</v>
      </c>
      <c r="D2992" s="13" t="n">
        <v>45202</v>
      </c>
      <c r="E2992" s="13" t="n">
        <v>45203</v>
      </c>
      <c r="F2992" s="4" t="n">
        <v>207</v>
      </c>
      <c r="G2992" s="4" t="n">
        <v>205</v>
      </c>
      <c r="H2992" s="4" t="n">
        <v>203.3</v>
      </c>
      <c r="I2992" s="4" t="n">
        <v>207.23</v>
      </c>
      <c r="J2992" s="14" t="n">
        <f aca="false">E2992-D2992</f>
        <v>1</v>
      </c>
      <c r="K2992" s="14" t="n">
        <f aca="false">IF(J2992&lt;=0,1,0)</f>
        <v>0</v>
      </c>
      <c r="L2992" s="15" t="n">
        <f aca="false">IFERROR(G2992/F2992,0)</f>
        <v>0.990338164251208</v>
      </c>
      <c r="M2992" s="15" t="n">
        <f aca="false">IFERROR((I2992-H2992)/H2992,0)</f>
        <v>0.0193310378750614</v>
      </c>
      <c r="N2992" s="16" t="n">
        <f aca="false">G2992*I2992</f>
        <v>42482.15</v>
      </c>
    </row>
    <row r="2993" customFormat="false" ht="15" hidden="false" customHeight="true" outlineLevel="0" collapsed="false">
      <c r="A2993" s="4" t="s">
        <v>3169</v>
      </c>
      <c r="B2993" s="4" t="s">
        <v>151</v>
      </c>
      <c r="C2993" s="13" t="n">
        <v>45219</v>
      </c>
      <c r="D2993" s="13" t="n">
        <v>45223</v>
      </c>
      <c r="E2993" s="13" t="n">
        <v>45224</v>
      </c>
      <c r="F2993" s="4" t="n">
        <v>9</v>
      </c>
      <c r="G2993" s="4" t="n">
        <v>9</v>
      </c>
      <c r="H2993" s="4" t="n">
        <v>503.46</v>
      </c>
      <c r="I2993" s="4" t="n">
        <v>510.78</v>
      </c>
      <c r="J2993" s="14" t="n">
        <f aca="false">E2993-D2993</f>
        <v>1</v>
      </c>
      <c r="K2993" s="14" t="n">
        <f aca="false">IF(J2993&lt;=0,1,0)</f>
        <v>0</v>
      </c>
      <c r="L2993" s="15" t="n">
        <f aca="false">IFERROR(G2993/F2993,0)</f>
        <v>1</v>
      </c>
      <c r="M2993" s="15" t="n">
        <f aca="false">IFERROR((I2993-H2993)/H2993,0)</f>
        <v>0.0145393874389226</v>
      </c>
      <c r="N2993" s="16" t="n">
        <f aca="false">G2993*I2993</f>
        <v>4597.02</v>
      </c>
    </row>
    <row r="2994" customFormat="false" ht="15" hidden="false" customHeight="true" outlineLevel="0" collapsed="false">
      <c r="A2994" s="4" t="s">
        <v>3170</v>
      </c>
      <c r="B2994" s="4" t="s">
        <v>63</v>
      </c>
      <c r="C2994" s="13" t="n">
        <v>44944</v>
      </c>
      <c r="D2994" s="13" t="n">
        <v>44954</v>
      </c>
      <c r="E2994" s="13" t="n">
        <v>44958</v>
      </c>
      <c r="F2994" s="4" t="n">
        <v>787</v>
      </c>
      <c r="G2994" s="4" t="n">
        <v>743</v>
      </c>
      <c r="H2994" s="4" t="n">
        <v>239.8</v>
      </c>
      <c r="I2994" s="4" t="n">
        <v>240.15</v>
      </c>
      <c r="J2994" s="14" t="n">
        <f aca="false">E2994-D2994</f>
        <v>4</v>
      </c>
      <c r="K2994" s="14" t="n">
        <f aca="false">IF(J2994&lt;=0,1,0)</f>
        <v>0</v>
      </c>
      <c r="L2994" s="15" t="n">
        <f aca="false">IFERROR(G2994/F2994,0)</f>
        <v>0.944091486658196</v>
      </c>
      <c r="M2994" s="15" t="n">
        <f aca="false">IFERROR((I2994-H2994)/H2994,0)</f>
        <v>0.00145954962468722</v>
      </c>
      <c r="N2994" s="16" t="n">
        <f aca="false">G2994*I2994</f>
        <v>178431.45</v>
      </c>
    </row>
    <row r="2995" customFormat="false" ht="15" hidden="false" customHeight="true" outlineLevel="0" collapsed="false">
      <c r="A2995" s="4" t="s">
        <v>3171</v>
      </c>
      <c r="B2995" s="4" t="s">
        <v>127</v>
      </c>
      <c r="C2995" s="13" t="n">
        <v>45625</v>
      </c>
      <c r="D2995" s="13" t="n">
        <v>45629</v>
      </c>
      <c r="E2995" s="13" t="n">
        <v>45632</v>
      </c>
      <c r="F2995" s="4" t="n">
        <v>4</v>
      </c>
      <c r="G2995" s="4" t="n">
        <v>4</v>
      </c>
      <c r="H2995" s="4" t="n">
        <v>1881</v>
      </c>
      <c r="I2995" s="4" t="n">
        <v>1751.4</v>
      </c>
      <c r="J2995" s="14" t="n">
        <f aca="false">E2995-D2995</f>
        <v>3</v>
      </c>
      <c r="K2995" s="14" t="n">
        <f aca="false">IF(J2995&lt;=0,1,0)</f>
        <v>0</v>
      </c>
      <c r="L2995" s="15" t="n">
        <f aca="false">IFERROR(G2995/F2995,0)</f>
        <v>1</v>
      </c>
      <c r="M2995" s="15" t="n">
        <f aca="false">IFERROR((I2995-H2995)/H2995,0)</f>
        <v>-0.0688995215311004</v>
      </c>
      <c r="N2995" s="16" t="n">
        <f aca="false">G2995*I2995</f>
        <v>7005.6</v>
      </c>
    </row>
    <row r="2996" customFormat="false" ht="15" hidden="false" customHeight="true" outlineLevel="0" collapsed="false">
      <c r="A2996" s="4" t="s">
        <v>3172</v>
      </c>
      <c r="B2996" s="4" t="s">
        <v>115</v>
      </c>
      <c r="C2996" s="13" t="n">
        <v>45337</v>
      </c>
      <c r="D2996" s="13" t="n">
        <v>45350</v>
      </c>
      <c r="E2996" s="13" t="n">
        <v>45361</v>
      </c>
      <c r="F2996" s="4" t="n">
        <v>247</v>
      </c>
      <c r="G2996" s="4" t="n">
        <v>237</v>
      </c>
      <c r="H2996" s="4" t="n">
        <v>115.53</v>
      </c>
      <c r="I2996" s="4" t="n">
        <v>121.19</v>
      </c>
      <c r="J2996" s="14" t="n">
        <f aca="false">E2996-D2996</f>
        <v>11</v>
      </c>
      <c r="K2996" s="14" t="n">
        <f aca="false">IF(J2996&lt;=0,1,0)</f>
        <v>0</v>
      </c>
      <c r="L2996" s="15" t="n">
        <f aca="false">IFERROR(G2996/F2996,0)</f>
        <v>0.959514170040486</v>
      </c>
      <c r="M2996" s="15" t="n">
        <f aca="false">IFERROR((I2996-H2996)/H2996,0)</f>
        <v>0.0489916039124037</v>
      </c>
      <c r="N2996" s="16" t="n">
        <f aca="false">G2996*I2996</f>
        <v>28722.03</v>
      </c>
    </row>
    <row r="2997" customFormat="false" ht="15" hidden="false" customHeight="true" outlineLevel="0" collapsed="false">
      <c r="A2997" s="4" t="s">
        <v>3173</v>
      </c>
      <c r="B2997" s="4" t="s">
        <v>163</v>
      </c>
      <c r="C2997" s="13" t="n">
        <v>45239</v>
      </c>
      <c r="D2997" s="13" t="n">
        <v>45258</v>
      </c>
      <c r="E2997" s="13" t="n">
        <v>45258</v>
      </c>
      <c r="F2997" s="4" t="n">
        <v>297</v>
      </c>
      <c r="G2997" s="4" t="n">
        <v>297</v>
      </c>
      <c r="H2997" s="4" t="n">
        <v>482.79</v>
      </c>
      <c r="I2997" s="4" t="n">
        <v>491.75</v>
      </c>
      <c r="J2997" s="14" t="n">
        <f aca="false">E2997-D2997</f>
        <v>0</v>
      </c>
      <c r="K2997" s="14" t="n">
        <f aca="false">IF(J2997&lt;=0,1,0)</f>
        <v>1</v>
      </c>
      <c r="L2997" s="15" t="n">
        <f aca="false">IFERROR(G2997/F2997,0)</f>
        <v>1</v>
      </c>
      <c r="M2997" s="15" t="n">
        <f aca="false">IFERROR((I2997-H2997)/H2997,0)</f>
        <v>0.0185587936784109</v>
      </c>
      <c r="N2997" s="16" t="n">
        <f aca="false">G2997*I2997</f>
        <v>146049.75</v>
      </c>
    </row>
    <row r="2998" customFormat="false" ht="15" hidden="false" customHeight="true" outlineLevel="0" collapsed="false">
      <c r="A2998" s="4" t="s">
        <v>3174</v>
      </c>
      <c r="B2998" s="4" t="s">
        <v>123</v>
      </c>
      <c r="C2998" s="13" t="n">
        <v>45372</v>
      </c>
      <c r="D2998" s="13" t="n">
        <v>45386</v>
      </c>
      <c r="E2998" s="13" t="n">
        <v>45386</v>
      </c>
      <c r="F2998" s="4" t="n">
        <v>210</v>
      </c>
      <c r="G2998" s="4" t="n">
        <v>201</v>
      </c>
      <c r="H2998" s="4" t="n">
        <v>214.07</v>
      </c>
      <c r="I2998" s="4" t="n">
        <v>241.77</v>
      </c>
      <c r="J2998" s="14" t="n">
        <f aca="false">E2998-D2998</f>
        <v>0</v>
      </c>
      <c r="K2998" s="14" t="n">
        <f aca="false">IF(J2998&lt;=0,1,0)</f>
        <v>1</v>
      </c>
      <c r="L2998" s="15" t="n">
        <f aca="false">IFERROR(G2998/F2998,0)</f>
        <v>0.957142857142857</v>
      </c>
      <c r="M2998" s="15" t="n">
        <f aca="false">IFERROR((I2998-H2998)/H2998,0)</f>
        <v>0.129396926239081</v>
      </c>
      <c r="N2998" s="16" t="n">
        <f aca="false">G2998*I2998</f>
        <v>48595.77</v>
      </c>
    </row>
    <row r="2999" customFormat="false" ht="15" hidden="false" customHeight="true" outlineLevel="0" collapsed="false">
      <c r="A2999" s="4" t="s">
        <v>3175</v>
      </c>
      <c r="B2999" s="4" t="s">
        <v>97</v>
      </c>
      <c r="C2999" s="13" t="n">
        <v>45640</v>
      </c>
      <c r="D2999" s="13" t="n">
        <v>45652</v>
      </c>
      <c r="E2999" s="13" t="n">
        <v>45652</v>
      </c>
      <c r="F2999" s="4" t="n">
        <v>948</v>
      </c>
      <c r="G2999" s="4" t="n">
        <v>909</v>
      </c>
      <c r="H2999" s="4" t="n">
        <v>123.04</v>
      </c>
      <c r="I2999" s="4" t="n">
        <v>126.85</v>
      </c>
      <c r="J2999" s="14" t="n">
        <f aca="false">E2999-D2999</f>
        <v>0</v>
      </c>
      <c r="K2999" s="14" t="n">
        <f aca="false">IF(J2999&lt;=0,1,0)</f>
        <v>1</v>
      </c>
      <c r="L2999" s="15" t="n">
        <f aca="false">IFERROR(G2999/F2999,0)</f>
        <v>0.958860759493671</v>
      </c>
      <c r="M2999" s="15" t="n">
        <f aca="false">IFERROR((I2999-H2999)/H2999,0)</f>
        <v>0.0309655396618985</v>
      </c>
      <c r="N2999" s="16" t="n">
        <f aca="false">G2999*I2999</f>
        <v>115306.65</v>
      </c>
    </row>
    <row r="3000" customFormat="false" ht="15" hidden="false" customHeight="true" outlineLevel="0" collapsed="false">
      <c r="A3000" s="4" t="s">
        <v>3176</v>
      </c>
      <c r="B3000" s="4" t="s">
        <v>117</v>
      </c>
      <c r="C3000" s="13" t="n">
        <v>45583</v>
      </c>
      <c r="D3000" s="13" t="n">
        <v>45595</v>
      </c>
      <c r="E3000" s="13" t="n">
        <v>45610</v>
      </c>
      <c r="F3000" s="4" t="n">
        <v>223</v>
      </c>
      <c r="G3000" s="4" t="n">
        <v>215</v>
      </c>
      <c r="H3000" s="4" t="n">
        <v>396.01</v>
      </c>
      <c r="I3000" s="4" t="n">
        <v>386.8</v>
      </c>
      <c r="J3000" s="14" t="n">
        <f aca="false">E3000-D3000</f>
        <v>15</v>
      </c>
      <c r="K3000" s="14" t="n">
        <f aca="false">IF(J3000&lt;=0,1,0)</f>
        <v>0</v>
      </c>
      <c r="L3000" s="15" t="n">
        <f aca="false">IFERROR(G3000/F3000,0)</f>
        <v>0.964125560538117</v>
      </c>
      <c r="M3000" s="15" t="n">
        <f aca="false">IFERROR((I3000-H3000)/H3000,0)</f>
        <v>-0.0232569884598873</v>
      </c>
      <c r="N3000" s="16" t="n">
        <f aca="false">G3000*I3000</f>
        <v>83162</v>
      </c>
    </row>
    <row r="3001" customFormat="false" ht="15" hidden="false" customHeight="true" outlineLevel="0" collapsed="false">
      <c r="A3001" s="4" t="s">
        <v>3177</v>
      </c>
      <c r="B3001" s="4" t="s">
        <v>58</v>
      </c>
      <c r="C3001" s="13" t="n">
        <v>45142</v>
      </c>
      <c r="D3001" s="13" t="n">
        <v>45153</v>
      </c>
      <c r="E3001" s="13" t="n">
        <v>45154</v>
      </c>
      <c r="F3001" s="4" t="n">
        <v>287</v>
      </c>
      <c r="G3001" s="4" t="n">
        <v>275</v>
      </c>
      <c r="H3001" s="4" t="n">
        <v>135.68</v>
      </c>
      <c r="I3001" s="4" t="n">
        <v>137.68</v>
      </c>
      <c r="J3001" s="14" t="n">
        <f aca="false">E3001-D3001</f>
        <v>1</v>
      </c>
      <c r="K3001" s="14" t="n">
        <f aca="false">IF(J3001&lt;=0,1,0)</f>
        <v>0</v>
      </c>
      <c r="L3001" s="15" t="n">
        <f aca="false">IFERROR(G3001/F3001,0)</f>
        <v>0.958188153310105</v>
      </c>
      <c r="M3001" s="15" t="n">
        <f aca="false">IFERROR((I3001-H3001)/H3001,0)</f>
        <v>0.0147405660377358</v>
      </c>
      <c r="N3001" s="16" t="n">
        <f aca="false">G3001*I3001</f>
        <v>37862</v>
      </c>
    </row>
  </sheetData>
  <autoFilter ref="A1:N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0"/>
    <col collapsed="false" customWidth="true" hidden="false" outlineLevel="0" max="4" min="3" style="1" width="15"/>
    <col collapsed="false" customWidth="true" hidden="false" outlineLevel="0" max="5" min="5" style="1" width="17"/>
    <col collapsed="false" customWidth="true" hidden="false" outlineLevel="0" max="6" min="6" style="1" width="23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2" t="s">
        <v>3178</v>
      </c>
      <c r="B1" s="12" t="s">
        <v>165</v>
      </c>
      <c r="C1" s="12" t="s">
        <v>3179</v>
      </c>
      <c r="D1" s="12" t="s">
        <v>3180</v>
      </c>
      <c r="E1" s="12" t="s">
        <v>3181</v>
      </c>
      <c r="F1" s="12" t="s">
        <v>3182</v>
      </c>
      <c r="G1" s="12" t="s">
        <v>26</v>
      </c>
    </row>
    <row r="2" customFormat="false" ht="15" hidden="false" customHeight="true" outlineLevel="0" collapsed="false">
      <c r="A2" s="4" t="s">
        <v>3183</v>
      </c>
      <c r="B2" s="4" t="s">
        <v>178</v>
      </c>
      <c r="C2" s="4" t="n">
        <v>110</v>
      </c>
      <c r="D2" s="4" t="n">
        <v>5</v>
      </c>
      <c r="E2" s="13" t="n">
        <v>45522</v>
      </c>
      <c r="F2" s="4" t="s">
        <v>3184</v>
      </c>
      <c r="G2" s="4" t="str">
        <f aca="false">INDEX(PurchaseOrders!$B$2:$B$3001,MATCH(B2,PurchaseOrders!$A$2:$A$3001,0))</f>
        <v>V013</v>
      </c>
    </row>
    <row r="3" customFormat="false" ht="15" hidden="false" customHeight="true" outlineLevel="0" collapsed="false">
      <c r="A3" s="4" t="s">
        <v>3185</v>
      </c>
      <c r="B3" s="4" t="s">
        <v>179</v>
      </c>
      <c r="C3" s="4" t="n">
        <v>107</v>
      </c>
      <c r="D3" s="4" t="n">
        <v>5</v>
      </c>
      <c r="E3" s="13" t="n">
        <v>45643</v>
      </c>
      <c r="F3" s="4" t="s">
        <v>3186</v>
      </c>
      <c r="G3" s="4" t="str">
        <f aca="false">INDEX(PurchaseOrders!$B$2:$B$3001,MATCH(B3,PurchaseOrders!$A$2:$A$3001,0))</f>
        <v>V037</v>
      </c>
    </row>
    <row r="4" customFormat="false" ht="15" hidden="false" customHeight="true" outlineLevel="0" collapsed="false">
      <c r="A4" s="4" t="s">
        <v>3187</v>
      </c>
      <c r="B4" s="4" t="s">
        <v>180</v>
      </c>
      <c r="C4" s="4" t="n">
        <v>210</v>
      </c>
      <c r="D4" s="4" t="n">
        <v>2</v>
      </c>
      <c r="E4" s="13" t="n">
        <v>45068</v>
      </c>
      <c r="F4" s="4" t="s">
        <v>3188</v>
      </c>
      <c r="G4" s="4" t="str">
        <f aca="false">INDEX(PurchaseOrders!$B$2:$B$3001,MATCH(B4,PurchaseOrders!$A$2:$A$3001,0))</f>
        <v>V040</v>
      </c>
    </row>
    <row r="5" customFormat="false" ht="15" hidden="false" customHeight="true" outlineLevel="0" collapsed="false">
      <c r="A5" s="4" t="s">
        <v>3189</v>
      </c>
      <c r="B5" s="4" t="s">
        <v>181</v>
      </c>
      <c r="C5" s="4" t="n">
        <v>1364</v>
      </c>
      <c r="D5" s="4" t="n">
        <v>33</v>
      </c>
      <c r="E5" s="13" t="n">
        <v>45242</v>
      </c>
      <c r="F5" s="4" t="s">
        <v>3190</v>
      </c>
      <c r="G5" s="4" t="str">
        <f aca="false">INDEX(PurchaseOrders!$B$2:$B$3001,MATCH(B5,PurchaseOrders!$A$2:$A$3001,0))</f>
        <v>V020</v>
      </c>
    </row>
    <row r="6" customFormat="false" ht="15" hidden="false" customHeight="true" outlineLevel="0" collapsed="false">
      <c r="A6" s="4" t="s">
        <v>3191</v>
      </c>
      <c r="B6" s="4" t="s">
        <v>182</v>
      </c>
      <c r="C6" s="4" t="n">
        <v>223</v>
      </c>
      <c r="D6" s="4" t="n">
        <v>22</v>
      </c>
      <c r="E6" s="13" t="n">
        <v>45416</v>
      </c>
      <c r="F6" s="4" t="s">
        <v>3192</v>
      </c>
      <c r="G6" s="4" t="str">
        <f aca="false">INDEX(PurchaseOrders!$B$2:$B$3001,MATCH(B6,PurchaseOrders!$A$2:$A$3001,0))</f>
        <v>V044</v>
      </c>
    </row>
    <row r="7" customFormat="false" ht="15" hidden="false" customHeight="true" outlineLevel="0" collapsed="false">
      <c r="A7" s="4" t="s">
        <v>3193</v>
      </c>
      <c r="B7" s="4" t="s">
        <v>183</v>
      </c>
      <c r="C7" s="4" t="n">
        <v>3</v>
      </c>
      <c r="D7" s="4" t="n">
        <v>0</v>
      </c>
      <c r="E7" s="13" t="n">
        <v>45141</v>
      </c>
      <c r="F7" s="4"/>
      <c r="G7" s="4" t="str">
        <f aca="false">INDEX(PurchaseOrders!$B$2:$B$3001,MATCH(B7,PurchaseOrders!$A$2:$A$3001,0))</f>
        <v>V053</v>
      </c>
    </row>
    <row r="8" customFormat="false" ht="15" hidden="false" customHeight="true" outlineLevel="0" collapsed="false">
      <c r="A8" s="4" t="s">
        <v>3194</v>
      </c>
      <c r="B8" s="4" t="s">
        <v>184</v>
      </c>
      <c r="C8" s="4" t="n">
        <v>640</v>
      </c>
      <c r="D8" s="4" t="n">
        <v>4</v>
      </c>
      <c r="E8" s="13" t="n">
        <v>45385</v>
      </c>
      <c r="F8" s="4" t="s">
        <v>3186</v>
      </c>
      <c r="G8" s="4" t="str">
        <f aca="false">INDEX(PurchaseOrders!$B$2:$B$3001,MATCH(B8,PurchaseOrders!$A$2:$A$3001,0))</f>
        <v>V035</v>
      </c>
    </row>
    <row r="9" customFormat="false" ht="15" hidden="false" customHeight="true" outlineLevel="0" collapsed="false">
      <c r="A9" s="4" t="s">
        <v>3195</v>
      </c>
      <c r="B9" s="4" t="s">
        <v>185</v>
      </c>
      <c r="C9" s="4" t="n">
        <v>4</v>
      </c>
      <c r="D9" s="4" t="n">
        <v>0</v>
      </c>
      <c r="E9" s="13" t="n">
        <v>45637</v>
      </c>
      <c r="F9" s="4"/>
      <c r="G9" s="4" t="str">
        <f aca="false">INDEX(PurchaseOrders!$B$2:$B$3001,MATCH(B9,PurchaseOrders!$A$2:$A$3001,0))</f>
        <v>V053</v>
      </c>
    </row>
    <row r="10" customFormat="false" ht="15" hidden="false" customHeight="true" outlineLevel="0" collapsed="false">
      <c r="A10" s="4" t="s">
        <v>3196</v>
      </c>
      <c r="B10" s="4" t="s">
        <v>186</v>
      </c>
      <c r="C10" s="4" t="n">
        <v>155</v>
      </c>
      <c r="D10" s="4" t="n">
        <v>17</v>
      </c>
      <c r="E10" s="13" t="n">
        <v>45195</v>
      </c>
      <c r="F10" s="4" t="s">
        <v>3192</v>
      </c>
      <c r="G10" s="4" t="str">
        <f aca="false">INDEX(PurchaseOrders!$B$2:$B$3001,MATCH(B10,PurchaseOrders!$A$2:$A$3001,0))</f>
        <v>V049</v>
      </c>
    </row>
    <row r="11" customFormat="false" ht="15" hidden="false" customHeight="true" outlineLevel="0" collapsed="false">
      <c r="A11" s="4" t="s">
        <v>3197</v>
      </c>
      <c r="B11" s="4" t="s">
        <v>187</v>
      </c>
      <c r="C11" s="4" t="n">
        <v>307</v>
      </c>
      <c r="D11" s="4" t="n">
        <v>13</v>
      </c>
      <c r="E11" s="13" t="n">
        <v>45409</v>
      </c>
      <c r="F11" s="4" t="s">
        <v>3186</v>
      </c>
      <c r="G11" s="4" t="str">
        <f aca="false">INDEX(PurchaseOrders!$B$2:$B$3001,MATCH(B11,PurchaseOrders!$A$2:$A$3001,0))</f>
        <v>V029</v>
      </c>
    </row>
    <row r="12" customFormat="false" ht="15" hidden="false" customHeight="true" outlineLevel="0" collapsed="false">
      <c r="A12" s="4" t="s">
        <v>3198</v>
      </c>
      <c r="B12" s="4" t="s">
        <v>188</v>
      </c>
      <c r="C12" s="4" t="n">
        <v>123</v>
      </c>
      <c r="D12" s="4" t="n">
        <v>4</v>
      </c>
      <c r="E12" s="13" t="n">
        <v>45581</v>
      </c>
      <c r="F12" s="4" t="s">
        <v>3192</v>
      </c>
      <c r="G12" s="4" t="str">
        <f aca="false">INDEX(PurchaseOrders!$B$2:$B$3001,MATCH(B12,PurchaseOrders!$A$2:$A$3001,0))</f>
        <v>V018</v>
      </c>
    </row>
    <row r="13" customFormat="false" ht="15" hidden="false" customHeight="true" outlineLevel="0" collapsed="false">
      <c r="A13" s="4" t="s">
        <v>3199</v>
      </c>
      <c r="B13" s="4" t="s">
        <v>189</v>
      </c>
      <c r="C13" s="4" t="n">
        <v>451</v>
      </c>
      <c r="D13" s="4" t="n">
        <v>14</v>
      </c>
      <c r="E13" s="13" t="n">
        <v>45277</v>
      </c>
      <c r="F13" s="4" t="s">
        <v>3188</v>
      </c>
      <c r="G13" s="4" t="str">
        <f aca="false">INDEX(PurchaseOrders!$B$2:$B$3001,MATCH(B13,PurchaseOrders!$A$2:$A$3001,0))</f>
        <v>V024</v>
      </c>
    </row>
    <row r="14" customFormat="false" ht="15" hidden="false" customHeight="true" outlineLevel="0" collapsed="false">
      <c r="A14" s="4" t="s">
        <v>3200</v>
      </c>
      <c r="B14" s="4" t="s">
        <v>190</v>
      </c>
      <c r="C14" s="4" t="n">
        <v>152</v>
      </c>
      <c r="D14" s="4" t="n">
        <v>13</v>
      </c>
      <c r="E14" s="13" t="n">
        <v>45370</v>
      </c>
      <c r="F14" s="4" t="s">
        <v>3190</v>
      </c>
      <c r="G14" s="4" t="str">
        <f aca="false">INDEX(PurchaseOrders!$B$2:$B$3001,MATCH(B14,PurchaseOrders!$A$2:$A$3001,0))</f>
        <v>V009</v>
      </c>
    </row>
    <row r="15" customFormat="false" ht="15" hidden="false" customHeight="true" outlineLevel="0" collapsed="false">
      <c r="A15" s="4" t="s">
        <v>3201</v>
      </c>
      <c r="B15" s="4" t="s">
        <v>191</v>
      </c>
      <c r="C15" s="4" t="n">
        <v>1608</v>
      </c>
      <c r="D15" s="4" t="n">
        <v>112</v>
      </c>
      <c r="E15" s="13" t="n">
        <v>45124</v>
      </c>
      <c r="F15" s="4" t="s">
        <v>3202</v>
      </c>
      <c r="G15" s="4" t="str">
        <f aca="false">INDEX(PurchaseOrders!$B$2:$B$3001,MATCH(B15,PurchaseOrders!$A$2:$A$3001,0))</f>
        <v>V034</v>
      </c>
    </row>
    <row r="16" customFormat="false" ht="15" hidden="false" customHeight="true" outlineLevel="0" collapsed="false">
      <c r="A16" s="4" t="s">
        <v>3203</v>
      </c>
      <c r="B16" s="4" t="s">
        <v>192</v>
      </c>
      <c r="C16" s="4" t="n">
        <v>229</v>
      </c>
      <c r="D16" s="4" t="n">
        <v>19</v>
      </c>
      <c r="E16" s="13" t="n">
        <v>45289</v>
      </c>
      <c r="F16" s="4" t="s">
        <v>3184</v>
      </c>
      <c r="G16" s="4" t="str">
        <f aca="false">INDEX(PurchaseOrders!$B$2:$B$3001,MATCH(B16,PurchaseOrders!$A$2:$A$3001,0))</f>
        <v>V018</v>
      </c>
    </row>
    <row r="17" customFormat="false" ht="15" hidden="false" customHeight="true" outlineLevel="0" collapsed="false">
      <c r="A17" s="4" t="s">
        <v>3204</v>
      </c>
      <c r="B17" s="4" t="s">
        <v>193</v>
      </c>
      <c r="C17" s="4" t="n">
        <v>501</v>
      </c>
      <c r="D17" s="4" t="n">
        <v>2</v>
      </c>
      <c r="E17" s="13" t="n">
        <v>45114</v>
      </c>
      <c r="F17" s="4" t="s">
        <v>3190</v>
      </c>
      <c r="G17" s="4" t="str">
        <f aca="false">INDEX(PurchaseOrders!$B$2:$B$3001,MATCH(B17,PurchaseOrders!$A$2:$A$3001,0))</f>
        <v>V020</v>
      </c>
    </row>
    <row r="18" customFormat="false" ht="15" hidden="false" customHeight="true" outlineLevel="0" collapsed="false">
      <c r="A18" s="4" t="s">
        <v>3205</v>
      </c>
      <c r="B18" s="4" t="s">
        <v>194</v>
      </c>
      <c r="C18" s="4" t="n">
        <v>737</v>
      </c>
      <c r="D18" s="4" t="n">
        <v>30</v>
      </c>
      <c r="E18" s="13" t="n">
        <v>45000</v>
      </c>
      <c r="F18" s="4" t="s">
        <v>3192</v>
      </c>
      <c r="G18" s="4" t="str">
        <f aca="false">INDEX(PurchaseOrders!$B$2:$B$3001,MATCH(B18,PurchaseOrders!$A$2:$A$3001,0))</f>
        <v>V017</v>
      </c>
    </row>
    <row r="19" customFormat="false" ht="15" hidden="false" customHeight="true" outlineLevel="0" collapsed="false">
      <c r="A19" s="4" t="s">
        <v>3206</v>
      </c>
      <c r="B19" s="4" t="s">
        <v>195</v>
      </c>
      <c r="C19" s="4" t="n">
        <v>174</v>
      </c>
      <c r="D19" s="4" t="n">
        <v>16</v>
      </c>
      <c r="E19" s="13" t="n">
        <v>44989</v>
      </c>
      <c r="F19" s="4" t="s">
        <v>3202</v>
      </c>
      <c r="G19" s="4" t="str">
        <f aca="false">INDEX(PurchaseOrders!$B$2:$B$3001,MATCH(B19,PurchaseOrders!$A$2:$A$3001,0))</f>
        <v>V009</v>
      </c>
    </row>
    <row r="20" customFormat="false" ht="15" hidden="false" customHeight="true" outlineLevel="0" collapsed="false">
      <c r="A20" s="4" t="s">
        <v>3207</v>
      </c>
      <c r="B20" s="4" t="s">
        <v>196</v>
      </c>
      <c r="C20" s="4" t="n">
        <v>220</v>
      </c>
      <c r="D20" s="4" t="n">
        <v>5</v>
      </c>
      <c r="E20" s="13" t="n">
        <v>45093</v>
      </c>
      <c r="F20" s="4" t="s">
        <v>3192</v>
      </c>
      <c r="G20" s="4" t="str">
        <f aca="false">INDEX(PurchaseOrders!$B$2:$B$3001,MATCH(B20,PurchaseOrders!$A$2:$A$3001,0))</f>
        <v>V046</v>
      </c>
    </row>
    <row r="21" customFormat="false" ht="15" hidden="false" customHeight="true" outlineLevel="0" collapsed="false">
      <c r="A21" s="4" t="s">
        <v>3208</v>
      </c>
      <c r="B21" s="4" t="s">
        <v>197</v>
      </c>
      <c r="C21" s="4" t="n">
        <v>490</v>
      </c>
      <c r="D21" s="4" t="n">
        <v>18</v>
      </c>
      <c r="E21" s="13" t="n">
        <v>45071</v>
      </c>
      <c r="F21" s="4" t="s">
        <v>3202</v>
      </c>
      <c r="G21" s="4" t="str">
        <f aca="false">INDEX(PurchaseOrders!$B$2:$B$3001,MATCH(B21,PurchaseOrders!$A$2:$A$3001,0))</f>
        <v>V021</v>
      </c>
    </row>
    <row r="22" customFormat="false" ht="15" hidden="false" customHeight="true" outlineLevel="0" collapsed="false">
      <c r="A22" s="4" t="s">
        <v>3209</v>
      </c>
      <c r="B22" s="4" t="s">
        <v>198</v>
      </c>
      <c r="C22" s="4" t="n">
        <v>9</v>
      </c>
      <c r="D22" s="4" t="n">
        <v>0</v>
      </c>
      <c r="E22" s="13" t="n">
        <v>45630</v>
      </c>
      <c r="F22" s="4"/>
      <c r="G22" s="4" t="str">
        <f aca="false">INDEX(PurchaseOrders!$B$2:$B$3001,MATCH(B22,PurchaseOrders!$A$2:$A$3001,0))</f>
        <v>V053</v>
      </c>
    </row>
    <row r="23" customFormat="false" ht="15" hidden="false" customHeight="true" outlineLevel="0" collapsed="false">
      <c r="A23" s="4" t="s">
        <v>3210</v>
      </c>
      <c r="B23" s="4" t="s">
        <v>199</v>
      </c>
      <c r="C23" s="4" t="n">
        <v>1618</v>
      </c>
      <c r="D23" s="4" t="n">
        <v>24</v>
      </c>
      <c r="E23" s="13" t="n">
        <v>45349</v>
      </c>
      <c r="F23" s="4" t="s">
        <v>3202</v>
      </c>
      <c r="G23" s="4" t="str">
        <f aca="false">INDEX(PurchaseOrders!$B$2:$B$3001,MATCH(B23,PurchaseOrders!$A$2:$A$3001,0))</f>
        <v>V045</v>
      </c>
    </row>
    <row r="24" customFormat="false" ht="15" hidden="false" customHeight="true" outlineLevel="0" collapsed="false">
      <c r="A24" s="4" t="s">
        <v>3211</v>
      </c>
      <c r="B24" s="4" t="s">
        <v>200</v>
      </c>
      <c r="C24" s="4" t="n">
        <v>63</v>
      </c>
      <c r="D24" s="4" t="n">
        <v>0</v>
      </c>
      <c r="E24" s="13" t="n">
        <v>45019</v>
      </c>
      <c r="F24" s="4"/>
      <c r="G24" s="4" t="str">
        <f aca="false">INDEX(PurchaseOrders!$B$2:$B$3001,MATCH(B24,PurchaseOrders!$A$2:$A$3001,0))</f>
        <v>V046</v>
      </c>
    </row>
    <row r="25" customFormat="false" ht="15" hidden="false" customHeight="true" outlineLevel="0" collapsed="false">
      <c r="A25" s="4" t="s">
        <v>3212</v>
      </c>
      <c r="B25" s="4" t="s">
        <v>201</v>
      </c>
      <c r="C25" s="4" t="n">
        <v>191</v>
      </c>
      <c r="D25" s="4" t="n">
        <v>15</v>
      </c>
      <c r="E25" s="13" t="n">
        <v>44985</v>
      </c>
      <c r="F25" s="4" t="s">
        <v>3184</v>
      </c>
      <c r="G25" s="4" t="str">
        <f aca="false">INDEX(PurchaseOrders!$B$2:$B$3001,MATCH(B25,PurchaseOrders!$A$2:$A$3001,0))</f>
        <v>V051</v>
      </c>
    </row>
    <row r="26" customFormat="false" ht="15" hidden="false" customHeight="true" outlineLevel="0" collapsed="false">
      <c r="A26" s="4" t="s">
        <v>3213</v>
      </c>
      <c r="B26" s="4" t="s">
        <v>202</v>
      </c>
      <c r="C26" s="4" t="n">
        <v>278</v>
      </c>
      <c r="D26" s="4" t="n">
        <v>6</v>
      </c>
      <c r="E26" s="13" t="n">
        <v>45628</v>
      </c>
      <c r="F26" s="4" t="s">
        <v>3192</v>
      </c>
      <c r="G26" s="4" t="str">
        <f aca="false">INDEX(PurchaseOrders!$B$2:$B$3001,MATCH(B26,PurchaseOrders!$A$2:$A$3001,0))</f>
        <v>V051</v>
      </c>
    </row>
    <row r="27" customFormat="false" ht="15" hidden="false" customHeight="true" outlineLevel="0" collapsed="false">
      <c r="A27" s="4" t="s">
        <v>3214</v>
      </c>
      <c r="B27" s="4" t="s">
        <v>203</v>
      </c>
      <c r="C27" s="4" t="n">
        <v>3431</v>
      </c>
      <c r="D27" s="4" t="n">
        <v>573</v>
      </c>
      <c r="E27" s="13" t="n">
        <v>45315</v>
      </c>
      <c r="F27" s="4" t="s">
        <v>3188</v>
      </c>
      <c r="G27" s="4" t="str">
        <f aca="false">INDEX(PurchaseOrders!$B$2:$B$3001,MATCH(B27,PurchaseOrders!$A$2:$A$3001,0))</f>
        <v>V026</v>
      </c>
    </row>
    <row r="28" customFormat="false" ht="15" hidden="false" customHeight="true" outlineLevel="0" collapsed="false">
      <c r="A28" s="4" t="s">
        <v>3215</v>
      </c>
      <c r="B28" s="4" t="s">
        <v>204</v>
      </c>
      <c r="C28" s="4" t="n">
        <v>29</v>
      </c>
      <c r="D28" s="4" t="n">
        <v>1</v>
      </c>
      <c r="E28" s="13" t="n">
        <v>45248</v>
      </c>
      <c r="F28" s="4" t="s">
        <v>3188</v>
      </c>
      <c r="G28" s="4" t="str">
        <f aca="false">INDEX(PurchaseOrders!$B$2:$B$3001,MATCH(B28,PurchaseOrders!$A$2:$A$3001,0))</f>
        <v>V037</v>
      </c>
    </row>
    <row r="29" customFormat="false" ht="15" hidden="false" customHeight="true" outlineLevel="0" collapsed="false">
      <c r="A29" s="4" t="s">
        <v>3216</v>
      </c>
      <c r="B29" s="4" t="s">
        <v>205</v>
      </c>
      <c r="C29" s="4" t="n">
        <v>4101</v>
      </c>
      <c r="D29" s="4" t="n">
        <v>169</v>
      </c>
      <c r="E29" s="13" t="n">
        <v>45490</v>
      </c>
      <c r="F29" s="4" t="s">
        <v>3188</v>
      </c>
      <c r="G29" s="4" t="str">
        <f aca="false">INDEX(PurchaseOrders!$B$2:$B$3001,MATCH(B29,PurchaseOrders!$A$2:$A$3001,0))</f>
        <v>V058</v>
      </c>
    </row>
    <row r="30" customFormat="false" ht="15" hidden="false" customHeight="true" outlineLevel="0" collapsed="false">
      <c r="A30" s="4" t="s">
        <v>3217</v>
      </c>
      <c r="B30" s="4" t="s">
        <v>206</v>
      </c>
      <c r="C30" s="4" t="n">
        <v>193</v>
      </c>
      <c r="D30" s="4" t="n">
        <v>23</v>
      </c>
      <c r="E30" s="13" t="n">
        <v>45619</v>
      </c>
      <c r="F30" s="4" t="s">
        <v>3202</v>
      </c>
      <c r="G30" s="4" t="str">
        <f aca="false">INDEX(PurchaseOrders!$B$2:$B$3001,MATCH(B30,PurchaseOrders!$A$2:$A$3001,0))</f>
        <v>V049</v>
      </c>
    </row>
    <row r="31" customFormat="false" ht="15" hidden="false" customHeight="true" outlineLevel="0" collapsed="false">
      <c r="A31" s="4" t="s">
        <v>3218</v>
      </c>
      <c r="B31" s="4" t="s">
        <v>207</v>
      </c>
      <c r="C31" s="4" t="n">
        <v>61</v>
      </c>
      <c r="D31" s="4" t="n">
        <v>4</v>
      </c>
      <c r="E31" s="13" t="n">
        <v>45666</v>
      </c>
      <c r="F31" s="4" t="s">
        <v>3188</v>
      </c>
      <c r="G31" s="4" t="str">
        <f aca="false">INDEX(PurchaseOrders!$B$2:$B$3001,MATCH(B31,PurchaseOrders!$A$2:$A$3001,0))</f>
        <v>V012</v>
      </c>
    </row>
    <row r="32" customFormat="false" ht="15" hidden="false" customHeight="true" outlineLevel="0" collapsed="false">
      <c r="A32" s="4" t="s">
        <v>3219</v>
      </c>
      <c r="B32" s="4" t="s">
        <v>208</v>
      </c>
      <c r="C32" s="4" t="n">
        <v>749</v>
      </c>
      <c r="D32" s="4" t="n">
        <v>102</v>
      </c>
      <c r="E32" s="13" t="n">
        <v>45227</v>
      </c>
      <c r="F32" s="4" t="s">
        <v>3192</v>
      </c>
      <c r="G32" s="4" t="str">
        <f aca="false">INDEX(PurchaseOrders!$B$2:$B$3001,MATCH(B32,PurchaseOrders!$A$2:$A$3001,0))</f>
        <v>V044</v>
      </c>
    </row>
    <row r="33" customFormat="false" ht="15" hidden="false" customHeight="true" outlineLevel="0" collapsed="false">
      <c r="A33" s="4" t="s">
        <v>3220</v>
      </c>
      <c r="B33" s="4" t="s">
        <v>209</v>
      </c>
      <c r="C33" s="4" t="n">
        <v>9</v>
      </c>
      <c r="D33" s="4" t="n">
        <v>0</v>
      </c>
      <c r="E33" s="13" t="n">
        <v>45323</v>
      </c>
      <c r="F33" s="4"/>
      <c r="G33" s="4" t="str">
        <f aca="false">INDEX(PurchaseOrders!$B$2:$B$3001,MATCH(B33,PurchaseOrders!$A$2:$A$3001,0))</f>
        <v>V023</v>
      </c>
    </row>
    <row r="34" customFormat="false" ht="15" hidden="false" customHeight="true" outlineLevel="0" collapsed="false">
      <c r="A34" s="4" t="s">
        <v>3221</v>
      </c>
      <c r="B34" s="4" t="s">
        <v>210</v>
      </c>
      <c r="C34" s="4" t="n">
        <v>4587</v>
      </c>
      <c r="D34" s="4" t="n">
        <v>400</v>
      </c>
      <c r="E34" s="13" t="n">
        <v>45547</v>
      </c>
      <c r="F34" s="4" t="s">
        <v>3188</v>
      </c>
      <c r="G34" s="4" t="str">
        <f aca="false">INDEX(PurchaseOrders!$B$2:$B$3001,MATCH(B34,PurchaseOrders!$A$2:$A$3001,0))</f>
        <v>V032</v>
      </c>
    </row>
    <row r="35" customFormat="false" ht="15" hidden="false" customHeight="true" outlineLevel="0" collapsed="false">
      <c r="A35" s="4" t="s">
        <v>3222</v>
      </c>
      <c r="B35" s="4" t="s">
        <v>211</v>
      </c>
      <c r="C35" s="4" t="n">
        <v>4184</v>
      </c>
      <c r="D35" s="4" t="n">
        <v>339</v>
      </c>
      <c r="E35" s="13" t="n">
        <v>45388</v>
      </c>
      <c r="F35" s="4" t="s">
        <v>3192</v>
      </c>
      <c r="G35" s="4" t="str">
        <f aca="false">INDEX(PurchaseOrders!$B$2:$B$3001,MATCH(B35,PurchaseOrders!$A$2:$A$3001,0))</f>
        <v>V001</v>
      </c>
    </row>
    <row r="36" customFormat="false" ht="15" hidden="false" customHeight="true" outlineLevel="0" collapsed="false">
      <c r="A36" s="4" t="s">
        <v>3223</v>
      </c>
      <c r="B36" s="4" t="s">
        <v>212</v>
      </c>
      <c r="C36" s="4" t="n">
        <v>757</v>
      </c>
      <c r="D36" s="4" t="n">
        <v>0</v>
      </c>
      <c r="E36" s="13" t="n">
        <v>45521</v>
      </c>
      <c r="F36" s="4"/>
      <c r="G36" s="4" t="str">
        <f aca="false">INDEX(PurchaseOrders!$B$2:$B$3001,MATCH(B36,PurchaseOrders!$A$2:$A$3001,0))</f>
        <v>V035</v>
      </c>
    </row>
    <row r="37" customFormat="false" ht="15" hidden="false" customHeight="true" outlineLevel="0" collapsed="false">
      <c r="A37" s="4" t="s">
        <v>3224</v>
      </c>
      <c r="B37" s="4" t="s">
        <v>213</v>
      </c>
      <c r="C37" s="4" t="n">
        <v>448</v>
      </c>
      <c r="D37" s="4" t="n">
        <v>16</v>
      </c>
      <c r="E37" s="13" t="n">
        <v>45335</v>
      </c>
      <c r="F37" s="4" t="s">
        <v>3186</v>
      </c>
      <c r="G37" s="4" t="str">
        <f aca="false">INDEX(PurchaseOrders!$B$2:$B$3001,MATCH(B37,PurchaseOrders!$A$2:$A$3001,0))</f>
        <v>V013</v>
      </c>
    </row>
    <row r="38" customFormat="false" ht="15" hidden="false" customHeight="true" outlineLevel="0" collapsed="false">
      <c r="A38" s="4" t="s">
        <v>3225</v>
      </c>
      <c r="B38" s="4" t="s">
        <v>214</v>
      </c>
      <c r="C38" s="4" t="n">
        <v>298</v>
      </c>
      <c r="D38" s="4" t="n">
        <v>2</v>
      </c>
      <c r="E38" s="13" t="n">
        <v>45297</v>
      </c>
      <c r="F38" s="4" t="s">
        <v>3186</v>
      </c>
      <c r="G38" s="4" t="str">
        <f aca="false">INDEX(PurchaseOrders!$B$2:$B$3001,MATCH(B38,PurchaseOrders!$A$2:$A$3001,0))</f>
        <v>V031</v>
      </c>
    </row>
    <row r="39" customFormat="false" ht="15" hidden="false" customHeight="true" outlineLevel="0" collapsed="false">
      <c r="A39" s="4" t="s">
        <v>3226</v>
      </c>
      <c r="B39" s="4" t="s">
        <v>215</v>
      </c>
      <c r="C39" s="4" t="n">
        <v>1566</v>
      </c>
      <c r="D39" s="4" t="n">
        <v>72</v>
      </c>
      <c r="E39" s="13" t="n">
        <v>45551</v>
      </c>
      <c r="F39" s="4" t="s">
        <v>3190</v>
      </c>
      <c r="G39" s="4" t="str">
        <f aca="false">INDEX(PurchaseOrders!$B$2:$B$3001,MATCH(B39,PurchaseOrders!$A$2:$A$3001,0))</f>
        <v>V014</v>
      </c>
    </row>
    <row r="40" customFormat="false" ht="15" hidden="false" customHeight="true" outlineLevel="0" collapsed="false">
      <c r="A40" s="4" t="s">
        <v>3227</v>
      </c>
      <c r="B40" s="4" t="s">
        <v>216</v>
      </c>
      <c r="C40" s="4" t="n">
        <v>3</v>
      </c>
      <c r="D40" s="4" t="n">
        <v>0</v>
      </c>
      <c r="E40" s="13" t="n">
        <v>45014</v>
      </c>
      <c r="F40" s="4"/>
      <c r="G40" s="4" t="str">
        <f aca="false">INDEX(PurchaseOrders!$B$2:$B$3001,MATCH(B40,PurchaseOrders!$A$2:$A$3001,0))</f>
        <v>V041</v>
      </c>
    </row>
    <row r="41" customFormat="false" ht="15" hidden="false" customHeight="true" outlineLevel="0" collapsed="false">
      <c r="A41" s="4" t="s">
        <v>3228</v>
      </c>
      <c r="B41" s="4" t="s">
        <v>217</v>
      </c>
      <c r="C41" s="4" t="n">
        <v>92</v>
      </c>
      <c r="D41" s="4" t="n">
        <v>14</v>
      </c>
      <c r="E41" s="13" t="n">
        <v>45204</v>
      </c>
      <c r="F41" s="4" t="s">
        <v>3188</v>
      </c>
      <c r="G41" s="4" t="str">
        <f aca="false">INDEX(PurchaseOrders!$B$2:$B$3001,MATCH(B41,PurchaseOrders!$A$2:$A$3001,0))</f>
        <v>V030</v>
      </c>
    </row>
    <row r="42" customFormat="false" ht="15" hidden="false" customHeight="true" outlineLevel="0" collapsed="false">
      <c r="A42" s="4" t="s">
        <v>3229</v>
      </c>
      <c r="B42" s="4" t="s">
        <v>218</v>
      </c>
      <c r="C42" s="4" t="n">
        <v>791</v>
      </c>
      <c r="D42" s="4" t="n">
        <v>163</v>
      </c>
      <c r="E42" s="13" t="n">
        <v>45206</v>
      </c>
      <c r="F42" s="4" t="s">
        <v>3202</v>
      </c>
      <c r="G42" s="4" t="str">
        <f aca="false">INDEX(PurchaseOrders!$B$2:$B$3001,MATCH(B42,PurchaseOrders!$A$2:$A$3001,0))</f>
        <v>V039</v>
      </c>
    </row>
    <row r="43" customFormat="false" ht="15" hidden="false" customHeight="true" outlineLevel="0" collapsed="false">
      <c r="A43" s="4" t="s">
        <v>3230</v>
      </c>
      <c r="B43" s="4" t="s">
        <v>219</v>
      </c>
      <c r="C43" s="4" t="n">
        <v>703</v>
      </c>
      <c r="D43" s="4" t="n">
        <v>63</v>
      </c>
      <c r="E43" s="13" t="n">
        <v>45600</v>
      </c>
      <c r="F43" s="4" t="s">
        <v>3188</v>
      </c>
      <c r="G43" s="4" t="str">
        <f aca="false">INDEX(PurchaseOrders!$B$2:$B$3001,MATCH(B43,PurchaseOrders!$A$2:$A$3001,0))</f>
        <v>V032</v>
      </c>
    </row>
    <row r="44" customFormat="false" ht="15" hidden="false" customHeight="true" outlineLevel="0" collapsed="false">
      <c r="A44" s="4" t="s">
        <v>3231</v>
      </c>
      <c r="B44" s="4" t="s">
        <v>220</v>
      </c>
      <c r="C44" s="4" t="n">
        <v>1980</v>
      </c>
      <c r="D44" s="4" t="n">
        <v>0</v>
      </c>
      <c r="E44" s="13" t="n">
        <v>45457</v>
      </c>
      <c r="F44" s="4"/>
      <c r="G44" s="4" t="str">
        <f aca="false">INDEX(PurchaseOrders!$B$2:$B$3001,MATCH(B44,PurchaseOrders!$A$2:$A$3001,0))</f>
        <v>V035</v>
      </c>
    </row>
    <row r="45" customFormat="false" ht="15" hidden="false" customHeight="true" outlineLevel="0" collapsed="false">
      <c r="A45" s="4" t="s">
        <v>3232</v>
      </c>
      <c r="B45" s="4" t="s">
        <v>221</v>
      </c>
      <c r="C45" s="4" t="n">
        <v>285</v>
      </c>
      <c r="D45" s="4" t="n">
        <v>10</v>
      </c>
      <c r="E45" s="13" t="n">
        <v>45439</v>
      </c>
      <c r="F45" s="4" t="s">
        <v>3202</v>
      </c>
      <c r="G45" s="4" t="str">
        <f aca="false">INDEX(PurchaseOrders!$B$2:$B$3001,MATCH(B45,PurchaseOrders!$A$2:$A$3001,0))</f>
        <v>V006</v>
      </c>
    </row>
    <row r="46" customFormat="false" ht="15" hidden="false" customHeight="true" outlineLevel="0" collapsed="false">
      <c r="A46" s="4" t="s">
        <v>3233</v>
      </c>
      <c r="B46" s="4" t="s">
        <v>222</v>
      </c>
      <c r="C46" s="4" t="n">
        <v>140</v>
      </c>
      <c r="D46" s="4" t="n">
        <v>3</v>
      </c>
      <c r="E46" s="13" t="n">
        <v>45231</v>
      </c>
      <c r="F46" s="4" t="s">
        <v>3184</v>
      </c>
      <c r="G46" s="4" t="str">
        <f aca="false">INDEX(PurchaseOrders!$B$2:$B$3001,MATCH(B46,PurchaseOrders!$A$2:$A$3001,0))</f>
        <v>V033</v>
      </c>
    </row>
    <row r="47" customFormat="false" ht="15" hidden="false" customHeight="true" outlineLevel="0" collapsed="false">
      <c r="A47" s="4" t="s">
        <v>3234</v>
      </c>
      <c r="B47" s="4" t="s">
        <v>223</v>
      </c>
      <c r="C47" s="4" t="n">
        <v>295</v>
      </c>
      <c r="D47" s="4" t="n">
        <v>9</v>
      </c>
      <c r="E47" s="13" t="n">
        <v>45010</v>
      </c>
      <c r="F47" s="4" t="s">
        <v>3202</v>
      </c>
      <c r="G47" s="4" t="str">
        <f aca="false">INDEX(PurchaseOrders!$B$2:$B$3001,MATCH(B47,PurchaseOrders!$A$2:$A$3001,0))</f>
        <v>V007</v>
      </c>
    </row>
    <row r="48" customFormat="false" ht="15" hidden="false" customHeight="true" outlineLevel="0" collapsed="false">
      <c r="A48" s="4" t="s">
        <v>3235</v>
      </c>
      <c r="B48" s="4" t="s">
        <v>224</v>
      </c>
      <c r="C48" s="4" t="n">
        <v>1395</v>
      </c>
      <c r="D48" s="4" t="n">
        <v>2</v>
      </c>
      <c r="E48" s="13" t="n">
        <v>45538</v>
      </c>
      <c r="F48" s="4" t="s">
        <v>3202</v>
      </c>
      <c r="G48" s="4" t="str">
        <f aca="false">INDEX(PurchaseOrders!$B$2:$B$3001,MATCH(B48,PurchaseOrders!$A$2:$A$3001,0))</f>
        <v>V059</v>
      </c>
    </row>
    <row r="49" customFormat="false" ht="15" hidden="false" customHeight="true" outlineLevel="0" collapsed="false">
      <c r="A49" s="4" t="s">
        <v>3236</v>
      </c>
      <c r="B49" s="4" t="s">
        <v>225</v>
      </c>
      <c r="C49" s="4" t="n">
        <v>271</v>
      </c>
      <c r="D49" s="4" t="n">
        <v>32</v>
      </c>
      <c r="E49" s="13" t="n">
        <v>45359</v>
      </c>
      <c r="F49" s="4" t="s">
        <v>3192</v>
      </c>
      <c r="G49" s="4" t="str">
        <f aca="false">INDEX(PurchaseOrders!$B$2:$B$3001,MATCH(B49,PurchaseOrders!$A$2:$A$3001,0))</f>
        <v>V009</v>
      </c>
    </row>
    <row r="50" customFormat="false" ht="15" hidden="false" customHeight="true" outlineLevel="0" collapsed="false">
      <c r="A50" s="4" t="s">
        <v>3237</v>
      </c>
      <c r="B50" s="4" t="s">
        <v>226</v>
      </c>
      <c r="C50" s="4" t="n">
        <v>872</v>
      </c>
      <c r="D50" s="4" t="n">
        <v>36</v>
      </c>
      <c r="E50" s="13" t="n">
        <v>45028</v>
      </c>
      <c r="F50" s="4" t="s">
        <v>3202</v>
      </c>
      <c r="G50" s="4" t="str">
        <f aca="false">INDEX(PurchaseOrders!$B$2:$B$3001,MATCH(B50,PurchaseOrders!$A$2:$A$3001,0))</f>
        <v>V021</v>
      </c>
    </row>
    <row r="51" customFormat="false" ht="15" hidden="false" customHeight="true" outlineLevel="0" collapsed="false">
      <c r="A51" s="4" t="s">
        <v>3238</v>
      </c>
      <c r="B51" s="4" t="s">
        <v>227</v>
      </c>
      <c r="C51" s="4" t="n">
        <v>345</v>
      </c>
      <c r="D51" s="4" t="n">
        <v>19</v>
      </c>
      <c r="E51" s="13" t="n">
        <v>45422</v>
      </c>
      <c r="F51" s="4" t="s">
        <v>3190</v>
      </c>
      <c r="G51" s="4" t="str">
        <f aca="false">INDEX(PurchaseOrders!$B$2:$B$3001,MATCH(B51,PurchaseOrders!$A$2:$A$3001,0))</f>
        <v>V012</v>
      </c>
    </row>
    <row r="52" customFormat="false" ht="15" hidden="false" customHeight="true" outlineLevel="0" collapsed="false">
      <c r="A52" s="4" t="s">
        <v>3239</v>
      </c>
      <c r="B52" s="4" t="s">
        <v>228</v>
      </c>
      <c r="C52" s="4" t="n">
        <v>471</v>
      </c>
      <c r="D52" s="4" t="n">
        <v>49</v>
      </c>
      <c r="E52" s="13" t="n">
        <v>45338</v>
      </c>
      <c r="F52" s="4" t="s">
        <v>3190</v>
      </c>
      <c r="G52" s="4" t="str">
        <f aca="false">INDEX(PurchaseOrders!$B$2:$B$3001,MATCH(B52,PurchaseOrders!$A$2:$A$3001,0))</f>
        <v>V030</v>
      </c>
    </row>
    <row r="53" customFormat="false" ht="15" hidden="false" customHeight="true" outlineLevel="0" collapsed="false">
      <c r="A53" s="4" t="s">
        <v>3240</v>
      </c>
      <c r="B53" s="4" t="s">
        <v>229</v>
      </c>
      <c r="C53" s="4" t="n">
        <v>3137</v>
      </c>
      <c r="D53" s="4" t="n">
        <v>59</v>
      </c>
      <c r="E53" s="13" t="n">
        <v>45108</v>
      </c>
      <c r="F53" s="4" t="s">
        <v>3186</v>
      </c>
      <c r="G53" s="4" t="str">
        <f aca="false">INDEX(PurchaseOrders!$B$2:$B$3001,MATCH(B53,PurchaseOrders!$A$2:$A$3001,0))</f>
        <v>V015</v>
      </c>
    </row>
    <row r="54" customFormat="false" ht="15" hidden="false" customHeight="true" outlineLevel="0" collapsed="false">
      <c r="A54" s="4" t="s">
        <v>3241</v>
      </c>
      <c r="B54" s="4" t="s">
        <v>230</v>
      </c>
      <c r="C54" s="4" t="n">
        <v>886</v>
      </c>
      <c r="D54" s="4" t="n">
        <v>212</v>
      </c>
      <c r="E54" s="13" t="n">
        <v>45495</v>
      </c>
      <c r="F54" s="4" t="s">
        <v>3188</v>
      </c>
      <c r="G54" s="4" t="str">
        <f aca="false">INDEX(PurchaseOrders!$B$2:$B$3001,MATCH(B54,PurchaseOrders!$A$2:$A$3001,0))</f>
        <v>V039</v>
      </c>
    </row>
    <row r="55" customFormat="false" ht="15" hidden="false" customHeight="true" outlineLevel="0" collapsed="false">
      <c r="A55" s="4" t="s">
        <v>3242</v>
      </c>
      <c r="B55" s="4" t="s">
        <v>231</v>
      </c>
      <c r="C55" s="4" t="n">
        <v>236</v>
      </c>
      <c r="D55" s="4" t="n">
        <v>22</v>
      </c>
      <c r="E55" s="13" t="n">
        <v>45224</v>
      </c>
      <c r="F55" s="4" t="s">
        <v>3184</v>
      </c>
      <c r="G55" s="4" t="str">
        <f aca="false">INDEX(PurchaseOrders!$B$2:$B$3001,MATCH(B55,PurchaseOrders!$A$2:$A$3001,0))</f>
        <v>V043</v>
      </c>
    </row>
    <row r="56" customFormat="false" ht="15" hidden="false" customHeight="true" outlineLevel="0" collapsed="false">
      <c r="A56" s="4" t="s">
        <v>3243</v>
      </c>
      <c r="B56" s="4" t="s">
        <v>232</v>
      </c>
      <c r="C56" s="4" t="n">
        <v>151</v>
      </c>
      <c r="D56" s="4" t="n">
        <v>16</v>
      </c>
      <c r="E56" s="13" t="n">
        <v>45213</v>
      </c>
      <c r="F56" s="4" t="s">
        <v>3184</v>
      </c>
      <c r="G56" s="4" t="str">
        <f aca="false">INDEX(PurchaseOrders!$B$2:$B$3001,MATCH(B56,PurchaseOrders!$A$2:$A$3001,0))</f>
        <v>V012</v>
      </c>
    </row>
    <row r="57" customFormat="false" ht="15" hidden="false" customHeight="true" outlineLevel="0" collapsed="false">
      <c r="A57" s="4" t="s">
        <v>3244</v>
      </c>
      <c r="B57" s="4" t="s">
        <v>233</v>
      </c>
      <c r="C57" s="4" t="n">
        <v>356</v>
      </c>
      <c r="D57" s="4" t="n">
        <v>22</v>
      </c>
      <c r="E57" s="13" t="n">
        <v>45190</v>
      </c>
      <c r="F57" s="4" t="s">
        <v>3202</v>
      </c>
      <c r="G57" s="4" t="str">
        <f aca="false">INDEX(PurchaseOrders!$B$2:$B$3001,MATCH(B57,PurchaseOrders!$A$2:$A$3001,0))</f>
        <v>V018</v>
      </c>
    </row>
    <row r="58" customFormat="false" ht="15" hidden="false" customHeight="true" outlineLevel="0" collapsed="false">
      <c r="A58" s="4" t="s">
        <v>3245</v>
      </c>
      <c r="B58" s="4" t="s">
        <v>234</v>
      </c>
      <c r="C58" s="4" t="n">
        <v>1071</v>
      </c>
      <c r="D58" s="4" t="n">
        <v>24</v>
      </c>
      <c r="E58" s="13" t="n">
        <v>45165</v>
      </c>
      <c r="F58" s="4" t="s">
        <v>3202</v>
      </c>
      <c r="G58" s="4" t="str">
        <f aca="false">INDEX(PurchaseOrders!$B$2:$B$3001,MATCH(B58,PurchaseOrders!$A$2:$A$3001,0))</f>
        <v>V015</v>
      </c>
    </row>
    <row r="59" customFormat="false" ht="15" hidden="false" customHeight="true" outlineLevel="0" collapsed="false">
      <c r="A59" s="4" t="s">
        <v>3246</v>
      </c>
      <c r="B59" s="4" t="s">
        <v>235</v>
      </c>
      <c r="C59" s="4" t="n">
        <v>799</v>
      </c>
      <c r="D59" s="4" t="n">
        <v>75</v>
      </c>
      <c r="E59" s="13" t="n">
        <v>45262</v>
      </c>
      <c r="F59" s="4" t="s">
        <v>3202</v>
      </c>
      <c r="G59" s="4" t="str">
        <f aca="false">INDEX(PurchaseOrders!$B$2:$B$3001,MATCH(B59,PurchaseOrders!$A$2:$A$3001,0))</f>
        <v>V027</v>
      </c>
    </row>
    <row r="60" customFormat="false" ht="15" hidden="false" customHeight="true" outlineLevel="0" collapsed="false">
      <c r="A60" s="4" t="s">
        <v>3247</v>
      </c>
      <c r="B60" s="4" t="s">
        <v>236</v>
      </c>
      <c r="C60" s="4" t="n">
        <v>106</v>
      </c>
      <c r="D60" s="4" t="n">
        <v>6</v>
      </c>
      <c r="E60" s="13" t="n">
        <v>45146</v>
      </c>
      <c r="F60" s="4" t="s">
        <v>3184</v>
      </c>
      <c r="G60" s="4" t="str">
        <f aca="false">INDEX(PurchaseOrders!$B$2:$B$3001,MATCH(B60,PurchaseOrders!$A$2:$A$3001,0))</f>
        <v>V012</v>
      </c>
    </row>
    <row r="61" customFormat="false" ht="15" hidden="false" customHeight="true" outlineLevel="0" collapsed="false">
      <c r="A61" s="4" t="s">
        <v>3248</v>
      </c>
      <c r="B61" s="4" t="s">
        <v>237</v>
      </c>
      <c r="C61" s="4" t="n">
        <v>4402</v>
      </c>
      <c r="D61" s="4" t="n">
        <v>694</v>
      </c>
      <c r="E61" s="13" t="n">
        <v>45406</v>
      </c>
      <c r="F61" s="4" t="s">
        <v>3192</v>
      </c>
      <c r="G61" s="4" t="str">
        <f aca="false">INDEX(PurchaseOrders!$B$2:$B$3001,MATCH(B61,PurchaseOrders!$A$2:$A$3001,0))</f>
        <v>V038</v>
      </c>
    </row>
    <row r="62" customFormat="false" ht="15" hidden="false" customHeight="true" outlineLevel="0" collapsed="false">
      <c r="A62" s="4" t="s">
        <v>3249</v>
      </c>
      <c r="B62" s="4" t="s">
        <v>238</v>
      </c>
      <c r="C62" s="4" t="n">
        <v>256</v>
      </c>
      <c r="D62" s="4" t="n">
        <v>19</v>
      </c>
      <c r="E62" s="13" t="n">
        <v>44962</v>
      </c>
      <c r="F62" s="4" t="s">
        <v>3202</v>
      </c>
      <c r="G62" s="4" t="str">
        <f aca="false">INDEX(PurchaseOrders!$B$2:$B$3001,MATCH(B62,PurchaseOrders!$A$2:$A$3001,0))</f>
        <v>V043</v>
      </c>
    </row>
    <row r="63" customFormat="false" ht="15" hidden="false" customHeight="true" outlineLevel="0" collapsed="false">
      <c r="A63" s="4" t="s">
        <v>3250</v>
      </c>
      <c r="B63" s="4" t="s">
        <v>239</v>
      </c>
      <c r="C63" s="4" t="n">
        <v>1256</v>
      </c>
      <c r="D63" s="4" t="n">
        <v>108</v>
      </c>
      <c r="E63" s="13" t="n">
        <v>44988</v>
      </c>
      <c r="F63" s="4" t="s">
        <v>3190</v>
      </c>
      <c r="G63" s="4" t="str">
        <f aca="false">INDEX(PurchaseOrders!$B$2:$B$3001,MATCH(B63,PurchaseOrders!$A$2:$A$3001,0))</f>
        <v>V048</v>
      </c>
    </row>
    <row r="64" customFormat="false" ht="15" hidden="false" customHeight="true" outlineLevel="0" collapsed="false">
      <c r="A64" s="4" t="s">
        <v>3251</v>
      </c>
      <c r="B64" s="4" t="s">
        <v>240</v>
      </c>
      <c r="C64" s="4" t="n">
        <v>3097</v>
      </c>
      <c r="D64" s="4" t="n">
        <v>358</v>
      </c>
      <c r="E64" s="13" t="n">
        <v>45251</v>
      </c>
      <c r="F64" s="4" t="s">
        <v>3192</v>
      </c>
      <c r="G64" s="4" t="str">
        <f aca="false">INDEX(PurchaseOrders!$B$2:$B$3001,MATCH(B64,PurchaseOrders!$A$2:$A$3001,0))</f>
        <v>V057</v>
      </c>
    </row>
    <row r="65" customFormat="false" ht="15" hidden="false" customHeight="true" outlineLevel="0" collapsed="false">
      <c r="A65" s="4" t="s">
        <v>3252</v>
      </c>
      <c r="B65" s="4" t="s">
        <v>241</v>
      </c>
      <c r="C65" s="4" t="n">
        <v>1420</v>
      </c>
      <c r="D65" s="4" t="n">
        <v>46</v>
      </c>
      <c r="E65" s="13" t="n">
        <v>44939</v>
      </c>
      <c r="F65" s="4" t="s">
        <v>3188</v>
      </c>
      <c r="G65" s="4" t="str">
        <f aca="false">INDEX(PurchaseOrders!$B$2:$B$3001,MATCH(B65,PurchaseOrders!$A$2:$A$3001,0))</f>
        <v>V051</v>
      </c>
    </row>
    <row r="66" customFormat="false" ht="15" hidden="false" customHeight="true" outlineLevel="0" collapsed="false">
      <c r="A66" s="4" t="s">
        <v>3253</v>
      </c>
      <c r="B66" s="4" t="s">
        <v>242</v>
      </c>
      <c r="C66" s="4" t="n">
        <v>200</v>
      </c>
      <c r="D66" s="4" t="n">
        <v>20</v>
      </c>
      <c r="E66" s="13" t="n">
        <v>45252</v>
      </c>
      <c r="F66" s="4" t="s">
        <v>3190</v>
      </c>
      <c r="G66" s="4" t="str">
        <f aca="false">INDEX(PurchaseOrders!$B$2:$B$3001,MATCH(B66,PurchaseOrders!$A$2:$A$3001,0))</f>
        <v>V049</v>
      </c>
    </row>
    <row r="67" customFormat="false" ht="15" hidden="false" customHeight="true" outlineLevel="0" collapsed="false">
      <c r="A67" s="4" t="s">
        <v>3254</v>
      </c>
      <c r="B67" s="4" t="s">
        <v>243</v>
      </c>
      <c r="C67" s="4" t="n">
        <v>390</v>
      </c>
      <c r="D67" s="4" t="n">
        <v>10</v>
      </c>
      <c r="E67" s="13" t="n">
        <v>45362</v>
      </c>
      <c r="F67" s="4" t="s">
        <v>3188</v>
      </c>
      <c r="G67" s="4" t="str">
        <f aca="false">INDEX(PurchaseOrders!$B$2:$B$3001,MATCH(B67,PurchaseOrders!$A$2:$A$3001,0))</f>
        <v>V047</v>
      </c>
    </row>
    <row r="68" customFormat="false" ht="15" hidden="false" customHeight="true" outlineLevel="0" collapsed="false">
      <c r="A68" s="4" t="s">
        <v>3255</v>
      </c>
      <c r="B68" s="4" t="s">
        <v>244</v>
      </c>
      <c r="C68" s="4" t="n">
        <v>1131</v>
      </c>
      <c r="D68" s="4" t="n">
        <v>102</v>
      </c>
      <c r="E68" s="13" t="n">
        <v>45468</v>
      </c>
      <c r="F68" s="4" t="s">
        <v>3184</v>
      </c>
      <c r="G68" s="4" t="str">
        <f aca="false">INDEX(PurchaseOrders!$B$2:$B$3001,MATCH(B68,PurchaseOrders!$A$2:$A$3001,0))</f>
        <v>V032</v>
      </c>
    </row>
    <row r="69" customFormat="false" ht="15" hidden="false" customHeight="true" outlineLevel="0" collapsed="false">
      <c r="A69" s="4" t="s">
        <v>3256</v>
      </c>
      <c r="B69" s="4" t="s">
        <v>245</v>
      </c>
      <c r="C69" s="4" t="n">
        <v>364</v>
      </c>
      <c r="D69" s="4" t="n">
        <v>17</v>
      </c>
      <c r="E69" s="13" t="n">
        <v>45493</v>
      </c>
      <c r="F69" s="4" t="s">
        <v>3186</v>
      </c>
      <c r="G69" s="4" t="str">
        <f aca="false">INDEX(PurchaseOrders!$B$2:$B$3001,MATCH(B69,PurchaseOrders!$A$2:$A$3001,0))</f>
        <v>V029</v>
      </c>
    </row>
    <row r="70" customFormat="false" ht="15" hidden="false" customHeight="true" outlineLevel="0" collapsed="false">
      <c r="A70" s="4" t="s">
        <v>3257</v>
      </c>
      <c r="B70" s="4" t="s">
        <v>246</v>
      </c>
      <c r="C70" s="4" t="n">
        <v>94</v>
      </c>
      <c r="D70" s="4" t="n">
        <v>2</v>
      </c>
      <c r="E70" s="13" t="n">
        <v>45502</v>
      </c>
      <c r="F70" s="4" t="s">
        <v>3190</v>
      </c>
      <c r="G70" s="4" t="str">
        <f aca="false">INDEX(PurchaseOrders!$B$2:$B$3001,MATCH(B70,PurchaseOrders!$A$2:$A$3001,0))</f>
        <v>V006</v>
      </c>
    </row>
    <row r="71" customFormat="false" ht="15" hidden="false" customHeight="true" outlineLevel="0" collapsed="false">
      <c r="A71" s="4" t="s">
        <v>3258</v>
      </c>
      <c r="B71" s="4" t="s">
        <v>247</v>
      </c>
      <c r="C71" s="4" t="n">
        <v>102</v>
      </c>
      <c r="D71" s="4" t="n">
        <v>7</v>
      </c>
      <c r="E71" s="13" t="n">
        <v>45413</v>
      </c>
      <c r="F71" s="4" t="s">
        <v>3184</v>
      </c>
      <c r="G71" s="4" t="str">
        <f aca="false">INDEX(PurchaseOrders!$B$2:$B$3001,MATCH(B71,PurchaseOrders!$A$2:$A$3001,0))</f>
        <v>V049</v>
      </c>
    </row>
    <row r="72" customFormat="false" ht="15" hidden="false" customHeight="true" outlineLevel="0" collapsed="false">
      <c r="A72" s="4" t="s">
        <v>3259</v>
      </c>
      <c r="B72" s="4" t="s">
        <v>248</v>
      </c>
      <c r="C72" s="4" t="n">
        <v>4</v>
      </c>
      <c r="D72" s="4" t="n">
        <v>0</v>
      </c>
      <c r="E72" s="13" t="n">
        <v>44957</v>
      </c>
      <c r="F72" s="4"/>
      <c r="G72" s="4" t="str">
        <f aca="false">INDEX(PurchaseOrders!$B$2:$B$3001,MATCH(B72,PurchaseOrders!$A$2:$A$3001,0))</f>
        <v>V016</v>
      </c>
    </row>
    <row r="73" customFormat="false" ht="15" hidden="false" customHeight="true" outlineLevel="0" collapsed="false">
      <c r="A73" s="4" t="s">
        <v>3260</v>
      </c>
      <c r="B73" s="4" t="s">
        <v>249</v>
      </c>
      <c r="C73" s="4" t="n">
        <v>2742</v>
      </c>
      <c r="D73" s="4" t="n">
        <v>227</v>
      </c>
      <c r="E73" s="13" t="n">
        <v>45320</v>
      </c>
      <c r="F73" s="4" t="s">
        <v>3186</v>
      </c>
      <c r="G73" s="4" t="str">
        <f aca="false">INDEX(PurchaseOrders!$B$2:$B$3001,MATCH(B73,PurchaseOrders!$A$2:$A$3001,0))</f>
        <v>V014</v>
      </c>
    </row>
    <row r="74" customFormat="false" ht="15" hidden="false" customHeight="true" outlineLevel="0" collapsed="false">
      <c r="A74" s="4" t="s">
        <v>3261</v>
      </c>
      <c r="B74" s="4" t="s">
        <v>250</v>
      </c>
      <c r="C74" s="4" t="n">
        <v>1778</v>
      </c>
      <c r="D74" s="4" t="n">
        <v>0</v>
      </c>
      <c r="E74" s="13" t="n">
        <v>45261</v>
      </c>
      <c r="F74" s="4"/>
      <c r="G74" s="4" t="str">
        <f aca="false">INDEX(PurchaseOrders!$B$2:$B$3001,MATCH(B74,PurchaseOrders!$A$2:$A$3001,0))</f>
        <v>V059</v>
      </c>
    </row>
    <row r="75" customFormat="false" ht="15" hidden="false" customHeight="true" outlineLevel="0" collapsed="false">
      <c r="A75" s="4" t="s">
        <v>3262</v>
      </c>
      <c r="B75" s="4" t="s">
        <v>251</v>
      </c>
      <c r="C75" s="4" t="n">
        <v>10</v>
      </c>
      <c r="D75" s="4" t="n">
        <v>0</v>
      </c>
      <c r="E75" s="13" t="n">
        <v>45309</v>
      </c>
      <c r="F75" s="4"/>
      <c r="G75" s="4" t="str">
        <f aca="false">INDEX(PurchaseOrders!$B$2:$B$3001,MATCH(B75,PurchaseOrders!$A$2:$A$3001,0))</f>
        <v>V019</v>
      </c>
    </row>
    <row r="76" customFormat="false" ht="15" hidden="false" customHeight="true" outlineLevel="0" collapsed="false">
      <c r="A76" s="4" t="s">
        <v>3263</v>
      </c>
      <c r="B76" s="4" t="s">
        <v>252</v>
      </c>
      <c r="C76" s="4" t="n">
        <v>4</v>
      </c>
      <c r="D76" s="4" t="n">
        <v>0</v>
      </c>
      <c r="E76" s="13" t="n">
        <v>45318</v>
      </c>
      <c r="F76" s="4"/>
      <c r="G76" s="4" t="str">
        <f aca="false">INDEX(PurchaseOrders!$B$2:$B$3001,MATCH(B76,PurchaseOrders!$A$2:$A$3001,0))</f>
        <v>V016</v>
      </c>
    </row>
    <row r="77" customFormat="false" ht="15" hidden="false" customHeight="true" outlineLevel="0" collapsed="false">
      <c r="A77" s="4" t="s">
        <v>3264</v>
      </c>
      <c r="B77" s="4" t="s">
        <v>253</v>
      </c>
      <c r="C77" s="4" t="n">
        <v>289</v>
      </c>
      <c r="D77" s="4" t="n">
        <v>1</v>
      </c>
      <c r="E77" s="13" t="n">
        <v>45284</v>
      </c>
      <c r="F77" s="4" t="s">
        <v>3188</v>
      </c>
      <c r="G77" s="4" t="str">
        <f aca="false">INDEX(PurchaseOrders!$B$2:$B$3001,MATCH(B77,PurchaseOrders!$A$2:$A$3001,0))</f>
        <v>V040</v>
      </c>
    </row>
    <row r="78" customFormat="false" ht="15" hidden="false" customHeight="true" outlineLevel="0" collapsed="false">
      <c r="A78" s="4" t="s">
        <v>3265</v>
      </c>
      <c r="B78" s="4" t="s">
        <v>254</v>
      </c>
      <c r="C78" s="4" t="n">
        <v>184</v>
      </c>
      <c r="D78" s="4" t="n">
        <v>0</v>
      </c>
      <c r="E78" s="13" t="n">
        <v>45594</v>
      </c>
      <c r="F78" s="4"/>
      <c r="G78" s="4" t="str">
        <f aca="false">INDEX(PurchaseOrders!$B$2:$B$3001,MATCH(B78,PurchaseOrders!$A$2:$A$3001,0))</f>
        <v>V029</v>
      </c>
    </row>
    <row r="79" customFormat="false" ht="15" hidden="false" customHeight="true" outlineLevel="0" collapsed="false">
      <c r="A79" s="4" t="s">
        <v>3266</v>
      </c>
      <c r="B79" s="4" t="s">
        <v>255</v>
      </c>
      <c r="C79" s="4" t="n">
        <v>2987</v>
      </c>
      <c r="D79" s="4" t="n">
        <v>215</v>
      </c>
      <c r="E79" s="13" t="n">
        <v>45456</v>
      </c>
      <c r="F79" s="4" t="s">
        <v>3188</v>
      </c>
      <c r="G79" s="4" t="str">
        <f aca="false">INDEX(PurchaseOrders!$B$2:$B$3001,MATCH(B79,PurchaseOrders!$A$2:$A$3001,0))</f>
        <v>V056</v>
      </c>
    </row>
    <row r="80" customFormat="false" ht="15" hidden="false" customHeight="true" outlineLevel="0" collapsed="false">
      <c r="A80" s="4" t="s">
        <v>3267</v>
      </c>
      <c r="B80" s="4" t="s">
        <v>256</v>
      </c>
      <c r="C80" s="4" t="n">
        <v>279</v>
      </c>
      <c r="D80" s="4" t="n">
        <v>28</v>
      </c>
      <c r="E80" s="13" t="n">
        <v>45213</v>
      </c>
      <c r="F80" s="4" t="s">
        <v>3202</v>
      </c>
      <c r="G80" s="4" t="str">
        <f aca="false">INDEX(PurchaseOrders!$B$2:$B$3001,MATCH(B80,PurchaseOrders!$A$2:$A$3001,0))</f>
        <v>V004</v>
      </c>
    </row>
    <row r="81" customFormat="false" ht="15" hidden="false" customHeight="true" outlineLevel="0" collapsed="false">
      <c r="A81" s="4" t="s">
        <v>3268</v>
      </c>
      <c r="B81" s="4" t="s">
        <v>257</v>
      </c>
      <c r="C81" s="4" t="n">
        <v>1884</v>
      </c>
      <c r="D81" s="4" t="n">
        <v>320</v>
      </c>
      <c r="E81" s="13" t="n">
        <v>44959</v>
      </c>
      <c r="F81" s="4" t="s">
        <v>3202</v>
      </c>
      <c r="G81" s="4" t="str">
        <f aca="false">INDEX(PurchaseOrders!$B$2:$B$3001,MATCH(B81,PurchaseOrders!$A$2:$A$3001,0))</f>
        <v>V025</v>
      </c>
    </row>
    <row r="82" customFormat="false" ht="15" hidden="false" customHeight="true" outlineLevel="0" collapsed="false">
      <c r="A82" s="4" t="s">
        <v>3269</v>
      </c>
      <c r="B82" s="4" t="s">
        <v>258</v>
      </c>
      <c r="C82" s="4" t="n">
        <v>68</v>
      </c>
      <c r="D82" s="4" t="n">
        <v>4</v>
      </c>
      <c r="E82" s="13" t="n">
        <v>44963</v>
      </c>
      <c r="F82" s="4" t="s">
        <v>3186</v>
      </c>
      <c r="G82" s="4" t="str">
        <f aca="false">INDEX(PurchaseOrders!$B$2:$B$3001,MATCH(B82,PurchaseOrders!$A$2:$A$3001,0))</f>
        <v>V013</v>
      </c>
    </row>
    <row r="83" customFormat="false" ht="15" hidden="false" customHeight="true" outlineLevel="0" collapsed="false">
      <c r="A83" s="4" t="s">
        <v>3270</v>
      </c>
      <c r="B83" s="4" t="s">
        <v>259</v>
      </c>
      <c r="C83" s="4" t="n">
        <v>439</v>
      </c>
      <c r="D83" s="4" t="n">
        <v>6</v>
      </c>
      <c r="E83" s="13" t="n">
        <v>45544</v>
      </c>
      <c r="F83" s="4" t="s">
        <v>3186</v>
      </c>
      <c r="G83" s="4" t="str">
        <f aca="false">INDEX(PurchaseOrders!$B$2:$B$3001,MATCH(B83,PurchaseOrders!$A$2:$A$3001,0))</f>
        <v>V020</v>
      </c>
    </row>
    <row r="84" customFormat="false" ht="15" hidden="false" customHeight="true" outlineLevel="0" collapsed="false">
      <c r="A84" s="4" t="s">
        <v>3271</v>
      </c>
      <c r="B84" s="4" t="s">
        <v>260</v>
      </c>
      <c r="C84" s="4" t="n">
        <v>1514</v>
      </c>
      <c r="D84" s="4" t="n">
        <v>81</v>
      </c>
      <c r="E84" s="13" t="n">
        <v>45364</v>
      </c>
      <c r="F84" s="4" t="s">
        <v>3202</v>
      </c>
      <c r="G84" s="4" t="str">
        <f aca="false">INDEX(PurchaseOrders!$B$2:$B$3001,MATCH(B84,PurchaseOrders!$A$2:$A$3001,0))</f>
        <v>V045</v>
      </c>
    </row>
    <row r="85" customFormat="false" ht="15" hidden="false" customHeight="true" outlineLevel="0" collapsed="false">
      <c r="A85" s="4" t="s">
        <v>3272</v>
      </c>
      <c r="B85" s="4" t="s">
        <v>261</v>
      </c>
      <c r="C85" s="4" t="n">
        <v>388</v>
      </c>
      <c r="D85" s="4" t="n">
        <v>11</v>
      </c>
      <c r="E85" s="13" t="n">
        <v>44997</v>
      </c>
      <c r="F85" s="4" t="s">
        <v>3188</v>
      </c>
      <c r="G85" s="4" t="str">
        <f aca="false">INDEX(PurchaseOrders!$B$2:$B$3001,MATCH(B85,PurchaseOrders!$A$2:$A$3001,0))</f>
        <v>V029</v>
      </c>
    </row>
    <row r="86" customFormat="false" ht="15" hidden="false" customHeight="true" outlineLevel="0" collapsed="false">
      <c r="A86" s="4" t="s">
        <v>3273</v>
      </c>
      <c r="B86" s="4" t="s">
        <v>262</v>
      </c>
      <c r="C86" s="4" t="n">
        <v>14</v>
      </c>
      <c r="D86" s="4" t="n">
        <v>0</v>
      </c>
      <c r="E86" s="13" t="n">
        <v>44991</v>
      </c>
      <c r="F86" s="4"/>
      <c r="G86" s="4" t="str">
        <f aca="false">INDEX(PurchaseOrders!$B$2:$B$3001,MATCH(B86,PurchaseOrders!$A$2:$A$3001,0))</f>
        <v>V053</v>
      </c>
    </row>
    <row r="87" customFormat="false" ht="15" hidden="false" customHeight="true" outlineLevel="0" collapsed="false">
      <c r="A87" s="4" t="s">
        <v>3274</v>
      </c>
      <c r="B87" s="4" t="s">
        <v>263</v>
      </c>
      <c r="C87" s="4" t="n">
        <v>245</v>
      </c>
      <c r="D87" s="4" t="n">
        <v>10</v>
      </c>
      <c r="E87" s="13" t="n">
        <v>45203</v>
      </c>
      <c r="F87" s="4" t="s">
        <v>3192</v>
      </c>
      <c r="G87" s="4" t="str">
        <f aca="false">INDEX(PurchaseOrders!$B$2:$B$3001,MATCH(B87,PurchaseOrders!$A$2:$A$3001,0))</f>
        <v>V018</v>
      </c>
    </row>
    <row r="88" customFormat="false" ht="15" hidden="false" customHeight="true" outlineLevel="0" collapsed="false">
      <c r="A88" s="4" t="s">
        <v>3275</v>
      </c>
      <c r="B88" s="4" t="s">
        <v>264</v>
      </c>
      <c r="C88" s="4" t="n">
        <v>130</v>
      </c>
      <c r="D88" s="4" t="n">
        <v>0</v>
      </c>
      <c r="E88" s="13" t="n">
        <v>45265</v>
      </c>
      <c r="F88" s="4"/>
      <c r="G88" s="4" t="str">
        <f aca="false">INDEX(PurchaseOrders!$B$2:$B$3001,MATCH(B88,PurchaseOrders!$A$2:$A$3001,0))</f>
        <v>V046</v>
      </c>
    </row>
    <row r="89" customFormat="false" ht="15" hidden="false" customHeight="true" outlineLevel="0" collapsed="false">
      <c r="A89" s="4" t="s">
        <v>3276</v>
      </c>
      <c r="B89" s="4" t="s">
        <v>265</v>
      </c>
      <c r="C89" s="4" t="n">
        <v>281</v>
      </c>
      <c r="D89" s="4" t="n">
        <v>9</v>
      </c>
      <c r="E89" s="13" t="n">
        <v>44973</v>
      </c>
      <c r="F89" s="4" t="s">
        <v>3188</v>
      </c>
      <c r="G89" s="4" t="str">
        <f aca="false">INDEX(PurchaseOrders!$B$2:$B$3001,MATCH(B89,PurchaseOrders!$A$2:$A$3001,0))</f>
        <v>V033</v>
      </c>
    </row>
    <row r="90" customFormat="false" ht="15" hidden="false" customHeight="true" outlineLevel="0" collapsed="false">
      <c r="A90" s="4" t="s">
        <v>3277</v>
      </c>
      <c r="B90" s="4" t="s">
        <v>266</v>
      </c>
      <c r="C90" s="4" t="n">
        <v>1359</v>
      </c>
      <c r="D90" s="4" t="n">
        <v>4</v>
      </c>
      <c r="E90" s="13" t="n">
        <v>45030</v>
      </c>
      <c r="F90" s="4" t="s">
        <v>3202</v>
      </c>
      <c r="G90" s="4" t="str">
        <f aca="false">INDEX(PurchaseOrders!$B$2:$B$3001,MATCH(B90,PurchaseOrders!$A$2:$A$3001,0))</f>
        <v>V045</v>
      </c>
    </row>
    <row r="91" customFormat="false" ht="15" hidden="false" customHeight="true" outlineLevel="0" collapsed="false">
      <c r="A91" s="4" t="s">
        <v>3278</v>
      </c>
      <c r="B91" s="4" t="s">
        <v>267</v>
      </c>
      <c r="C91" s="4" t="n">
        <v>918</v>
      </c>
      <c r="D91" s="4" t="n">
        <v>142</v>
      </c>
      <c r="E91" s="13" t="n">
        <v>45095</v>
      </c>
      <c r="F91" s="4" t="s">
        <v>3192</v>
      </c>
      <c r="G91" s="4" t="str">
        <f aca="false">INDEX(PurchaseOrders!$B$2:$B$3001,MATCH(B91,PurchaseOrders!$A$2:$A$3001,0))</f>
        <v>V026</v>
      </c>
    </row>
    <row r="92" customFormat="false" ht="15" hidden="false" customHeight="true" outlineLevel="0" collapsed="false">
      <c r="A92" s="4" t="s">
        <v>3279</v>
      </c>
      <c r="B92" s="4" t="s">
        <v>268</v>
      </c>
      <c r="C92" s="4" t="n">
        <v>423</v>
      </c>
      <c r="D92" s="4" t="n">
        <v>33</v>
      </c>
      <c r="E92" s="13" t="n">
        <v>45632</v>
      </c>
      <c r="F92" s="4" t="s">
        <v>3188</v>
      </c>
      <c r="G92" s="4" t="str">
        <f aca="false">INDEX(PurchaseOrders!$B$2:$B$3001,MATCH(B92,PurchaseOrders!$A$2:$A$3001,0))</f>
        <v>V007</v>
      </c>
    </row>
    <row r="93" customFormat="false" ht="15" hidden="false" customHeight="true" outlineLevel="0" collapsed="false">
      <c r="A93" s="4" t="s">
        <v>3280</v>
      </c>
      <c r="B93" s="4" t="s">
        <v>269</v>
      </c>
      <c r="C93" s="4" t="n">
        <v>211</v>
      </c>
      <c r="D93" s="4" t="n">
        <v>5</v>
      </c>
      <c r="E93" s="13" t="n">
        <v>45068</v>
      </c>
      <c r="F93" s="4" t="s">
        <v>3188</v>
      </c>
      <c r="G93" s="4" t="str">
        <f aca="false">INDEX(PurchaseOrders!$B$2:$B$3001,MATCH(B93,PurchaseOrders!$A$2:$A$3001,0))</f>
        <v>V031</v>
      </c>
    </row>
    <row r="94" customFormat="false" ht="15" hidden="false" customHeight="true" outlineLevel="0" collapsed="false">
      <c r="A94" s="4" t="s">
        <v>3281</v>
      </c>
      <c r="B94" s="4" t="s">
        <v>270</v>
      </c>
      <c r="C94" s="4" t="n">
        <v>2713</v>
      </c>
      <c r="D94" s="4" t="n">
        <v>129</v>
      </c>
      <c r="E94" s="13" t="n">
        <v>45655</v>
      </c>
      <c r="F94" s="4" t="s">
        <v>3202</v>
      </c>
      <c r="G94" s="4" t="str">
        <f aca="false">INDEX(PurchaseOrders!$B$2:$B$3001,MATCH(B94,PurchaseOrders!$A$2:$A$3001,0))</f>
        <v>V001</v>
      </c>
    </row>
    <row r="95" customFormat="false" ht="15" hidden="false" customHeight="true" outlineLevel="0" collapsed="false">
      <c r="A95" s="4" t="s">
        <v>3282</v>
      </c>
      <c r="B95" s="4" t="s">
        <v>271</v>
      </c>
      <c r="C95" s="4" t="n">
        <v>4742</v>
      </c>
      <c r="D95" s="4" t="n">
        <v>623</v>
      </c>
      <c r="E95" s="13" t="n">
        <v>45253</v>
      </c>
      <c r="F95" s="4" t="s">
        <v>3190</v>
      </c>
      <c r="G95" s="4" t="str">
        <f aca="false">INDEX(PurchaseOrders!$B$2:$B$3001,MATCH(B95,PurchaseOrders!$A$2:$A$3001,0))</f>
        <v>V057</v>
      </c>
    </row>
    <row r="96" customFormat="false" ht="15" hidden="false" customHeight="true" outlineLevel="0" collapsed="false">
      <c r="A96" s="4" t="s">
        <v>3283</v>
      </c>
      <c r="B96" s="4" t="s">
        <v>272</v>
      </c>
      <c r="C96" s="4" t="n">
        <v>1204</v>
      </c>
      <c r="D96" s="4" t="n">
        <v>0</v>
      </c>
      <c r="E96" s="13" t="n">
        <v>45314</v>
      </c>
      <c r="F96" s="4"/>
      <c r="G96" s="4" t="str">
        <f aca="false">INDEX(PurchaseOrders!$B$2:$B$3001,MATCH(B96,PurchaseOrders!$A$2:$A$3001,0))</f>
        <v>V011</v>
      </c>
    </row>
    <row r="97" customFormat="false" ht="15" hidden="false" customHeight="true" outlineLevel="0" collapsed="false">
      <c r="A97" s="4" t="s">
        <v>3284</v>
      </c>
      <c r="B97" s="4" t="s">
        <v>273</v>
      </c>
      <c r="C97" s="4" t="n">
        <v>152</v>
      </c>
      <c r="D97" s="4" t="n">
        <v>0</v>
      </c>
      <c r="E97" s="13" t="n">
        <v>45273</v>
      </c>
      <c r="F97" s="4"/>
      <c r="G97" s="4" t="str">
        <f aca="false">INDEX(PurchaseOrders!$B$2:$B$3001,MATCH(B97,PurchaseOrders!$A$2:$A$3001,0))</f>
        <v>V060</v>
      </c>
    </row>
    <row r="98" customFormat="false" ht="15" hidden="false" customHeight="true" outlineLevel="0" collapsed="false">
      <c r="A98" s="4" t="s">
        <v>3285</v>
      </c>
      <c r="B98" s="4" t="s">
        <v>274</v>
      </c>
      <c r="C98" s="4" t="n">
        <v>2</v>
      </c>
      <c r="D98" s="4" t="n">
        <v>0</v>
      </c>
      <c r="E98" s="13" t="n">
        <v>44981</v>
      </c>
      <c r="F98" s="4"/>
      <c r="G98" s="4" t="str">
        <f aca="false">INDEX(PurchaseOrders!$B$2:$B$3001,MATCH(B98,PurchaseOrders!$A$2:$A$3001,0))</f>
        <v>V042</v>
      </c>
    </row>
    <row r="99" customFormat="false" ht="15" hidden="false" customHeight="true" outlineLevel="0" collapsed="false">
      <c r="A99" s="4" t="s">
        <v>3286</v>
      </c>
      <c r="B99" s="4" t="s">
        <v>275</v>
      </c>
      <c r="C99" s="4" t="n">
        <v>15</v>
      </c>
      <c r="D99" s="4" t="n">
        <v>1</v>
      </c>
      <c r="E99" s="13" t="n">
        <v>44987</v>
      </c>
      <c r="F99" s="4" t="s">
        <v>3186</v>
      </c>
      <c r="G99" s="4" t="str">
        <f aca="false">INDEX(PurchaseOrders!$B$2:$B$3001,MATCH(B99,PurchaseOrders!$A$2:$A$3001,0))</f>
        <v>V023</v>
      </c>
    </row>
    <row r="100" customFormat="false" ht="15" hidden="false" customHeight="true" outlineLevel="0" collapsed="false">
      <c r="A100" s="4" t="s">
        <v>3287</v>
      </c>
      <c r="B100" s="4" t="s">
        <v>276</v>
      </c>
      <c r="C100" s="4" t="n">
        <v>288</v>
      </c>
      <c r="D100" s="4" t="n">
        <v>0</v>
      </c>
      <c r="E100" s="13" t="n">
        <v>45042</v>
      </c>
      <c r="F100" s="4"/>
      <c r="G100" s="4" t="str">
        <f aca="false">INDEX(PurchaseOrders!$B$2:$B$3001,MATCH(B100,PurchaseOrders!$A$2:$A$3001,0))</f>
        <v>V040</v>
      </c>
    </row>
    <row r="101" customFormat="false" ht="15" hidden="false" customHeight="true" outlineLevel="0" collapsed="false">
      <c r="A101" s="4" t="s">
        <v>3288</v>
      </c>
      <c r="B101" s="4" t="s">
        <v>277</v>
      </c>
      <c r="C101" s="4" t="n">
        <v>789</v>
      </c>
      <c r="D101" s="4" t="n">
        <v>3</v>
      </c>
      <c r="E101" s="13" t="n">
        <v>44975</v>
      </c>
      <c r="F101" s="4" t="s">
        <v>3202</v>
      </c>
      <c r="G101" s="4" t="str">
        <f aca="false">INDEX(PurchaseOrders!$B$2:$B$3001,MATCH(B101,PurchaseOrders!$A$2:$A$3001,0))</f>
        <v>V045</v>
      </c>
    </row>
    <row r="102" customFormat="false" ht="15" hidden="false" customHeight="true" outlineLevel="0" collapsed="false">
      <c r="A102" s="4" t="s">
        <v>3289</v>
      </c>
      <c r="B102" s="4" t="s">
        <v>278</v>
      </c>
      <c r="C102" s="4" t="n">
        <v>329</v>
      </c>
      <c r="D102" s="4" t="n">
        <v>33</v>
      </c>
      <c r="E102" s="13" t="n">
        <v>44979</v>
      </c>
      <c r="F102" s="4" t="s">
        <v>3192</v>
      </c>
      <c r="G102" s="4" t="str">
        <f aca="false">INDEX(PurchaseOrders!$B$2:$B$3001,MATCH(B102,PurchaseOrders!$A$2:$A$3001,0))</f>
        <v>V043</v>
      </c>
    </row>
    <row r="103" customFormat="false" ht="15" hidden="false" customHeight="true" outlineLevel="0" collapsed="false">
      <c r="A103" s="4" t="s">
        <v>3290</v>
      </c>
      <c r="B103" s="4" t="s">
        <v>279</v>
      </c>
      <c r="C103" s="4" t="n">
        <v>897</v>
      </c>
      <c r="D103" s="4" t="n">
        <v>19</v>
      </c>
      <c r="E103" s="13" t="n">
        <v>45049</v>
      </c>
      <c r="F103" s="4" t="s">
        <v>3186</v>
      </c>
      <c r="G103" s="4" t="str">
        <f aca="false">INDEX(PurchaseOrders!$B$2:$B$3001,MATCH(B103,PurchaseOrders!$A$2:$A$3001,0))</f>
        <v>V011</v>
      </c>
    </row>
    <row r="104" customFormat="false" ht="15" hidden="false" customHeight="true" outlineLevel="0" collapsed="false">
      <c r="A104" s="4" t="s">
        <v>3291</v>
      </c>
      <c r="B104" s="4" t="s">
        <v>280</v>
      </c>
      <c r="C104" s="4" t="n">
        <v>443</v>
      </c>
      <c r="D104" s="4" t="n">
        <v>14</v>
      </c>
      <c r="E104" s="13" t="n">
        <v>45654</v>
      </c>
      <c r="F104" s="4" t="s">
        <v>3184</v>
      </c>
      <c r="G104" s="4" t="str">
        <f aca="false">INDEX(PurchaseOrders!$B$2:$B$3001,MATCH(B104,PurchaseOrders!$A$2:$A$3001,0))</f>
        <v>V043</v>
      </c>
    </row>
    <row r="105" customFormat="false" ht="15" hidden="false" customHeight="true" outlineLevel="0" collapsed="false">
      <c r="A105" s="4" t="s">
        <v>3292</v>
      </c>
      <c r="B105" s="4" t="s">
        <v>281</v>
      </c>
      <c r="C105" s="4" t="n">
        <v>446</v>
      </c>
      <c r="D105" s="4" t="n">
        <v>98</v>
      </c>
      <c r="E105" s="13" t="n">
        <v>45354</v>
      </c>
      <c r="F105" s="4" t="s">
        <v>3202</v>
      </c>
      <c r="G105" s="4" t="str">
        <f aca="false">INDEX(PurchaseOrders!$B$2:$B$3001,MATCH(B105,PurchaseOrders!$A$2:$A$3001,0))</f>
        <v>V039</v>
      </c>
    </row>
    <row r="106" customFormat="false" ht="15" hidden="false" customHeight="true" outlineLevel="0" collapsed="false">
      <c r="A106" s="4" t="s">
        <v>3293</v>
      </c>
      <c r="B106" s="4" t="s">
        <v>282</v>
      </c>
      <c r="C106" s="4" t="n">
        <v>3635</v>
      </c>
      <c r="D106" s="4" t="n">
        <v>292</v>
      </c>
      <c r="E106" s="13" t="n">
        <v>45641</v>
      </c>
      <c r="F106" s="4" t="s">
        <v>3202</v>
      </c>
      <c r="G106" s="4" t="str">
        <f aca="false">INDEX(PurchaseOrders!$B$2:$B$3001,MATCH(B106,PurchaseOrders!$A$2:$A$3001,0))</f>
        <v>V056</v>
      </c>
    </row>
    <row r="107" customFormat="false" ht="15" hidden="false" customHeight="true" outlineLevel="0" collapsed="false">
      <c r="A107" s="4" t="s">
        <v>3294</v>
      </c>
      <c r="B107" s="4" t="s">
        <v>283</v>
      </c>
      <c r="C107" s="4" t="n">
        <v>2135</v>
      </c>
      <c r="D107" s="4" t="n">
        <v>210</v>
      </c>
      <c r="E107" s="13" t="n">
        <v>45562</v>
      </c>
      <c r="F107" s="4" t="s">
        <v>3188</v>
      </c>
      <c r="G107" s="4" t="str">
        <f aca="false">INDEX(PurchaseOrders!$B$2:$B$3001,MATCH(B107,PurchaseOrders!$A$2:$A$3001,0))</f>
        <v>V057</v>
      </c>
    </row>
    <row r="108" customFormat="false" ht="15" hidden="false" customHeight="true" outlineLevel="0" collapsed="false">
      <c r="A108" s="4" t="s">
        <v>3295</v>
      </c>
      <c r="B108" s="4" t="s">
        <v>284</v>
      </c>
      <c r="C108" s="4" t="n">
        <v>89</v>
      </c>
      <c r="D108" s="4" t="n">
        <v>5</v>
      </c>
      <c r="E108" s="13" t="n">
        <v>45054</v>
      </c>
      <c r="F108" s="4" t="s">
        <v>3184</v>
      </c>
      <c r="G108" s="4" t="str">
        <f aca="false">INDEX(PurchaseOrders!$B$2:$B$3001,MATCH(B108,PurchaseOrders!$A$2:$A$3001,0))</f>
        <v>V033</v>
      </c>
    </row>
    <row r="109" customFormat="false" ht="15" hidden="false" customHeight="true" outlineLevel="0" collapsed="false">
      <c r="A109" s="4" t="s">
        <v>3296</v>
      </c>
      <c r="B109" s="4" t="s">
        <v>285</v>
      </c>
      <c r="C109" s="4" t="n">
        <v>2767</v>
      </c>
      <c r="D109" s="4" t="n">
        <v>99</v>
      </c>
      <c r="E109" s="13" t="n">
        <v>45553</v>
      </c>
      <c r="F109" s="4" t="s">
        <v>3184</v>
      </c>
      <c r="G109" s="4" t="str">
        <f aca="false">INDEX(PurchaseOrders!$B$2:$B$3001,MATCH(B109,PurchaseOrders!$A$2:$A$3001,0))</f>
        <v>V002</v>
      </c>
    </row>
    <row r="110" customFormat="false" ht="15" hidden="false" customHeight="true" outlineLevel="0" collapsed="false">
      <c r="A110" s="4" t="s">
        <v>3297</v>
      </c>
      <c r="B110" s="4" t="s">
        <v>286</v>
      </c>
      <c r="C110" s="4" t="n">
        <v>1172</v>
      </c>
      <c r="D110" s="4" t="n">
        <v>45</v>
      </c>
      <c r="E110" s="13" t="n">
        <v>45048</v>
      </c>
      <c r="F110" s="4" t="s">
        <v>3202</v>
      </c>
      <c r="G110" s="4" t="str">
        <f aca="false">INDEX(PurchaseOrders!$B$2:$B$3001,MATCH(B110,PurchaseOrders!$A$2:$A$3001,0))</f>
        <v>V017</v>
      </c>
    </row>
    <row r="111" customFormat="false" ht="15" hidden="false" customHeight="true" outlineLevel="0" collapsed="false">
      <c r="A111" s="4" t="s">
        <v>3298</v>
      </c>
      <c r="B111" s="4" t="s">
        <v>287</v>
      </c>
      <c r="C111" s="4" t="n">
        <v>1843</v>
      </c>
      <c r="D111" s="4" t="n">
        <v>98</v>
      </c>
      <c r="E111" s="13" t="n">
        <v>45262</v>
      </c>
      <c r="F111" s="4" t="s">
        <v>3184</v>
      </c>
      <c r="G111" s="4" t="str">
        <f aca="false">INDEX(PurchaseOrders!$B$2:$B$3001,MATCH(B111,PurchaseOrders!$A$2:$A$3001,0))</f>
        <v>V017</v>
      </c>
    </row>
    <row r="112" customFormat="false" ht="15" hidden="false" customHeight="true" outlineLevel="0" collapsed="false">
      <c r="A112" s="4" t="s">
        <v>3299</v>
      </c>
      <c r="B112" s="4" t="s">
        <v>288</v>
      </c>
      <c r="C112" s="4" t="n">
        <v>125</v>
      </c>
      <c r="D112" s="4" t="n">
        <v>0</v>
      </c>
      <c r="E112" s="13" t="n">
        <v>45533</v>
      </c>
      <c r="F112" s="4"/>
      <c r="G112" s="4" t="str">
        <f aca="false">INDEX(PurchaseOrders!$B$2:$B$3001,MATCH(B112,PurchaseOrders!$A$2:$A$3001,0))</f>
        <v>V046</v>
      </c>
    </row>
    <row r="113" customFormat="false" ht="15" hidden="false" customHeight="true" outlineLevel="0" collapsed="false">
      <c r="A113" s="4" t="s">
        <v>3300</v>
      </c>
      <c r="B113" s="4" t="s">
        <v>289</v>
      </c>
      <c r="C113" s="4" t="n">
        <v>460</v>
      </c>
      <c r="D113" s="4" t="n">
        <v>12</v>
      </c>
      <c r="E113" s="13" t="n">
        <v>45519</v>
      </c>
      <c r="F113" s="4" t="s">
        <v>3188</v>
      </c>
      <c r="G113" s="4" t="str">
        <f aca="false">INDEX(PurchaseOrders!$B$2:$B$3001,MATCH(B113,PurchaseOrders!$A$2:$A$3001,0))</f>
        <v>V006</v>
      </c>
    </row>
    <row r="114" customFormat="false" ht="15" hidden="false" customHeight="true" outlineLevel="0" collapsed="false">
      <c r="A114" s="4" t="s">
        <v>3301</v>
      </c>
      <c r="B114" s="4" t="s">
        <v>290</v>
      </c>
      <c r="C114" s="4" t="n">
        <v>271</v>
      </c>
      <c r="D114" s="4" t="n">
        <v>0</v>
      </c>
      <c r="E114" s="13" t="n">
        <v>45656</v>
      </c>
      <c r="F114" s="4"/>
      <c r="G114" s="4" t="str">
        <f aca="false">INDEX(PurchaseOrders!$B$2:$B$3001,MATCH(B114,PurchaseOrders!$A$2:$A$3001,0))</f>
        <v>V059</v>
      </c>
    </row>
    <row r="115" customFormat="false" ht="15" hidden="false" customHeight="true" outlineLevel="0" collapsed="false">
      <c r="A115" s="4" t="s">
        <v>3302</v>
      </c>
      <c r="B115" s="4" t="s">
        <v>291</v>
      </c>
      <c r="C115" s="4" t="n">
        <v>640</v>
      </c>
      <c r="D115" s="4" t="n">
        <v>46</v>
      </c>
      <c r="E115" s="13" t="n">
        <v>45563</v>
      </c>
      <c r="F115" s="4" t="s">
        <v>3186</v>
      </c>
      <c r="G115" s="4" t="str">
        <f aca="false">INDEX(PurchaseOrders!$B$2:$B$3001,MATCH(B115,PurchaseOrders!$A$2:$A$3001,0))</f>
        <v>V007</v>
      </c>
    </row>
    <row r="116" customFormat="false" ht="15" hidden="false" customHeight="true" outlineLevel="0" collapsed="false">
      <c r="A116" s="4" t="s">
        <v>3303</v>
      </c>
      <c r="B116" s="4" t="s">
        <v>292</v>
      </c>
      <c r="C116" s="4" t="n">
        <v>51</v>
      </c>
      <c r="D116" s="4" t="n">
        <v>0</v>
      </c>
      <c r="E116" s="13" t="n">
        <v>44980</v>
      </c>
      <c r="F116" s="4"/>
      <c r="G116" s="4" t="str">
        <f aca="false">INDEX(PurchaseOrders!$B$2:$B$3001,MATCH(B116,PurchaseOrders!$A$2:$A$3001,0))</f>
        <v>V031</v>
      </c>
    </row>
    <row r="117" customFormat="false" ht="15" hidden="false" customHeight="true" outlineLevel="0" collapsed="false">
      <c r="A117" s="4" t="s">
        <v>3304</v>
      </c>
      <c r="B117" s="4" t="s">
        <v>293</v>
      </c>
      <c r="C117" s="4" t="n">
        <v>1752</v>
      </c>
      <c r="D117" s="4" t="n">
        <v>152</v>
      </c>
      <c r="E117" s="13" t="n">
        <v>45032</v>
      </c>
      <c r="F117" s="4" t="s">
        <v>3184</v>
      </c>
      <c r="G117" s="4" t="str">
        <f aca="false">INDEX(PurchaseOrders!$B$2:$B$3001,MATCH(B117,PurchaseOrders!$A$2:$A$3001,0))</f>
        <v>V027</v>
      </c>
    </row>
    <row r="118" customFormat="false" ht="15" hidden="false" customHeight="true" outlineLevel="0" collapsed="false">
      <c r="A118" s="4" t="s">
        <v>3305</v>
      </c>
      <c r="B118" s="4" t="s">
        <v>294</v>
      </c>
      <c r="C118" s="4" t="n">
        <v>257</v>
      </c>
      <c r="D118" s="4" t="n">
        <v>17</v>
      </c>
      <c r="E118" s="13" t="n">
        <v>45356</v>
      </c>
      <c r="F118" s="4" t="s">
        <v>3184</v>
      </c>
      <c r="G118" s="4" t="str">
        <f aca="false">INDEX(PurchaseOrders!$B$2:$B$3001,MATCH(B118,PurchaseOrders!$A$2:$A$3001,0))</f>
        <v>V024</v>
      </c>
    </row>
    <row r="119" customFormat="false" ht="15" hidden="false" customHeight="true" outlineLevel="0" collapsed="false">
      <c r="A119" s="4" t="s">
        <v>3306</v>
      </c>
      <c r="B119" s="4" t="s">
        <v>295</v>
      </c>
      <c r="C119" s="4" t="n">
        <v>689</v>
      </c>
      <c r="D119" s="4" t="n">
        <v>39</v>
      </c>
      <c r="E119" s="13" t="n">
        <v>45411</v>
      </c>
      <c r="F119" s="4" t="s">
        <v>3190</v>
      </c>
      <c r="G119" s="4" t="str">
        <f aca="false">INDEX(PurchaseOrders!$B$2:$B$3001,MATCH(B119,PurchaseOrders!$A$2:$A$3001,0))</f>
        <v>V028</v>
      </c>
    </row>
    <row r="120" customFormat="false" ht="15" hidden="false" customHeight="true" outlineLevel="0" collapsed="false">
      <c r="A120" s="4" t="s">
        <v>3307</v>
      </c>
      <c r="B120" s="4" t="s">
        <v>296</v>
      </c>
      <c r="C120" s="4" t="n">
        <v>176</v>
      </c>
      <c r="D120" s="4" t="n">
        <v>0</v>
      </c>
      <c r="E120" s="13" t="n">
        <v>45642</v>
      </c>
      <c r="F120" s="4"/>
      <c r="G120" s="4" t="str">
        <f aca="false">INDEX(PurchaseOrders!$B$2:$B$3001,MATCH(B120,PurchaseOrders!$A$2:$A$3001,0))</f>
        <v>V008</v>
      </c>
    </row>
    <row r="121" customFormat="false" ht="15" hidden="false" customHeight="true" outlineLevel="0" collapsed="false">
      <c r="A121" s="4" t="s">
        <v>3308</v>
      </c>
      <c r="B121" s="4" t="s">
        <v>297</v>
      </c>
      <c r="C121" s="4" t="n">
        <v>123</v>
      </c>
      <c r="D121" s="4" t="n">
        <v>11</v>
      </c>
      <c r="E121" s="13" t="n">
        <v>45203</v>
      </c>
      <c r="F121" s="4" t="s">
        <v>3202</v>
      </c>
      <c r="G121" s="4" t="str">
        <f aca="false">INDEX(PurchaseOrders!$B$2:$B$3001,MATCH(B121,PurchaseOrders!$A$2:$A$3001,0))</f>
        <v>V030</v>
      </c>
    </row>
    <row r="122" customFormat="false" ht="15" hidden="false" customHeight="true" outlineLevel="0" collapsed="false">
      <c r="A122" s="4" t="s">
        <v>3309</v>
      </c>
      <c r="B122" s="4" t="s">
        <v>298</v>
      </c>
      <c r="C122" s="4" t="n">
        <v>2003</v>
      </c>
      <c r="D122" s="4" t="n">
        <v>7</v>
      </c>
      <c r="E122" s="13" t="n">
        <v>45620</v>
      </c>
      <c r="F122" s="4" t="s">
        <v>3184</v>
      </c>
      <c r="G122" s="4" t="str">
        <f aca="false">INDEX(PurchaseOrders!$B$2:$B$3001,MATCH(B122,PurchaseOrders!$A$2:$A$3001,0))</f>
        <v>V003</v>
      </c>
    </row>
    <row r="123" customFormat="false" ht="15" hidden="false" customHeight="true" outlineLevel="0" collapsed="false">
      <c r="A123" s="4" t="s">
        <v>3310</v>
      </c>
      <c r="B123" s="4" t="s">
        <v>299</v>
      </c>
      <c r="C123" s="4" t="n">
        <v>601</v>
      </c>
      <c r="D123" s="4" t="n">
        <v>1</v>
      </c>
      <c r="E123" s="13" t="n">
        <v>45182</v>
      </c>
      <c r="F123" s="4" t="s">
        <v>3202</v>
      </c>
      <c r="G123" s="4" t="str">
        <f aca="false">INDEX(PurchaseOrders!$B$2:$B$3001,MATCH(B123,PurchaseOrders!$A$2:$A$3001,0))</f>
        <v>V020</v>
      </c>
    </row>
    <row r="124" customFormat="false" ht="15" hidden="false" customHeight="true" outlineLevel="0" collapsed="false">
      <c r="A124" s="4" t="s">
        <v>3311</v>
      </c>
      <c r="B124" s="4" t="s">
        <v>300</v>
      </c>
      <c r="C124" s="4" t="n">
        <v>3900</v>
      </c>
      <c r="D124" s="4" t="n">
        <v>64</v>
      </c>
      <c r="E124" s="13" t="n">
        <v>45501</v>
      </c>
      <c r="F124" s="4" t="s">
        <v>3184</v>
      </c>
      <c r="G124" s="4" t="str">
        <f aca="false">INDEX(PurchaseOrders!$B$2:$B$3001,MATCH(B124,PurchaseOrders!$A$2:$A$3001,0))</f>
        <v>V002</v>
      </c>
    </row>
    <row r="125" customFormat="false" ht="15" hidden="false" customHeight="true" outlineLevel="0" collapsed="false">
      <c r="A125" s="4" t="s">
        <v>3312</v>
      </c>
      <c r="B125" s="4" t="s">
        <v>301</v>
      </c>
      <c r="C125" s="4" t="n">
        <v>66</v>
      </c>
      <c r="D125" s="4" t="n">
        <v>4</v>
      </c>
      <c r="E125" s="13" t="n">
        <v>45626</v>
      </c>
      <c r="F125" s="4" t="s">
        <v>3190</v>
      </c>
      <c r="G125" s="4" t="str">
        <f aca="false">INDEX(PurchaseOrders!$B$2:$B$3001,MATCH(B125,PurchaseOrders!$A$2:$A$3001,0))</f>
        <v>V006</v>
      </c>
    </row>
    <row r="126" customFormat="false" ht="15" hidden="false" customHeight="true" outlineLevel="0" collapsed="false">
      <c r="A126" s="4" t="s">
        <v>3313</v>
      </c>
      <c r="B126" s="4" t="s">
        <v>302</v>
      </c>
      <c r="C126" s="4" t="n">
        <v>289</v>
      </c>
      <c r="D126" s="4" t="n">
        <v>2</v>
      </c>
      <c r="E126" s="13" t="n">
        <v>45195</v>
      </c>
      <c r="F126" s="4" t="s">
        <v>3188</v>
      </c>
      <c r="G126" s="4" t="str">
        <f aca="false">INDEX(PurchaseOrders!$B$2:$B$3001,MATCH(B126,PurchaseOrders!$A$2:$A$3001,0))</f>
        <v>V052</v>
      </c>
    </row>
    <row r="127" customFormat="false" ht="15" hidden="false" customHeight="true" outlineLevel="0" collapsed="false">
      <c r="A127" s="4" t="s">
        <v>3314</v>
      </c>
      <c r="B127" s="4" t="s">
        <v>303</v>
      </c>
      <c r="C127" s="4" t="n">
        <v>447</v>
      </c>
      <c r="D127" s="4" t="n">
        <v>34</v>
      </c>
      <c r="E127" s="13" t="n">
        <v>45148</v>
      </c>
      <c r="F127" s="4" t="s">
        <v>3186</v>
      </c>
      <c r="G127" s="4" t="str">
        <f aca="false">INDEX(PurchaseOrders!$B$2:$B$3001,MATCH(B127,PurchaseOrders!$A$2:$A$3001,0))</f>
        <v>V012</v>
      </c>
    </row>
    <row r="128" customFormat="false" ht="15" hidden="false" customHeight="true" outlineLevel="0" collapsed="false">
      <c r="A128" s="4" t="s">
        <v>3315</v>
      </c>
      <c r="B128" s="4" t="s">
        <v>304</v>
      </c>
      <c r="C128" s="4" t="n">
        <v>985</v>
      </c>
      <c r="D128" s="4" t="n">
        <v>14</v>
      </c>
      <c r="E128" s="13" t="n">
        <v>45385</v>
      </c>
      <c r="F128" s="4" t="s">
        <v>3192</v>
      </c>
      <c r="G128" s="4" t="str">
        <f aca="false">INDEX(PurchaseOrders!$B$2:$B$3001,MATCH(B128,PurchaseOrders!$A$2:$A$3001,0))</f>
        <v>V022</v>
      </c>
    </row>
    <row r="129" customFormat="false" ht="15" hidden="false" customHeight="true" outlineLevel="0" collapsed="false">
      <c r="A129" s="4" t="s">
        <v>3316</v>
      </c>
      <c r="B129" s="4" t="s">
        <v>305</v>
      </c>
      <c r="C129" s="4" t="n">
        <v>80</v>
      </c>
      <c r="D129" s="4" t="n">
        <v>8</v>
      </c>
      <c r="E129" s="13" t="n">
        <v>45619</v>
      </c>
      <c r="F129" s="4" t="s">
        <v>3186</v>
      </c>
      <c r="G129" s="4" t="str">
        <f aca="false">INDEX(PurchaseOrders!$B$2:$B$3001,MATCH(B129,PurchaseOrders!$A$2:$A$3001,0))</f>
        <v>V009</v>
      </c>
    </row>
    <row r="130" customFormat="false" ht="15" hidden="false" customHeight="true" outlineLevel="0" collapsed="false">
      <c r="A130" s="4" t="s">
        <v>3317</v>
      </c>
      <c r="B130" s="4" t="s">
        <v>306</v>
      </c>
      <c r="C130" s="4" t="n">
        <v>12</v>
      </c>
      <c r="D130" s="4" t="n">
        <v>0</v>
      </c>
      <c r="E130" s="13" t="n">
        <v>44977</v>
      </c>
      <c r="F130" s="4"/>
      <c r="G130" s="4" t="str">
        <f aca="false">INDEX(PurchaseOrders!$B$2:$B$3001,MATCH(B130,PurchaseOrders!$A$2:$A$3001,0))</f>
        <v>V016</v>
      </c>
    </row>
    <row r="131" customFormat="false" ht="15" hidden="false" customHeight="true" outlineLevel="0" collapsed="false">
      <c r="A131" s="4" t="s">
        <v>3318</v>
      </c>
      <c r="B131" s="4" t="s">
        <v>307</v>
      </c>
      <c r="C131" s="4" t="n">
        <v>4</v>
      </c>
      <c r="D131" s="4" t="n">
        <v>0</v>
      </c>
      <c r="E131" s="13" t="n">
        <v>45587</v>
      </c>
      <c r="F131" s="4"/>
      <c r="G131" s="4" t="str">
        <f aca="false">INDEX(PurchaseOrders!$B$2:$B$3001,MATCH(B131,PurchaseOrders!$A$2:$A$3001,0))</f>
        <v>V016</v>
      </c>
    </row>
    <row r="132" customFormat="false" ht="15" hidden="false" customHeight="true" outlineLevel="0" collapsed="false">
      <c r="A132" s="4" t="s">
        <v>3319</v>
      </c>
      <c r="B132" s="4" t="s">
        <v>308</v>
      </c>
      <c r="C132" s="4" t="n">
        <v>17</v>
      </c>
      <c r="D132" s="4" t="n">
        <v>0</v>
      </c>
      <c r="E132" s="13" t="n">
        <v>45291</v>
      </c>
      <c r="F132" s="4"/>
      <c r="G132" s="4" t="str">
        <f aca="false">INDEX(PurchaseOrders!$B$2:$B$3001,MATCH(B132,PurchaseOrders!$A$2:$A$3001,0))</f>
        <v>V016</v>
      </c>
    </row>
    <row r="133" customFormat="false" ht="15" hidden="false" customHeight="true" outlineLevel="0" collapsed="false">
      <c r="A133" s="4" t="s">
        <v>3320</v>
      </c>
      <c r="B133" s="4" t="s">
        <v>309</v>
      </c>
      <c r="C133" s="4" t="n">
        <v>514</v>
      </c>
      <c r="D133" s="4" t="n">
        <v>40</v>
      </c>
      <c r="E133" s="13" t="n">
        <v>45247</v>
      </c>
      <c r="F133" s="4" t="s">
        <v>3190</v>
      </c>
      <c r="G133" s="4" t="str">
        <f aca="false">INDEX(PurchaseOrders!$B$2:$B$3001,MATCH(B133,PurchaseOrders!$A$2:$A$3001,0))</f>
        <v>V045</v>
      </c>
    </row>
    <row r="134" customFormat="false" ht="15" hidden="false" customHeight="true" outlineLevel="0" collapsed="false">
      <c r="A134" s="4" t="s">
        <v>3321</v>
      </c>
      <c r="B134" s="4" t="s">
        <v>310</v>
      </c>
      <c r="C134" s="4" t="n">
        <v>262</v>
      </c>
      <c r="D134" s="4" t="n">
        <v>5</v>
      </c>
      <c r="E134" s="13" t="n">
        <v>45263</v>
      </c>
      <c r="F134" s="4" t="s">
        <v>3184</v>
      </c>
      <c r="G134" s="4" t="str">
        <f aca="false">INDEX(PurchaseOrders!$B$2:$B$3001,MATCH(B134,PurchaseOrders!$A$2:$A$3001,0))</f>
        <v>V040</v>
      </c>
    </row>
    <row r="135" customFormat="false" ht="15" hidden="false" customHeight="true" outlineLevel="0" collapsed="false">
      <c r="A135" s="4" t="s">
        <v>3322</v>
      </c>
      <c r="B135" s="4" t="s">
        <v>311</v>
      </c>
      <c r="C135" s="4" t="n">
        <v>281</v>
      </c>
      <c r="D135" s="4" t="n">
        <v>14</v>
      </c>
      <c r="E135" s="13" t="n">
        <v>45557</v>
      </c>
      <c r="F135" s="4" t="s">
        <v>3202</v>
      </c>
      <c r="G135" s="4" t="str">
        <f aca="false">INDEX(PurchaseOrders!$B$2:$B$3001,MATCH(B135,PurchaseOrders!$A$2:$A$3001,0))</f>
        <v>V018</v>
      </c>
    </row>
    <row r="136" customFormat="false" ht="15" hidden="false" customHeight="true" outlineLevel="0" collapsed="false">
      <c r="A136" s="4" t="s">
        <v>3323</v>
      </c>
      <c r="B136" s="4" t="s">
        <v>312</v>
      </c>
      <c r="C136" s="4" t="n">
        <v>217</v>
      </c>
      <c r="D136" s="4" t="n">
        <v>9</v>
      </c>
      <c r="E136" s="13" t="n">
        <v>45446</v>
      </c>
      <c r="F136" s="4" t="s">
        <v>3192</v>
      </c>
      <c r="G136" s="4" t="str">
        <f aca="false">INDEX(PurchaseOrders!$B$2:$B$3001,MATCH(B136,PurchaseOrders!$A$2:$A$3001,0))</f>
        <v>V021</v>
      </c>
    </row>
    <row r="137" customFormat="false" ht="15" hidden="false" customHeight="true" outlineLevel="0" collapsed="false">
      <c r="A137" s="4" t="s">
        <v>3324</v>
      </c>
      <c r="B137" s="4" t="s">
        <v>313</v>
      </c>
      <c r="C137" s="4" t="n">
        <v>347</v>
      </c>
      <c r="D137" s="4" t="n">
        <v>31</v>
      </c>
      <c r="E137" s="13" t="n">
        <v>45269</v>
      </c>
      <c r="F137" s="4" t="s">
        <v>3192</v>
      </c>
      <c r="G137" s="4" t="str">
        <f aca="false">INDEX(PurchaseOrders!$B$2:$B$3001,MATCH(B137,PurchaseOrders!$A$2:$A$3001,0))</f>
        <v>V043</v>
      </c>
    </row>
    <row r="138" customFormat="false" ht="15" hidden="false" customHeight="true" outlineLevel="0" collapsed="false">
      <c r="A138" s="4" t="s">
        <v>3325</v>
      </c>
      <c r="B138" s="4" t="s">
        <v>314</v>
      </c>
      <c r="C138" s="4" t="n">
        <v>1819</v>
      </c>
      <c r="D138" s="4" t="n">
        <v>224</v>
      </c>
      <c r="E138" s="13" t="n">
        <v>45551</v>
      </c>
      <c r="F138" s="4" t="s">
        <v>3202</v>
      </c>
      <c r="G138" s="4" t="str">
        <f aca="false">INDEX(PurchaseOrders!$B$2:$B$3001,MATCH(B138,PurchaseOrders!$A$2:$A$3001,0))</f>
        <v>V044</v>
      </c>
    </row>
    <row r="139" customFormat="false" ht="15" hidden="false" customHeight="true" outlineLevel="0" collapsed="false">
      <c r="A139" s="4" t="s">
        <v>3326</v>
      </c>
      <c r="B139" s="4" t="s">
        <v>315</v>
      </c>
      <c r="C139" s="4" t="n">
        <v>1367</v>
      </c>
      <c r="D139" s="4" t="n">
        <v>33</v>
      </c>
      <c r="E139" s="13" t="n">
        <v>45575</v>
      </c>
      <c r="F139" s="4" t="s">
        <v>3186</v>
      </c>
      <c r="G139" s="4" t="str">
        <f aca="false">INDEX(PurchaseOrders!$B$2:$B$3001,MATCH(B139,PurchaseOrders!$A$2:$A$3001,0))</f>
        <v>V010</v>
      </c>
    </row>
    <row r="140" customFormat="false" ht="15" hidden="false" customHeight="true" outlineLevel="0" collapsed="false">
      <c r="A140" s="4" t="s">
        <v>3327</v>
      </c>
      <c r="B140" s="4" t="s">
        <v>316</v>
      </c>
      <c r="C140" s="4" t="n">
        <v>74</v>
      </c>
      <c r="D140" s="4" t="n">
        <v>0</v>
      </c>
      <c r="E140" s="13" t="n">
        <v>45001</v>
      </c>
      <c r="F140" s="4"/>
      <c r="G140" s="4" t="str">
        <f aca="false">INDEX(PurchaseOrders!$B$2:$B$3001,MATCH(B140,PurchaseOrders!$A$2:$A$3001,0))</f>
        <v>V046</v>
      </c>
    </row>
    <row r="141" customFormat="false" ht="15" hidden="false" customHeight="true" outlineLevel="0" collapsed="false">
      <c r="A141" s="4" t="s">
        <v>3328</v>
      </c>
      <c r="B141" s="4" t="s">
        <v>317</v>
      </c>
      <c r="C141" s="4" t="n">
        <v>1913</v>
      </c>
      <c r="D141" s="4" t="n">
        <v>270</v>
      </c>
      <c r="E141" s="13" t="n">
        <v>45386</v>
      </c>
      <c r="F141" s="4" t="s">
        <v>3192</v>
      </c>
      <c r="G141" s="4" t="str">
        <f aca="false">INDEX(PurchaseOrders!$B$2:$B$3001,MATCH(B141,PurchaseOrders!$A$2:$A$3001,0))</f>
        <v>V044</v>
      </c>
    </row>
    <row r="142" customFormat="false" ht="15" hidden="false" customHeight="true" outlineLevel="0" collapsed="false">
      <c r="A142" s="4" t="s">
        <v>3329</v>
      </c>
      <c r="B142" s="4" t="s">
        <v>318</v>
      </c>
      <c r="C142" s="4" t="n">
        <v>715</v>
      </c>
      <c r="D142" s="4" t="n">
        <v>5</v>
      </c>
      <c r="E142" s="13" t="n">
        <v>45520</v>
      </c>
      <c r="F142" s="4" t="s">
        <v>3184</v>
      </c>
      <c r="G142" s="4" t="str">
        <f aca="false">INDEX(PurchaseOrders!$B$2:$B$3001,MATCH(B142,PurchaseOrders!$A$2:$A$3001,0))</f>
        <v>V020</v>
      </c>
    </row>
    <row r="143" customFormat="false" ht="15" hidden="false" customHeight="true" outlineLevel="0" collapsed="false">
      <c r="A143" s="4" t="s">
        <v>3330</v>
      </c>
      <c r="B143" s="4" t="s">
        <v>319</v>
      </c>
      <c r="C143" s="4" t="n">
        <v>68</v>
      </c>
      <c r="D143" s="4" t="n">
        <v>7</v>
      </c>
      <c r="E143" s="13" t="n">
        <v>45150</v>
      </c>
      <c r="F143" s="4" t="s">
        <v>3192</v>
      </c>
      <c r="G143" s="4" t="str">
        <f aca="false">INDEX(PurchaseOrders!$B$2:$B$3001,MATCH(B143,PurchaseOrders!$A$2:$A$3001,0))</f>
        <v>V009</v>
      </c>
    </row>
    <row r="144" customFormat="false" ht="15" hidden="false" customHeight="true" outlineLevel="0" collapsed="false">
      <c r="A144" s="4" t="s">
        <v>3331</v>
      </c>
      <c r="B144" s="4" t="s">
        <v>320</v>
      </c>
      <c r="C144" s="4" t="n">
        <v>455</v>
      </c>
      <c r="D144" s="4" t="n">
        <v>25</v>
      </c>
      <c r="E144" s="13" t="n">
        <v>45138</v>
      </c>
      <c r="F144" s="4" t="s">
        <v>3186</v>
      </c>
      <c r="G144" s="4" t="str">
        <f aca="false">INDEX(PurchaseOrders!$B$2:$B$3001,MATCH(B144,PurchaseOrders!$A$2:$A$3001,0))</f>
        <v>V018</v>
      </c>
    </row>
    <row r="145" customFormat="false" ht="15" hidden="false" customHeight="true" outlineLevel="0" collapsed="false">
      <c r="A145" s="4" t="s">
        <v>3332</v>
      </c>
      <c r="B145" s="4" t="s">
        <v>321</v>
      </c>
      <c r="C145" s="4" t="n">
        <v>9</v>
      </c>
      <c r="D145" s="4" t="n">
        <v>0</v>
      </c>
      <c r="E145" s="13" t="n">
        <v>45038</v>
      </c>
      <c r="F145" s="4"/>
      <c r="G145" s="4" t="str">
        <f aca="false">INDEX(PurchaseOrders!$B$2:$B$3001,MATCH(B145,PurchaseOrders!$A$2:$A$3001,0))</f>
        <v>V019</v>
      </c>
    </row>
    <row r="146" customFormat="false" ht="15" hidden="false" customHeight="true" outlineLevel="0" collapsed="false">
      <c r="A146" s="4" t="s">
        <v>3333</v>
      </c>
      <c r="B146" s="4" t="s">
        <v>322</v>
      </c>
      <c r="C146" s="4" t="n">
        <v>1751</v>
      </c>
      <c r="D146" s="4" t="n">
        <v>157</v>
      </c>
      <c r="E146" s="13" t="n">
        <v>45474</v>
      </c>
      <c r="F146" s="4" t="s">
        <v>3190</v>
      </c>
      <c r="G146" s="4" t="str">
        <f aca="false">INDEX(PurchaseOrders!$B$2:$B$3001,MATCH(B146,PurchaseOrders!$A$2:$A$3001,0))</f>
        <v>V032</v>
      </c>
    </row>
    <row r="147" customFormat="false" ht="15" hidden="false" customHeight="true" outlineLevel="0" collapsed="false">
      <c r="A147" s="4" t="s">
        <v>3334</v>
      </c>
      <c r="B147" s="4" t="s">
        <v>323</v>
      </c>
      <c r="C147" s="4" t="n">
        <v>235</v>
      </c>
      <c r="D147" s="4" t="n">
        <v>4</v>
      </c>
      <c r="E147" s="13" t="n">
        <v>45478</v>
      </c>
      <c r="F147" s="4" t="s">
        <v>3186</v>
      </c>
      <c r="G147" s="4" t="str">
        <f aca="false">INDEX(PurchaseOrders!$B$2:$B$3001,MATCH(B147,PurchaseOrders!$A$2:$A$3001,0))</f>
        <v>V052</v>
      </c>
    </row>
    <row r="148" customFormat="false" ht="15" hidden="false" customHeight="true" outlineLevel="0" collapsed="false">
      <c r="A148" s="4" t="s">
        <v>3335</v>
      </c>
      <c r="B148" s="4" t="s">
        <v>324</v>
      </c>
      <c r="C148" s="4" t="n">
        <v>2507</v>
      </c>
      <c r="D148" s="4" t="n">
        <v>295</v>
      </c>
      <c r="E148" s="13" t="n">
        <v>44974</v>
      </c>
      <c r="F148" s="4" t="s">
        <v>3202</v>
      </c>
      <c r="G148" s="4" t="str">
        <f aca="false">INDEX(PurchaseOrders!$B$2:$B$3001,MATCH(B148,PurchaseOrders!$A$2:$A$3001,0))</f>
        <v>V057</v>
      </c>
    </row>
    <row r="149" customFormat="false" ht="15" hidden="false" customHeight="true" outlineLevel="0" collapsed="false">
      <c r="A149" s="4" t="s">
        <v>3336</v>
      </c>
      <c r="B149" s="4" t="s">
        <v>325</v>
      </c>
      <c r="C149" s="4" t="n">
        <v>3850</v>
      </c>
      <c r="D149" s="4" t="n">
        <v>323</v>
      </c>
      <c r="E149" s="13" t="n">
        <v>45255</v>
      </c>
      <c r="F149" s="4" t="s">
        <v>3186</v>
      </c>
      <c r="G149" s="4" t="str">
        <f aca="false">INDEX(PurchaseOrders!$B$2:$B$3001,MATCH(B149,PurchaseOrders!$A$2:$A$3001,0))</f>
        <v>V028</v>
      </c>
    </row>
    <row r="150" customFormat="false" ht="15" hidden="false" customHeight="true" outlineLevel="0" collapsed="false">
      <c r="A150" s="4" t="s">
        <v>3337</v>
      </c>
      <c r="B150" s="4" t="s">
        <v>326</v>
      </c>
      <c r="C150" s="4" t="n">
        <v>621</v>
      </c>
      <c r="D150" s="4" t="n">
        <v>20</v>
      </c>
      <c r="E150" s="13" t="n">
        <v>45560</v>
      </c>
      <c r="F150" s="4" t="s">
        <v>3192</v>
      </c>
      <c r="G150" s="4" t="str">
        <f aca="false">INDEX(PurchaseOrders!$B$2:$B$3001,MATCH(B150,PurchaseOrders!$A$2:$A$3001,0))</f>
        <v>V059</v>
      </c>
    </row>
    <row r="151" customFormat="false" ht="15" hidden="false" customHeight="true" outlineLevel="0" collapsed="false">
      <c r="A151" s="4" t="s">
        <v>3338</v>
      </c>
      <c r="B151" s="4" t="s">
        <v>327</v>
      </c>
      <c r="C151" s="4" t="n">
        <v>1702</v>
      </c>
      <c r="D151" s="4" t="n">
        <v>111</v>
      </c>
      <c r="E151" s="13" t="n">
        <v>45560</v>
      </c>
      <c r="F151" s="4" t="s">
        <v>3190</v>
      </c>
      <c r="G151" s="4" t="str">
        <f aca="false">INDEX(PurchaseOrders!$B$2:$B$3001,MATCH(B151,PurchaseOrders!$A$2:$A$3001,0))</f>
        <v>V005</v>
      </c>
    </row>
    <row r="152" customFormat="false" ht="15" hidden="false" customHeight="true" outlineLevel="0" collapsed="false">
      <c r="A152" s="4" t="s">
        <v>3339</v>
      </c>
      <c r="B152" s="4" t="s">
        <v>328</v>
      </c>
      <c r="C152" s="4" t="n">
        <v>142</v>
      </c>
      <c r="D152" s="4" t="n">
        <v>1</v>
      </c>
      <c r="E152" s="13" t="n">
        <v>45235</v>
      </c>
      <c r="F152" s="4" t="s">
        <v>3202</v>
      </c>
      <c r="G152" s="4" t="str">
        <f aca="false">INDEX(PurchaseOrders!$B$2:$B$3001,MATCH(B152,PurchaseOrders!$A$2:$A$3001,0))</f>
        <v>V008</v>
      </c>
    </row>
    <row r="153" customFormat="false" ht="15" hidden="false" customHeight="true" outlineLevel="0" collapsed="false">
      <c r="A153" s="4" t="s">
        <v>3340</v>
      </c>
      <c r="B153" s="4" t="s">
        <v>329</v>
      </c>
      <c r="C153" s="4" t="n">
        <v>18</v>
      </c>
      <c r="D153" s="4" t="n">
        <v>1</v>
      </c>
      <c r="E153" s="13" t="n">
        <v>45180</v>
      </c>
      <c r="F153" s="4" t="s">
        <v>3188</v>
      </c>
      <c r="G153" s="4" t="str">
        <f aca="false">INDEX(PurchaseOrders!$B$2:$B$3001,MATCH(B153,PurchaseOrders!$A$2:$A$3001,0))</f>
        <v>V053</v>
      </c>
    </row>
    <row r="154" customFormat="false" ht="15" hidden="false" customHeight="true" outlineLevel="0" collapsed="false">
      <c r="A154" s="4" t="s">
        <v>3341</v>
      </c>
      <c r="B154" s="4" t="s">
        <v>330</v>
      </c>
      <c r="C154" s="4" t="n">
        <v>3926</v>
      </c>
      <c r="D154" s="4" t="n">
        <v>200</v>
      </c>
      <c r="E154" s="13" t="n">
        <v>45039</v>
      </c>
      <c r="F154" s="4" t="s">
        <v>3192</v>
      </c>
      <c r="G154" s="4" t="str">
        <f aca="false">INDEX(PurchaseOrders!$B$2:$B$3001,MATCH(B154,PurchaseOrders!$A$2:$A$3001,0))</f>
        <v>V032</v>
      </c>
    </row>
    <row r="155" customFormat="false" ht="15" hidden="false" customHeight="true" outlineLevel="0" collapsed="false">
      <c r="A155" s="4" t="s">
        <v>3342</v>
      </c>
      <c r="B155" s="4" t="s">
        <v>331</v>
      </c>
      <c r="C155" s="4" t="n">
        <v>324</v>
      </c>
      <c r="D155" s="4" t="n">
        <v>13</v>
      </c>
      <c r="E155" s="13" t="n">
        <v>45456</v>
      </c>
      <c r="F155" s="4" t="s">
        <v>3192</v>
      </c>
      <c r="G155" s="4" t="str">
        <f aca="false">INDEX(PurchaseOrders!$B$2:$B$3001,MATCH(B155,PurchaseOrders!$A$2:$A$3001,0))</f>
        <v>V004</v>
      </c>
    </row>
    <row r="156" customFormat="false" ht="15" hidden="false" customHeight="true" outlineLevel="0" collapsed="false">
      <c r="A156" s="4" t="s">
        <v>3343</v>
      </c>
      <c r="B156" s="4" t="s">
        <v>332</v>
      </c>
      <c r="C156" s="4" t="n">
        <v>203</v>
      </c>
      <c r="D156" s="4" t="n">
        <v>18</v>
      </c>
      <c r="E156" s="13" t="n">
        <v>45092</v>
      </c>
      <c r="F156" s="4" t="s">
        <v>3190</v>
      </c>
      <c r="G156" s="4" t="str">
        <f aca="false">INDEX(PurchaseOrders!$B$2:$B$3001,MATCH(B156,PurchaseOrders!$A$2:$A$3001,0))</f>
        <v>V036</v>
      </c>
    </row>
    <row r="157" customFormat="false" ht="15" hidden="false" customHeight="true" outlineLevel="0" collapsed="false">
      <c r="A157" s="4" t="s">
        <v>3344</v>
      </c>
      <c r="B157" s="4" t="s">
        <v>333</v>
      </c>
      <c r="C157" s="4" t="n">
        <v>220</v>
      </c>
      <c r="D157" s="4" t="n">
        <v>9</v>
      </c>
      <c r="E157" s="13" t="n">
        <v>44984</v>
      </c>
      <c r="F157" s="4" t="s">
        <v>3190</v>
      </c>
      <c r="G157" s="4" t="str">
        <f aca="false">INDEX(PurchaseOrders!$B$2:$B$3001,MATCH(B157,PurchaseOrders!$A$2:$A$3001,0))</f>
        <v>V004</v>
      </c>
    </row>
    <row r="158" customFormat="false" ht="15" hidden="false" customHeight="true" outlineLevel="0" collapsed="false">
      <c r="A158" s="4" t="s">
        <v>3345</v>
      </c>
      <c r="B158" s="4" t="s">
        <v>334</v>
      </c>
      <c r="C158" s="4" t="n">
        <v>3068</v>
      </c>
      <c r="D158" s="4" t="n">
        <v>322</v>
      </c>
      <c r="E158" s="13" t="n">
        <v>45323</v>
      </c>
      <c r="F158" s="4" t="s">
        <v>3190</v>
      </c>
      <c r="G158" s="4" t="str">
        <f aca="false">INDEX(PurchaseOrders!$B$2:$B$3001,MATCH(B158,PurchaseOrders!$A$2:$A$3001,0))</f>
        <v>V057</v>
      </c>
    </row>
    <row r="159" customFormat="false" ht="15" hidden="false" customHeight="true" outlineLevel="0" collapsed="false">
      <c r="A159" s="4" t="s">
        <v>3346</v>
      </c>
      <c r="B159" s="4" t="s">
        <v>335</v>
      </c>
      <c r="C159" s="4" t="n">
        <v>1364</v>
      </c>
      <c r="D159" s="4" t="n">
        <v>0</v>
      </c>
      <c r="E159" s="13" t="n">
        <v>45115</v>
      </c>
      <c r="F159" s="4"/>
      <c r="G159" s="4" t="str">
        <f aca="false">INDEX(PurchaseOrders!$B$2:$B$3001,MATCH(B159,PurchaseOrders!$A$2:$A$3001,0))</f>
        <v>V011</v>
      </c>
    </row>
    <row r="160" customFormat="false" ht="15" hidden="false" customHeight="true" outlineLevel="0" collapsed="false">
      <c r="A160" s="4" t="s">
        <v>3347</v>
      </c>
      <c r="B160" s="4" t="s">
        <v>336</v>
      </c>
      <c r="C160" s="4" t="n">
        <v>6</v>
      </c>
      <c r="D160" s="4" t="n">
        <v>0</v>
      </c>
      <c r="E160" s="13" t="n">
        <v>45315</v>
      </c>
      <c r="F160" s="4"/>
      <c r="G160" s="4" t="str">
        <f aca="false">INDEX(PurchaseOrders!$B$2:$B$3001,MATCH(B160,PurchaseOrders!$A$2:$A$3001,0))</f>
        <v>V023</v>
      </c>
    </row>
    <row r="161" customFormat="false" ht="15" hidden="false" customHeight="true" outlineLevel="0" collapsed="false">
      <c r="A161" s="4" t="s">
        <v>3348</v>
      </c>
      <c r="B161" s="4" t="s">
        <v>337</v>
      </c>
      <c r="C161" s="4" t="n">
        <v>650</v>
      </c>
      <c r="D161" s="4" t="n">
        <v>0</v>
      </c>
      <c r="E161" s="13" t="n">
        <v>45635</v>
      </c>
      <c r="F161" s="4"/>
      <c r="G161" s="4" t="str">
        <f aca="false">INDEX(PurchaseOrders!$B$2:$B$3001,MATCH(B161,PurchaseOrders!$A$2:$A$3001,0))</f>
        <v>V015</v>
      </c>
    </row>
    <row r="162" customFormat="false" ht="15" hidden="false" customHeight="true" outlineLevel="0" collapsed="false">
      <c r="A162" s="4" t="s">
        <v>3349</v>
      </c>
      <c r="B162" s="4" t="s">
        <v>338</v>
      </c>
      <c r="C162" s="4" t="n">
        <v>4816</v>
      </c>
      <c r="D162" s="4" t="n">
        <v>223</v>
      </c>
      <c r="E162" s="13" t="n">
        <v>45078</v>
      </c>
      <c r="F162" s="4" t="s">
        <v>3184</v>
      </c>
      <c r="G162" s="4" t="str">
        <f aca="false">INDEX(PurchaseOrders!$B$2:$B$3001,MATCH(B162,PurchaseOrders!$A$2:$A$3001,0))</f>
        <v>V058</v>
      </c>
    </row>
    <row r="163" customFormat="false" ht="15" hidden="false" customHeight="true" outlineLevel="0" collapsed="false">
      <c r="A163" s="4" t="s">
        <v>3350</v>
      </c>
      <c r="B163" s="4" t="s">
        <v>339</v>
      </c>
      <c r="C163" s="4" t="n">
        <v>351</v>
      </c>
      <c r="D163" s="4" t="n">
        <v>22</v>
      </c>
      <c r="E163" s="13" t="n">
        <v>44975</v>
      </c>
      <c r="F163" s="4" t="s">
        <v>3186</v>
      </c>
      <c r="G163" s="4" t="str">
        <f aca="false">INDEX(PurchaseOrders!$B$2:$B$3001,MATCH(B163,PurchaseOrders!$A$2:$A$3001,0))</f>
        <v>V012</v>
      </c>
    </row>
    <row r="164" customFormat="false" ht="15" hidden="false" customHeight="true" outlineLevel="0" collapsed="false">
      <c r="A164" s="4" t="s">
        <v>3351</v>
      </c>
      <c r="B164" s="4" t="s">
        <v>340</v>
      </c>
      <c r="C164" s="4" t="n">
        <v>1686</v>
      </c>
      <c r="D164" s="4" t="n">
        <v>332</v>
      </c>
      <c r="E164" s="13" t="n">
        <v>45578</v>
      </c>
      <c r="F164" s="4" t="s">
        <v>3188</v>
      </c>
      <c r="G164" s="4" t="str">
        <f aca="false">INDEX(PurchaseOrders!$B$2:$B$3001,MATCH(B164,PurchaseOrders!$A$2:$A$3001,0))</f>
        <v>V039</v>
      </c>
    </row>
    <row r="165" customFormat="false" ht="15" hidden="false" customHeight="true" outlineLevel="0" collapsed="false">
      <c r="A165" s="4" t="s">
        <v>3352</v>
      </c>
      <c r="B165" s="4" t="s">
        <v>341</v>
      </c>
      <c r="C165" s="4" t="n">
        <v>221</v>
      </c>
      <c r="D165" s="4" t="n">
        <v>13</v>
      </c>
      <c r="E165" s="13" t="n">
        <v>45670</v>
      </c>
      <c r="F165" s="4" t="s">
        <v>3192</v>
      </c>
      <c r="G165" s="4" t="str">
        <f aca="false">INDEX(PurchaseOrders!$B$2:$B$3001,MATCH(B165,PurchaseOrders!$A$2:$A$3001,0))</f>
        <v>V033</v>
      </c>
    </row>
    <row r="166" customFormat="false" ht="15" hidden="false" customHeight="true" outlineLevel="0" collapsed="false">
      <c r="A166" s="4" t="s">
        <v>3353</v>
      </c>
      <c r="B166" s="4" t="s">
        <v>342</v>
      </c>
      <c r="C166" s="4" t="n">
        <v>268</v>
      </c>
      <c r="D166" s="4" t="n">
        <v>20</v>
      </c>
      <c r="E166" s="13" t="n">
        <v>45644</v>
      </c>
      <c r="F166" s="4" t="s">
        <v>3186</v>
      </c>
      <c r="G166" s="4" t="str">
        <f aca="false">INDEX(PurchaseOrders!$B$2:$B$3001,MATCH(B166,PurchaseOrders!$A$2:$A$3001,0))</f>
        <v>V055</v>
      </c>
    </row>
    <row r="167" customFormat="false" ht="15" hidden="false" customHeight="true" outlineLevel="0" collapsed="false">
      <c r="A167" s="4" t="s">
        <v>3354</v>
      </c>
      <c r="B167" s="4" t="s">
        <v>343</v>
      </c>
      <c r="C167" s="4" t="n">
        <v>23</v>
      </c>
      <c r="D167" s="4" t="n">
        <v>2</v>
      </c>
      <c r="E167" s="13" t="n">
        <v>45217</v>
      </c>
      <c r="F167" s="4" t="s">
        <v>3184</v>
      </c>
      <c r="G167" s="4" t="str">
        <f aca="false">INDEX(PurchaseOrders!$B$2:$B$3001,MATCH(B167,PurchaseOrders!$A$2:$A$3001,0))</f>
        <v>V009</v>
      </c>
    </row>
    <row r="168" customFormat="false" ht="15" hidden="false" customHeight="true" outlineLevel="0" collapsed="false">
      <c r="A168" s="4" t="s">
        <v>3355</v>
      </c>
      <c r="B168" s="4" t="s">
        <v>344</v>
      </c>
      <c r="C168" s="4" t="n">
        <v>1278</v>
      </c>
      <c r="D168" s="4" t="n">
        <v>46</v>
      </c>
      <c r="E168" s="13" t="n">
        <v>45647</v>
      </c>
      <c r="F168" s="4" t="s">
        <v>3190</v>
      </c>
      <c r="G168" s="4" t="str">
        <f aca="false">INDEX(PurchaseOrders!$B$2:$B$3001,MATCH(B168,PurchaseOrders!$A$2:$A$3001,0))</f>
        <v>V003</v>
      </c>
    </row>
    <row r="169" customFormat="false" ht="15" hidden="false" customHeight="true" outlineLevel="0" collapsed="false">
      <c r="A169" s="4" t="s">
        <v>3356</v>
      </c>
      <c r="B169" s="4" t="s">
        <v>345</v>
      </c>
      <c r="C169" s="4" t="n">
        <v>5</v>
      </c>
      <c r="D169" s="4" t="n">
        <v>1</v>
      </c>
      <c r="E169" s="13" t="n">
        <v>45660</v>
      </c>
      <c r="F169" s="4" t="s">
        <v>3190</v>
      </c>
      <c r="G169" s="4" t="str">
        <f aca="false">INDEX(PurchaseOrders!$B$2:$B$3001,MATCH(B169,PurchaseOrders!$A$2:$A$3001,0))</f>
        <v>V042</v>
      </c>
    </row>
    <row r="170" customFormat="false" ht="15" hidden="false" customHeight="true" outlineLevel="0" collapsed="false">
      <c r="A170" s="4" t="s">
        <v>3357</v>
      </c>
      <c r="B170" s="4" t="s">
        <v>346</v>
      </c>
      <c r="C170" s="4" t="n">
        <v>271</v>
      </c>
      <c r="D170" s="4" t="n">
        <v>11</v>
      </c>
      <c r="E170" s="13" t="n">
        <v>45234</v>
      </c>
      <c r="F170" s="4" t="s">
        <v>3184</v>
      </c>
      <c r="G170" s="4" t="str">
        <f aca="false">INDEX(PurchaseOrders!$B$2:$B$3001,MATCH(B170,PurchaseOrders!$A$2:$A$3001,0))</f>
        <v>V020</v>
      </c>
    </row>
    <row r="171" customFormat="false" ht="15" hidden="false" customHeight="true" outlineLevel="0" collapsed="false">
      <c r="A171" s="4" t="s">
        <v>3358</v>
      </c>
      <c r="B171" s="4" t="s">
        <v>347</v>
      </c>
      <c r="C171" s="4" t="n">
        <v>404</v>
      </c>
      <c r="D171" s="4" t="n">
        <v>21</v>
      </c>
      <c r="E171" s="13" t="n">
        <v>45061</v>
      </c>
      <c r="F171" s="4" t="s">
        <v>3190</v>
      </c>
      <c r="G171" s="4" t="str">
        <f aca="false">INDEX(PurchaseOrders!$B$2:$B$3001,MATCH(B171,PurchaseOrders!$A$2:$A$3001,0))</f>
        <v>V033</v>
      </c>
    </row>
    <row r="172" customFormat="false" ht="15" hidden="false" customHeight="true" outlineLevel="0" collapsed="false">
      <c r="A172" s="4" t="s">
        <v>3359</v>
      </c>
      <c r="B172" s="4" t="s">
        <v>348</v>
      </c>
      <c r="C172" s="4" t="n">
        <v>550</v>
      </c>
      <c r="D172" s="4" t="n">
        <v>64</v>
      </c>
      <c r="E172" s="13" t="n">
        <v>45574</v>
      </c>
      <c r="F172" s="4" t="s">
        <v>3188</v>
      </c>
      <c r="G172" s="4" t="str">
        <f aca="false">INDEX(PurchaseOrders!$B$2:$B$3001,MATCH(B172,PurchaseOrders!$A$2:$A$3001,0))</f>
        <v>V027</v>
      </c>
    </row>
    <row r="173" customFormat="false" ht="15" hidden="false" customHeight="true" outlineLevel="0" collapsed="false">
      <c r="A173" s="4" t="s">
        <v>3360</v>
      </c>
      <c r="B173" s="4" t="s">
        <v>349</v>
      </c>
      <c r="C173" s="4" t="n">
        <v>230</v>
      </c>
      <c r="D173" s="4" t="n">
        <v>20</v>
      </c>
      <c r="E173" s="13" t="n">
        <v>45018</v>
      </c>
      <c r="F173" s="4" t="s">
        <v>3192</v>
      </c>
      <c r="G173" s="4" t="str">
        <f aca="false">INDEX(PurchaseOrders!$B$2:$B$3001,MATCH(B173,PurchaseOrders!$A$2:$A$3001,0))</f>
        <v>V030</v>
      </c>
    </row>
    <row r="174" customFormat="false" ht="15" hidden="false" customHeight="true" outlineLevel="0" collapsed="false">
      <c r="A174" s="4" t="s">
        <v>3361</v>
      </c>
      <c r="B174" s="4" t="s">
        <v>350</v>
      </c>
      <c r="C174" s="4" t="n">
        <v>240</v>
      </c>
      <c r="D174" s="4" t="n">
        <v>24</v>
      </c>
      <c r="E174" s="13" t="n">
        <v>45275</v>
      </c>
      <c r="F174" s="4" t="s">
        <v>3192</v>
      </c>
      <c r="G174" s="4" t="str">
        <f aca="false">INDEX(PurchaseOrders!$B$2:$B$3001,MATCH(B174,PurchaseOrders!$A$2:$A$3001,0))</f>
        <v>V009</v>
      </c>
    </row>
    <row r="175" customFormat="false" ht="15" hidden="false" customHeight="true" outlineLevel="0" collapsed="false">
      <c r="A175" s="4" t="s">
        <v>3362</v>
      </c>
      <c r="B175" s="4" t="s">
        <v>351</v>
      </c>
      <c r="C175" s="4" t="n">
        <v>2122</v>
      </c>
      <c r="D175" s="4" t="n">
        <v>163</v>
      </c>
      <c r="E175" s="13" t="n">
        <v>45049</v>
      </c>
      <c r="F175" s="4" t="s">
        <v>3188</v>
      </c>
      <c r="G175" s="4" t="str">
        <f aca="false">INDEX(PurchaseOrders!$B$2:$B$3001,MATCH(B175,PurchaseOrders!$A$2:$A$3001,0))</f>
        <v>V017</v>
      </c>
    </row>
    <row r="176" customFormat="false" ht="15" hidden="false" customHeight="true" outlineLevel="0" collapsed="false">
      <c r="A176" s="4" t="s">
        <v>3363</v>
      </c>
      <c r="B176" s="4" t="s">
        <v>352</v>
      </c>
      <c r="C176" s="4" t="n">
        <v>230</v>
      </c>
      <c r="D176" s="4" t="n">
        <v>22</v>
      </c>
      <c r="E176" s="13" t="n">
        <v>45368</v>
      </c>
      <c r="F176" s="4" t="s">
        <v>3190</v>
      </c>
      <c r="G176" s="4" t="str">
        <f aca="false">INDEX(PurchaseOrders!$B$2:$B$3001,MATCH(B176,PurchaseOrders!$A$2:$A$3001,0))</f>
        <v>V055</v>
      </c>
    </row>
    <row r="177" customFormat="false" ht="15" hidden="false" customHeight="true" outlineLevel="0" collapsed="false">
      <c r="A177" s="4" t="s">
        <v>3364</v>
      </c>
      <c r="B177" s="4" t="s">
        <v>353</v>
      </c>
      <c r="C177" s="4" t="n">
        <v>1531</v>
      </c>
      <c r="D177" s="4" t="n">
        <v>206</v>
      </c>
      <c r="E177" s="13" t="n">
        <v>45450</v>
      </c>
      <c r="F177" s="4" t="s">
        <v>3190</v>
      </c>
      <c r="G177" s="4" t="str">
        <f aca="false">INDEX(PurchaseOrders!$B$2:$B$3001,MATCH(B177,PurchaseOrders!$A$2:$A$3001,0))</f>
        <v>V038</v>
      </c>
    </row>
    <row r="178" customFormat="false" ht="15" hidden="false" customHeight="true" outlineLevel="0" collapsed="false">
      <c r="A178" s="4" t="s">
        <v>3365</v>
      </c>
      <c r="B178" s="4" t="s">
        <v>354</v>
      </c>
      <c r="C178" s="4" t="n">
        <v>168</v>
      </c>
      <c r="D178" s="4" t="n">
        <v>11</v>
      </c>
      <c r="E178" s="13" t="n">
        <v>45581</v>
      </c>
      <c r="F178" s="4" t="s">
        <v>3202</v>
      </c>
      <c r="G178" s="4" t="str">
        <f aca="false">INDEX(PurchaseOrders!$B$2:$B$3001,MATCH(B178,PurchaseOrders!$A$2:$A$3001,0))</f>
        <v>V018</v>
      </c>
    </row>
    <row r="179" customFormat="false" ht="15" hidden="false" customHeight="true" outlineLevel="0" collapsed="false">
      <c r="A179" s="4" t="s">
        <v>3366</v>
      </c>
      <c r="B179" s="4" t="s">
        <v>355</v>
      </c>
      <c r="C179" s="4" t="n">
        <v>450</v>
      </c>
      <c r="D179" s="4" t="n">
        <v>61</v>
      </c>
      <c r="E179" s="13" t="n">
        <v>45234</v>
      </c>
      <c r="F179" s="4" t="s">
        <v>3186</v>
      </c>
      <c r="G179" s="4" t="str">
        <f aca="false">INDEX(PurchaseOrders!$B$2:$B$3001,MATCH(B179,PurchaseOrders!$A$2:$A$3001,0))</f>
        <v>V049</v>
      </c>
    </row>
    <row r="180" customFormat="false" ht="15" hidden="false" customHeight="true" outlineLevel="0" collapsed="false">
      <c r="A180" s="4" t="s">
        <v>3367</v>
      </c>
      <c r="B180" s="4" t="s">
        <v>356</v>
      </c>
      <c r="C180" s="4" t="n">
        <v>132</v>
      </c>
      <c r="D180" s="4" t="n">
        <v>0</v>
      </c>
      <c r="E180" s="13" t="n">
        <v>45618</v>
      </c>
      <c r="F180" s="4"/>
      <c r="G180" s="4" t="str">
        <f aca="false">INDEX(PurchaseOrders!$B$2:$B$3001,MATCH(B180,PurchaseOrders!$A$2:$A$3001,0))</f>
        <v>V024</v>
      </c>
    </row>
    <row r="181" customFormat="false" ht="15" hidden="false" customHeight="true" outlineLevel="0" collapsed="false">
      <c r="A181" s="4" t="s">
        <v>3368</v>
      </c>
      <c r="B181" s="4" t="s">
        <v>357</v>
      </c>
      <c r="C181" s="4" t="n">
        <v>152</v>
      </c>
      <c r="D181" s="4" t="n">
        <v>13</v>
      </c>
      <c r="E181" s="13" t="n">
        <v>45356</v>
      </c>
      <c r="F181" s="4" t="s">
        <v>3184</v>
      </c>
      <c r="G181" s="4" t="str">
        <f aca="false">INDEX(PurchaseOrders!$B$2:$B$3001,MATCH(B181,PurchaseOrders!$A$2:$A$3001,0))</f>
        <v>V037</v>
      </c>
    </row>
    <row r="182" customFormat="false" ht="15" hidden="false" customHeight="true" outlineLevel="0" collapsed="false">
      <c r="A182" s="4" t="s">
        <v>3369</v>
      </c>
      <c r="B182" s="4" t="s">
        <v>358</v>
      </c>
      <c r="C182" s="4" t="n">
        <v>257</v>
      </c>
      <c r="D182" s="4" t="n">
        <v>0</v>
      </c>
      <c r="E182" s="13" t="n">
        <v>45525</v>
      </c>
      <c r="F182" s="4"/>
      <c r="G182" s="4" t="str">
        <f aca="false">INDEX(PurchaseOrders!$B$2:$B$3001,MATCH(B182,PurchaseOrders!$A$2:$A$3001,0))</f>
        <v>V040</v>
      </c>
    </row>
    <row r="183" customFormat="false" ht="15" hidden="false" customHeight="true" outlineLevel="0" collapsed="false">
      <c r="A183" s="4" t="s">
        <v>3370</v>
      </c>
      <c r="B183" s="4" t="s">
        <v>359</v>
      </c>
      <c r="C183" s="4" t="n">
        <v>8</v>
      </c>
      <c r="D183" s="4" t="n">
        <v>0</v>
      </c>
      <c r="E183" s="13" t="n">
        <v>45285</v>
      </c>
      <c r="F183" s="4"/>
      <c r="G183" s="4" t="str">
        <f aca="false">INDEX(PurchaseOrders!$B$2:$B$3001,MATCH(B183,PurchaseOrders!$A$2:$A$3001,0))</f>
        <v>V016</v>
      </c>
    </row>
    <row r="184" customFormat="false" ht="15" hidden="false" customHeight="true" outlineLevel="0" collapsed="false">
      <c r="A184" s="4" t="s">
        <v>3371</v>
      </c>
      <c r="B184" s="4" t="s">
        <v>360</v>
      </c>
      <c r="C184" s="4" t="n">
        <v>224</v>
      </c>
      <c r="D184" s="4" t="n">
        <v>19</v>
      </c>
      <c r="E184" s="13" t="n">
        <v>44975</v>
      </c>
      <c r="F184" s="4" t="s">
        <v>3190</v>
      </c>
      <c r="G184" s="4" t="str">
        <f aca="false">INDEX(PurchaseOrders!$B$2:$B$3001,MATCH(B184,PurchaseOrders!$A$2:$A$3001,0))</f>
        <v>V033</v>
      </c>
    </row>
    <row r="185" customFormat="false" ht="15" hidden="false" customHeight="true" outlineLevel="0" collapsed="false">
      <c r="A185" s="4" t="s">
        <v>3372</v>
      </c>
      <c r="B185" s="4" t="s">
        <v>361</v>
      </c>
      <c r="C185" s="4" t="n">
        <v>10</v>
      </c>
      <c r="D185" s="4" t="n">
        <v>1</v>
      </c>
      <c r="E185" s="13" t="n">
        <v>45166</v>
      </c>
      <c r="F185" s="4" t="s">
        <v>3202</v>
      </c>
      <c r="G185" s="4" t="str">
        <f aca="false">INDEX(PurchaseOrders!$B$2:$B$3001,MATCH(B185,PurchaseOrders!$A$2:$A$3001,0))</f>
        <v>V054</v>
      </c>
    </row>
    <row r="186" customFormat="false" ht="15" hidden="false" customHeight="true" outlineLevel="0" collapsed="false">
      <c r="A186" s="4" t="s">
        <v>3373</v>
      </c>
      <c r="B186" s="4" t="s">
        <v>362</v>
      </c>
      <c r="C186" s="4" t="n">
        <v>1983</v>
      </c>
      <c r="D186" s="4" t="n">
        <v>8</v>
      </c>
      <c r="E186" s="13" t="n">
        <v>45308</v>
      </c>
      <c r="F186" s="4" t="s">
        <v>3202</v>
      </c>
      <c r="G186" s="4" t="str">
        <f aca="false">INDEX(PurchaseOrders!$B$2:$B$3001,MATCH(B186,PurchaseOrders!$A$2:$A$3001,0))</f>
        <v>V020</v>
      </c>
    </row>
    <row r="187" customFormat="false" ht="15" hidden="false" customHeight="true" outlineLevel="0" collapsed="false">
      <c r="A187" s="4" t="s">
        <v>3374</v>
      </c>
      <c r="B187" s="4" t="s">
        <v>363</v>
      </c>
      <c r="C187" s="4" t="n">
        <v>465</v>
      </c>
      <c r="D187" s="4" t="n">
        <v>30</v>
      </c>
      <c r="E187" s="13" t="n">
        <v>45563</v>
      </c>
      <c r="F187" s="4" t="s">
        <v>3202</v>
      </c>
      <c r="G187" s="4" t="str">
        <f aca="false">INDEX(PurchaseOrders!$B$2:$B$3001,MATCH(B187,PurchaseOrders!$A$2:$A$3001,0))</f>
        <v>V045</v>
      </c>
    </row>
    <row r="188" customFormat="false" ht="15" hidden="false" customHeight="true" outlineLevel="0" collapsed="false">
      <c r="A188" s="4" t="s">
        <v>3375</v>
      </c>
      <c r="B188" s="4" t="s">
        <v>364</v>
      </c>
      <c r="C188" s="4" t="n">
        <v>63</v>
      </c>
      <c r="D188" s="4" t="n">
        <v>6</v>
      </c>
      <c r="E188" s="13" t="n">
        <v>45284</v>
      </c>
      <c r="F188" s="4" t="s">
        <v>3188</v>
      </c>
      <c r="G188" s="4" t="str">
        <f aca="false">INDEX(PurchaseOrders!$B$2:$B$3001,MATCH(B188,PurchaseOrders!$A$2:$A$3001,0))</f>
        <v>V036</v>
      </c>
    </row>
    <row r="189" customFormat="false" ht="15" hidden="false" customHeight="true" outlineLevel="0" collapsed="false">
      <c r="A189" s="4" t="s">
        <v>3376</v>
      </c>
      <c r="B189" s="4" t="s">
        <v>365</v>
      </c>
      <c r="C189" s="4" t="n">
        <v>1526</v>
      </c>
      <c r="D189" s="4" t="n">
        <v>8</v>
      </c>
      <c r="E189" s="13" t="n">
        <v>45283</v>
      </c>
      <c r="F189" s="4" t="s">
        <v>3192</v>
      </c>
      <c r="G189" s="4" t="str">
        <f aca="false">INDEX(PurchaseOrders!$B$2:$B$3001,MATCH(B189,PurchaseOrders!$A$2:$A$3001,0))</f>
        <v>V022</v>
      </c>
    </row>
    <row r="190" customFormat="false" ht="15" hidden="false" customHeight="true" outlineLevel="0" collapsed="false">
      <c r="A190" s="4" t="s">
        <v>3377</v>
      </c>
      <c r="B190" s="4" t="s">
        <v>366</v>
      </c>
      <c r="C190" s="4" t="n">
        <v>1771</v>
      </c>
      <c r="D190" s="4" t="n">
        <v>109</v>
      </c>
      <c r="E190" s="13" t="n">
        <v>45353</v>
      </c>
      <c r="F190" s="4" t="s">
        <v>3190</v>
      </c>
      <c r="G190" s="4" t="str">
        <f aca="false">INDEX(PurchaseOrders!$B$2:$B$3001,MATCH(B190,PurchaseOrders!$A$2:$A$3001,0))</f>
        <v>V005</v>
      </c>
    </row>
    <row r="191" customFormat="false" ht="15" hidden="false" customHeight="true" outlineLevel="0" collapsed="false">
      <c r="A191" s="4" t="s">
        <v>3378</v>
      </c>
      <c r="B191" s="4" t="s">
        <v>367</v>
      </c>
      <c r="C191" s="4" t="n">
        <v>1072</v>
      </c>
      <c r="D191" s="4" t="n">
        <v>80</v>
      </c>
      <c r="E191" s="13" t="n">
        <v>45375</v>
      </c>
      <c r="F191" s="4" t="s">
        <v>3186</v>
      </c>
      <c r="G191" s="4" t="str">
        <f aca="false">INDEX(PurchaseOrders!$B$2:$B$3001,MATCH(B191,PurchaseOrders!$A$2:$A$3001,0))</f>
        <v>V007</v>
      </c>
    </row>
    <row r="192" customFormat="false" ht="15" hidden="false" customHeight="true" outlineLevel="0" collapsed="false">
      <c r="A192" s="4" t="s">
        <v>3379</v>
      </c>
      <c r="B192" s="4" t="s">
        <v>368</v>
      </c>
      <c r="C192" s="4" t="n">
        <v>676</v>
      </c>
      <c r="D192" s="4" t="n">
        <v>55</v>
      </c>
      <c r="E192" s="13" t="n">
        <v>45583</v>
      </c>
      <c r="F192" s="4" t="s">
        <v>3186</v>
      </c>
      <c r="G192" s="4" t="str">
        <f aca="false">INDEX(PurchaseOrders!$B$2:$B$3001,MATCH(B192,PurchaseOrders!$A$2:$A$3001,0))</f>
        <v>V014</v>
      </c>
    </row>
    <row r="193" customFormat="false" ht="15" hidden="false" customHeight="true" outlineLevel="0" collapsed="false">
      <c r="A193" s="4" t="s">
        <v>3380</v>
      </c>
      <c r="B193" s="4" t="s">
        <v>369</v>
      </c>
      <c r="C193" s="4" t="n">
        <v>649</v>
      </c>
      <c r="D193" s="4" t="n">
        <v>42</v>
      </c>
      <c r="E193" s="13" t="n">
        <v>45017</v>
      </c>
      <c r="F193" s="4" t="s">
        <v>3188</v>
      </c>
      <c r="G193" s="4" t="str">
        <f aca="false">INDEX(PurchaseOrders!$B$2:$B$3001,MATCH(B193,PurchaseOrders!$A$2:$A$3001,0))</f>
        <v>V007</v>
      </c>
    </row>
    <row r="194" customFormat="false" ht="15" hidden="false" customHeight="true" outlineLevel="0" collapsed="false">
      <c r="A194" s="4" t="s">
        <v>3381</v>
      </c>
      <c r="B194" s="4" t="s">
        <v>370</v>
      </c>
      <c r="C194" s="4" t="n">
        <v>361</v>
      </c>
      <c r="D194" s="4" t="n">
        <v>27</v>
      </c>
      <c r="E194" s="13" t="n">
        <v>45002</v>
      </c>
      <c r="F194" s="4" t="s">
        <v>3186</v>
      </c>
      <c r="G194" s="4" t="str">
        <f aca="false">INDEX(PurchaseOrders!$B$2:$B$3001,MATCH(B194,PurchaseOrders!$A$2:$A$3001,0))</f>
        <v>V043</v>
      </c>
    </row>
    <row r="195" customFormat="false" ht="15" hidden="false" customHeight="true" outlineLevel="0" collapsed="false">
      <c r="A195" s="4" t="s">
        <v>3382</v>
      </c>
      <c r="B195" s="4" t="s">
        <v>371</v>
      </c>
      <c r="C195" s="4" t="n">
        <v>1023</v>
      </c>
      <c r="D195" s="4" t="n">
        <v>58</v>
      </c>
      <c r="E195" s="13" t="n">
        <v>45666</v>
      </c>
      <c r="F195" s="4" t="s">
        <v>3202</v>
      </c>
      <c r="G195" s="4" t="str">
        <f aca="false">INDEX(PurchaseOrders!$B$2:$B$3001,MATCH(B195,PurchaseOrders!$A$2:$A$3001,0))</f>
        <v>V021</v>
      </c>
    </row>
    <row r="196" customFormat="false" ht="15" hidden="false" customHeight="true" outlineLevel="0" collapsed="false">
      <c r="A196" s="4" t="s">
        <v>3383</v>
      </c>
      <c r="B196" s="4" t="s">
        <v>372</v>
      </c>
      <c r="C196" s="4" t="n">
        <v>64</v>
      </c>
      <c r="D196" s="4" t="n">
        <v>4</v>
      </c>
      <c r="E196" s="13" t="n">
        <v>45074</v>
      </c>
      <c r="F196" s="4" t="s">
        <v>3192</v>
      </c>
      <c r="G196" s="4" t="str">
        <f aca="false">INDEX(PurchaseOrders!$B$2:$B$3001,MATCH(B196,PurchaseOrders!$A$2:$A$3001,0))</f>
        <v>V055</v>
      </c>
    </row>
    <row r="197" customFormat="false" ht="15" hidden="false" customHeight="true" outlineLevel="0" collapsed="false">
      <c r="A197" s="4" t="s">
        <v>3384</v>
      </c>
      <c r="B197" s="4" t="s">
        <v>373</v>
      </c>
      <c r="C197" s="4" t="n">
        <v>3195</v>
      </c>
      <c r="D197" s="4" t="n">
        <v>139</v>
      </c>
      <c r="E197" s="13" t="n">
        <v>45485</v>
      </c>
      <c r="F197" s="4" t="s">
        <v>3186</v>
      </c>
      <c r="G197" s="4" t="str">
        <f aca="false">INDEX(PurchaseOrders!$B$2:$B$3001,MATCH(B197,PurchaseOrders!$A$2:$A$3001,0))</f>
        <v>V056</v>
      </c>
    </row>
    <row r="198" customFormat="false" ht="15" hidden="false" customHeight="true" outlineLevel="0" collapsed="false">
      <c r="A198" s="4" t="s">
        <v>3385</v>
      </c>
      <c r="B198" s="4" t="s">
        <v>374</v>
      </c>
      <c r="C198" s="4" t="n">
        <v>425</v>
      </c>
      <c r="D198" s="4" t="n">
        <v>44</v>
      </c>
      <c r="E198" s="13" t="n">
        <v>45335</v>
      </c>
      <c r="F198" s="4" t="s">
        <v>3202</v>
      </c>
      <c r="G198" s="4" t="str">
        <f aca="false">INDEX(PurchaseOrders!$B$2:$B$3001,MATCH(B198,PurchaseOrders!$A$2:$A$3001,0))</f>
        <v>V049</v>
      </c>
    </row>
    <row r="199" customFormat="false" ht="15" hidden="false" customHeight="true" outlineLevel="0" collapsed="false">
      <c r="A199" s="4" t="s">
        <v>3386</v>
      </c>
      <c r="B199" s="4" t="s">
        <v>375</v>
      </c>
      <c r="C199" s="4" t="n">
        <v>694</v>
      </c>
      <c r="D199" s="4" t="n">
        <v>76</v>
      </c>
      <c r="E199" s="13" t="n">
        <v>45210</v>
      </c>
      <c r="F199" s="4" t="s">
        <v>3202</v>
      </c>
      <c r="G199" s="4" t="str">
        <f aca="false">INDEX(PurchaseOrders!$B$2:$B$3001,MATCH(B199,PurchaseOrders!$A$2:$A$3001,0))</f>
        <v>V032</v>
      </c>
    </row>
    <row r="200" customFormat="false" ht="15" hidden="false" customHeight="true" outlineLevel="0" collapsed="false">
      <c r="A200" s="4" t="s">
        <v>3387</v>
      </c>
      <c r="B200" s="4" t="s">
        <v>376</v>
      </c>
      <c r="C200" s="4" t="n">
        <v>219</v>
      </c>
      <c r="D200" s="4" t="n">
        <v>20</v>
      </c>
      <c r="E200" s="13" t="n">
        <v>44994</v>
      </c>
      <c r="F200" s="4" t="s">
        <v>3184</v>
      </c>
      <c r="G200" s="4" t="str">
        <f aca="false">INDEX(PurchaseOrders!$B$2:$B$3001,MATCH(B200,PurchaseOrders!$A$2:$A$3001,0))</f>
        <v>V036</v>
      </c>
    </row>
    <row r="201" customFormat="false" ht="15" hidden="false" customHeight="true" outlineLevel="0" collapsed="false">
      <c r="A201" s="4" t="s">
        <v>3388</v>
      </c>
      <c r="B201" s="4" t="s">
        <v>377</v>
      </c>
      <c r="C201" s="4" t="n">
        <v>289</v>
      </c>
      <c r="D201" s="4" t="n">
        <v>7</v>
      </c>
      <c r="E201" s="13" t="n">
        <v>45639</v>
      </c>
      <c r="F201" s="4" t="s">
        <v>3188</v>
      </c>
      <c r="G201" s="4" t="str">
        <f aca="false">INDEX(PurchaseOrders!$B$2:$B$3001,MATCH(B201,PurchaseOrders!$A$2:$A$3001,0))</f>
        <v>V040</v>
      </c>
    </row>
    <row r="202" customFormat="false" ht="15" hidden="false" customHeight="true" outlineLevel="0" collapsed="false">
      <c r="A202" s="4" t="s">
        <v>3389</v>
      </c>
      <c r="B202" s="4" t="s">
        <v>378</v>
      </c>
      <c r="C202" s="4" t="n">
        <v>572</v>
      </c>
      <c r="D202" s="4" t="n">
        <v>88</v>
      </c>
      <c r="E202" s="13" t="n">
        <v>45418</v>
      </c>
      <c r="F202" s="4" t="s">
        <v>3202</v>
      </c>
      <c r="G202" s="4" t="str">
        <f aca="false">INDEX(PurchaseOrders!$B$2:$B$3001,MATCH(B202,PurchaseOrders!$A$2:$A$3001,0))</f>
        <v>V025</v>
      </c>
    </row>
    <row r="203" customFormat="false" ht="15" hidden="false" customHeight="true" outlineLevel="0" collapsed="false">
      <c r="A203" s="4" t="s">
        <v>3390</v>
      </c>
      <c r="B203" s="4" t="s">
        <v>379</v>
      </c>
      <c r="C203" s="4" t="n">
        <v>219</v>
      </c>
      <c r="D203" s="4" t="n">
        <v>5</v>
      </c>
      <c r="E203" s="13" t="n">
        <v>45143</v>
      </c>
      <c r="F203" s="4" t="s">
        <v>3190</v>
      </c>
      <c r="G203" s="4" t="str">
        <f aca="false">INDEX(PurchaseOrders!$B$2:$B$3001,MATCH(B203,PurchaseOrders!$A$2:$A$3001,0))</f>
        <v>V008</v>
      </c>
    </row>
    <row r="204" customFormat="false" ht="15" hidden="false" customHeight="true" outlineLevel="0" collapsed="false">
      <c r="A204" s="4" t="s">
        <v>3391</v>
      </c>
      <c r="B204" s="4" t="s">
        <v>380</v>
      </c>
      <c r="C204" s="4" t="n">
        <v>243</v>
      </c>
      <c r="D204" s="4" t="n">
        <v>0</v>
      </c>
      <c r="E204" s="13" t="n">
        <v>45106</v>
      </c>
      <c r="F204" s="4"/>
      <c r="G204" s="4" t="str">
        <f aca="false">INDEX(PurchaseOrders!$B$2:$B$3001,MATCH(B204,PurchaseOrders!$A$2:$A$3001,0))</f>
        <v>V020</v>
      </c>
    </row>
    <row r="205" customFormat="false" ht="15" hidden="false" customHeight="true" outlineLevel="0" collapsed="false">
      <c r="A205" s="4" t="s">
        <v>3392</v>
      </c>
      <c r="B205" s="4" t="s">
        <v>381</v>
      </c>
      <c r="C205" s="4" t="n">
        <v>86</v>
      </c>
      <c r="D205" s="4" t="n">
        <v>5</v>
      </c>
      <c r="E205" s="13" t="n">
        <v>45673</v>
      </c>
      <c r="F205" s="4" t="s">
        <v>3184</v>
      </c>
      <c r="G205" s="4" t="str">
        <f aca="false">INDEX(PurchaseOrders!$B$2:$B$3001,MATCH(B205,PurchaseOrders!$A$2:$A$3001,0))</f>
        <v>V033</v>
      </c>
    </row>
    <row r="206" customFormat="false" ht="15" hidden="false" customHeight="true" outlineLevel="0" collapsed="false">
      <c r="A206" s="4" t="s">
        <v>3393</v>
      </c>
      <c r="B206" s="4" t="s">
        <v>382</v>
      </c>
      <c r="C206" s="4" t="n">
        <v>178</v>
      </c>
      <c r="D206" s="4" t="n">
        <v>0</v>
      </c>
      <c r="E206" s="13" t="n">
        <v>45300</v>
      </c>
      <c r="F206" s="4"/>
      <c r="G206" s="4" t="str">
        <f aca="false">INDEX(PurchaseOrders!$B$2:$B$3001,MATCH(B206,PurchaseOrders!$A$2:$A$3001,0))</f>
        <v>V060</v>
      </c>
    </row>
    <row r="207" customFormat="false" ht="15" hidden="false" customHeight="true" outlineLevel="0" collapsed="false">
      <c r="A207" s="4" t="s">
        <v>3394</v>
      </c>
      <c r="B207" s="4" t="s">
        <v>383</v>
      </c>
      <c r="C207" s="4" t="n">
        <v>3518</v>
      </c>
      <c r="D207" s="4" t="n">
        <v>461</v>
      </c>
      <c r="E207" s="13" t="n">
        <v>45330</v>
      </c>
      <c r="F207" s="4" t="s">
        <v>3190</v>
      </c>
      <c r="G207" s="4" t="str">
        <f aca="false">INDEX(PurchaseOrders!$B$2:$B$3001,MATCH(B207,PurchaseOrders!$A$2:$A$3001,0))</f>
        <v>V032</v>
      </c>
    </row>
    <row r="208" customFormat="false" ht="15" hidden="false" customHeight="true" outlineLevel="0" collapsed="false">
      <c r="A208" s="4" t="s">
        <v>3395</v>
      </c>
      <c r="B208" s="4" t="s">
        <v>384</v>
      </c>
      <c r="C208" s="4" t="n">
        <v>3000</v>
      </c>
      <c r="D208" s="4" t="n">
        <v>130</v>
      </c>
      <c r="E208" s="13" t="n">
        <v>45571</v>
      </c>
      <c r="F208" s="4" t="s">
        <v>3190</v>
      </c>
      <c r="G208" s="4" t="str">
        <f aca="false">INDEX(PurchaseOrders!$B$2:$B$3001,MATCH(B208,PurchaseOrders!$A$2:$A$3001,0))</f>
        <v>V001</v>
      </c>
    </row>
    <row r="209" customFormat="false" ht="15" hidden="false" customHeight="true" outlineLevel="0" collapsed="false">
      <c r="A209" s="4" t="s">
        <v>3396</v>
      </c>
      <c r="B209" s="4" t="s">
        <v>385</v>
      </c>
      <c r="C209" s="4" t="n">
        <v>204</v>
      </c>
      <c r="D209" s="4" t="n">
        <v>14</v>
      </c>
      <c r="E209" s="13" t="n">
        <v>45373</v>
      </c>
      <c r="F209" s="4" t="s">
        <v>3192</v>
      </c>
      <c r="G209" s="4" t="str">
        <f aca="false">INDEX(PurchaseOrders!$B$2:$B$3001,MATCH(B209,PurchaseOrders!$A$2:$A$3001,0))</f>
        <v>V036</v>
      </c>
    </row>
    <row r="210" customFormat="false" ht="15" hidden="false" customHeight="true" outlineLevel="0" collapsed="false">
      <c r="A210" s="4" t="s">
        <v>3397</v>
      </c>
      <c r="B210" s="4" t="s">
        <v>386</v>
      </c>
      <c r="C210" s="4" t="n">
        <v>600</v>
      </c>
      <c r="D210" s="4" t="n">
        <v>29</v>
      </c>
      <c r="E210" s="13" t="n">
        <v>45666</v>
      </c>
      <c r="F210" s="4" t="s">
        <v>3190</v>
      </c>
      <c r="G210" s="4" t="str">
        <f aca="false">INDEX(PurchaseOrders!$B$2:$B$3001,MATCH(B210,PurchaseOrders!$A$2:$A$3001,0))</f>
        <v>V010</v>
      </c>
    </row>
    <row r="211" customFormat="false" ht="15" hidden="false" customHeight="true" outlineLevel="0" collapsed="false">
      <c r="A211" s="4" t="s">
        <v>3398</v>
      </c>
      <c r="B211" s="4" t="s">
        <v>387</v>
      </c>
      <c r="C211" s="4" t="n">
        <v>4</v>
      </c>
      <c r="D211" s="4" t="n">
        <v>0</v>
      </c>
      <c r="E211" s="13" t="n">
        <v>45613</v>
      </c>
      <c r="F211" s="4"/>
      <c r="G211" s="4" t="str">
        <f aca="false">INDEX(PurchaseOrders!$B$2:$B$3001,MATCH(B211,PurchaseOrders!$A$2:$A$3001,0))</f>
        <v>V053</v>
      </c>
    </row>
    <row r="212" customFormat="false" ht="15" hidden="false" customHeight="true" outlineLevel="0" collapsed="false">
      <c r="A212" s="4" t="s">
        <v>3399</v>
      </c>
      <c r="B212" s="4" t="s">
        <v>388</v>
      </c>
      <c r="C212" s="4" t="n">
        <v>3451</v>
      </c>
      <c r="D212" s="4" t="n">
        <v>86</v>
      </c>
      <c r="E212" s="13" t="n">
        <v>45440</v>
      </c>
      <c r="F212" s="4" t="s">
        <v>3202</v>
      </c>
      <c r="G212" s="4" t="str">
        <f aca="false">INDEX(PurchaseOrders!$B$2:$B$3001,MATCH(B212,PurchaseOrders!$A$2:$A$3001,0))</f>
        <v>V015</v>
      </c>
    </row>
    <row r="213" customFormat="false" ht="15" hidden="false" customHeight="true" outlineLevel="0" collapsed="false">
      <c r="A213" s="4" t="s">
        <v>3400</v>
      </c>
      <c r="B213" s="4" t="s">
        <v>389</v>
      </c>
      <c r="C213" s="4" t="n">
        <v>525</v>
      </c>
      <c r="D213" s="4" t="n">
        <v>19</v>
      </c>
      <c r="E213" s="13" t="n">
        <v>45364</v>
      </c>
      <c r="F213" s="4" t="s">
        <v>3186</v>
      </c>
      <c r="G213" s="4" t="str">
        <f aca="false">INDEX(PurchaseOrders!$B$2:$B$3001,MATCH(B213,PurchaseOrders!$A$2:$A$3001,0))</f>
        <v>V010</v>
      </c>
    </row>
    <row r="214" customFormat="false" ht="15" hidden="false" customHeight="true" outlineLevel="0" collapsed="false">
      <c r="A214" s="4" t="s">
        <v>3401</v>
      </c>
      <c r="B214" s="4" t="s">
        <v>390</v>
      </c>
      <c r="C214" s="4" t="n">
        <v>124</v>
      </c>
      <c r="D214" s="4" t="n">
        <v>9</v>
      </c>
      <c r="E214" s="13" t="n">
        <v>45109</v>
      </c>
      <c r="F214" s="4" t="s">
        <v>3192</v>
      </c>
      <c r="G214" s="4" t="str">
        <f aca="false">INDEX(PurchaseOrders!$B$2:$B$3001,MATCH(B214,PurchaseOrders!$A$2:$A$3001,0))</f>
        <v>V043</v>
      </c>
    </row>
    <row r="215" customFormat="false" ht="15" hidden="false" customHeight="true" outlineLevel="0" collapsed="false">
      <c r="A215" s="4" t="s">
        <v>3402</v>
      </c>
      <c r="B215" s="4" t="s">
        <v>391</v>
      </c>
      <c r="C215" s="4" t="n">
        <v>1221</v>
      </c>
      <c r="D215" s="4" t="n">
        <v>43</v>
      </c>
      <c r="E215" s="13" t="n">
        <v>45335</v>
      </c>
      <c r="F215" s="4" t="s">
        <v>3184</v>
      </c>
      <c r="G215" s="4" t="str">
        <f aca="false">INDEX(PurchaseOrders!$B$2:$B$3001,MATCH(B215,PurchaseOrders!$A$2:$A$3001,0))</f>
        <v>V058</v>
      </c>
    </row>
    <row r="216" customFormat="false" ht="15" hidden="false" customHeight="true" outlineLevel="0" collapsed="false">
      <c r="A216" s="4" t="s">
        <v>3403</v>
      </c>
      <c r="B216" s="4" t="s">
        <v>392</v>
      </c>
      <c r="C216" s="4" t="n">
        <v>1323</v>
      </c>
      <c r="D216" s="4" t="n">
        <v>115</v>
      </c>
      <c r="E216" s="13" t="n">
        <v>45428</v>
      </c>
      <c r="F216" s="4" t="s">
        <v>3184</v>
      </c>
      <c r="G216" s="4" t="str">
        <f aca="false">INDEX(PurchaseOrders!$B$2:$B$3001,MATCH(B216,PurchaseOrders!$A$2:$A$3001,0))</f>
        <v>V050</v>
      </c>
    </row>
    <row r="217" customFormat="false" ht="15" hidden="false" customHeight="true" outlineLevel="0" collapsed="false">
      <c r="A217" s="4" t="s">
        <v>3404</v>
      </c>
      <c r="B217" s="4" t="s">
        <v>393</v>
      </c>
      <c r="C217" s="4" t="n">
        <v>182</v>
      </c>
      <c r="D217" s="4" t="n">
        <v>6</v>
      </c>
      <c r="E217" s="13" t="n">
        <v>45433</v>
      </c>
      <c r="F217" s="4" t="s">
        <v>3202</v>
      </c>
      <c r="G217" s="4" t="str">
        <f aca="false">INDEX(PurchaseOrders!$B$2:$B$3001,MATCH(B217,PurchaseOrders!$A$2:$A$3001,0))</f>
        <v>V047</v>
      </c>
    </row>
    <row r="218" customFormat="false" ht="15" hidden="false" customHeight="true" outlineLevel="0" collapsed="false">
      <c r="A218" s="4" t="s">
        <v>3405</v>
      </c>
      <c r="B218" s="4" t="s">
        <v>394</v>
      </c>
      <c r="C218" s="4" t="n">
        <v>18</v>
      </c>
      <c r="D218" s="4" t="n">
        <v>1</v>
      </c>
      <c r="E218" s="13" t="n">
        <v>45456</v>
      </c>
      <c r="F218" s="4" t="s">
        <v>3184</v>
      </c>
      <c r="G218" s="4" t="str">
        <f aca="false">INDEX(PurchaseOrders!$B$2:$B$3001,MATCH(B218,PurchaseOrders!$A$2:$A$3001,0))</f>
        <v>V053</v>
      </c>
    </row>
    <row r="219" customFormat="false" ht="15" hidden="false" customHeight="true" outlineLevel="0" collapsed="false">
      <c r="A219" s="4" t="s">
        <v>3406</v>
      </c>
      <c r="B219" s="4" t="s">
        <v>395</v>
      </c>
      <c r="C219" s="4" t="n">
        <v>21</v>
      </c>
      <c r="D219" s="4" t="n">
        <v>1</v>
      </c>
      <c r="E219" s="13" t="n">
        <v>45227</v>
      </c>
      <c r="F219" s="4" t="s">
        <v>3188</v>
      </c>
      <c r="G219" s="4" t="str">
        <f aca="false">INDEX(PurchaseOrders!$B$2:$B$3001,MATCH(B219,PurchaseOrders!$A$2:$A$3001,0))</f>
        <v>V009</v>
      </c>
    </row>
    <row r="220" customFormat="false" ht="15" hidden="false" customHeight="true" outlineLevel="0" collapsed="false">
      <c r="A220" s="4" t="s">
        <v>3407</v>
      </c>
      <c r="B220" s="4" t="s">
        <v>396</v>
      </c>
      <c r="C220" s="4" t="n">
        <v>305</v>
      </c>
      <c r="D220" s="4" t="n">
        <v>2</v>
      </c>
      <c r="E220" s="13" t="n">
        <v>45462</v>
      </c>
      <c r="F220" s="4" t="s">
        <v>3184</v>
      </c>
      <c r="G220" s="4" t="str">
        <f aca="false">INDEX(PurchaseOrders!$B$2:$B$3001,MATCH(B220,PurchaseOrders!$A$2:$A$3001,0))</f>
        <v>V008</v>
      </c>
    </row>
    <row r="221" customFormat="false" ht="15" hidden="false" customHeight="true" outlineLevel="0" collapsed="false">
      <c r="A221" s="4" t="s">
        <v>3408</v>
      </c>
      <c r="B221" s="4" t="s">
        <v>397</v>
      </c>
      <c r="C221" s="4" t="n">
        <v>478</v>
      </c>
      <c r="D221" s="4" t="n">
        <v>28</v>
      </c>
      <c r="E221" s="13" t="n">
        <v>45493</v>
      </c>
      <c r="F221" s="4" t="s">
        <v>3190</v>
      </c>
      <c r="G221" s="4" t="str">
        <f aca="false">INDEX(PurchaseOrders!$B$2:$B$3001,MATCH(B221,PurchaseOrders!$A$2:$A$3001,0))</f>
        <v>V024</v>
      </c>
    </row>
    <row r="222" customFormat="false" ht="15" hidden="false" customHeight="true" outlineLevel="0" collapsed="false">
      <c r="A222" s="4" t="s">
        <v>3409</v>
      </c>
      <c r="B222" s="4" t="s">
        <v>398</v>
      </c>
      <c r="C222" s="4" t="n">
        <v>3226</v>
      </c>
      <c r="D222" s="4" t="n">
        <v>146</v>
      </c>
      <c r="E222" s="13" t="n">
        <v>45506</v>
      </c>
      <c r="F222" s="4" t="s">
        <v>3202</v>
      </c>
      <c r="G222" s="4" t="str">
        <f aca="false">INDEX(PurchaseOrders!$B$2:$B$3001,MATCH(B222,PurchaseOrders!$A$2:$A$3001,0))</f>
        <v>V002</v>
      </c>
    </row>
    <row r="223" customFormat="false" ht="15" hidden="false" customHeight="true" outlineLevel="0" collapsed="false">
      <c r="A223" s="4" t="s">
        <v>3410</v>
      </c>
      <c r="B223" s="4" t="s">
        <v>399</v>
      </c>
      <c r="C223" s="4" t="n">
        <v>873</v>
      </c>
      <c r="D223" s="4" t="n">
        <v>44</v>
      </c>
      <c r="E223" s="13" t="n">
        <v>45585</v>
      </c>
      <c r="F223" s="4" t="s">
        <v>3192</v>
      </c>
      <c r="G223" s="4" t="str">
        <f aca="false">INDEX(PurchaseOrders!$B$2:$B$3001,MATCH(B223,PurchaseOrders!$A$2:$A$3001,0))</f>
        <v>V010</v>
      </c>
    </row>
    <row r="224" customFormat="false" ht="15" hidden="false" customHeight="true" outlineLevel="0" collapsed="false">
      <c r="A224" s="4" t="s">
        <v>3411</v>
      </c>
      <c r="B224" s="4" t="s">
        <v>400</v>
      </c>
      <c r="C224" s="4" t="n">
        <v>55</v>
      </c>
      <c r="D224" s="4" t="n">
        <v>7</v>
      </c>
      <c r="E224" s="13" t="n">
        <v>45339</v>
      </c>
      <c r="F224" s="4" t="s">
        <v>3202</v>
      </c>
      <c r="G224" s="4" t="str">
        <f aca="false">INDEX(PurchaseOrders!$B$2:$B$3001,MATCH(B224,PurchaseOrders!$A$2:$A$3001,0))</f>
        <v>V049</v>
      </c>
    </row>
    <row r="225" customFormat="false" ht="15" hidden="false" customHeight="true" outlineLevel="0" collapsed="false">
      <c r="A225" s="4" t="s">
        <v>3412</v>
      </c>
      <c r="B225" s="4" t="s">
        <v>401</v>
      </c>
      <c r="C225" s="4" t="n">
        <v>1394</v>
      </c>
      <c r="D225" s="4" t="n">
        <v>106</v>
      </c>
      <c r="E225" s="13" t="n">
        <v>45129</v>
      </c>
      <c r="F225" s="4" t="s">
        <v>3188</v>
      </c>
      <c r="G225" s="4" t="str">
        <f aca="false">INDEX(PurchaseOrders!$B$2:$B$3001,MATCH(B225,PurchaseOrders!$A$2:$A$3001,0))</f>
        <v>V007</v>
      </c>
    </row>
    <row r="226" customFormat="false" ht="15" hidden="false" customHeight="true" outlineLevel="0" collapsed="false">
      <c r="A226" s="4" t="s">
        <v>3413</v>
      </c>
      <c r="B226" s="4" t="s">
        <v>402</v>
      </c>
      <c r="C226" s="4" t="n">
        <v>1547</v>
      </c>
      <c r="D226" s="4" t="n">
        <v>14</v>
      </c>
      <c r="E226" s="13" t="n">
        <v>45609</v>
      </c>
      <c r="F226" s="4" t="s">
        <v>3188</v>
      </c>
      <c r="G226" s="4" t="str">
        <f aca="false">INDEX(PurchaseOrders!$B$2:$B$3001,MATCH(B226,PurchaseOrders!$A$2:$A$3001,0))</f>
        <v>V011</v>
      </c>
    </row>
    <row r="227" customFormat="false" ht="15" hidden="false" customHeight="true" outlineLevel="0" collapsed="false">
      <c r="A227" s="4" t="s">
        <v>3414</v>
      </c>
      <c r="B227" s="4" t="s">
        <v>403</v>
      </c>
      <c r="C227" s="4" t="n">
        <v>3665</v>
      </c>
      <c r="D227" s="4" t="n">
        <v>190</v>
      </c>
      <c r="E227" s="13" t="n">
        <v>45096</v>
      </c>
      <c r="F227" s="4" t="s">
        <v>3192</v>
      </c>
      <c r="G227" s="4" t="str">
        <f aca="false">INDEX(PurchaseOrders!$B$2:$B$3001,MATCH(B227,PurchaseOrders!$A$2:$A$3001,0))</f>
        <v>V058</v>
      </c>
    </row>
    <row r="228" customFormat="false" ht="15" hidden="false" customHeight="true" outlineLevel="0" collapsed="false">
      <c r="A228" s="4" t="s">
        <v>3415</v>
      </c>
      <c r="B228" s="4" t="s">
        <v>404</v>
      </c>
      <c r="C228" s="4" t="n">
        <v>2098</v>
      </c>
      <c r="D228" s="4" t="n">
        <v>237</v>
      </c>
      <c r="E228" s="13" t="n">
        <v>45144</v>
      </c>
      <c r="F228" s="4" t="s">
        <v>3202</v>
      </c>
      <c r="G228" s="4" t="str">
        <f aca="false">INDEX(PurchaseOrders!$B$2:$B$3001,MATCH(B228,PurchaseOrders!$A$2:$A$3001,0))</f>
        <v>V057</v>
      </c>
    </row>
    <row r="229" customFormat="false" ht="15" hidden="false" customHeight="true" outlineLevel="0" collapsed="false">
      <c r="A229" s="4" t="s">
        <v>3416</v>
      </c>
      <c r="B229" s="4" t="s">
        <v>405</v>
      </c>
      <c r="C229" s="4" t="n">
        <v>117</v>
      </c>
      <c r="D229" s="4" t="n">
        <v>1</v>
      </c>
      <c r="E229" s="13" t="n">
        <v>45151</v>
      </c>
      <c r="F229" s="4" t="s">
        <v>3190</v>
      </c>
      <c r="G229" s="4" t="str">
        <f aca="false">INDEX(PurchaseOrders!$B$2:$B$3001,MATCH(B229,PurchaseOrders!$A$2:$A$3001,0))</f>
        <v>V060</v>
      </c>
    </row>
    <row r="230" customFormat="false" ht="15" hidden="false" customHeight="true" outlineLevel="0" collapsed="false">
      <c r="A230" s="4" t="s">
        <v>3417</v>
      </c>
      <c r="B230" s="4" t="s">
        <v>406</v>
      </c>
      <c r="C230" s="4" t="n">
        <v>5</v>
      </c>
      <c r="D230" s="4" t="n">
        <v>1</v>
      </c>
      <c r="E230" s="13" t="n">
        <v>45476</v>
      </c>
      <c r="F230" s="4" t="s">
        <v>3192</v>
      </c>
      <c r="G230" s="4" t="str">
        <f aca="false">INDEX(PurchaseOrders!$B$2:$B$3001,MATCH(B230,PurchaseOrders!$A$2:$A$3001,0))</f>
        <v>V042</v>
      </c>
    </row>
    <row r="231" customFormat="false" ht="15" hidden="false" customHeight="true" outlineLevel="0" collapsed="false">
      <c r="A231" s="4" t="s">
        <v>3418</v>
      </c>
      <c r="B231" s="4" t="s">
        <v>407</v>
      </c>
      <c r="C231" s="4" t="n">
        <v>858</v>
      </c>
      <c r="D231" s="4" t="n">
        <v>41</v>
      </c>
      <c r="E231" s="13" t="n">
        <v>45507</v>
      </c>
      <c r="F231" s="4" t="s">
        <v>3192</v>
      </c>
      <c r="G231" s="4" t="str">
        <f aca="false">INDEX(PurchaseOrders!$B$2:$B$3001,MATCH(B231,PurchaseOrders!$A$2:$A$3001,0))</f>
        <v>V005</v>
      </c>
    </row>
    <row r="232" customFormat="false" ht="15" hidden="false" customHeight="true" outlineLevel="0" collapsed="false">
      <c r="A232" s="4" t="s">
        <v>3419</v>
      </c>
      <c r="B232" s="4" t="s">
        <v>408</v>
      </c>
      <c r="C232" s="4" t="n">
        <v>201</v>
      </c>
      <c r="D232" s="4" t="n">
        <v>14</v>
      </c>
      <c r="E232" s="13" t="n">
        <v>45055</v>
      </c>
      <c r="F232" s="4" t="s">
        <v>3192</v>
      </c>
      <c r="G232" s="4" t="str">
        <f aca="false">INDEX(PurchaseOrders!$B$2:$B$3001,MATCH(B232,PurchaseOrders!$A$2:$A$3001,0))</f>
        <v>V043</v>
      </c>
    </row>
    <row r="233" customFormat="false" ht="15" hidden="false" customHeight="true" outlineLevel="0" collapsed="false">
      <c r="A233" s="4" t="s">
        <v>3420</v>
      </c>
      <c r="B233" s="4" t="s">
        <v>409</v>
      </c>
      <c r="C233" s="4" t="n">
        <v>1038</v>
      </c>
      <c r="D233" s="4" t="n">
        <v>108</v>
      </c>
      <c r="E233" s="13" t="n">
        <v>45561</v>
      </c>
      <c r="F233" s="4" t="s">
        <v>3192</v>
      </c>
      <c r="G233" s="4" t="str">
        <f aca="false">INDEX(PurchaseOrders!$B$2:$B$3001,MATCH(B233,PurchaseOrders!$A$2:$A$3001,0))</f>
        <v>V005</v>
      </c>
    </row>
    <row r="234" customFormat="false" ht="15" hidden="false" customHeight="true" outlineLevel="0" collapsed="false">
      <c r="A234" s="4" t="s">
        <v>3421</v>
      </c>
      <c r="B234" s="4" t="s">
        <v>410</v>
      </c>
      <c r="C234" s="4" t="n">
        <v>11</v>
      </c>
      <c r="D234" s="4" t="n">
        <v>1</v>
      </c>
      <c r="E234" s="13" t="n">
        <v>45105</v>
      </c>
      <c r="F234" s="4" t="s">
        <v>3186</v>
      </c>
      <c r="G234" s="4" t="str">
        <f aca="false">INDEX(PurchaseOrders!$B$2:$B$3001,MATCH(B234,PurchaseOrders!$A$2:$A$3001,0))</f>
        <v>V042</v>
      </c>
    </row>
    <row r="235" customFormat="false" ht="15" hidden="false" customHeight="true" outlineLevel="0" collapsed="false">
      <c r="A235" s="4" t="s">
        <v>3422</v>
      </c>
      <c r="B235" s="4" t="s">
        <v>411</v>
      </c>
      <c r="C235" s="4" t="n">
        <v>1683</v>
      </c>
      <c r="D235" s="4" t="n">
        <v>29</v>
      </c>
      <c r="E235" s="13" t="n">
        <v>44972</v>
      </c>
      <c r="F235" s="4" t="s">
        <v>3192</v>
      </c>
      <c r="G235" s="4" t="str">
        <f aca="false">INDEX(PurchaseOrders!$B$2:$B$3001,MATCH(B235,PurchaseOrders!$A$2:$A$3001,0))</f>
        <v>V021</v>
      </c>
    </row>
    <row r="236" customFormat="false" ht="15" hidden="false" customHeight="true" outlineLevel="0" collapsed="false">
      <c r="A236" s="4" t="s">
        <v>3423</v>
      </c>
      <c r="B236" s="4" t="s">
        <v>412</v>
      </c>
      <c r="C236" s="4" t="n">
        <v>110</v>
      </c>
      <c r="D236" s="4" t="n">
        <v>4</v>
      </c>
      <c r="E236" s="13" t="n">
        <v>45674</v>
      </c>
      <c r="F236" s="4" t="s">
        <v>3186</v>
      </c>
      <c r="G236" s="4" t="str">
        <f aca="false">INDEX(PurchaseOrders!$B$2:$B$3001,MATCH(B236,PurchaseOrders!$A$2:$A$3001,0))</f>
        <v>V004</v>
      </c>
    </row>
    <row r="237" customFormat="false" ht="15" hidden="false" customHeight="true" outlineLevel="0" collapsed="false">
      <c r="A237" s="4" t="s">
        <v>3424</v>
      </c>
      <c r="B237" s="4" t="s">
        <v>413</v>
      </c>
      <c r="C237" s="4" t="n">
        <v>202</v>
      </c>
      <c r="D237" s="4" t="n">
        <v>13</v>
      </c>
      <c r="E237" s="13" t="n">
        <v>45425</v>
      </c>
      <c r="F237" s="4" t="s">
        <v>3186</v>
      </c>
      <c r="G237" s="4" t="str">
        <f aca="false">INDEX(PurchaseOrders!$B$2:$B$3001,MATCH(B237,PurchaseOrders!$A$2:$A$3001,0))</f>
        <v>V013</v>
      </c>
    </row>
    <row r="238" customFormat="false" ht="15" hidden="false" customHeight="true" outlineLevel="0" collapsed="false">
      <c r="A238" s="4" t="s">
        <v>3425</v>
      </c>
      <c r="B238" s="4" t="s">
        <v>414</v>
      </c>
      <c r="C238" s="4" t="n">
        <v>328</v>
      </c>
      <c r="D238" s="4" t="n">
        <v>79</v>
      </c>
      <c r="E238" s="13" t="n">
        <v>45322</v>
      </c>
      <c r="F238" s="4" t="s">
        <v>3188</v>
      </c>
      <c r="G238" s="4" t="str">
        <f aca="false">INDEX(PurchaseOrders!$B$2:$B$3001,MATCH(B238,PurchaseOrders!$A$2:$A$3001,0))</f>
        <v>V039</v>
      </c>
    </row>
    <row r="239" customFormat="false" ht="15" hidden="false" customHeight="true" outlineLevel="0" collapsed="false">
      <c r="A239" s="4" t="s">
        <v>3426</v>
      </c>
      <c r="B239" s="4" t="s">
        <v>415</v>
      </c>
      <c r="C239" s="4" t="n">
        <v>1571</v>
      </c>
      <c r="D239" s="4" t="n">
        <v>104</v>
      </c>
      <c r="E239" s="13" t="n">
        <v>45651</v>
      </c>
      <c r="F239" s="4" t="s">
        <v>3190</v>
      </c>
      <c r="G239" s="4" t="str">
        <f aca="false">INDEX(PurchaseOrders!$B$2:$B$3001,MATCH(B239,PurchaseOrders!$A$2:$A$3001,0))</f>
        <v>V048</v>
      </c>
    </row>
    <row r="240" customFormat="false" ht="15" hidden="false" customHeight="true" outlineLevel="0" collapsed="false">
      <c r="A240" s="4" t="s">
        <v>3427</v>
      </c>
      <c r="B240" s="4" t="s">
        <v>416</v>
      </c>
      <c r="C240" s="4" t="n">
        <v>132</v>
      </c>
      <c r="D240" s="4" t="n">
        <v>12</v>
      </c>
      <c r="E240" s="13" t="n">
        <v>44978</v>
      </c>
      <c r="F240" s="4" t="s">
        <v>3184</v>
      </c>
      <c r="G240" s="4" t="str">
        <f aca="false">INDEX(PurchaseOrders!$B$2:$B$3001,MATCH(B240,PurchaseOrders!$A$2:$A$3001,0))</f>
        <v>V049</v>
      </c>
    </row>
    <row r="241" customFormat="false" ht="15" hidden="false" customHeight="true" outlineLevel="0" collapsed="false">
      <c r="A241" s="4" t="s">
        <v>3428</v>
      </c>
      <c r="B241" s="4" t="s">
        <v>417</v>
      </c>
      <c r="C241" s="4" t="n">
        <v>2808</v>
      </c>
      <c r="D241" s="4" t="n">
        <v>62</v>
      </c>
      <c r="E241" s="13" t="n">
        <v>45017</v>
      </c>
      <c r="F241" s="4" t="s">
        <v>3202</v>
      </c>
      <c r="G241" s="4" t="str">
        <f aca="false">INDEX(PurchaseOrders!$B$2:$B$3001,MATCH(B241,PurchaseOrders!$A$2:$A$3001,0))</f>
        <v>V015</v>
      </c>
    </row>
    <row r="242" customFormat="false" ht="15" hidden="false" customHeight="true" outlineLevel="0" collapsed="false">
      <c r="A242" s="4" t="s">
        <v>3429</v>
      </c>
      <c r="B242" s="4" t="s">
        <v>418</v>
      </c>
      <c r="C242" s="4" t="n">
        <v>177</v>
      </c>
      <c r="D242" s="4" t="n">
        <v>5</v>
      </c>
      <c r="E242" s="13" t="n">
        <v>45597</v>
      </c>
      <c r="F242" s="4" t="s">
        <v>3188</v>
      </c>
      <c r="G242" s="4" t="str">
        <f aca="false">INDEX(PurchaseOrders!$B$2:$B$3001,MATCH(B242,PurchaseOrders!$A$2:$A$3001,0))</f>
        <v>V040</v>
      </c>
    </row>
    <row r="243" customFormat="false" ht="15" hidden="false" customHeight="true" outlineLevel="0" collapsed="false">
      <c r="A243" s="4" t="s">
        <v>3430</v>
      </c>
      <c r="B243" s="4" t="s">
        <v>419</v>
      </c>
      <c r="C243" s="4" t="n">
        <v>19</v>
      </c>
      <c r="D243" s="4" t="n">
        <v>0</v>
      </c>
      <c r="E243" s="13" t="n">
        <v>45281</v>
      </c>
      <c r="F243" s="4"/>
      <c r="G243" s="4" t="str">
        <f aca="false">INDEX(PurchaseOrders!$B$2:$B$3001,MATCH(B243,PurchaseOrders!$A$2:$A$3001,0))</f>
        <v>V019</v>
      </c>
    </row>
    <row r="244" customFormat="false" ht="15" hidden="false" customHeight="true" outlineLevel="0" collapsed="false">
      <c r="A244" s="4" t="s">
        <v>3431</v>
      </c>
      <c r="B244" s="4" t="s">
        <v>420</v>
      </c>
      <c r="C244" s="4" t="n">
        <v>693</v>
      </c>
      <c r="D244" s="4" t="n">
        <v>19</v>
      </c>
      <c r="E244" s="13" t="n">
        <v>45353</v>
      </c>
      <c r="F244" s="4" t="s">
        <v>3188</v>
      </c>
      <c r="G244" s="4" t="str">
        <f aca="false">INDEX(PurchaseOrders!$B$2:$B$3001,MATCH(B244,PurchaseOrders!$A$2:$A$3001,0))</f>
        <v>V017</v>
      </c>
    </row>
    <row r="245" customFormat="false" ht="15" hidden="false" customHeight="true" outlineLevel="0" collapsed="false">
      <c r="A245" s="4" t="s">
        <v>3432</v>
      </c>
      <c r="B245" s="4" t="s">
        <v>421</v>
      </c>
      <c r="C245" s="4" t="n">
        <v>282</v>
      </c>
      <c r="D245" s="4" t="n">
        <v>0</v>
      </c>
      <c r="E245" s="13" t="n">
        <v>45195</v>
      </c>
      <c r="F245" s="4"/>
      <c r="G245" s="4" t="str">
        <f aca="false">INDEX(PurchaseOrders!$B$2:$B$3001,MATCH(B245,PurchaseOrders!$A$2:$A$3001,0))</f>
        <v>V046</v>
      </c>
    </row>
    <row r="246" customFormat="false" ht="15" hidden="false" customHeight="true" outlineLevel="0" collapsed="false">
      <c r="A246" s="4" t="s">
        <v>3433</v>
      </c>
      <c r="B246" s="4" t="s">
        <v>422</v>
      </c>
      <c r="C246" s="4" t="n">
        <v>479</v>
      </c>
      <c r="D246" s="4" t="n">
        <v>41</v>
      </c>
      <c r="E246" s="13" t="n">
        <v>45259</v>
      </c>
      <c r="F246" s="4" t="s">
        <v>3190</v>
      </c>
      <c r="G246" s="4" t="str">
        <f aca="false">INDEX(PurchaseOrders!$B$2:$B$3001,MATCH(B246,PurchaseOrders!$A$2:$A$3001,0))</f>
        <v>V030</v>
      </c>
    </row>
    <row r="247" customFormat="false" ht="15" hidden="false" customHeight="true" outlineLevel="0" collapsed="false">
      <c r="A247" s="4" t="s">
        <v>3434</v>
      </c>
      <c r="B247" s="4" t="s">
        <v>423</v>
      </c>
      <c r="C247" s="4" t="n">
        <v>2327</v>
      </c>
      <c r="D247" s="4" t="n">
        <v>180</v>
      </c>
      <c r="E247" s="13" t="n">
        <v>45390</v>
      </c>
      <c r="F247" s="4" t="s">
        <v>3184</v>
      </c>
      <c r="G247" s="4" t="str">
        <f aca="false">INDEX(PurchaseOrders!$B$2:$B$3001,MATCH(B247,PurchaseOrders!$A$2:$A$3001,0))</f>
        <v>V002</v>
      </c>
    </row>
    <row r="248" customFormat="false" ht="15" hidden="false" customHeight="true" outlineLevel="0" collapsed="false">
      <c r="A248" s="4" t="s">
        <v>3435</v>
      </c>
      <c r="B248" s="4" t="s">
        <v>424</v>
      </c>
      <c r="C248" s="4" t="n">
        <v>3669</v>
      </c>
      <c r="D248" s="4" t="n">
        <v>235</v>
      </c>
      <c r="E248" s="13" t="n">
        <v>45638</v>
      </c>
      <c r="F248" s="4" t="s">
        <v>3188</v>
      </c>
      <c r="G248" s="4" t="str">
        <f aca="false">INDEX(PurchaseOrders!$B$2:$B$3001,MATCH(B248,PurchaseOrders!$A$2:$A$3001,0))</f>
        <v>V001</v>
      </c>
    </row>
    <row r="249" customFormat="false" ht="15" hidden="false" customHeight="true" outlineLevel="0" collapsed="false">
      <c r="A249" s="4" t="s">
        <v>3436</v>
      </c>
      <c r="B249" s="4" t="s">
        <v>425</v>
      </c>
      <c r="C249" s="4" t="n">
        <v>71</v>
      </c>
      <c r="D249" s="4" t="n">
        <v>1</v>
      </c>
      <c r="E249" s="13" t="n">
        <v>45468</v>
      </c>
      <c r="F249" s="4" t="s">
        <v>3190</v>
      </c>
      <c r="G249" s="4" t="str">
        <f aca="false">INDEX(PurchaseOrders!$B$2:$B$3001,MATCH(B249,PurchaseOrders!$A$2:$A$3001,0))</f>
        <v>V006</v>
      </c>
    </row>
    <row r="250" customFormat="false" ht="15" hidden="false" customHeight="true" outlineLevel="0" collapsed="false">
      <c r="A250" s="4" t="s">
        <v>3437</v>
      </c>
      <c r="B250" s="4" t="s">
        <v>426</v>
      </c>
      <c r="C250" s="4" t="n">
        <v>662</v>
      </c>
      <c r="D250" s="4" t="n">
        <v>45</v>
      </c>
      <c r="E250" s="13" t="n">
        <v>45392</v>
      </c>
      <c r="F250" s="4" t="s">
        <v>3186</v>
      </c>
      <c r="G250" s="4" t="str">
        <f aca="false">INDEX(PurchaseOrders!$B$2:$B$3001,MATCH(B250,PurchaseOrders!$A$2:$A$3001,0))</f>
        <v>V048</v>
      </c>
    </row>
    <row r="251" customFormat="false" ht="15" hidden="false" customHeight="true" outlineLevel="0" collapsed="false">
      <c r="A251" s="4" t="s">
        <v>3438</v>
      </c>
      <c r="B251" s="4" t="s">
        <v>427</v>
      </c>
      <c r="C251" s="4" t="n">
        <v>137</v>
      </c>
      <c r="D251" s="4" t="n">
        <v>15</v>
      </c>
      <c r="E251" s="13" t="n">
        <v>45050</v>
      </c>
      <c r="F251" s="4" t="s">
        <v>3184</v>
      </c>
      <c r="G251" s="4" t="str">
        <f aca="false">INDEX(PurchaseOrders!$B$2:$B$3001,MATCH(B251,PurchaseOrders!$A$2:$A$3001,0))</f>
        <v>V043</v>
      </c>
    </row>
    <row r="252" customFormat="false" ht="15" hidden="false" customHeight="true" outlineLevel="0" collapsed="false">
      <c r="A252" s="4" t="s">
        <v>3439</v>
      </c>
      <c r="B252" s="4" t="s">
        <v>428</v>
      </c>
      <c r="C252" s="4" t="n">
        <v>2527</v>
      </c>
      <c r="D252" s="4" t="n">
        <v>126</v>
      </c>
      <c r="E252" s="13" t="n">
        <v>45449</v>
      </c>
      <c r="F252" s="4" t="s">
        <v>3184</v>
      </c>
      <c r="G252" s="4" t="str">
        <f aca="false">INDEX(PurchaseOrders!$B$2:$B$3001,MATCH(B252,PurchaseOrders!$A$2:$A$3001,0))</f>
        <v>V017</v>
      </c>
    </row>
    <row r="253" customFormat="false" ht="15" hidden="false" customHeight="true" outlineLevel="0" collapsed="false">
      <c r="A253" s="4" t="s">
        <v>3440</v>
      </c>
      <c r="B253" s="4" t="s">
        <v>429</v>
      </c>
      <c r="C253" s="4" t="n">
        <v>459</v>
      </c>
      <c r="D253" s="4" t="n">
        <v>13</v>
      </c>
      <c r="E253" s="13" t="n">
        <v>45537</v>
      </c>
      <c r="F253" s="4" t="s">
        <v>3184</v>
      </c>
      <c r="G253" s="4" t="str">
        <f aca="false">INDEX(PurchaseOrders!$B$2:$B$3001,MATCH(B253,PurchaseOrders!$A$2:$A$3001,0))</f>
        <v>V045</v>
      </c>
    </row>
    <row r="254" customFormat="false" ht="15" hidden="false" customHeight="true" outlineLevel="0" collapsed="false">
      <c r="A254" s="4" t="s">
        <v>3441</v>
      </c>
      <c r="B254" s="4" t="s">
        <v>430</v>
      </c>
      <c r="C254" s="4" t="n">
        <v>3</v>
      </c>
      <c r="D254" s="4" t="n">
        <v>0</v>
      </c>
      <c r="E254" s="13" t="n">
        <v>44959</v>
      </c>
      <c r="F254" s="4"/>
      <c r="G254" s="4" t="str">
        <f aca="false">INDEX(PurchaseOrders!$B$2:$B$3001,MATCH(B254,PurchaseOrders!$A$2:$A$3001,0))</f>
        <v>V054</v>
      </c>
    </row>
    <row r="255" customFormat="false" ht="15" hidden="false" customHeight="true" outlineLevel="0" collapsed="false">
      <c r="A255" s="4" t="s">
        <v>3442</v>
      </c>
      <c r="B255" s="4" t="s">
        <v>431</v>
      </c>
      <c r="C255" s="4" t="n">
        <v>3</v>
      </c>
      <c r="D255" s="4" t="n">
        <v>0</v>
      </c>
      <c r="E255" s="13" t="n">
        <v>45070</v>
      </c>
      <c r="F255" s="4"/>
      <c r="G255" s="4" t="str">
        <f aca="false">INDEX(PurchaseOrders!$B$2:$B$3001,MATCH(B255,PurchaseOrders!$A$2:$A$3001,0))</f>
        <v>V041</v>
      </c>
    </row>
    <row r="256" customFormat="false" ht="15" hidden="false" customHeight="true" outlineLevel="0" collapsed="false">
      <c r="A256" s="4" t="s">
        <v>3443</v>
      </c>
      <c r="B256" s="4" t="s">
        <v>432</v>
      </c>
      <c r="C256" s="4" t="n">
        <v>189</v>
      </c>
      <c r="D256" s="4" t="n">
        <v>40</v>
      </c>
      <c r="E256" s="13" t="n">
        <v>45228</v>
      </c>
      <c r="F256" s="4" t="s">
        <v>3190</v>
      </c>
      <c r="G256" s="4" t="str">
        <f aca="false">INDEX(PurchaseOrders!$B$2:$B$3001,MATCH(B256,PurchaseOrders!$A$2:$A$3001,0))</f>
        <v>V039</v>
      </c>
    </row>
    <row r="257" customFormat="false" ht="15" hidden="false" customHeight="true" outlineLevel="0" collapsed="false">
      <c r="A257" s="4" t="s">
        <v>3444</v>
      </c>
      <c r="B257" s="4" t="s">
        <v>433</v>
      </c>
      <c r="C257" s="4" t="n">
        <v>1623</v>
      </c>
      <c r="D257" s="4" t="n">
        <v>129</v>
      </c>
      <c r="E257" s="13" t="n">
        <v>45423</v>
      </c>
      <c r="F257" s="4" t="s">
        <v>3186</v>
      </c>
      <c r="G257" s="4" t="str">
        <f aca="false">INDEX(PurchaseOrders!$B$2:$B$3001,MATCH(B257,PurchaseOrders!$A$2:$A$3001,0))</f>
        <v>V001</v>
      </c>
    </row>
    <row r="258" customFormat="false" ht="15" hidden="false" customHeight="true" outlineLevel="0" collapsed="false">
      <c r="A258" s="4" t="s">
        <v>3445</v>
      </c>
      <c r="B258" s="4" t="s">
        <v>434</v>
      </c>
      <c r="C258" s="4" t="n">
        <v>4742</v>
      </c>
      <c r="D258" s="4" t="n">
        <v>79</v>
      </c>
      <c r="E258" s="13" t="n">
        <v>45341</v>
      </c>
      <c r="F258" s="4" t="s">
        <v>3188</v>
      </c>
      <c r="G258" s="4" t="str">
        <f aca="false">INDEX(PurchaseOrders!$B$2:$B$3001,MATCH(B258,PurchaseOrders!$A$2:$A$3001,0))</f>
        <v>V058</v>
      </c>
    </row>
    <row r="259" customFormat="false" ht="15" hidden="false" customHeight="true" outlineLevel="0" collapsed="false">
      <c r="A259" s="4" t="s">
        <v>3446</v>
      </c>
      <c r="B259" s="4" t="s">
        <v>435</v>
      </c>
      <c r="C259" s="4" t="n">
        <v>817</v>
      </c>
      <c r="D259" s="4" t="n">
        <v>54</v>
      </c>
      <c r="E259" s="13" t="n">
        <v>45551</v>
      </c>
      <c r="F259" s="4" t="s">
        <v>3192</v>
      </c>
      <c r="G259" s="4" t="str">
        <f aca="false">INDEX(PurchaseOrders!$B$2:$B$3001,MATCH(B259,PurchaseOrders!$A$2:$A$3001,0))</f>
        <v>V056</v>
      </c>
    </row>
    <row r="260" customFormat="false" ht="15" hidden="false" customHeight="true" outlineLevel="0" collapsed="false">
      <c r="A260" s="4" t="s">
        <v>3447</v>
      </c>
      <c r="B260" s="4" t="s">
        <v>436</v>
      </c>
      <c r="C260" s="4" t="n">
        <v>8</v>
      </c>
      <c r="D260" s="4" t="n">
        <v>0</v>
      </c>
      <c r="E260" s="13" t="n">
        <v>45535</v>
      </c>
      <c r="F260" s="4"/>
      <c r="G260" s="4" t="str">
        <f aca="false">INDEX(PurchaseOrders!$B$2:$B$3001,MATCH(B260,PurchaseOrders!$A$2:$A$3001,0))</f>
        <v>V053</v>
      </c>
    </row>
    <row r="261" customFormat="false" ht="15" hidden="false" customHeight="true" outlineLevel="0" collapsed="false">
      <c r="A261" s="4" t="s">
        <v>3448</v>
      </c>
      <c r="B261" s="4" t="s">
        <v>437</v>
      </c>
      <c r="C261" s="4" t="n">
        <v>238</v>
      </c>
      <c r="D261" s="4" t="n">
        <v>6</v>
      </c>
      <c r="E261" s="13" t="n">
        <v>45293</v>
      </c>
      <c r="F261" s="4" t="s">
        <v>3202</v>
      </c>
      <c r="G261" s="4" t="str">
        <f aca="false">INDEX(PurchaseOrders!$B$2:$B$3001,MATCH(B261,PurchaseOrders!$A$2:$A$3001,0))</f>
        <v>V004</v>
      </c>
    </row>
    <row r="262" customFormat="false" ht="15" hidden="false" customHeight="true" outlineLevel="0" collapsed="false">
      <c r="A262" s="4" t="s">
        <v>3449</v>
      </c>
      <c r="B262" s="4" t="s">
        <v>438</v>
      </c>
      <c r="C262" s="4" t="n">
        <v>118</v>
      </c>
      <c r="D262" s="4" t="n">
        <v>0</v>
      </c>
      <c r="E262" s="13" t="n">
        <v>45023</v>
      </c>
      <c r="F262" s="4"/>
      <c r="G262" s="4" t="str">
        <f aca="false">INDEX(PurchaseOrders!$B$2:$B$3001,MATCH(B262,PurchaseOrders!$A$2:$A$3001,0))</f>
        <v>V040</v>
      </c>
    </row>
    <row r="263" customFormat="false" ht="15" hidden="false" customHeight="true" outlineLevel="0" collapsed="false">
      <c r="A263" s="4" t="s">
        <v>3450</v>
      </c>
      <c r="B263" s="4" t="s">
        <v>439</v>
      </c>
      <c r="C263" s="4" t="n">
        <v>1843</v>
      </c>
      <c r="D263" s="4" t="n">
        <v>45</v>
      </c>
      <c r="E263" s="13" t="n">
        <v>45354</v>
      </c>
      <c r="F263" s="4" t="s">
        <v>3186</v>
      </c>
      <c r="G263" s="4" t="str">
        <f aca="false">INDEX(PurchaseOrders!$B$2:$B$3001,MATCH(B263,PurchaseOrders!$A$2:$A$3001,0))</f>
        <v>V011</v>
      </c>
    </row>
    <row r="264" customFormat="false" ht="15" hidden="false" customHeight="true" outlineLevel="0" collapsed="false">
      <c r="A264" s="4" t="s">
        <v>3451</v>
      </c>
      <c r="B264" s="4" t="s">
        <v>440</v>
      </c>
      <c r="C264" s="4" t="n">
        <v>95</v>
      </c>
      <c r="D264" s="4" t="n">
        <v>4</v>
      </c>
      <c r="E264" s="13" t="n">
        <v>44976</v>
      </c>
      <c r="F264" s="4" t="s">
        <v>3192</v>
      </c>
      <c r="G264" s="4" t="str">
        <f aca="false">INDEX(PurchaseOrders!$B$2:$B$3001,MATCH(B264,PurchaseOrders!$A$2:$A$3001,0))</f>
        <v>V012</v>
      </c>
    </row>
    <row r="265" customFormat="false" ht="15" hidden="false" customHeight="true" outlineLevel="0" collapsed="false">
      <c r="A265" s="4" t="s">
        <v>3452</v>
      </c>
      <c r="B265" s="4" t="s">
        <v>441</v>
      </c>
      <c r="C265" s="4" t="n">
        <v>1</v>
      </c>
      <c r="D265" s="4" t="n">
        <v>0</v>
      </c>
      <c r="E265" s="13" t="n">
        <v>45532</v>
      </c>
      <c r="F265" s="4"/>
      <c r="G265" s="4" t="str">
        <f aca="false">INDEX(PurchaseOrders!$B$2:$B$3001,MATCH(B265,PurchaseOrders!$A$2:$A$3001,0))</f>
        <v>V042</v>
      </c>
    </row>
    <row r="266" customFormat="false" ht="15" hidden="false" customHeight="true" outlineLevel="0" collapsed="false">
      <c r="A266" s="4" t="s">
        <v>3453</v>
      </c>
      <c r="B266" s="4" t="s">
        <v>442</v>
      </c>
      <c r="C266" s="4" t="n">
        <v>729</v>
      </c>
      <c r="D266" s="4" t="n">
        <v>35</v>
      </c>
      <c r="E266" s="13" t="n">
        <v>45127</v>
      </c>
      <c r="F266" s="4" t="s">
        <v>3202</v>
      </c>
      <c r="G266" s="4" t="str">
        <f aca="false">INDEX(PurchaseOrders!$B$2:$B$3001,MATCH(B266,PurchaseOrders!$A$2:$A$3001,0))</f>
        <v>V048</v>
      </c>
    </row>
    <row r="267" customFormat="false" ht="15" hidden="false" customHeight="true" outlineLevel="0" collapsed="false">
      <c r="A267" s="4" t="s">
        <v>3454</v>
      </c>
      <c r="B267" s="4" t="s">
        <v>443</v>
      </c>
      <c r="C267" s="4" t="n">
        <v>870</v>
      </c>
      <c r="D267" s="4" t="n">
        <v>19</v>
      </c>
      <c r="E267" s="13" t="n">
        <v>45643</v>
      </c>
      <c r="F267" s="4" t="s">
        <v>3188</v>
      </c>
      <c r="G267" s="4" t="str">
        <f aca="false">INDEX(PurchaseOrders!$B$2:$B$3001,MATCH(B267,PurchaseOrders!$A$2:$A$3001,0))</f>
        <v>V048</v>
      </c>
    </row>
    <row r="268" customFormat="false" ht="15" hidden="false" customHeight="true" outlineLevel="0" collapsed="false">
      <c r="A268" s="4" t="s">
        <v>3455</v>
      </c>
      <c r="B268" s="4" t="s">
        <v>444</v>
      </c>
      <c r="C268" s="4" t="n">
        <v>1097</v>
      </c>
      <c r="D268" s="4" t="n">
        <v>14</v>
      </c>
      <c r="E268" s="13" t="n">
        <v>45625</v>
      </c>
      <c r="F268" s="4" t="s">
        <v>3202</v>
      </c>
      <c r="G268" s="4" t="str">
        <f aca="false">INDEX(PurchaseOrders!$B$2:$B$3001,MATCH(B268,PurchaseOrders!$A$2:$A$3001,0))</f>
        <v>V011</v>
      </c>
    </row>
    <row r="269" customFormat="false" ht="15" hidden="false" customHeight="true" outlineLevel="0" collapsed="false">
      <c r="A269" s="4" t="s">
        <v>3456</v>
      </c>
      <c r="B269" s="4" t="s">
        <v>445</v>
      </c>
      <c r="C269" s="4" t="n">
        <v>1901</v>
      </c>
      <c r="D269" s="4" t="n">
        <v>69</v>
      </c>
      <c r="E269" s="13" t="n">
        <v>45521</v>
      </c>
      <c r="F269" s="4" t="s">
        <v>3184</v>
      </c>
      <c r="G269" s="4" t="str">
        <f aca="false">INDEX(PurchaseOrders!$B$2:$B$3001,MATCH(B269,PurchaseOrders!$A$2:$A$3001,0))</f>
        <v>V045</v>
      </c>
    </row>
    <row r="270" customFormat="false" ht="15" hidden="false" customHeight="true" outlineLevel="0" collapsed="false">
      <c r="A270" s="4" t="s">
        <v>3457</v>
      </c>
      <c r="B270" s="4" t="s">
        <v>446</v>
      </c>
      <c r="C270" s="4" t="n">
        <v>927</v>
      </c>
      <c r="D270" s="4" t="n">
        <v>160</v>
      </c>
      <c r="E270" s="13" t="n">
        <v>45570</v>
      </c>
      <c r="F270" s="4" t="s">
        <v>3190</v>
      </c>
      <c r="G270" s="4" t="str">
        <f aca="false">INDEX(PurchaseOrders!$B$2:$B$3001,MATCH(B270,PurchaseOrders!$A$2:$A$3001,0))</f>
        <v>V025</v>
      </c>
    </row>
    <row r="271" customFormat="false" ht="15" hidden="false" customHeight="true" outlineLevel="0" collapsed="false">
      <c r="A271" s="4" t="s">
        <v>3458</v>
      </c>
      <c r="B271" s="4" t="s">
        <v>447</v>
      </c>
      <c r="C271" s="4" t="n">
        <v>11</v>
      </c>
      <c r="D271" s="4" t="n">
        <v>1</v>
      </c>
      <c r="E271" s="13" t="n">
        <v>45283</v>
      </c>
      <c r="F271" s="4" t="s">
        <v>3202</v>
      </c>
      <c r="G271" s="4" t="str">
        <f aca="false">INDEX(PurchaseOrders!$B$2:$B$3001,MATCH(B271,PurchaseOrders!$A$2:$A$3001,0))</f>
        <v>V041</v>
      </c>
    </row>
    <row r="272" customFormat="false" ht="15" hidden="false" customHeight="true" outlineLevel="0" collapsed="false">
      <c r="A272" s="4" t="s">
        <v>3459</v>
      </c>
      <c r="B272" s="4" t="s">
        <v>448</v>
      </c>
      <c r="C272" s="4" t="n">
        <v>1495</v>
      </c>
      <c r="D272" s="4" t="n">
        <v>107</v>
      </c>
      <c r="E272" s="13" t="n">
        <v>45335</v>
      </c>
      <c r="F272" s="4" t="s">
        <v>3192</v>
      </c>
      <c r="G272" s="4" t="str">
        <f aca="false">INDEX(PurchaseOrders!$B$2:$B$3001,MATCH(B272,PurchaseOrders!$A$2:$A$3001,0))</f>
        <v>V005</v>
      </c>
    </row>
    <row r="273" customFormat="false" ht="15" hidden="false" customHeight="true" outlineLevel="0" collapsed="false">
      <c r="A273" s="4" t="s">
        <v>3460</v>
      </c>
      <c r="B273" s="4" t="s">
        <v>449</v>
      </c>
      <c r="C273" s="4" t="n">
        <v>4193</v>
      </c>
      <c r="D273" s="4" t="n">
        <v>391</v>
      </c>
      <c r="E273" s="13" t="n">
        <v>45048</v>
      </c>
      <c r="F273" s="4" t="s">
        <v>3186</v>
      </c>
      <c r="G273" s="4" t="str">
        <f aca="false">INDEX(PurchaseOrders!$B$2:$B$3001,MATCH(B273,PurchaseOrders!$A$2:$A$3001,0))</f>
        <v>V056</v>
      </c>
    </row>
    <row r="274" customFormat="false" ht="15" hidden="false" customHeight="true" outlineLevel="0" collapsed="false">
      <c r="A274" s="4" t="s">
        <v>3461</v>
      </c>
      <c r="B274" s="4" t="s">
        <v>450</v>
      </c>
      <c r="C274" s="4" t="n">
        <v>178</v>
      </c>
      <c r="D274" s="4" t="n">
        <v>4</v>
      </c>
      <c r="E274" s="13" t="n">
        <v>45113</v>
      </c>
      <c r="F274" s="4" t="s">
        <v>3190</v>
      </c>
      <c r="G274" s="4" t="str">
        <f aca="false">INDEX(PurchaseOrders!$B$2:$B$3001,MATCH(B274,PurchaseOrders!$A$2:$A$3001,0))</f>
        <v>V037</v>
      </c>
    </row>
    <row r="275" customFormat="false" ht="15" hidden="false" customHeight="true" outlineLevel="0" collapsed="false">
      <c r="A275" s="4" t="s">
        <v>3462</v>
      </c>
      <c r="B275" s="4" t="s">
        <v>451</v>
      </c>
      <c r="C275" s="4" t="n">
        <v>122</v>
      </c>
      <c r="D275" s="4" t="n">
        <v>1</v>
      </c>
      <c r="E275" s="13" t="n">
        <v>45258</v>
      </c>
      <c r="F275" s="4" t="s">
        <v>3202</v>
      </c>
      <c r="G275" s="4" t="str">
        <f aca="false">INDEX(PurchaseOrders!$B$2:$B$3001,MATCH(B275,PurchaseOrders!$A$2:$A$3001,0))</f>
        <v>V029</v>
      </c>
    </row>
    <row r="276" customFormat="false" ht="15" hidden="false" customHeight="true" outlineLevel="0" collapsed="false">
      <c r="A276" s="4" t="s">
        <v>3463</v>
      </c>
      <c r="B276" s="4" t="s">
        <v>452</v>
      </c>
      <c r="C276" s="4" t="n">
        <v>2742</v>
      </c>
      <c r="D276" s="4" t="n">
        <v>177</v>
      </c>
      <c r="E276" s="13" t="n">
        <v>45524</v>
      </c>
      <c r="F276" s="4" t="s">
        <v>3202</v>
      </c>
      <c r="G276" s="4" t="str">
        <f aca="false">INDEX(PurchaseOrders!$B$2:$B$3001,MATCH(B276,PurchaseOrders!$A$2:$A$3001,0))</f>
        <v>V003</v>
      </c>
    </row>
    <row r="277" customFormat="false" ht="15" hidden="false" customHeight="true" outlineLevel="0" collapsed="false">
      <c r="A277" s="4" t="s">
        <v>3464</v>
      </c>
      <c r="B277" s="4" t="s">
        <v>453</v>
      </c>
      <c r="C277" s="4" t="n">
        <v>222</v>
      </c>
      <c r="D277" s="4" t="n">
        <v>0</v>
      </c>
      <c r="E277" s="13" t="n">
        <v>45183</v>
      </c>
      <c r="F277" s="4"/>
      <c r="G277" s="4" t="str">
        <f aca="false">INDEX(PurchaseOrders!$B$2:$B$3001,MATCH(B277,PurchaseOrders!$A$2:$A$3001,0))</f>
        <v>V059</v>
      </c>
    </row>
    <row r="278" customFormat="false" ht="15" hidden="false" customHeight="true" outlineLevel="0" collapsed="false">
      <c r="A278" s="4" t="s">
        <v>3465</v>
      </c>
      <c r="B278" s="4" t="s">
        <v>454</v>
      </c>
      <c r="C278" s="4" t="n">
        <v>449</v>
      </c>
      <c r="D278" s="4" t="n">
        <v>48</v>
      </c>
      <c r="E278" s="13" t="n">
        <v>45150</v>
      </c>
      <c r="F278" s="4" t="s">
        <v>3184</v>
      </c>
      <c r="G278" s="4" t="str">
        <f aca="false">INDEX(PurchaseOrders!$B$2:$B$3001,MATCH(B278,PurchaseOrders!$A$2:$A$3001,0))</f>
        <v>V027</v>
      </c>
    </row>
    <row r="279" customFormat="false" ht="15" hidden="false" customHeight="true" outlineLevel="0" collapsed="false">
      <c r="A279" s="4" t="s">
        <v>3466</v>
      </c>
      <c r="B279" s="4" t="s">
        <v>455</v>
      </c>
      <c r="C279" s="4" t="n">
        <v>257</v>
      </c>
      <c r="D279" s="4" t="n">
        <v>22</v>
      </c>
      <c r="E279" s="13" t="n">
        <v>45472</v>
      </c>
      <c r="F279" s="4" t="s">
        <v>3202</v>
      </c>
      <c r="G279" s="4" t="str">
        <f aca="false">INDEX(PurchaseOrders!$B$2:$B$3001,MATCH(B279,PurchaseOrders!$A$2:$A$3001,0))</f>
        <v>V036</v>
      </c>
    </row>
    <row r="280" customFormat="false" ht="15" hidden="false" customHeight="true" outlineLevel="0" collapsed="false">
      <c r="A280" s="4" t="s">
        <v>3467</v>
      </c>
      <c r="B280" s="4" t="s">
        <v>456</v>
      </c>
      <c r="C280" s="4" t="n">
        <v>259</v>
      </c>
      <c r="D280" s="4" t="n">
        <v>28</v>
      </c>
      <c r="E280" s="13" t="n">
        <v>45287</v>
      </c>
      <c r="F280" s="4" t="s">
        <v>3188</v>
      </c>
      <c r="G280" s="4" t="str">
        <f aca="false">INDEX(PurchaseOrders!$B$2:$B$3001,MATCH(B280,PurchaseOrders!$A$2:$A$3001,0))</f>
        <v>V049</v>
      </c>
    </row>
    <row r="281" customFormat="false" ht="15" hidden="false" customHeight="true" outlineLevel="0" collapsed="false">
      <c r="A281" s="4" t="s">
        <v>3468</v>
      </c>
      <c r="B281" s="4" t="s">
        <v>457</v>
      </c>
      <c r="C281" s="4" t="n">
        <v>2611</v>
      </c>
      <c r="D281" s="4" t="n">
        <v>91</v>
      </c>
      <c r="E281" s="13" t="n">
        <v>45262</v>
      </c>
      <c r="F281" s="4" t="s">
        <v>3190</v>
      </c>
      <c r="G281" s="4" t="str">
        <f aca="false">INDEX(PurchaseOrders!$B$2:$B$3001,MATCH(B281,PurchaseOrders!$A$2:$A$3001,0))</f>
        <v>V014</v>
      </c>
    </row>
    <row r="282" customFormat="false" ht="15" hidden="false" customHeight="true" outlineLevel="0" collapsed="false">
      <c r="A282" s="4" t="s">
        <v>3469</v>
      </c>
      <c r="B282" s="4" t="s">
        <v>458</v>
      </c>
      <c r="C282" s="4" t="n">
        <v>2817</v>
      </c>
      <c r="D282" s="4" t="n">
        <v>237</v>
      </c>
      <c r="E282" s="13" t="n">
        <v>45585</v>
      </c>
      <c r="F282" s="4" t="s">
        <v>3202</v>
      </c>
      <c r="G282" s="4" t="str">
        <f aca="false">INDEX(PurchaseOrders!$B$2:$B$3001,MATCH(B282,PurchaseOrders!$A$2:$A$3001,0))</f>
        <v>V001</v>
      </c>
    </row>
    <row r="283" customFormat="false" ht="15" hidden="false" customHeight="true" outlineLevel="0" collapsed="false">
      <c r="A283" s="4" t="s">
        <v>3470</v>
      </c>
      <c r="B283" s="4" t="s">
        <v>459</v>
      </c>
      <c r="C283" s="4" t="n">
        <v>1651</v>
      </c>
      <c r="D283" s="4" t="n">
        <v>177</v>
      </c>
      <c r="E283" s="13" t="n">
        <v>45264</v>
      </c>
      <c r="F283" s="4" t="s">
        <v>3192</v>
      </c>
      <c r="G283" s="4" t="str">
        <f aca="false">INDEX(PurchaseOrders!$B$2:$B$3001,MATCH(B283,PurchaseOrders!$A$2:$A$3001,0))</f>
        <v>V044</v>
      </c>
    </row>
    <row r="284" customFormat="false" ht="15" hidden="false" customHeight="true" outlineLevel="0" collapsed="false">
      <c r="A284" s="4" t="s">
        <v>3471</v>
      </c>
      <c r="B284" s="4" t="s">
        <v>460</v>
      </c>
      <c r="C284" s="4" t="n">
        <v>187</v>
      </c>
      <c r="D284" s="4" t="n">
        <v>0</v>
      </c>
      <c r="E284" s="13" t="n">
        <v>45652</v>
      </c>
      <c r="F284" s="4"/>
      <c r="G284" s="4" t="str">
        <f aca="false">INDEX(PurchaseOrders!$B$2:$B$3001,MATCH(B284,PurchaseOrders!$A$2:$A$3001,0))</f>
        <v>V046</v>
      </c>
    </row>
    <row r="285" customFormat="false" ht="15" hidden="false" customHeight="true" outlineLevel="0" collapsed="false">
      <c r="A285" s="4" t="s">
        <v>3472</v>
      </c>
      <c r="B285" s="4" t="s">
        <v>461</v>
      </c>
      <c r="C285" s="4" t="n">
        <v>237</v>
      </c>
      <c r="D285" s="4" t="n">
        <v>59</v>
      </c>
      <c r="E285" s="13" t="n">
        <v>45145</v>
      </c>
      <c r="F285" s="4" t="s">
        <v>3184</v>
      </c>
      <c r="G285" s="4" t="str">
        <f aca="false">INDEX(PurchaseOrders!$B$2:$B$3001,MATCH(B285,PurchaseOrders!$A$2:$A$3001,0))</f>
        <v>V039</v>
      </c>
    </row>
    <row r="286" customFormat="false" ht="15" hidden="false" customHeight="true" outlineLevel="0" collapsed="false">
      <c r="A286" s="4" t="s">
        <v>3473</v>
      </c>
      <c r="B286" s="4" t="s">
        <v>462</v>
      </c>
      <c r="C286" s="4" t="n">
        <v>268</v>
      </c>
      <c r="D286" s="4" t="n">
        <v>3</v>
      </c>
      <c r="E286" s="13" t="n">
        <v>45496</v>
      </c>
      <c r="F286" s="4" t="s">
        <v>3190</v>
      </c>
      <c r="G286" s="4" t="str">
        <f aca="false">INDEX(PurchaseOrders!$B$2:$B$3001,MATCH(B286,PurchaseOrders!$A$2:$A$3001,0))</f>
        <v>V052</v>
      </c>
    </row>
    <row r="287" customFormat="false" ht="15" hidden="false" customHeight="true" outlineLevel="0" collapsed="false">
      <c r="A287" s="4" t="s">
        <v>3474</v>
      </c>
      <c r="B287" s="4" t="s">
        <v>463</v>
      </c>
      <c r="C287" s="4" t="n">
        <v>252</v>
      </c>
      <c r="D287" s="4" t="n">
        <v>14</v>
      </c>
      <c r="E287" s="13" t="n">
        <v>45111</v>
      </c>
      <c r="F287" s="4" t="s">
        <v>3184</v>
      </c>
      <c r="G287" s="4" t="str">
        <f aca="false">INDEX(PurchaseOrders!$B$2:$B$3001,MATCH(B287,PurchaseOrders!$A$2:$A$3001,0))</f>
        <v>V004</v>
      </c>
    </row>
    <row r="288" customFormat="false" ht="15" hidden="false" customHeight="true" outlineLevel="0" collapsed="false">
      <c r="A288" s="4" t="s">
        <v>3475</v>
      </c>
      <c r="B288" s="4" t="s">
        <v>464</v>
      </c>
      <c r="C288" s="4" t="n">
        <v>718</v>
      </c>
      <c r="D288" s="4" t="n">
        <v>75</v>
      </c>
      <c r="E288" s="13" t="n">
        <v>45365</v>
      </c>
      <c r="F288" s="4" t="s">
        <v>3202</v>
      </c>
      <c r="G288" s="4" t="str">
        <f aca="false">INDEX(PurchaseOrders!$B$2:$B$3001,MATCH(B288,PurchaseOrders!$A$2:$A$3001,0))</f>
        <v>V007</v>
      </c>
    </row>
    <row r="289" customFormat="false" ht="15" hidden="false" customHeight="true" outlineLevel="0" collapsed="false">
      <c r="A289" s="4" t="s">
        <v>3476</v>
      </c>
      <c r="B289" s="4" t="s">
        <v>465</v>
      </c>
      <c r="C289" s="4" t="n">
        <v>506</v>
      </c>
      <c r="D289" s="4" t="n">
        <v>46</v>
      </c>
      <c r="E289" s="13" t="n">
        <v>45595</v>
      </c>
      <c r="F289" s="4" t="s">
        <v>3188</v>
      </c>
      <c r="G289" s="4" t="str">
        <f aca="false">INDEX(PurchaseOrders!$B$2:$B$3001,MATCH(B289,PurchaseOrders!$A$2:$A$3001,0))</f>
        <v>V017</v>
      </c>
    </row>
    <row r="290" customFormat="false" ht="15" hidden="false" customHeight="true" outlineLevel="0" collapsed="false">
      <c r="A290" s="4" t="s">
        <v>3477</v>
      </c>
      <c r="B290" s="4" t="s">
        <v>466</v>
      </c>
      <c r="C290" s="4" t="n">
        <v>123</v>
      </c>
      <c r="D290" s="4" t="n">
        <v>4</v>
      </c>
      <c r="E290" s="13" t="n">
        <v>45398</v>
      </c>
      <c r="F290" s="4" t="s">
        <v>3190</v>
      </c>
      <c r="G290" s="4" t="str">
        <f aca="false">INDEX(PurchaseOrders!$B$2:$B$3001,MATCH(B290,PurchaseOrders!$A$2:$A$3001,0))</f>
        <v>V037</v>
      </c>
    </row>
    <row r="291" customFormat="false" ht="15" hidden="false" customHeight="true" outlineLevel="0" collapsed="false">
      <c r="A291" s="4" t="s">
        <v>3478</v>
      </c>
      <c r="B291" s="4" t="s">
        <v>467</v>
      </c>
      <c r="C291" s="4" t="n">
        <v>2335</v>
      </c>
      <c r="D291" s="4" t="n">
        <v>124</v>
      </c>
      <c r="E291" s="13" t="n">
        <v>45284</v>
      </c>
      <c r="F291" s="4" t="s">
        <v>3186</v>
      </c>
      <c r="G291" s="4" t="str">
        <f aca="false">INDEX(PurchaseOrders!$B$2:$B$3001,MATCH(B291,PurchaseOrders!$A$2:$A$3001,0))</f>
        <v>V003</v>
      </c>
    </row>
    <row r="292" customFormat="false" ht="15" hidden="false" customHeight="true" outlineLevel="0" collapsed="false">
      <c r="A292" s="4" t="s">
        <v>3479</v>
      </c>
      <c r="B292" s="4" t="s">
        <v>468</v>
      </c>
      <c r="C292" s="4" t="n">
        <v>504</v>
      </c>
      <c r="D292" s="4" t="n">
        <v>54</v>
      </c>
      <c r="E292" s="13" t="n">
        <v>45587</v>
      </c>
      <c r="F292" s="4" t="s">
        <v>3186</v>
      </c>
      <c r="G292" s="4" t="str">
        <f aca="false">INDEX(PurchaseOrders!$B$2:$B$3001,MATCH(B292,PurchaseOrders!$A$2:$A$3001,0))</f>
        <v>V027</v>
      </c>
    </row>
    <row r="293" customFormat="false" ht="15" hidden="false" customHeight="true" outlineLevel="0" collapsed="false">
      <c r="A293" s="4" t="s">
        <v>3480</v>
      </c>
      <c r="B293" s="4" t="s">
        <v>469</v>
      </c>
      <c r="C293" s="4" t="n">
        <v>261</v>
      </c>
      <c r="D293" s="4" t="n">
        <v>21</v>
      </c>
      <c r="E293" s="13" t="n">
        <v>45634</v>
      </c>
      <c r="F293" s="4" t="s">
        <v>3190</v>
      </c>
      <c r="G293" s="4" t="str">
        <f aca="false">INDEX(PurchaseOrders!$B$2:$B$3001,MATCH(B293,PurchaseOrders!$A$2:$A$3001,0))</f>
        <v>V049</v>
      </c>
    </row>
    <row r="294" customFormat="false" ht="15" hidden="false" customHeight="true" outlineLevel="0" collapsed="false">
      <c r="A294" s="4" t="s">
        <v>3481</v>
      </c>
      <c r="B294" s="4" t="s">
        <v>470</v>
      </c>
      <c r="C294" s="4" t="n">
        <v>2898</v>
      </c>
      <c r="D294" s="4" t="n">
        <v>104</v>
      </c>
      <c r="E294" s="13" t="n">
        <v>45352</v>
      </c>
      <c r="F294" s="4" t="s">
        <v>3202</v>
      </c>
      <c r="G294" s="4" t="str">
        <f aca="false">INDEX(PurchaseOrders!$B$2:$B$3001,MATCH(B294,PurchaseOrders!$A$2:$A$3001,0))</f>
        <v>V015</v>
      </c>
    </row>
    <row r="295" customFormat="false" ht="15" hidden="false" customHeight="true" outlineLevel="0" collapsed="false">
      <c r="A295" s="4" t="s">
        <v>3482</v>
      </c>
      <c r="B295" s="4" t="s">
        <v>471</v>
      </c>
      <c r="C295" s="4" t="n">
        <v>386</v>
      </c>
      <c r="D295" s="4" t="n">
        <v>0</v>
      </c>
      <c r="E295" s="13" t="n">
        <v>45480</v>
      </c>
      <c r="F295" s="4"/>
      <c r="G295" s="4" t="str">
        <f aca="false">INDEX(PurchaseOrders!$B$2:$B$3001,MATCH(B295,PurchaseOrders!$A$2:$A$3001,0))</f>
        <v>V029</v>
      </c>
    </row>
    <row r="296" customFormat="false" ht="15" hidden="false" customHeight="true" outlineLevel="0" collapsed="false">
      <c r="A296" s="4" t="s">
        <v>3483</v>
      </c>
      <c r="B296" s="4" t="s">
        <v>472</v>
      </c>
      <c r="C296" s="4" t="n">
        <v>408</v>
      </c>
      <c r="D296" s="4" t="n">
        <v>23</v>
      </c>
      <c r="E296" s="13" t="n">
        <v>45135</v>
      </c>
      <c r="F296" s="4" t="s">
        <v>3184</v>
      </c>
      <c r="G296" s="4" t="str">
        <f aca="false">INDEX(PurchaseOrders!$B$2:$B$3001,MATCH(B296,PurchaseOrders!$A$2:$A$3001,0))</f>
        <v>V013</v>
      </c>
    </row>
    <row r="297" customFormat="false" ht="15" hidden="false" customHeight="true" outlineLevel="0" collapsed="false">
      <c r="A297" s="4" t="s">
        <v>3484</v>
      </c>
      <c r="B297" s="4" t="s">
        <v>473</v>
      </c>
      <c r="C297" s="4" t="n">
        <v>209</v>
      </c>
      <c r="D297" s="4" t="n">
        <v>3</v>
      </c>
      <c r="E297" s="13" t="n">
        <v>45295</v>
      </c>
      <c r="F297" s="4" t="s">
        <v>3192</v>
      </c>
      <c r="G297" s="4" t="str">
        <f aca="false">INDEX(PurchaseOrders!$B$2:$B$3001,MATCH(B297,PurchaseOrders!$A$2:$A$3001,0))</f>
        <v>V021</v>
      </c>
    </row>
    <row r="298" customFormat="false" ht="15" hidden="false" customHeight="true" outlineLevel="0" collapsed="false">
      <c r="A298" s="4" t="s">
        <v>3485</v>
      </c>
      <c r="B298" s="4" t="s">
        <v>474</v>
      </c>
      <c r="C298" s="4" t="n">
        <v>2759</v>
      </c>
      <c r="D298" s="4" t="n">
        <v>459</v>
      </c>
      <c r="E298" s="13" t="n">
        <v>45514</v>
      </c>
      <c r="F298" s="4" t="s">
        <v>3186</v>
      </c>
      <c r="G298" s="4" t="str">
        <f aca="false">INDEX(PurchaseOrders!$B$2:$B$3001,MATCH(B298,PurchaseOrders!$A$2:$A$3001,0))</f>
        <v>V026</v>
      </c>
    </row>
    <row r="299" customFormat="false" ht="15" hidden="false" customHeight="true" outlineLevel="0" collapsed="false">
      <c r="A299" s="4" t="s">
        <v>3486</v>
      </c>
      <c r="B299" s="4" t="s">
        <v>475</v>
      </c>
      <c r="C299" s="4" t="n">
        <v>257</v>
      </c>
      <c r="D299" s="4" t="n">
        <v>0</v>
      </c>
      <c r="E299" s="13" t="n">
        <v>45531</v>
      </c>
      <c r="F299" s="4"/>
      <c r="G299" s="4" t="str">
        <f aca="false">INDEX(PurchaseOrders!$B$2:$B$3001,MATCH(B299,PurchaseOrders!$A$2:$A$3001,0))</f>
        <v>V029</v>
      </c>
    </row>
    <row r="300" customFormat="false" ht="15" hidden="false" customHeight="true" outlineLevel="0" collapsed="false">
      <c r="A300" s="4" t="s">
        <v>3487</v>
      </c>
      <c r="B300" s="4" t="s">
        <v>476</v>
      </c>
      <c r="C300" s="4" t="n">
        <v>2861</v>
      </c>
      <c r="D300" s="4" t="n">
        <v>416</v>
      </c>
      <c r="E300" s="13" t="n">
        <v>45099</v>
      </c>
      <c r="F300" s="4" t="s">
        <v>3202</v>
      </c>
      <c r="G300" s="4" t="str">
        <f aca="false">INDEX(PurchaseOrders!$B$2:$B$3001,MATCH(B300,PurchaseOrders!$A$2:$A$3001,0))</f>
        <v>V026</v>
      </c>
    </row>
    <row r="301" customFormat="false" ht="15" hidden="false" customHeight="true" outlineLevel="0" collapsed="false">
      <c r="A301" s="4" t="s">
        <v>3488</v>
      </c>
      <c r="B301" s="4" t="s">
        <v>477</v>
      </c>
      <c r="C301" s="4" t="n">
        <v>1078</v>
      </c>
      <c r="D301" s="4" t="n">
        <v>72</v>
      </c>
      <c r="E301" s="13" t="n">
        <v>44956</v>
      </c>
      <c r="F301" s="4" t="s">
        <v>3202</v>
      </c>
      <c r="G301" s="4" t="str">
        <f aca="false">INDEX(PurchaseOrders!$B$2:$B$3001,MATCH(B301,PurchaseOrders!$A$2:$A$3001,0))</f>
        <v>V001</v>
      </c>
    </row>
    <row r="302" customFormat="false" ht="15" hidden="false" customHeight="true" outlineLevel="0" collapsed="false">
      <c r="A302" s="4" t="s">
        <v>3489</v>
      </c>
      <c r="B302" s="4" t="s">
        <v>478</v>
      </c>
      <c r="C302" s="4" t="n">
        <v>155</v>
      </c>
      <c r="D302" s="4" t="n">
        <v>15</v>
      </c>
      <c r="E302" s="13" t="n">
        <v>45007</v>
      </c>
      <c r="F302" s="4" t="s">
        <v>3190</v>
      </c>
      <c r="G302" s="4" t="str">
        <f aca="false">INDEX(PurchaseOrders!$B$2:$B$3001,MATCH(B302,PurchaseOrders!$A$2:$A$3001,0))</f>
        <v>V013</v>
      </c>
    </row>
    <row r="303" customFormat="false" ht="15" hidden="false" customHeight="true" outlineLevel="0" collapsed="false">
      <c r="A303" s="4" t="s">
        <v>3490</v>
      </c>
      <c r="B303" s="4" t="s">
        <v>479</v>
      </c>
      <c r="C303" s="4" t="n">
        <v>1131</v>
      </c>
      <c r="D303" s="4" t="n">
        <v>119</v>
      </c>
      <c r="E303" s="13" t="n">
        <v>45044</v>
      </c>
      <c r="F303" s="4" t="s">
        <v>3190</v>
      </c>
      <c r="G303" s="4" t="str">
        <f aca="false">INDEX(PurchaseOrders!$B$2:$B$3001,MATCH(B303,PurchaseOrders!$A$2:$A$3001,0))</f>
        <v>V051</v>
      </c>
    </row>
    <row r="304" customFormat="false" ht="15" hidden="false" customHeight="true" outlineLevel="0" collapsed="false">
      <c r="A304" s="4" t="s">
        <v>3491</v>
      </c>
      <c r="B304" s="4" t="s">
        <v>480</v>
      </c>
      <c r="C304" s="4" t="n">
        <v>265</v>
      </c>
      <c r="D304" s="4" t="n">
        <v>0</v>
      </c>
      <c r="E304" s="13" t="n">
        <v>45250</v>
      </c>
      <c r="F304" s="4"/>
      <c r="G304" s="4" t="str">
        <f aca="false">INDEX(PurchaseOrders!$B$2:$B$3001,MATCH(B304,PurchaseOrders!$A$2:$A$3001,0))</f>
        <v>V047</v>
      </c>
    </row>
    <row r="305" customFormat="false" ht="15" hidden="false" customHeight="true" outlineLevel="0" collapsed="false">
      <c r="A305" s="4" t="s">
        <v>3492</v>
      </c>
      <c r="B305" s="4" t="s">
        <v>481</v>
      </c>
      <c r="C305" s="4" t="n">
        <v>974</v>
      </c>
      <c r="D305" s="4" t="n">
        <v>209</v>
      </c>
      <c r="E305" s="13" t="n">
        <v>45404</v>
      </c>
      <c r="F305" s="4" t="s">
        <v>3186</v>
      </c>
      <c r="G305" s="4" t="str">
        <f aca="false">INDEX(PurchaseOrders!$B$2:$B$3001,MATCH(B305,PurchaseOrders!$A$2:$A$3001,0))</f>
        <v>V039</v>
      </c>
    </row>
    <row r="306" customFormat="false" ht="15" hidden="false" customHeight="true" outlineLevel="0" collapsed="false">
      <c r="A306" s="4" t="s">
        <v>3493</v>
      </c>
      <c r="B306" s="4" t="s">
        <v>482</v>
      </c>
      <c r="C306" s="4" t="n">
        <v>1577</v>
      </c>
      <c r="D306" s="4" t="n">
        <v>36</v>
      </c>
      <c r="E306" s="13" t="n">
        <v>45259</v>
      </c>
      <c r="F306" s="4" t="s">
        <v>3202</v>
      </c>
      <c r="G306" s="4" t="str">
        <f aca="false">INDEX(PurchaseOrders!$B$2:$B$3001,MATCH(B306,PurchaseOrders!$A$2:$A$3001,0))</f>
        <v>V048</v>
      </c>
    </row>
    <row r="307" customFormat="false" ht="15" hidden="false" customHeight="true" outlineLevel="0" collapsed="false">
      <c r="A307" s="4" t="s">
        <v>3494</v>
      </c>
      <c r="B307" s="4" t="s">
        <v>483</v>
      </c>
      <c r="C307" s="4" t="n">
        <v>1740</v>
      </c>
      <c r="D307" s="4" t="n">
        <v>200</v>
      </c>
      <c r="E307" s="13" t="n">
        <v>45250</v>
      </c>
      <c r="F307" s="4" t="s">
        <v>3184</v>
      </c>
      <c r="G307" s="4" t="str">
        <f aca="false">INDEX(PurchaseOrders!$B$2:$B$3001,MATCH(B307,PurchaseOrders!$A$2:$A$3001,0))</f>
        <v>V032</v>
      </c>
    </row>
    <row r="308" customFormat="false" ht="15" hidden="false" customHeight="true" outlineLevel="0" collapsed="false">
      <c r="A308" s="4" t="s">
        <v>3495</v>
      </c>
      <c r="B308" s="4" t="s">
        <v>484</v>
      </c>
      <c r="C308" s="4" t="n">
        <v>1734</v>
      </c>
      <c r="D308" s="4" t="n">
        <v>134</v>
      </c>
      <c r="E308" s="13" t="n">
        <v>44950</v>
      </c>
      <c r="F308" s="4" t="s">
        <v>3192</v>
      </c>
      <c r="G308" s="4" t="str">
        <f aca="false">INDEX(PurchaseOrders!$B$2:$B$3001,MATCH(B308,PurchaseOrders!$A$2:$A$3001,0))</f>
        <v>V005</v>
      </c>
    </row>
    <row r="309" customFormat="false" ht="15" hidden="false" customHeight="true" outlineLevel="0" collapsed="false">
      <c r="A309" s="4" t="s">
        <v>3496</v>
      </c>
      <c r="B309" s="4" t="s">
        <v>485</v>
      </c>
      <c r="C309" s="4" t="n">
        <v>4137</v>
      </c>
      <c r="D309" s="4" t="n">
        <v>566</v>
      </c>
      <c r="E309" s="13" t="n">
        <v>45423</v>
      </c>
      <c r="F309" s="4" t="s">
        <v>3192</v>
      </c>
      <c r="G309" s="4" t="str">
        <f aca="false">INDEX(PurchaseOrders!$B$2:$B$3001,MATCH(B309,PurchaseOrders!$A$2:$A$3001,0))</f>
        <v>V038</v>
      </c>
    </row>
    <row r="310" customFormat="false" ht="15" hidden="false" customHeight="true" outlineLevel="0" collapsed="false">
      <c r="A310" s="4" t="s">
        <v>3497</v>
      </c>
      <c r="B310" s="4" t="s">
        <v>486</v>
      </c>
      <c r="C310" s="4" t="n">
        <v>2106</v>
      </c>
      <c r="D310" s="4" t="n">
        <v>89</v>
      </c>
      <c r="E310" s="13" t="n">
        <v>45041</v>
      </c>
      <c r="F310" s="4" t="s">
        <v>3190</v>
      </c>
      <c r="G310" s="4" t="str">
        <f aca="false">INDEX(PurchaseOrders!$B$2:$B$3001,MATCH(B310,PurchaseOrders!$A$2:$A$3001,0))</f>
        <v>V058</v>
      </c>
    </row>
    <row r="311" customFormat="false" ht="15" hidden="false" customHeight="true" outlineLevel="0" collapsed="false">
      <c r="A311" s="4" t="s">
        <v>3498</v>
      </c>
      <c r="B311" s="4" t="s">
        <v>487</v>
      </c>
      <c r="C311" s="4" t="n">
        <v>235</v>
      </c>
      <c r="D311" s="4" t="n">
        <v>7</v>
      </c>
      <c r="E311" s="13" t="n">
        <v>45018</v>
      </c>
      <c r="F311" s="4" t="s">
        <v>3190</v>
      </c>
      <c r="G311" s="4" t="str">
        <f aca="false">INDEX(PurchaseOrders!$B$2:$B$3001,MATCH(B311,PurchaseOrders!$A$2:$A$3001,0))</f>
        <v>V060</v>
      </c>
    </row>
    <row r="312" customFormat="false" ht="15" hidden="false" customHeight="true" outlineLevel="0" collapsed="false">
      <c r="A312" s="4" t="s">
        <v>3499</v>
      </c>
      <c r="B312" s="4" t="s">
        <v>488</v>
      </c>
      <c r="C312" s="4" t="n">
        <v>866</v>
      </c>
      <c r="D312" s="4" t="n">
        <v>50</v>
      </c>
      <c r="E312" s="13" t="n">
        <v>45172</v>
      </c>
      <c r="F312" s="4" t="s">
        <v>3192</v>
      </c>
      <c r="G312" s="4" t="str">
        <f aca="false">INDEX(PurchaseOrders!$B$2:$B$3001,MATCH(B312,PurchaseOrders!$A$2:$A$3001,0))</f>
        <v>V045</v>
      </c>
    </row>
    <row r="313" customFormat="false" ht="15" hidden="false" customHeight="true" outlineLevel="0" collapsed="false">
      <c r="A313" s="4" t="s">
        <v>3500</v>
      </c>
      <c r="B313" s="4" t="s">
        <v>489</v>
      </c>
      <c r="C313" s="4" t="n">
        <v>359</v>
      </c>
      <c r="D313" s="4" t="n">
        <v>37</v>
      </c>
      <c r="E313" s="13" t="n">
        <v>45285</v>
      </c>
      <c r="F313" s="4" t="s">
        <v>3202</v>
      </c>
      <c r="G313" s="4" t="str">
        <f aca="false">INDEX(PurchaseOrders!$B$2:$B$3001,MATCH(B313,PurchaseOrders!$A$2:$A$3001,0))</f>
        <v>V049</v>
      </c>
    </row>
    <row r="314" customFormat="false" ht="15" hidden="false" customHeight="true" outlineLevel="0" collapsed="false">
      <c r="A314" s="4" t="s">
        <v>3501</v>
      </c>
      <c r="B314" s="4" t="s">
        <v>490</v>
      </c>
      <c r="C314" s="4" t="n">
        <v>1152</v>
      </c>
      <c r="D314" s="4" t="n">
        <v>172</v>
      </c>
      <c r="E314" s="13" t="n">
        <v>45323</v>
      </c>
      <c r="F314" s="4" t="s">
        <v>3202</v>
      </c>
      <c r="G314" s="4" t="str">
        <f aca="false">INDEX(PurchaseOrders!$B$2:$B$3001,MATCH(B314,PurchaseOrders!$A$2:$A$3001,0))</f>
        <v>V025</v>
      </c>
    </row>
    <row r="315" customFormat="false" ht="15" hidden="false" customHeight="true" outlineLevel="0" collapsed="false">
      <c r="A315" s="4" t="s">
        <v>3502</v>
      </c>
      <c r="B315" s="4" t="s">
        <v>491</v>
      </c>
      <c r="C315" s="4" t="n">
        <v>370</v>
      </c>
      <c r="D315" s="4" t="n">
        <v>21</v>
      </c>
      <c r="E315" s="13" t="n">
        <v>45128</v>
      </c>
      <c r="F315" s="4" t="s">
        <v>3184</v>
      </c>
      <c r="G315" s="4" t="str">
        <f aca="false">INDEX(PurchaseOrders!$B$2:$B$3001,MATCH(B315,PurchaseOrders!$A$2:$A$3001,0))</f>
        <v>V034</v>
      </c>
    </row>
    <row r="316" customFormat="false" ht="15" hidden="false" customHeight="true" outlineLevel="0" collapsed="false">
      <c r="A316" s="4" t="s">
        <v>3503</v>
      </c>
      <c r="B316" s="4" t="s">
        <v>492</v>
      </c>
      <c r="C316" s="4" t="n">
        <v>760</v>
      </c>
      <c r="D316" s="4" t="n">
        <v>49</v>
      </c>
      <c r="E316" s="13" t="n">
        <v>45131</v>
      </c>
      <c r="F316" s="4" t="s">
        <v>3190</v>
      </c>
      <c r="G316" s="4" t="str">
        <f aca="false">INDEX(PurchaseOrders!$B$2:$B$3001,MATCH(B316,PurchaseOrders!$A$2:$A$3001,0))</f>
        <v>V005</v>
      </c>
    </row>
    <row r="317" customFormat="false" ht="15" hidden="false" customHeight="true" outlineLevel="0" collapsed="false">
      <c r="A317" s="4" t="s">
        <v>3504</v>
      </c>
      <c r="B317" s="4" t="s">
        <v>493</v>
      </c>
      <c r="C317" s="4" t="n">
        <v>4298</v>
      </c>
      <c r="D317" s="4" t="n">
        <v>314</v>
      </c>
      <c r="E317" s="13" t="n">
        <v>45071</v>
      </c>
      <c r="F317" s="4" t="s">
        <v>3186</v>
      </c>
      <c r="G317" s="4" t="str">
        <f aca="false">INDEX(PurchaseOrders!$B$2:$B$3001,MATCH(B317,PurchaseOrders!$A$2:$A$3001,0))</f>
        <v>V050</v>
      </c>
    </row>
    <row r="318" customFormat="false" ht="15" hidden="false" customHeight="true" outlineLevel="0" collapsed="false">
      <c r="A318" s="4" t="s">
        <v>3505</v>
      </c>
      <c r="B318" s="4" t="s">
        <v>494</v>
      </c>
      <c r="C318" s="4" t="n">
        <v>136</v>
      </c>
      <c r="D318" s="4" t="n">
        <v>13</v>
      </c>
      <c r="E318" s="13" t="n">
        <v>45025</v>
      </c>
      <c r="F318" s="4" t="s">
        <v>3192</v>
      </c>
      <c r="G318" s="4" t="str">
        <f aca="false">INDEX(PurchaseOrders!$B$2:$B$3001,MATCH(B318,PurchaseOrders!$A$2:$A$3001,0))</f>
        <v>V043</v>
      </c>
    </row>
    <row r="319" customFormat="false" ht="15" hidden="false" customHeight="true" outlineLevel="0" collapsed="false">
      <c r="A319" s="4" t="s">
        <v>3506</v>
      </c>
      <c r="B319" s="4" t="s">
        <v>495</v>
      </c>
      <c r="C319" s="4" t="n">
        <v>7</v>
      </c>
      <c r="D319" s="4" t="n">
        <v>1</v>
      </c>
      <c r="E319" s="13" t="n">
        <v>45658</v>
      </c>
      <c r="F319" s="4" t="s">
        <v>3188</v>
      </c>
      <c r="G319" s="4" t="str">
        <f aca="false">INDEX(PurchaseOrders!$B$2:$B$3001,MATCH(B319,PurchaseOrders!$A$2:$A$3001,0))</f>
        <v>V042</v>
      </c>
    </row>
    <row r="320" customFormat="false" ht="15" hidden="false" customHeight="true" outlineLevel="0" collapsed="false">
      <c r="A320" s="4" t="s">
        <v>3507</v>
      </c>
      <c r="B320" s="4" t="s">
        <v>496</v>
      </c>
      <c r="C320" s="4" t="n">
        <v>3315</v>
      </c>
      <c r="D320" s="4" t="n">
        <v>313</v>
      </c>
      <c r="E320" s="13" t="n">
        <v>45462</v>
      </c>
      <c r="F320" s="4" t="s">
        <v>3184</v>
      </c>
      <c r="G320" s="4" t="str">
        <f aca="false">INDEX(PurchaseOrders!$B$2:$B$3001,MATCH(B320,PurchaseOrders!$A$2:$A$3001,0))</f>
        <v>V032</v>
      </c>
    </row>
    <row r="321" customFormat="false" ht="15" hidden="false" customHeight="true" outlineLevel="0" collapsed="false">
      <c r="A321" s="4" t="s">
        <v>3508</v>
      </c>
      <c r="B321" s="4" t="s">
        <v>497</v>
      </c>
      <c r="C321" s="4" t="n">
        <v>153</v>
      </c>
      <c r="D321" s="4" t="n">
        <v>14</v>
      </c>
      <c r="E321" s="13" t="n">
        <v>45368</v>
      </c>
      <c r="F321" s="4" t="s">
        <v>3188</v>
      </c>
      <c r="G321" s="4" t="str">
        <f aca="false">INDEX(PurchaseOrders!$B$2:$B$3001,MATCH(B321,PurchaseOrders!$A$2:$A$3001,0))</f>
        <v>V004</v>
      </c>
    </row>
    <row r="322" customFormat="false" ht="15" hidden="false" customHeight="true" outlineLevel="0" collapsed="false">
      <c r="A322" s="4" t="s">
        <v>3509</v>
      </c>
      <c r="B322" s="4" t="s">
        <v>498</v>
      </c>
      <c r="C322" s="4" t="n">
        <v>86</v>
      </c>
      <c r="D322" s="4" t="n">
        <v>3</v>
      </c>
      <c r="E322" s="13" t="n">
        <v>45258</v>
      </c>
      <c r="F322" s="4" t="s">
        <v>3190</v>
      </c>
      <c r="G322" s="4" t="str">
        <f aca="false">INDEX(PurchaseOrders!$B$2:$B$3001,MATCH(B322,PurchaseOrders!$A$2:$A$3001,0))</f>
        <v>V033</v>
      </c>
    </row>
    <row r="323" customFormat="false" ht="15" hidden="false" customHeight="true" outlineLevel="0" collapsed="false">
      <c r="A323" s="4" t="s">
        <v>3510</v>
      </c>
      <c r="B323" s="4" t="s">
        <v>499</v>
      </c>
      <c r="C323" s="4" t="n">
        <v>232</v>
      </c>
      <c r="D323" s="4" t="n">
        <v>20</v>
      </c>
      <c r="E323" s="13" t="n">
        <v>45147</v>
      </c>
      <c r="F323" s="4" t="s">
        <v>3190</v>
      </c>
      <c r="G323" s="4" t="str">
        <f aca="false">INDEX(PurchaseOrders!$B$2:$B$3001,MATCH(B323,PurchaseOrders!$A$2:$A$3001,0))</f>
        <v>V043</v>
      </c>
    </row>
    <row r="324" customFormat="false" ht="15" hidden="false" customHeight="true" outlineLevel="0" collapsed="false">
      <c r="A324" s="4" t="s">
        <v>3511</v>
      </c>
      <c r="B324" s="4" t="s">
        <v>500</v>
      </c>
      <c r="C324" s="4" t="n">
        <v>123</v>
      </c>
      <c r="D324" s="4" t="n">
        <v>9</v>
      </c>
      <c r="E324" s="13" t="n">
        <v>45145</v>
      </c>
      <c r="F324" s="4" t="s">
        <v>3202</v>
      </c>
      <c r="G324" s="4" t="str">
        <f aca="false">INDEX(PurchaseOrders!$B$2:$B$3001,MATCH(B324,PurchaseOrders!$A$2:$A$3001,0))</f>
        <v>V018</v>
      </c>
    </row>
    <row r="325" customFormat="false" ht="15" hidden="false" customHeight="true" outlineLevel="0" collapsed="false">
      <c r="A325" s="4" t="s">
        <v>3512</v>
      </c>
      <c r="B325" s="4" t="s">
        <v>501</v>
      </c>
      <c r="C325" s="4" t="n">
        <v>912</v>
      </c>
      <c r="D325" s="4" t="n">
        <v>113</v>
      </c>
      <c r="E325" s="13" t="n">
        <v>45588</v>
      </c>
      <c r="F325" s="4" t="s">
        <v>3190</v>
      </c>
      <c r="G325" s="4" t="str">
        <f aca="false">INDEX(PurchaseOrders!$B$2:$B$3001,MATCH(B325,PurchaseOrders!$A$2:$A$3001,0))</f>
        <v>V044</v>
      </c>
    </row>
    <row r="326" customFormat="false" ht="15" hidden="false" customHeight="true" outlineLevel="0" collapsed="false">
      <c r="A326" s="4" t="s">
        <v>3513</v>
      </c>
      <c r="B326" s="4" t="s">
        <v>502</v>
      </c>
      <c r="C326" s="4" t="n">
        <v>126</v>
      </c>
      <c r="D326" s="4" t="n">
        <v>4</v>
      </c>
      <c r="E326" s="13" t="n">
        <v>45425</v>
      </c>
      <c r="F326" s="4" t="s">
        <v>3188</v>
      </c>
      <c r="G326" s="4" t="str">
        <f aca="false">INDEX(PurchaseOrders!$B$2:$B$3001,MATCH(B326,PurchaseOrders!$A$2:$A$3001,0))</f>
        <v>V029</v>
      </c>
    </row>
    <row r="327" customFormat="false" ht="15" hidden="false" customHeight="true" outlineLevel="0" collapsed="false">
      <c r="A327" s="4" t="s">
        <v>3514</v>
      </c>
      <c r="B327" s="4" t="s">
        <v>503</v>
      </c>
      <c r="C327" s="4" t="n">
        <v>4174</v>
      </c>
      <c r="D327" s="4" t="n">
        <v>411</v>
      </c>
      <c r="E327" s="13" t="n">
        <v>45206</v>
      </c>
      <c r="F327" s="4" t="s">
        <v>3202</v>
      </c>
      <c r="G327" s="4" t="str">
        <f aca="false">INDEX(PurchaseOrders!$B$2:$B$3001,MATCH(B327,PurchaseOrders!$A$2:$A$3001,0))</f>
        <v>V032</v>
      </c>
    </row>
    <row r="328" customFormat="false" ht="15" hidden="false" customHeight="true" outlineLevel="0" collapsed="false">
      <c r="A328" s="4" t="s">
        <v>3515</v>
      </c>
      <c r="B328" s="4" t="s">
        <v>504</v>
      </c>
      <c r="C328" s="4" t="n">
        <v>834</v>
      </c>
      <c r="D328" s="4" t="n">
        <v>50</v>
      </c>
      <c r="E328" s="13" t="n">
        <v>45129</v>
      </c>
      <c r="F328" s="4" t="s">
        <v>3188</v>
      </c>
      <c r="G328" s="4" t="str">
        <f aca="false">INDEX(PurchaseOrders!$B$2:$B$3001,MATCH(B328,PurchaseOrders!$A$2:$A$3001,0))</f>
        <v>V021</v>
      </c>
    </row>
    <row r="329" customFormat="false" ht="15" hidden="false" customHeight="true" outlineLevel="0" collapsed="false">
      <c r="A329" s="4" t="s">
        <v>3516</v>
      </c>
      <c r="B329" s="4" t="s">
        <v>505</v>
      </c>
      <c r="C329" s="4" t="n">
        <v>479</v>
      </c>
      <c r="D329" s="4" t="n">
        <v>24</v>
      </c>
      <c r="E329" s="13" t="n">
        <v>45158</v>
      </c>
      <c r="F329" s="4" t="s">
        <v>3192</v>
      </c>
      <c r="G329" s="4" t="str">
        <f aca="false">INDEX(PurchaseOrders!$B$2:$B$3001,MATCH(B329,PurchaseOrders!$A$2:$A$3001,0))</f>
        <v>V012</v>
      </c>
    </row>
    <row r="330" customFormat="false" ht="15" hidden="false" customHeight="true" outlineLevel="0" collapsed="false">
      <c r="A330" s="4" t="s">
        <v>3517</v>
      </c>
      <c r="B330" s="4" t="s">
        <v>506</v>
      </c>
      <c r="C330" s="4" t="n">
        <v>98</v>
      </c>
      <c r="D330" s="4" t="n">
        <v>10</v>
      </c>
      <c r="E330" s="13" t="n">
        <v>45521</v>
      </c>
      <c r="F330" s="4" t="s">
        <v>3192</v>
      </c>
      <c r="G330" s="4" t="str">
        <f aca="false">INDEX(PurchaseOrders!$B$2:$B$3001,MATCH(B330,PurchaseOrders!$A$2:$A$3001,0))</f>
        <v>V009</v>
      </c>
    </row>
    <row r="331" customFormat="false" ht="15" hidden="false" customHeight="true" outlineLevel="0" collapsed="false">
      <c r="A331" s="4" t="s">
        <v>3518</v>
      </c>
      <c r="B331" s="4" t="s">
        <v>507</v>
      </c>
      <c r="C331" s="4" t="n">
        <v>2459</v>
      </c>
      <c r="D331" s="4" t="n">
        <v>139</v>
      </c>
      <c r="E331" s="13" t="n">
        <v>45530</v>
      </c>
      <c r="F331" s="4" t="s">
        <v>3192</v>
      </c>
      <c r="G331" s="4" t="str">
        <f aca="false">INDEX(PurchaseOrders!$B$2:$B$3001,MATCH(B331,PurchaseOrders!$A$2:$A$3001,0))</f>
        <v>V002</v>
      </c>
    </row>
    <row r="332" customFormat="false" ht="15" hidden="false" customHeight="true" outlineLevel="0" collapsed="false">
      <c r="A332" s="4" t="s">
        <v>3519</v>
      </c>
      <c r="B332" s="4" t="s">
        <v>508</v>
      </c>
      <c r="C332" s="4" t="n">
        <v>6</v>
      </c>
      <c r="D332" s="4" t="n">
        <v>0</v>
      </c>
      <c r="E332" s="13" t="n">
        <v>45274</v>
      </c>
      <c r="F332" s="4"/>
      <c r="G332" s="4" t="str">
        <f aca="false">INDEX(PurchaseOrders!$B$2:$B$3001,MATCH(B332,PurchaseOrders!$A$2:$A$3001,0))</f>
        <v>V019</v>
      </c>
    </row>
    <row r="333" customFormat="false" ht="15" hidden="false" customHeight="true" outlineLevel="0" collapsed="false">
      <c r="A333" s="4" t="s">
        <v>3520</v>
      </c>
      <c r="B333" s="4" t="s">
        <v>509</v>
      </c>
      <c r="C333" s="4" t="n">
        <v>521</v>
      </c>
      <c r="D333" s="4" t="n">
        <v>5</v>
      </c>
      <c r="E333" s="13" t="n">
        <v>45556</v>
      </c>
      <c r="F333" s="4" t="s">
        <v>3190</v>
      </c>
      <c r="G333" s="4" t="str">
        <f aca="false">INDEX(PurchaseOrders!$B$2:$B$3001,MATCH(B333,PurchaseOrders!$A$2:$A$3001,0))</f>
        <v>V035</v>
      </c>
    </row>
    <row r="334" customFormat="false" ht="15" hidden="false" customHeight="true" outlineLevel="0" collapsed="false">
      <c r="A334" s="4" t="s">
        <v>3521</v>
      </c>
      <c r="B334" s="4" t="s">
        <v>510</v>
      </c>
      <c r="C334" s="4" t="n">
        <v>104</v>
      </c>
      <c r="D334" s="4" t="n">
        <v>0</v>
      </c>
      <c r="E334" s="13" t="n">
        <v>45263</v>
      </c>
      <c r="F334" s="4"/>
      <c r="G334" s="4" t="str">
        <f aca="false">INDEX(PurchaseOrders!$B$2:$B$3001,MATCH(B334,PurchaseOrders!$A$2:$A$3001,0))</f>
        <v>V040</v>
      </c>
    </row>
    <row r="335" customFormat="false" ht="15" hidden="false" customHeight="true" outlineLevel="0" collapsed="false">
      <c r="A335" s="4" t="s">
        <v>3522</v>
      </c>
      <c r="B335" s="4" t="s">
        <v>511</v>
      </c>
      <c r="C335" s="4" t="n">
        <v>1285</v>
      </c>
      <c r="D335" s="4" t="n">
        <v>0</v>
      </c>
      <c r="E335" s="13" t="n">
        <v>45394</v>
      </c>
      <c r="F335" s="4"/>
      <c r="G335" s="4" t="str">
        <f aca="false">INDEX(PurchaseOrders!$B$2:$B$3001,MATCH(B335,PurchaseOrders!$A$2:$A$3001,0))</f>
        <v>V020</v>
      </c>
    </row>
    <row r="336" customFormat="false" ht="15" hidden="false" customHeight="true" outlineLevel="0" collapsed="false">
      <c r="A336" s="4" t="s">
        <v>3523</v>
      </c>
      <c r="B336" s="4" t="s">
        <v>512</v>
      </c>
      <c r="C336" s="4" t="n">
        <v>4764</v>
      </c>
      <c r="D336" s="4" t="n">
        <v>532</v>
      </c>
      <c r="E336" s="13" t="n">
        <v>45294</v>
      </c>
      <c r="F336" s="4" t="s">
        <v>3190</v>
      </c>
      <c r="G336" s="4" t="str">
        <f aca="false">INDEX(PurchaseOrders!$B$2:$B$3001,MATCH(B336,PurchaseOrders!$A$2:$A$3001,0))</f>
        <v>V032</v>
      </c>
    </row>
    <row r="337" customFormat="false" ht="15" hidden="false" customHeight="true" outlineLevel="0" collapsed="false">
      <c r="A337" s="4" t="s">
        <v>3524</v>
      </c>
      <c r="B337" s="4" t="s">
        <v>513</v>
      </c>
      <c r="C337" s="4" t="n">
        <v>1452</v>
      </c>
      <c r="D337" s="4" t="n">
        <v>84</v>
      </c>
      <c r="E337" s="13" t="n">
        <v>45324</v>
      </c>
      <c r="F337" s="4" t="s">
        <v>3188</v>
      </c>
      <c r="G337" s="4" t="str">
        <f aca="false">INDEX(PurchaseOrders!$B$2:$B$3001,MATCH(B337,PurchaseOrders!$A$2:$A$3001,0))</f>
        <v>V048</v>
      </c>
    </row>
    <row r="338" customFormat="false" ht="15" hidden="false" customHeight="true" outlineLevel="0" collapsed="false">
      <c r="A338" s="4" t="s">
        <v>3525</v>
      </c>
      <c r="B338" s="4" t="s">
        <v>514</v>
      </c>
      <c r="C338" s="4" t="n">
        <v>242</v>
      </c>
      <c r="D338" s="4" t="n">
        <v>4</v>
      </c>
      <c r="E338" s="13" t="n">
        <v>45459</v>
      </c>
      <c r="F338" s="4" t="s">
        <v>3192</v>
      </c>
      <c r="G338" s="4" t="str">
        <f aca="false">INDEX(PurchaseOrders!$B$2:$B$3001,MATCH(B338,PurchaseOrders!$A$2:$A$3001,0))</f>
        <v>V046</v>
      </c>
    </row>
    <row r="339" customFormat="false" ht="15" hidden="false" customHeight="true" outlineLevel="0" collapsed="false">
      <c r="A339" s="4" t="s">
        <v>3526</v>
      </c>
      <c r="B339" s="4" t="s">
        <v>515</v>
      </c>
      <c r="C339" s="4" t="n">
        <v>19</v>
      </c>
      <c r="D339" s="4" t="n">
        <v>2</v>
      </c>
      <c r="E339" s="13" t="n">
        <v>45512</v>
      </c>
      <c r="F339" s="4" t="s">
        <v>3188</v>
      </c>
      <c r="G339" s="4" t="str">
        <f aca="false">INDEX(PurchaseOrders!$B$2:$B$3001,MATCH(B339,PurchaseOrders!$A$2:$A$3001,0))</f>
        <v>V042</v>
      </c>
    </row>
    <row r="340" customFormat="false" ht="15" hidden="false" customHeight="true" outlineLevel="0" collapsed="false">
      <c r="A340" s="4" t="s">
        <v>3527</v>
      </c>
      <c r="B340" s="4" t="s">
        <v>516</v>
      </c>
      <c r="C340" s="4" t="n">
        <v>2514</v>
      </c>
      <c r="D340" s="4" t="n">
        <v>113</v>
      </c>
      <c r="E340" s="13" t="n">
        <v>44986</v>
      </c>
      <c r="F340" s="4" t="s">
        <v>3202</v>
      </c>
      <c r="G340" s="4" t="str">
        <f aca="false">INDEX(PurchaseOrders!$B$2:$B$3001,MATCH(B340,PurchaseOrders!$A$2:$A$3001,0))</f>
        <v>V003</v>
      </c>
    </row>
    <row r="341" customFormat="false" ht="15" hidden="false" customHeight="true" outlineLevel="0" collapsed="false">
      <c r="A341" s="4" t="s">
        <v>3528</v>
      </c>
      <c r="B341" s="4" t="s">
        <v>517</v>
      </c>
      <c r="C341" s="4" t="n">
        <v>220</v>
      </c>
      <c r="D341" s="4" t="n">
        <v>19</v>
      </c>
      <c r="E341" s="13" t="n">
        <v>44965</v>
      </c>
      <c r="F341" s="4" t="s">
        <v>3192</v>
      </c>
      <c r="G341" s="4" t="str">
        <f aca="false">INDEX(PurchaseOrders!$B$2:$B$3001,MATCH(B341,PurchaseOrders!$A$2:$A$3001,0))</f>
        <v>V043</v>
      </c>
    </row>
    <row r="342" customFormat="false" ht="15" hidden="false" customHeight="true" outlineLevel="0" collapsed="false">
      <c r="A342" s="4" t="s">
        <v>3529</v>
      </c>
      <c r="B342" s="4" t="s">
        <v>518</v>
      </c>
      <c r="C342" s="4" t="n">
        <v>1840</v>
      </c>
      <c r="D342" s="4" t="n">
        <v>29</v>
      </c>
      <c r="E342" s="13" t="n">
        <v>45199</v>
      </c>
      <c r="F342" s="4" t="s">
        <v>3188</v>
      </c>
      <c r="G342" s="4" t="str">
        <f aca="false">INDEX(PurchaseOrders!$B$2:$B$3001,MATCH(B342,PurchaseOrders!$A$2:$A$3001,0))</f>
        <v>V034</v>
      </c>
    </row>
    <row r="343" customFormat="false" ht="15" hidden="false" customHeight="true" outlineLevel="0" collapsed="false">
      <c r="A343" s="4" t="s">
        <v>3530</v>
      </c>
      <c r="B343" s="4" t="s">
        <v>519</v>
      </c>
      <c r="C343" s="4" t="n">
        <v>387</v>
      </c>
      <c r="D343" s="4" t="n">
        <v>11</v>
      </c>
      <c r="E343" s="13" t="n">
        <v>45534</v>
      </c>
      <c r="F343" s="4" t="s">
        <v>3188</v>
      </c>
      <c r="G343" s="4" t="str">
        <f aca="false">INDEX(PurchaseOrders!$B$2:$B$3001,MATCH(B343,PurchaseOrders!$A$2:$A$3001,0))</f>
        <v>V059</v>
      </c>
    </row>
    <row r="344" customFormat="false" ht="15" hidden="false" customHeight="true" outlineLevel="0" collapsed="false">
      <c r="A344" s="4" t="s">
        <v>3531</v>
      </c>
      <c r="B344" s="4" t="s">
        <v>520</v>
      </c>
      <c r="C344" s="4" t="n">
        <v>938</v>
      </c>
      <c r="D344" s="4" t="n">
        <v>0</v>
      </c>
      <c r="E344" s="13" t="n">
        <v>45674</v>
      </c>
      <c r="F344" s="4"/>
      <c r="G344" s="4" t="str">
        <f aca="false">INDEX(PurchaseOrders!$B$2:$B$3001,MATCH(B344,PurchaseOrders!$A$2:$A$3001,0))</f>
        <v>V017</v>
      </c>
    </row>
    <row r="345" customFormat="false" ht="15" hidden="false" customHeight="true" outlineLevel="0" collapsed="false">
      <c r="A345" s="4" t="s">
        <v>3532</v>
      </c>
      <c r="B345" s="4" t="s">
        <v>521</v>
      </c>
      <c r="C345" s="4" t="n">
        <v>78</v>
      </c>
      <c r="D345" s="4" t="n">
        <v>3</v>
      </c>
      <c r="E345" s="13" t="n">
        <v>44966</v>
      </c>
      <c r="F345" s="4" t="s">
        <v>3184</v>
      </c>
      <c r="G345" s="4" t="str">
        <f aca="false">INDEX(PurchaseOrders!$B$2:$B$3001,MATCH(B345,PurchaseOrders!$A$2:$A$3001,0))</f>
        <v>V037</v>
      </c>
    </row>
    <row r="346" customFormat="false" ht="15" hidden="false" customHeight="true" outlineLevel="0" collapsed="false">
      <c r="A346" s="4" t="s">
        <v>3533</v>
      </c>
      <c r="B346" s="4" t="s">
        <v>522</v>
      </c>
      <c r="C346" s="4" t="n">
        <v>11</v>
      </c>
      <c r="D346" s="4" t="n">
        <v>0</v>
      </c>
      <c r="E346" s="13" t="n">
        <v>45014</v>
      </c>
      <c r="F346" s="4"/>
      <c r="G346" s="4" t="str">
        <f aca="false">INDEX(PurchaseOrders!$B$2:$B$3001,MATCH(B346,PurchaseOrders!$A$2:$A$3001,0))</f>
        <v>V016</v>
      </c>
    </row>
    <row r="347" customFormat="false" ht="15" hidden="false" customHeight="true" outlineLevel="0" collapsed="false">
      <c r="A347" s="4" t="s">
        <v>3534</v>
      </c>
      <c r="B347" s="4" t="s">
        <v>523</v>
      </c>
      <c r="C347" s="4" t="n">
        <v>3883</v>
      </c>
      <c r="D347" s="4" t="n">
        <v>248</v>
      </c>
      <c r="E347" s="13" t="n">
        <v>45481</v>
      </c>
      <c r="F347" s="4" t="s">
        <v>3186</v>
      </c>
      <c r="G347" s="4" t="str">
        <f aca="false">INDEX(PurchaseOrders!$B$2:$B$3001,MATCH(B347,PurchaseOrders!$A$2:$A$3001,0))</f>
        <v>V001</v>
      </c>
    </row>
    <row r="348" customFormat="false" ht="15" hidden="false" customHeight="true" outlineLevel="0" collapsed="false">
      <c r="A348" s="4" t="s">
        <v>3535</v>
      </c>
      <c r="B348" s="4" t="s">
        <v>524</v>
      </c>
      <c r="C348" s="4" t="n">
        <v>915</v>
      </c>
      <c r="D348" s="4" t="n">
        <v>7</v>
      </c>
      <c r="E348" s="13" t="n">
        <v>45447</v>
      </c>
      <c r="F348" s="4" t="s">
        <v>3190</v>
      </c>
      <c r="G348" s="4" t="str">
        <f aca="false">INDEX(PurchaseOrders!$B$2:$B$3001,MATCH(B348,PurchaseOrders!$A$2:$A$3001,0))</f>
        <v>V059</v>
      </c>
    </row>
    <row r="349" customFormat="false" ht="15" hidden="false" customHeight="true" outlineLevel="0" collapsed="false">
      <c r="A349" s="4" t="s">
        <v>3536</v>
      </c>
      <c r="B349" s="4" t="s">
        <v>525</v>
      </c>
      <c r="C349" s="4" t="n">
        <v>1543</v>
      </c>
      <c r="D349" s="4" t="n">
        <v>328</v>
      </c>
      <c r="E349" s="13" t="n">
        <v>45511</v>
      </c>
      <c r="F349" s="4" t="s">
        <v>3202</v>
      </c>
      <c r="G349" s="4" t="str">
        <f aca="false">INDEX(PurchaseOrders!$B$2:$B$3001,MATCH(B349,PurchaseOrders!$A$2:$A$3001,0))</f>
        <v>V039</v>
      </c>
    </row>
    <row r="350" customFormat="false" ht="15" hidden="false" customHeight="true" outlineLevel="0" collapsed="false">
      <c r="A350" s="4" t="s">
        <v>3537</v>
      </c>
      <c r="B350" s="4" t="s">
        <v>526</v>
      </c>
      <c r="C350" s="4" t="n">
        <v>110</v>
      </c>
      <c r="D350" s="4" t="n">
        <v>2</v>
      </c>
      <c r="E350" s="13" t="n">
        <v>45526</v>
      </c>
      <c r="F350" s="4" t="s">
        <v>3190</v>
      </c>
      <c r="G350" s="4" t="str">
        <f aca="false">INDEX(PurchaseOrders!$B$2:$B$3001,MATCH(B350,PurchaseOrders!$A$2:$A$3001,0))</f>
        <v>V037</v>
      </c>
    </row>
    <row r="351" customFormat="false" ht="15" hidden="false" customHeight="true" outlineLevel="0" collapsed="false">
      <c r="A351" s="4" t="s">
        <v>3538</v>
      </c>
      <c r="B351" s="4" t="s">
        <v>527</v>
      </c>
      <c r="C351" s="4" t="n">
        <v>3736</v>
      </c>
      <c r="D351" s="4" t="n">
        <v>150</v>
      </c>
      <c r="E351" s="13" t="n">
        <v>45611</v>
      </c>
      <c r="F351" s="4" t="s">
        <v>3184</v>
      </c>
      <c r="G351" s="4" t="str">
        <f aca="false">INDEX(PurchaseOrders!$B$2:$B$3001,MATCH(B351,PurchaseOrders!$A$2:$A$3001,0))</f>
        <v>V058</v>
      </c>
    </row>
    <row r="352" customFormat="false" ht="15" hidden="false" customHeight="true" outlineLevel="0" collapsed="false">
      <c r="A352" s="4" t="s">
        <v>3539</v>
      </c>
      <c r="B352" s="4" t="s">
        <v>528</v>
      </c>
      <c r="C352" s="4" t="n">
        <v>278</v>
      </c>
      <c r="D352" s="4" t="n">
        <v>32</v>
      </c>
      <c r="E352" s="13" t="n">
        <v>45357</v>
      </c>
      <c r="F352" s="4" t="s">
        <v>3184</v>
      </c>
      <c r="G352" s="4" t="str">
        <f aca="false">INDEX(PurchaseOrders!$B$2:$B$3001,MATCH(B352,PurchaseOrders!$A$2:$A$3001,0))</f>
        <v>V049</v>
      </c>
    </row>
    <row r="353" customFormat="false" ht="15" hidden="false" customHeight="true" outlineLevel="0" collapsed="false">
      <c r="A353" s="4" t="s">
        <v>3540</v>
      </c>
      <c r="B353" s="4" t="s">
        <v>529</v>
      </c>
      <c r="C353" s="4" t="n">
        <v>1719</v>
      </c>
      <c r="D353" s="4" t="n">
        <v>225</v>
      </c>
      <c r="E353" s="13" t="n">
        <v>45570</v>
      </c>
      <c r="F353" s="4" t="s">
        <v>3188</v>
      </c>
      <c r="G353" s="4" t="str">
        <f aca="false">INDEX(PurchaseOrders!$B$2:$B$3001,MATCH(B353,PurchaseOrders!$A$2:$A$3001,0))</f>
        <v>V057</v>
      </c>
    </row>
    <row r="354" customFormat="false" ht="15" hidden="false" customHeight="true" outlineLevel="0" collapsed="false">
      <c r="A354" s="4" t="s">
        <v>3541</v>
      </c>
      <c r="B354" s="4" t="s">
        <v>530</v>
      </c>
      <c r="C354" s="4" t="n">
        <v>413</v>
      </c>
      <c r="D354" s="4" t="n">
        <v>32</v>
      </c>
      <c r="E354" s="13" t="n">
        <v>45685</v>
      </c>
      <c r="F354" s="4" t="s">
        <v>3184</v>
      </c>
      <c r="G354" s="4" t="str">
        <f aca="false">INDEX(PurchaseOrders!$B$2:$B$3001,MATCH(B354,PurchaseOrders!$A$2:$A$3001,0))</f>
        <v>V055</v>
      </c>
    </row>
    <row r="355" customFormat="false" ht="15" hidden="false" customHeight="true" outlineLevel="0" collapsed="false">
      <c r="A355" s="4" t="s">
        <v>3542</v>
      </c>
      <c r="B355" s="4" t="s">
        <v>531</v>
      </c>
      <c r="C355" s="4" t="n">
        <v>292</v>
      </c>
      <c r="D355" s="4" t="n">
        <v>21</v>
      </c>
      <c r="E355" s="13" t="n">
        <v>45271</v>
      </c>
      <c r="F355" s="4" t="s">
        <v>3202</v>
      </c>
      <c r="G355" s="4" t="str">
        <f aca="false">INDEX(PurchaseOrders!$B$2:$B$3001,MATCH(B355,PurchaseOrders!$A$2:$A$3001,0))</f>
        <v>V013</v>
      </c>
    </row>
    <row r="356" customFormat="false" ht="15" hidden="false" customHeight="true" outlineLevel="0" collapsed="false">
      <c r="A356" s="4" t="s">
        <v>3543</v>
      </c>
      <c r="B356" s="4" t="s">
        <v>532</v>
      </c>
      <c r="C356" s="4" t="n">
        <v>378</v>
      </c>
      <c r="D356" s="4" t="n">
        <v>1</v>
      </c>
      <c r="E356" s="13" t="n">
        <v>45235</v>
      </c>
      <c r="F356" s="4" t="s">
        <v>3190</v>
      </c>
      <c r="G356" s="4" t="str">
        <f aca="false">INDEX(PurchaseOrders!$B$2:$B$3001,MATCH(B356,PurchaseOrders!$A$2:$A$3001,0))</f>
        <v>V008</v>
      </c>
    </row>
    <row r="357" customFormat="false" ht="15" hidden="false" customHeight="true" outlineLevel="0" collapsed="false">
      <c r="A357" s="4" t="s">
        <v>3544</v>
      </c>
      <c r="B357" s="4" t="s">
        <v>533</v>
      </c>
      <c r="C357" s="4" t="n">
        <v>1618</v>
      </c>
      <c r="D357" s="4" t="n">
        <v>131</v>
      </c>
      <c r="E357" s="13" t="n">
        <v>45627</v>
      </c>
      <c r="F357" s="4" t="s">
        <v>3188</v>
      </c>
      <c r="G357" s="4" t="str">
        <f aca="false">INDEX(PurchaseOrders!$B$2:$B$3001,MATCH(B357,PurchaseOrders!$A$2:$A$3001,0))</f>
        <v>V027</v>
      </c>
    </row>
    <row r="358" customFormat="false" ht="15" hidden="false" customHeight="true" outlineLevel="0" collapsed="false">
      <c r="A358" s="4" t="s">
        <v>3545</v>
      </c>
      <c r="B358" s="4" t="s">
        <v>534</v>
      </c>
      <c r="C358" s="4" t="n">
        <v>837</v>
      </c>
      <c r="D358" s="4" t="n">
        <v>65</v>
      </c>
      <c r="E358" s="13" t="n">
        <v>45182</v>
      </c>
      <c r="F358" s="4" t="s">
        <v>3188</v>
      </c>
      <c r="G358" s="4" t="str">
        <f aca="false">INDEX(PurchaseOrders!$B$2:$B$3001,MATCH(B358,PurchaseOrders!$A$2:$A$3001,0))</f>
        <v>V034</v>
      </c>
    </row>
    <row r="359" customFormat="false" ht="15" hidden="false" customHeight="true" outlineLevel="0" collapsed="false">
      <c r="A359" s="4" t="s">
        <v>3546</v>
      </c>
      <c r="B359" s="4" t="s">
        <v>535</v>
      </c>
      <c r="C359" s="4" t="n">
        <v>1</v>
      </c>
      <c r="D359" s="4" t="n">
        <v>0</v>
      </c>
      <c r="E359" s="13" t="n">
        <v>44991</v>
      </c>
      <c r="F359" s="4"/>
      <c r="G359" s="4" t="str">
        <f aca="false">INDEX(PurchaseOrders!$B$2:$B$3001,MATCH(B359,PurchaseOrders!$A$2:$A$3001,0))</f>
        <v>V041</v>
      </c>
    </row>
    <row r="360" customFormat="false" ht="15" hidden="false" customHeight="true" outlineLevel="0" collapsed="false">
      <c r="A360" s="4" t="s">
        <v>3547</v>
      </c>
      <c r="B360" s="4" t="s">
        <v>536</v>
      </c>
      <c r="C360" s="4" t="n">
        <v>468</v>
      </c>
      <c r="D360" s="4" t="n">
        <v>23</v>
      </c>
      <c r="E360" s="13" t="n">
        <v>45480</v>
      </c>
      <c r="F360" s="4" t="s">
        <v>3190</v>
      </c>
      <c r="G360" s="4" t="str">
        <f aca="false">INDEX(PurchaseOrders!$B$2:$B$3001,MATCH(B360,PurchaseOrders!$A$2:$A$3001,0))</f>
        <v>V033</v>
      </c>
    </row>
    <row r="361" customFormat="false" ht="15" hidden="false" customHeight="true" outlineLevel="0" collapsed="false">
      <c r="A361" s="4" t="s">
        <v>3548</v>
      </c>
      <c r="B361" s="4" t="s">
        <v>537</v>
      </c>
      <c r="C361" s="4" t="n">
        <v>412</v>
      </c>
      <c r="D361" s="4" t="n">
        <v>19</v>
      </c>
      <c r="E361" s="13" t="n">
        <v>45304</v>
      </c>
      <c r="F361" s="4" t="s">
        <v>3188</v>
      </c>
      <c r="G361" s="4" t="str">
        <f aca="false">INDEX(PurchaseOrders!$B$2:$B$3001,MATCH(B361,PurchaseOrders!$A$2:$A$3001,0))</f>
        <v>V004</v>
      </c>
    </row>
    <row r="362" customFormat="false" ht="15" hidden="false" customHeight="true" outlineLevel="0" collapsed="false">
      <c r="A362" s="4" t="s">
        <v>3549</v>
      </c>
      <c r="B362" s="4" t="s">
        <v>538</v>
      </c>
      <c r="C362" s="4" t="n">
        <v>127</v>
      </c>
      <c r="D362" s="4" t="n">
        <v>4</v>
      </c>
      <c r="E362" s="13" t="n">
        <v>45593</v>
      </c>
      <c r="F362" s="4" t="s">
        <v>3184</v>
      </c>
      <c r="G362" s="4" t="str">
        <f aca="false">INDEX(PurchaseOrders!$B$2:$B$3001,MATCH(B362,PurchaseOrders!$A$2:$A$3001,0))</f>
        <v>V040</v>
      </c>
    </row>
    <row r="363" customFormat="false" ht="15" hidden="false" customHeight="true" outlineLevel="0" collapsed="false">
      <c r="A363" s="4" t="s">
        <v>3550</v>
      </c>
      <c r="B363" s="4" t="s">
        <v>539</v>
      </c>
      <c r="C363" s="4" t="n">
        <v>133</v>
      </c>
      <c r="D363" s="4" t="n">
        <v>3</v>
      </c>
      <c r="E363" s="13" t="n">
        <v>45006</v>
      </c>
      <c r="F363" s="4" t="s">
        <v>3186</v>
      </c>
      <c r="G363" s="4" t="str">
        <f aca="false">INDEX(PurchaseOrders!$B$2:$B$3001,MATCH(B363,PurchaseOrders!$A$2:$A$3001,0))</f>
        <v>V031</v>
      </c>
    </row>
    <row r="364" customFormat="false" ht="15" hidden="false" customHeight="true" outlineLevel="0" collapsed="false">
      <c r="A364" s="4" t="s">
        <v>3551</v>
      </c>
      <c r="B364" s="4" t="s">
        <v>540</v>
      </c>
      <c r="C364" s="4" t="n">
        <v>382</v>
      </c>
      <c r="D364" s="4" t="n">
        <v>0</v>
      </c>
      <c r="E364" s="13" t="n">
        <v>45163</v>
      </c>
      <c r="F364" s="4"/>
      <c r="G364" s="4" t="str">
        <f aca="false">INDEX(PurchaseOrders!$B$2:$B$3001,MATCH(B364,PurchaseOrders!$A$2:$A$3001,0))</f>
        <v>V020</v>
      </c>
    </row>
    <row r="365" customFormat="false" ht="15" hidden="false" customHeight="true" outlineLevel="0" collapsed="false">
      <c r="A365" s="4" t="s">
        <v>3552</v>
      </c>
      <c r="B365" s="4" t="s">
        <v>541</v>
      </c>
      <c r="C365" s="4" t="n">
        <v>152</v>
      </c>
      <c r="D365" s="4" t="n">
        <v>13</v>
      </c>
      <c r="E365" s="13" t="n">
        <v>45042</v>
      </c>
      <c r="F365" s="4" t="s">
        <v>3186</v>
      </c>
      <c r="G365" s="4" t="str">
        <f aca="false">INDEX(PurchaseOrders!$B$2:$B$3001,MATCH(B365,PurchaseOrders!$A$2:$A$3001,0))</f>
        <v>V013</v>
      </c>
    </row>
    <row r="366" customFormat="false" ht="15" hidden="false" customHeight="true" outlineLevel="0" collapsed="false">
      <c r="A366" s="4" t="s">
        <v>3553</v>
      </c>
      <c r="B366" s="4" t="s">
        <v>542</v>
      </c>
      <c r="C366" s="4" t="n">
        <v>13</v>
      </c>
      <c r="D366" s="4" t="n">
        <v>1</v>
      </c>
      <c r="E366" s="13" t="n">
        <v>45524</v>
      </c>
      <c r="F366" s="4" t="s">
        <v>3186</v>
      </c>
      <c r="G366" s="4" t="str">
        <f aca="false">INDEX(PurchaseOrders!$B$2:$B$3001,MATCH(B366,PurchaseOrders!$A$2:$A$3001,0))</f>
        <v>V041</v>
      </c>
    </row>
    <row r="367" customFormat="false" ht="15" hidden="false" customHeight="true" outlineLevel="0" collapsed="false">
      <c r="A367" s="4" t="s">
        <v>3554</v>
      </c>
      <c r="B367" s="4" t="s">
        <v>543</v>
      </c>
      <c r="C367" s="4" t="n">
        <v>1452</v>
      </c>
      <c r="D367" s="4" t="n">
        <v>44</v>
      </c>
      <c r="E367" s="13" t="n">
        <v>45304</v>
      </c>
      <c r="F367" s="4" t="s">
        <v>3192</v>
      </c>
      <c r="G367" s="4" t="str">
        <f aca="false">INDEX(PurchaseOrders!$B$2:$B$3001,MATCH(B367,PurchaseOrders!$A$2:$A$3001,0))</f>
        <v>V010</v>
      </c>
    </row>
    <row r="368" customFormat="false" ht="15" hidden="false" customHeight="true" outlineLevel="0" collapsed="false">
      <c r="A368" s="4" t="s">
        <v>3555</v>
      </c>
      <c r="B368" s="4" t="s">
        <v>544</v>
      </c>
      <c r="C368" s="4" t="n">
        <v>5</v>
      </c>
      <c r="D368" s="4" t="n">
        <v>0</v>
      </c>
      <c r="E368" s="13" t="n">
        <v>45307</v>
      </c>
      <c r="F368" s="4"/>
      <c r="G368" s="4" t="str">
        <f aca="false">INDEX(PurchaseOrders!$B$2:$B$3001,MATCH(B368,PurchaseOrders!$A$2:$A$3001,0))</f>
        <v>V041</v>
      </c>
    </row>
    <row r="369" customFormat="false" ht="15" hidden="false" customHeight="true" outlineLevel="0" collapsed="false">
      <c r="A369" s="4" t="s">
        <v>3556</v>
      </c>
      <c r="B369" s="4" t="s">
        <v>545</v>
      </c>
      <c r="C369" s="4" t="n">
        <v>27</v>
      </c>
      <c r="D369" s="4" t="n">
        <v>3</v>
      </c>
      <c r="E369" s="13" t="n">
        <v>45115</v>
      </c>
      <c r="F369" s="4" t="s">
        <v>3184</v>
      </c>
      <c r="G369" s="4" t="str">
        <f aca="false">INDEX(PurchaseOrders!$B$2:$B$3001,MATCH(B369,PurchaseOrders!$A$2:$A$3001,0))</f>
        <v>V009</v>
      </c>
    </row>
    <row r="370" customFormat="false" ht="15" hidden="false" customHeight="true" outlineLevel="0" collapsed="false">
      <c r="A370" s="4" t="s">
        <v>3557</v>
      </c>
      <c r="B370" s="4" t="s">
        <v>546</v>
      </c>
      <c r="C370" s="4" t="n">
        <v>2524</v>
      </c>
      <c r="D370" s="4" t="n">
        <v>78</v>
      </c>
      <c r="E370" s="13" t="n">
        <v>45164</v>
      </c>
      <c r="F370" s="4" t="s">
        <v>3184</v>
      </c>
      <c r="G370" s="4" t="str">
        <f aca="false">INDEX(PurchaseOrders!$B$2:$B$3001,MATCH(B370,PurchaseOrders!$A$2:$A$3001,0))</f>
        <v>V015</v>
      </c>
    </row>
    <row r="371" customFormat="false" ht="15" hidden="false" customHeight="true" outlineLevel="0" collapsed="false">
      <c r="A371" s="4" t="s">
        <v>3558</v>
      </c>
      <c r="B371" s="4" t="s">
        <v>547</v>
      </c>
      <c r="C371" s="4" t="n">
        <v>299</v>
      </c>
      <c r="D371" s="4" t="n">
        <v>22</v>
      </c>
      <c r="E371" s="13" t="n">
        <v>45309</v>
      </c>
      <c r="F371" s="4" t="s">
        <v>3186</v>
      </c>
      <c r="G371" s="4" t="str">
        <f aca="false">INDEX(PurchaseOrders!$B$2:$B$3001,MATCH(B371,PurchaseOrders!$A$2:$A$3001,0))</f>
        <v>V030</v>
      </c>
    </row>
    <row r="372" customFormat="false" ht="15" hidden="false" customHeight="true" outlineLevel="0" collapsed="false">
      <c r="A372" s="4" t="s">
        <v>3559</v>
      </c>
      <c r="B372" s="4" t="s">
        <v>548</v>
      </c>
      <c r="C372" s="4" t="n">
        <v>210</v>
      </c>
      <c r="D372" s="4" t="n">
        <v>21</v>
      </c>
      <c r="E372" s="13" t="n">
        <v>45431</v>
      </c>
      <c r="F372" s="4" t="s">
        <v>3188</v>
      </c>
      <c r="G372" s="4" t="str">
        <f aca="false">INDEX(PurchaseOrders!$B$2:$B$3001,MATCH(B372,PurchaseOrders!$A$2:$A$3001,0))</f>
        <v>V009</v>
      </c>
    </row>
    <row r="373" customFormat="false" ht="15" hidden="false" customHeight="true" outlineLevel="0" collapsed="false">
      <c r="A373" s="4" t="s">
        <v>3560</v>
      </c>
      <c r="B373" s="4" t="s">
        <v>549</v>
      </c>
      <c r="C373" s="4" t="n">
        <v>1928</v>
      </c>
      <c r="D373" s="4" t="n">
        <v>77</v>
      </c>
      <c r="E373" s="13" t="n">
        <v>45376</v>
      </c>
      <c r="F373" s="4" t="s">
        <v>3184</v>
      </c>
      <c r="G373" s="4" t="str">
        <f aca="false">INDEX(PurchaseOrders!$B$2:$B$3001,MATCH(B373,PurchaseOrders!$A$2:$A$3001,0))</f>
        <v>V010</v>
      </c>
    </row>
    <row r="374" customFormat="false" ht="15" hidden="false" customHeight="true" outlineLevel="0" collapsed="false">
      <c r="A374" s="4" t="s">
        <v>3561</v>
      </c>
      <c r="B374" s="4" t="s">
        <v>550</v>
      </c>
      <c r="C374" s="4" t="n">
        <v>973</v>
      </c>
      <c r="D374" s="4" t="n">
        <v>41</v>
      </c>
      <c r="E374" s="13" t="n">
        <v>45428</v>
      </c>
      <c r="F374" s="4" t="s">
        <v>3184</v>
      </c>
      <c r="G374" s="4" t="str">
        <f aca="false">INDEX(PurchaseOrders!$B$2:$B$3001,MATCH(B374,PurchaseOrders!$A$2:$A$3001,0))</f>
        <v>V007</v>
      </c>
    </row>
    <row r="375" customFormat="false" ht="15" hidden="false" customHeight="true" outlineLevel="0" collapsed="false">
      <c r="A375" s="4" t="s">
        <v>3562</v>
      </c>
      <c r="B375" s="4" t="s">
        <v>551</v>
      </c>
      <c r="C375" s="4" t="n">
        <v>67</v>
      </c>
      <c r="D375" s="4" t="n">
        <v>0</v>
      </c>
      <c r="E375" s="13" t="n">
        <v>45393</v>
      </c>
      <c r="F375" s="4"/>
      <c r="G375" s="4" t="str">
        <f aca="false">INDEX(PurchaseOrders!$B$2:$B$3001,MATCH(B375,PurchaseOrders!$A$2:$A$3001,0))</f>
        <v>V052</v>
      </c>
    </row>
    <row r="376" customFormat="false" ht="15" hidden="false" customHeight="true" outlineLevel="0" collapsed="false">
      <c r="A376" s="4" t="s">
        <v>3563</v>
      </c>
      <c r="B376" s="4" t="s">
        <v>552</v>
      </c>
      <c r="C376" s="4" t="n">
        <v>1735</v>
      </c>
      <c r="D376" s="4" t="n">
        <v>103</v>
      </c>
      <c r="E376" s="13" t="n">
        <v>44953</v>
      </c>
      <c r="F376" s="4" t="s">
        <v>3190</v>
      </c>
      <c r="G376" s="4" t="str">
        <f aca="false">INDEX(PurchaseOrders!$B$2:$B$3001,MATCH(B376,PurchaseOrders!$A$2:$A$3001,0))</f>
        <v>V007</v>
      </c>
    </row>
    <row r="377" customFormat="false" ht="15" hidden="false" customHeight="true" outlineLevel="0" collapsed="false">
      <c r="A377" s="4" t="s">
        <v>3564</v>
      </c>
      <c r="B377" s="4" t="s">
        <v>553</v>
      </c>
      <c r="C377" s="4" t="n">
        <v>393</v>
      </c>
      <c r="D377" s="4" t="n">
        <v>19</v>
      </c>
      <c r="E377" s="13" t="n">
        <v>45275</v>
      </c>
      <c r="F377" s="4" t="s">
        <v>3190</v>
      </c>
      <c r="G377" s="4" t="str">
        <f aca="false">INDEX(PurchaseOrders!$B$2:$B$3001,MATCH(B377,PurchaseOrders!$A$2:$A$3001,0))</f>
        <v>V048</v>
      </c>
    </row>
    <row r="378" customFormat="false" ht="15" hidden="false" customHeight="true" outlineLevel="0" collapsed="false">
      <c r="A378" s="4" t="s">
        <v>3565</v>
      </c>
      <c r="B378" s="4" t="s">
        <v>554</v>
      </c>
      <c r="C378" s="4" t="n">
        <v>54</v>
      </c>
      <c r="D378" s="4" t="n">
        <v>2</v>
      </c>
      <c r="E378" s="13" t="n">
        <v>45585</v>
      </c>
      <c r="F378" s="4" t="s">
        <v>3190</v>
      </c>
      <c r="G378" s="4" t="str">
        <f aca="false">INDEX(PurchaseOrders!$B$2:$B$3001,MATCH(B378,PurchaseOrders!$A$2:$A$3001,0))</f>
        <v>V052</v>
      </c>
    </row>
    <row r="379" customFormat="false" ht="15" hidden="false" customHeight="true" outlineLevel="0" collapsed="false">
      <c r="A379" s="4" t="s">
        <v>3566</v>
      </c>
      <c r="B379" s="4" t="s">
        <v>555</v>
      </c>
      <c r="C379" s="4" t="n">
        <v>907</v>
      </c>
      <c r="D379" s="4" t="n">
        <v>163</v>
      </c>
      <c r="E379" s="13" t="n">
        <v>45645</v>
      </c>
      <c r="F379" s="4" t="s">
        <v>3186</v>
      </c>
      <c r="G379" s="4" t="str">
        <f aca="false">INDEX(PurchaseOrders!$B$2:$B$3001,MATCH(B379,PurchaseOrders!$A$2:$A$3001,0))</f>
        <v>V025</v>
      </c>
    </row>
    <row r="380" customFormat="false" ht="15" hidden="false" customHeight="true" outlineLevel="0" collapsed="false">
      <c r="A380" s="4" t="s">
        <v>3567</v>
      </c>
      <c r="B380" s="4" t="s">
        <v>556</v>
      </c>
      <c r="C380" s="4" t="n">
        <v>1261</v>
      </c>
      <c r="D380" s="4" t="n">
        <v>283</v>
      </c>
      <c r="E380" s="13" t="n">
        <v>45168</v>
      </c>
      <c r="F380" s="4" t="s">
        <v>3184</v>
      </c>
      <c r="G380" s="4" t="str">
        <f aca="false">INDEX(PurchaseOrders!$B$2:$B$3001,MATCH(B380,PurchaseOrders!$A$2:$A$3001,0))</f>
        <v>V039</v>
      </c>
    </row>
    <row r="381" customFormat="false" ht="15" hidden="false" customHeight="true" outlineLevel="0" collapsed="false">
      <c r="A381" s="4" t="s">
        <v>3568</v>
      </c>
      <c r="B381" s="4" t="s">
        <v>557</v>
      </c>
      <c r="C381" s="4" t="n">
        <v>633</v>
      </c>
      <c r="D381" s="4" t="n">
        <v>34</v>
      </c>
      <c r="E381" s="13" t="n">
        <v>44969</v>
      </c>
      <c r="F381" s="4" t="s">
        <v>3186</v>
      </c>
      <c r="G381" s="4" t="str">
        <f aca="false">INDEX(PurchaseOrders!$B$2:$B$3001,MATCH(B381,PurchaseOrders!$A$2:$A$3001,0))</f>
        <v>V056</v>
      </c>
    </row>
    <row r="382" customFormat="false" ht="15" hidden="false" customHeight="true" outlineLevel="0" collapsed="false">
      <c r="A382" s="4" t="s">
        <v>3569</v>
      </c>
      <c r="B382" s="4" t="s">
        <v>558</v>
      </c>
      <c r="C382" s="4" t="n">
        <v>758</v>
      </c>
      <c r="D382" s="4" t="n">
        <v>41</v>
      </c>
      <c r="E382" s="13" t="n">
        <v>45149</v>
      </c>
      <c r="F382" s="4" t="s">
        <v>3184</v>
      </c>
      <c r="G382" s="4" t="str">
        <f aca="false">INDEX(PurchaseOrders!$B$2:$B$3001,MATCH(B382,PurchaseOrders!$A$2:$A$3001,0))</f>
        <v>V028</v>
      </c>
    </row>
    <row r="383" customFormat="false" ht="15" hidden="false" customHeight="true" outlineLevel="0" collapsed="false">
      <c r="A383" s="4" t="s">
        <v>3570</v>
      </c>
      <c r="B383" s="4" t="s">
        <v>559</v>
      </c>
      <c r="C383" s="4" t="n">
        <v>4977</v>
      </c>
      <c r="D383" s="4" t="n">
        <v>157</v>
      </c>
      <c r="E383" s="13" t="n">
        <v>45210</v>
      </c>
      <c r="F383" s="4" t="s">
        <v>3192</v>
      </c>
      <c r="G383" s="4" t="str">
        <f aca="false">INDEX(PurchaseOrders!$B$2:$B$3001,MATCH(B383,PurchaseOrders!$A$2:$A$3001,0))</f>
        <v>V002</v>
      </c>
    </row>
    <row r="384" customFormat="false" ht="15" hidden="false" customHeight="true" outlineLevel="0" collapsed="false">
      <c r="A384" s="4" t="s">
        <v>3571</v>
      </c>
      <c r="B384" s="4" t="s">
        <v>560</v>
      </c>
      <c r="C384" s="4" t="n">
        <v>1131</v>
      </c>
      <c r="D384" s="4" t="n">
        <v>232</v>
      </c>
      <c r="E384" s="13" t="n">
        <v>45345</v>
      </c>
      <c r="F384" s="4" t="s">
        <v>3188</v>
      </c>
      <c r="G384" s="4" t="str">
        <f aca="false">INDEX(PurchaseOrders!$B$2:$B$3001,MATCH(B384,PurchaseOrders!$A$2:$A$3001,0))</f>
        <v>V039</v>
      </c>
    </row>
    <row r="385" customFormat="false" ht="15" hidden="false" customHeight="true" outlineLevel="0" collapsed="false">
      <c r="A385" s="4" t="s">
        <v>3572</v>
      </c>
      <c r="B385" s="4" t="s">
        <v>561</v>
      </c>
      <c r="C385" s="4" t="n">
        <v>1398</v>
      </c>
      <c r="D385" s="4" t="n">
        <v>116</v>
      </c>
      <c r="E385" s="13" t="n">
        <v>45547</v>
      </c>
      <c r="F385" s="4" t="s">
        <v>3192</v>
      </c>
      <c r="G385" s="4" t="str">
        <f aca="false">INDEX(PurchaseOrders!$B$2:$B$3001,MATCH(B385,PurchaseOrders!$A$2:$A$3001,0))</f>
        <v>V005</v>
      </c>
    </row>
    <row r="386" customFormat="false" ht="15" hidden="false" customHeight="true" outlineLevel="0" collapsed="false">
      <c r="A386" s="4" t="s">
        <v>3573</v>
      </c>
      <c r="B386" s="4" t="s">
        <v>562</v>
      </c>
      <c r="C386" s="4" t="n">
        <v>129</v>
      </c>
      <c r="D386" s="4" t="n">
        <v>3</v>
      </c>
      <c r="E386" s="13" t="n">
        <v>45260</v>
      </c>
      <c r="F386" s="4" t="s">
        <v>3188</v>
      </c>
      <c r="G386" s="4" t="str">
        <f aca="false">INDEX(PurchaseOrders!$B$2:$B$3001,MATCH(B386,PurchaseOrders!$A$2:$A$3001,0))</f>
        <v>V031</v>
      </c>
    </row>
    <row r="387" customFormat="false" ht="15" hidden="false" customHeight="true" outlineLevel="0" collapsed="false">
      <c r="A387" s="4" t="s">
        <v>3574</v>
      </c>
      <c r="B387" s="4" t="s">
        <v>563</v>
      </c>
      <c r="C387" s="4" t="n">
        <v>4</v>
      </c>
      <c r="D387" s="4" t="n">
        <v>0</v>
      </c>
      <c r="E387" s="13" t="n">
        <v>45250</v>
      </c>
      <c r="F387" s="4"/>
      <c r="G387" s="4" t="str">
        <f aca="false">INDEX(PurchaseOrders!$B$2:$B$3001,MATCH(B387,PurchaseOrders!$A$2:$A$3001,0))</f>
        <v>V053</v>
      </c>
    </row>
    <row r="388" customFormat="false" ht="15" hidden="false" customHeight="true" outlineLevel="0" collapsed="false">
      <c r="A388" s="4" t="s">
        <v>3575</v>
      </c>
      <c r="B388" s="4" t="s">
        <v>564</v>
      </c>
      <c r="C388" s="4" t="n">
        <v>16</v>
      </c>
      <c r="D388" s="4" t="n">
        <v>1</v>
      </c>
      <c r="E388" s="13" t="n">
        <v>45485</v>
      </c>
      <c r="F388" s="4" t="s">
        <v>3184</v>
      </c>
      <c r="G388" s="4" t="str">
        <f aca="false">INDEX(PurchaseOrders!$B$2:$B$3001,MATCH(B388,PurchaseOrders!$A$2:$A$3001,0))</f>
        <v>V042</v>
      </c>
    </row>
    <row r="389" customFormat="false" ht="15" hidden="false" customHeight="true" outlineLevel="0" collapsed="false">
      <c r="A389" s="4" t="s">
        <v>3576</v>
      </c>
      <c r="B389" s="4" t="s">
        <v>565</v>
      </c>
      <c r="C389" s="4" t="n">
        <v>172</v>
      </c>
      <c r="D389" s="4" t="n">
        <v>18</v>
      </c>
      <c r="E389" s="13" t="n">
        <v>45187</v>
      </c>
      <c r="F389" s="4" t="s">
        <v>3188</v>
      </c>
      <c r="G389" s="4" t="str">
        <f aca="false">INDEX(PurchaseOrders!$B$2:$B$3001,MATCH(B389,PurchaseOrders!$A$2:$A$3001,0))</f>
        <v>V049</v>
      </c>
    </row>
    <row r="390" customFormat="false" ht="15" hidden="false" customHeight="true" outlineLevel="0" collapsed="false">
      <c r="A390" s="4" t="s">
        <v>3577</v>
      </c>
      <c r="B390" s="4" t="s">
        <v>566</v>
      </c>
      <c r="C390" s="4" t="n">
        <v>10</v>
      </c>
      <c r="D390" s="4" t="n">
        <v>1</v>
      </c>
      <c r="E390" s="13" t="n">
        <v>45302</v>
      </c>
      <c r="F390" s="4" t="s">
        <v>3186</v>
      </c>
      <c r="G390" s="4" t="str">
        <f aca="false">INDEX(PurchaseOrders!$B$2:$B$3001,MATCH(B390,PurchaseOrders!$A$2:$A$3001,0))</f>
        <v>V054</v>
      </c>
    </row>
    <row r="391" customFormat="false" ht="15" hidden="false" customHeight="true" outlineLevel="0" collapsed="false">
      <c r="A391" s="4" t="s">
        <v>3578</v>
      </c>
      <c r="B391" s="4" t="s">
        <v>567</v>
      </c>
      <c r="C391" s="4" t="n">
        <v>289</v>
      </c>
      <c r="D391" s="4" t="n">
        <v>66</v>
      </c>
      <c r="E391" s="13" t="n">
        <v>45642</v>
      </c>
      <c r="F391" s="4" t="s">
        <v>3192</v>
      </c>
      <c r="G391" s="4" t="str">
        <f aca="false">INDEX(PurchaseOrders!$B$2:$B$3001,MATCH(B391,PurchaseOrders!$A$2:$A$3001,0))</f>
        <v>V039</v>
      </c>
    </row>
    <row r="392" customFormat="false" ht="15" hidden="false" customHeight="true" outlineLevel="0" collapsed="false">
      <c r="A392" s="4" t="s">
        <v>3579</v>
      </c>
      <c r="B392" s="4" t="s">
        <v>568</v>
      </c>
      <c r="C392" s="4" t="n">
        <v>1858</v>
      </c>
      <c r="D392" s="4" t="n">
        <v>63</v>
      </c>
      <c r="E392" s="13" t="n">
        <v>45147</v>
      </c>
      <c r="F392" s="4" t="s">
        <v>3186</v>
      </c>
      <c r="G392" s="4" t="str">
        <f aca="false">INDEX(PurchaseOrders!$B$2:$B$3001,MATCH(B392,PurchaseOrders!$A$2:$A$3001,0))</f>
        <v>V021</v>
      </c>
    </row>
    <row r="393" customFormat="false" ht="15" hidden="false" customHeight="true" outlineLevel="0" collapsed="false">
      <c r="A393" s="4" t="s">
        <v>3580</v>
      </c>
      <c r="B393" s="4" t="s">
        <v>569</v>
      </c>
      <c r="C393" s="4" t="n">
        <v>226</v>
      </c>
      <c r="D393" s="4" t="n">
        <v>3</v>
      </c>
      <c r="E393" s="13" t="n">
        <v>45434</v>
      </c>
      <c r="F393" s="4" t="s">
        <v>3184</v>
      </c>
      <c r="G393" s="4" t="str">
        <f aca="false">INDEX(PurchaseOrders!$B$2:$B$3001,MATCH(B393,PurchaseOrders!$A$2:$A$3001,0))</f>
        <v>V008</v>
      </c>
    </row>
    <row r="394" customFormat="false" ht="15" hidden="false" customHeight="true" outlineLevel="0" collapsed="false">
      <c r="A394" s="4" t="s">
        <v>3581</v>
      </c>
      <c r="B394" s="4" t="s">
        <v>570</v>
      </c>
      <c r="C394" s="4" t="n">
        <v>1203</v>
      </c>
      <c r="D394" s="4" t="n">
        <v>12</v>
      </c>
      <c r="E394" s="13" t="n">
        <v>45005</v>
      </c>
      <c r="F394" s="4" t="s">
        <v>3188</v>
      </c>
      <c r="G394" s="4" t="str">
        <f aca="false">INDEX(PurchaseOrders!$B$2:$B$3001,MATCH(B394,PurchaseOrders!$A$2:$A$3001,0))</f>
        <v>V010</v>
      </c>
    </row>
    <row r="395" customFormat="false" ht="15" hidden="false" customHeight="true" outlineLevel="0" collapsed="false">
      <c r="A395" s="4" t="s">
        <v>3582</v>
      </c>
      <c r="B395" s="4" t="s">
        <v>571</v>
      </c>
      <c r="C395" s="4" t="n">
        <v>3551</v>
      </c>
      <c r="D395" s="4" t="n">
        <v>102</v>
      </c>
      <c r="E395" s="13" t="n">
        <v>45564</v>
      </c>
      <c r="F395" s="4" t="s">
        <v>3192</v>
      </c>
      <c r="G395" s="4" t="str">
        <f aca="false">INDEX(PurchaseOrders!$B$2:$B$3001,MATCH(B395,PurchaseOrders!$A$2:$A$3001,0))</f>
        <v>V003</v>
      </c>
    </row>
    <row r="396" customFormat="false" ht="15" hidden="false" customHeight="true" outlineLevel="0" collapsed="false">
      <c r="A396" s="4" t="s">
        <v>3583</v>
      </c>
      <c r="B396" s="4" t="s">
        <v>572</v>
      </c>
      <c r="C396" s="4" t="n">
        <v>1443</v>
      </c>
      <c r="D396" s="4" t="n">
        <v>35</v>
      </c>
      <c r="E396" s="13" t="n">
        <v>45497</v>
      </c>
      <c r="F396" s="4" t="s">
        <v>3186</v>
      </c>
      <c r="G396" s="4" t="str">
        <f aca="false">INDEX(PurchaseOrders!$B$2:$B$3001,MATCH(B396,PurchaseOrders!$A$2:$A$3001,0))</f>
        <v>V021</v>
      </c>
    </row>
    <row r="397" customFormat="false" ht="15" hidden="false" customHeight="true" outlineLevel="0" collapsed="false">
      <c r="A397" s="4" t="s">
        <v>3584</v>
      </c>
      <c r="B397" s="4" t="s">
        <v>573</v>
      </c>
      <c r="C397" s="4" t="n">
        <v>132</v>
      </c>
      <c r="D397" s="4" t="n">
        <v>6</v>
      </c>
      <c r="E397" s="13" t="n">
        <v>45258</v>
      </c>
      <c r="F397" s="4" t="s">
        <v>3184</v>
      </c>
      <c r="G397" s="4" t="str">
        <f aca="false">INDEX(PurchaseOrders!$B$2:$B$3001,MATCH(B397,PurchaseOrders!$A$2:$A$3001,0))</f>
        <v>V052</v>
      </c>
    </row>
    <row r="398" customFormat="false" ht="15" hidden="false" customHeight="true" outlineLevel="0" collapsed="false">
      <c r="A398" s="4" t="s">
        <v>3585</v>
      </c>
      <c r="B398" s="4" t="s">
        <v>574</v>
      </c>
      <c r="C398" s="4" t="n">
        <v>3</v>
      </c>
      <c r="D398" s="4" t="n">
        <v>0</v>
      </c>
      <c r="E398" s="13" t="n">
        <v>45210</v>
      </c>
      <c r="F398" s="4"/>
      <c r="G398" s="4" t="str">
        <f aca="false">INDEX(PurchaseOrders!$B$2:$B$3001,MATCH(B398,PurchaseOrders!$A$2:$A$3001,0))</f>
        <v>V053</v>
      </c>
    </row>
    <row r="399" customFormat="false" ht="15" hidden="false" customHeight="true" outlineLevel="0" collapsed="false">
      <c r="A399" s="4" t="s">
        <v>3586</v>
      </c>
      <c r="B399" s="4" t="s">
        <v>575</v>
      </c>
      <c r="C399" s="4" t="n">
        <v>17</v>
      </c>
      <c r="D399" s="4" t="n">
        <v>1</v>
      </c>
      <c r="E399" s="13" t="n">
        <v>45380</v>
      </c>
      <c r="F399" s="4" t="s">
        <v>3202</v>
      </c>
      <c r="G399" s="4" t="str">
        <f aca="false">INDEX(PurchaseOrders!$B$2:$B$3001,MATCH(B399,PurchaseOrders!$A$2:$A$3001,0))</f>
        <v>V016</v>
      </c>
    </row>
    <row r="400" customFormat="false" ht="15" hidden="false" customHeight="true" outlineLevel="0" collapsed="false">
      <c r="A400" s="4" t="s">
        <v>3587</v>
      </c>
      <c r="B400" s="4" t="s">
        <v>576</v>
      </c>
      <c r="C400" s="4" t="n">
        <v>397</v>
      </c>
      <c r="D400" s="4" t="n">
        <v>18</v>
      </c>
      <c r="E400" s="13" t="n">
        <v>45488</v>
      </c>
      <c r="F400" s="4" t="s">
        <v>3192</v>
      </c>
      <c r="G400" s="4" t="str">
        <f aca="false">INDEX(PurchaseOrders!$B$2:$B$3001,MATCH(B400,PurchaseOrders!$A$2:$A$3001,0))</f>
        <v>V033</v>
      </c>
    </row>
    <row r="401" customFormat="false" ht="15" hidden="false" customHeight="true" outlineLevel="0" collapsed="false">
      <c r="A401" s="4" t="s">
        <v>3588</v>
      </c>
      <c r="B401" s="4" t="s">
        <v>577</v>
      </c>
      <c r="C401" s="4" t="n">
        <v>13</v>
      </c>
      <c r="D401" s="4" t="n">
        <v>0</v>
      </c>
      <c r="E401" s="13" t="n">
        <v>45237</v>
      </c>
      <c r="F401" s="4"/>
      <c r="G401" s="4" t="str">
        <f aca="false">INDEX(PurchaseOrders!$B$2:$B$3001,MATCH(B401,PurchaseOrders!$A$2:$A$3001,0))</f>
        <v>V019</v>
      </c>
    </row>
    <row r="402" customFormat="false" ht="15" hidden="false" customHeight="true" outlineLevel="0" collapsed="false">
      <c r="A402" s="4" t="s">
        <v>3589</v>
      </c>
      <c r="B402" s="4" t="s">
        <v>578</v>
      </c>
      <c r="C402" s="4" t="n">
        <v>942</v>
      </c>
      <c r="D402" s="4" t="n">
        <v>175</v>
      </c>
      <c r="E402" s="13" t="n">
        <v>45372</v>
      </c>
      <c r="F402" s="4" t="s">
        <v>3188</v>
      </c>
      <c r="G402" s="4" t="str">
        <f aca="false">INDEX(PurchaseOrders!$B$2:$B$3001,MATCH(B402,PurchaseOrders!$A$2:$A$3001,0))</f>
        <v>V039</v>
      </c>
    </row>
    <row r="403" customFormat="false" ht="15" hidden="false" customHeight="true" outlineLevel="0" collapsed="false">
      <c r="A403" s="4" t="s">
        <v>3590</v>
      </c>
      <c r="B403" s="4" t="s">
        <v>579</v>
      </c>
      <c r="C403" s="4" t="n">
        <v>1379</v>
      </c>
      <c r="D403" s="4" t="n">
        <v>58</v>
      </c>
      <c r="E403" s="13" t="n">
        <v>45018</v>
      </c>
      <c r="F403" s="4" t="s">
        <v>3188</v>
      </c>
      <c r="G403" s="4" t="str">
        <f aca="false">INDEX(PurchaseOrders!$B$2:$B$3001,MATCH(B403,PurchaseOrders!$A$2:$A$3001,0))</f>
        <v>V056</v>
      </c>
    </row>
    <row r="404" customFormat="false" ht="15" hidden="false" customHeight="true" outlineLevel="0" collapsed="false">
      <c r="A404" s="4" t="s">
        <v>3591</v>
      </c>
      <c r="B404" s="4" t="s">
        <v>580</v>
      </c>
      <c r="C404" s="4" t="n">
        <v>1844</v>
      </c>
      <c r="D404" s="4" t="n">
        <v>295</v>
      </c>
      <c r="E404" s="13" t="n">
        <v>44990</v>
      </c>
      <c r="F404" s="4" t="s">
        <v>3192</v>
      </c>
      <c r="G404" s="4" t="str">
        <f aca="false">INDEX(PurchaseOrders!$B$2:$B$3001,MATCH(B404,PurchaseOrders!$A$2:$A$3001,0))</f>
        <v>V025</v>
      </c>
    </row>
    <row r="405" customFormat="false" ht="15" hidden="false" customHeight="true" outlineLevel="0" collapsed="false">
      <c r="A405" s="4" t="s">
        <v>3592</v>
      </c>
      <c r="B405" s="4" t="s">
        <v>581</v>
      </c>
      <c r="C405" s="4" t="n">
        <v>276</v>
      </c>
      <c r="D405" s="4" t="n">
        <v>1</v>
      </c>
      <c r="E405" s="13" t="n">
        <v>45481</v>
      </c>
      <c r="F405" s="4" t="s">
        <v>3184</v>
      </c>
      <c r="G405" s="4" t="str">
        <f aca="false">INDEX(PurchaseOrders!$B$2:$B$3001,MATCH(B405,PurchaseOrders!$A$2:$A$3001,0))</f>
        <v>V035</v>
      </c>
    </row>
    <row r="406" customFormat="false" ht="15" hidden="false" customHeight="true" outlineLevel="0" collapsed="false">
      <c r="A406" s="4" t="s">
        <v>3593</v>
      </c>
      <c r="B406" s="4" t="s">
        <v>582</v>
      </c>
      <c r="C406" s="4" t="n">
        <v>170</v>
      </c>
      <c r="D406" s="4" t="n">
        <v>9</v>
      </c>
      <c r="E406" s="13" t="n">
        <v>45013</v>
      </c>
      <c r="F406" s="4" t="s">
        <v>3192</v>
      </c>
      <c r="G406" s="4" t="str">
        <f aca="false">INDEX(PurchaseOrders!$B$2:$B$3001,MATCH(B406,PurchaseOrders!$A$2:$A$3001,0))</f>
        <v>V029</v>
      </c>
    </row>
    <row r="407" customFormat="false" ht="15" hidden="false" customHeight="true" outlineLevel="0" collapsed="false">
      <c r="A407" s="4" t="s">
        <v>3594</v>
      </c>
      <c r="B407" s="4" t="s">
        <v>583</v>
      </c>
      <c r="C407" s="4" t="n">
        <v>439</v>
      </c>
      <c r="D407" s="4" t="n">
        <v>8</v>
      </c>
      <c r="E407" s="13" t="n">
        <v>45461</v>
      </c>
      <c r="F407" s="4" t="s">
        <v>3202</v>
      </c>
      <c r="G407" s="4" t="str">
        <f aca="false">INDEX(PurchaseOrders!$B$2:$B$3001,MATCH(B407,PurchaseOrders!$A$2:$A$3001,0))</f>
        <v>V020</v>
      </c>
    </row>
    <row r="408" customFormat="false" ht="15" hidden="false" customHeight="true" outlineLevel="0" collapsed="false">
      <c r="A408" s="4" t="s">
        <v>3595</v>
      </c>
      <c r="B408" s="4" t="s">
        <v>584</v>
      </c>
      <c r="C408" s="4" t="n">
        <v>258</v>
      </c>
      <c r="D408" s="4" t="n">
        <v>0</v>
      </c>
      <c r="E408" s="13" t="n">
        <v>45090</v>
      </c>
      <c r="F408" s="4"/>
      <c r="G408" s="4" t="str">
        <f aca="false">INDEX(PurchaseOrders!$B$2:$B$3001,MATCH(B408,PurchaseOrders!$A$2:$A$3001,0))</f>
        <v>V060</v>
      </c>
    </row>
    <row r="409" customFormat="false" ht="15" hidden="false" customHeight="true" outlineLevel="0" collapsed="false">
      <c r="A409" s="4" t="s">
        <v>3596</v>
      </c>
      <c r="B409" s="4" t="s">
        <v>585</v>
      </c>
      <c r="C409" s="4" t="n">
        <v>904</v>
      </c>
      <c r="D409" s="4" t="n">
        <v>17</v>
      </c>
      <c r="E409" s="13" t="n">
        <v>45474</v>
      </c>
      <c r="F409" s="4" t="s">
        <v>3190</v>
      </c>
      <c r="G409" s="4" t="str">
        <f aca="false">INDEX(PurchaseOrders!$B$2:$B$3001,MATCH(B409,PurchaseOrders!$A$2:$A$3001,0))</f>
        <v>V059</v>
      </c>
    </row>
    <row r="410" customFormat="false" ht="15" hidden="false" customHeight="true" outlineLevel="0" collapsed="false">
      <c r="A410" s="4" t="s">
        <v>3597</v>
      </c>
      <c r="B410" s="4" t="s">
        <v>586</v>
      </c>
      <c r="C410" s="4" t="n">
        <v>3666</v>
      </c>
      <c r="D410" s="4" t="n">
        <v>643</v>
      </c>
      <c r="E410" s="13" t="n">
        <v>44959</v>
      </c>
      <c r="F410" s="4" t="s">
        <v>3186</v>
      </c>
      <c r="G410" s="4" t="str">
        <f aca="false">INDEX(PurchaseOrders!$B$2:$B$3001,MATCH(B410,PurchaseOrders!$A$2:$A$3001,0))</f>
        <v>V026</v>
      </c>
    </row>
    <row r="411" customFormat="false" ht="15" hidden="false" customHeight="true" outlineLevel="0" collapsed="false">
      <c r="A411" s="4" t="s">
        <v>3598</v>
      </c>
      <c r="B411" s="4" t="s">
        <v>587</v>
      </c>
      <c r="C411" s="4" t="n">
        <v>903</v>
      </c>
      <c r="D411" s="4" t="n">
        <v>0</v>
      </c>
      <c r="E411" s="13" t="n">
        <v>45238</v>
      </c>
      <c r="F411" s="4"/>
      <c r="G411" s="4" t="str">
        <f aca="false">INDEX(PurchaseOrders!$B$2:$B$3001,MATCH(B411,PurchaseOrders!$A$2:$A$3001,0))</f>
        <v>V059</v>
      </c>
    </row>
    <row r="412" customFormat="false" ht="15" hidden="false" customHeight="true" outlineLevel="0" collapsed="false">
      <c r="A412" s="4" t="s">
        <v>3599</v>
      </c>
      <c r="B412" s="4" t="s">
        <v>588</v>
      </c>
      <c r="C412" s="4" t="n">
        <v>11</v>
      </c>
      <c r="D412" s="4" t="n">
        <v>1</v>
      </c>
      <c r="E412" s="13" t="n">
        <v>45384</v>
      </c>
      <c r="F412" s="4" t="s">
        <v>3184</v>
      </c>
      <c r="G412" s="4" t="str">
        <f aca="false">INDEX(PurchaseOrders!$B$2:$B$3001,MATCH(B412,PurchaseOrders!$A$2:$A$3001,0))</f>
        <v>V041</v>
      </c>
    </row>
    <row r="413" customFormat="false" ht="15" hidden="false" customHeight="true" outlineLevel="0" collapsed="false">
      <c r="A413" s="4" t="s">
        <v>3600</v>
      </c>
      <c r="B413" s="4" t="s">
        <v>589</v>
      </c>
      <c r="C413" s="4" t="n">
        <v>910</v>
      </c>
      <c r="D413" s="4" t="n">
        <v>241</v>
      </c>
      <c r="E413" s="13" t="n">
        <v>45144</v>
      </c>
      <c r="F413" s="4" t="s">
        <v>3184</v>
      </c>
      <c r="G413" s="4" t="str">
        <f aca="false">INDEX(PurchaseOrders!$B$2:$B$3001,MATCH(B413,PurchaseOrders!$A$2:$A$3001,0))</f>
        <v>V039</v>
      </c>
    </row>
    <row r="414" customFormat="false" ht="15" hidden="false" customHeight="true" outlineLevel="0" collapsed="false">
      <c r="A414" s="4" t="s">
        <v>3601</v>
      </c>
      <c r="B414" s="4" t="s">
        <v>590</v>
      </c>
      <c r="C414" s="4" t="n">
        <v>1681</v>
      </c>
      <c r="D414" s="4" t="n">
        <v>198</v>
      </c>
      <c r="E414" s="13" t="n">
        <v>44992</v>
      </c>
      <c r="F414" s="4" t="s">
        <v>3186</v>
      </c>
      <c r="G414" s="4" t="str">
        <f aca="false">INDEX(PurchaseOrders!$B$2:$B$3001,MATCH(B414,PurchaseOrders!$A$2:$A$3001,0))</f>
        <v>V044</v>
      </c>
    </row>
    <row r="415" customFormat="false" ht="15" hidden="false" customHeight="true" outlineLevel="0" collapsed="false">
      <c r="A415" s="4" t="s">
        <v>3602</v>
      </c>
      <c r="B415" s="4" t="s">
        <v>591</v>
      </c>
      <c r="C415" s="4" t="n">
        <v>447</v>
      </c>
      <c r="D415" s="4" t="n">
        <v>22</v>
      </c>
      <c r="E415" s="13" t="n">
        <v>45042</v>
      </c>
      <c r="F415" s="4" t="s">
        <v>3190</v>
      </c>
      <c r="G415" s="4" t="str">
        <f aca="false">INDEX(PurchaseOrders!$B$2:$B$3001,MATCH(B415,PurchaseOrders!$A$2:$A$3001,0))</f>
        <v>V031</v>
      </c>
    </row>
    <row r="416" customFormat="false" ht="15" hidden="false" customHeight="true" outlineLevel="0" collapsed="false">
      <c r="A416" s="4" t="s">
        <v>3603</v>
      </c>
      <c r="B416" s="4" t="s">
        <v>592</v>
      </c>
      <c r="C416" s="4" t="n">
        <v>619</v>
      </c>
      <c r="D416" s="4" t="n">
        <v>23</v>
      </c>
      <c r="E416" s="13" t="n">
        <v>45264</v>
      </c>
      <c r="F416" s="4" t="s">
        <v>3188</v>
      </c>
      <c r="G416" s="4" t="str">
        <f aca="false">INDEX(PurchaseOrders!$B$2:$B$3001,MATCH(B416,PurchaseOrders!$A$2:$A$3001,0))</f>
        <v>V021</v>
      </c>
    </row>
    <row r="417" customFormat="false" ht="15" hidden="false" customHeight="true" outlineLevel="0" collapsed="false">
      <c r="A417" s="4" t="s">
        <v>3604</v>
      </c>
      <c r="B417" s="4" t="s">
        <v>593</v>
      </c>
      <c r="C417" s="4" t="n">
        <v>1436</v>
      </c>
      <c r="D417" s="4" t="n">
        <v>90</v>
      </c>
      <c r="E417" s="13" t="n">
        <v>45377</v>
      </c>
      <c r="F417" s="4" t="s">
        <v>3184</v>
      </c>
      <c r="G417" s="4" t="str">
        <f aca="false">INDEX(PurchaseOrders!$B$2:$B$3001,MATCH(B417,PurchaseOrders!$A$2:$A$3001,0))</f>
        <v>V022</v>
      </c>
    </row>
    <row r="418" customFormat="false" ht="15" hidden="false" customHeight="true" outlineLevel="0" collapsed="false">
      <c r="A418" s="4" t="s">
        <v>3605</v>
      </c>
      <c r="B418" s="4" t="s">
        <v>594</v>
      </c>
      <c r="C418" s="4" t="n">
        <v>545</v>
      </c>
      <c r="D418" s="4" t="n">
        <v>106</v>
      </c>
      <c r="E418" s="13" t="n">
        <v>45669</v>
      </c>
      <c r="F418" s="4" t="s">
        <v>3190</v>
      </c>
      <c r="G418" s="4" t="str">
        <f aca="false">INDEX(PurchaseOrders!$B$2:$B$3001,MATCH(B418,PurchaseOrders!$A$2:$A$3001,0))</f>
        <v>V039</v>
      </c>
    </row>
    <row r="419" customFormat="false" ht="15" hidden="false" customHeight="true" outlineLevel="0" collapsed="false">
      <c r="A419" s="4" t="s">
        <v>3606</v>
      </c>
      <c r="B419" s="4" t="s">
        <v>595</v>
      </c>
      <c r="C419" s="4" t="n">
        <v>4065</v>
      </c>
      <c r="D419" s="4" t="n">
        <v>554</v>
      </c>
      <c r="E419" s="13" t="n">
        <v>45590</v>
      </c>
      <c r="F419" s="4" t="s">
        <v>3190</v>
      </c>
      <c r="G419" s="4" t="str">
        <f aca="false">INDEX(PurchaseOrders!$B$2:$B$3001,MATCH(B419,PurchaseOrders!$A$2:$A$3001,0))</f>
        <v>V038</v>
      </c>
    </row>
    <row r="420" customFormat="false" ht="15" hidden="false" customHeight="true" outlineLevel="0" collapsed="false">
      <c r="A420" s="4" t="s">
        <v>3607</v>
      </c>
      <c r="B420" s="4" t="s">
        <v>596</v>
      </c>
      <c r="C420" s="4" t="n">
        <v>383</v>
      </c>
      <c r="D420" s="4" t="n">
        <v>5</v>
      </c>
      <c r="E420" s="13" t="n">
        <v>45123</v>
      </c>
      <c r="F420" s="4" t="s">
        <v>3184</v>
      </c>
      <c r="G420" s="4" t="str">
        <f aca="false">INDEX(PurchaseOrders!$B$2:$B$3001,MATCH(B420,PurchaseOrders!$A$2:$A$3001,0))</f>
        <v>V008</v>
      </c>
    </row>
    <row r="421" customFormat="false" ht="15" hidden="false" customHeight="true" outlineLevel="0" collapsed="false">
      <c r="A421" s="4" t="s">
        <v>3608</v>
      </c>
      <c r="B421" s="4" t="s">
        <v>597</v>
      </c>
      <c r="C421" s="4" t="n">
        <v>363</v>
      </c>
      <c r="D421" s="4" t="n">
        <v>9</v>
      </c>
      <c r="E421" s="13" t="n">
        <v>45030</v>
      </c>
      <c r="F421" s="4" t="s">
        <v>3202</v>
      </c>
      <c r="G421" s="4" t="str">
        <f aca="false">INDEX(PurchaseOrders!$B$2:$B$3001,MATCH(B421,PurchaseOrders!$A$2:$A$3001,0))</f>
        <v>V045</v>
      </c>
    </row>
    <row r="422" customFormat="false" ht="15" hidden="false" customHeight="true" outlineLevel="0" collapsed="false">
      <c r="A422" s="4" t="s">
        <v>3609</v>
      </c>
      <c r="B422" s="4" t="s">
        <v>598</v>
      </c>
      <c r="C422" s="4" t="n">
        <v>216</v>
      </c>
      <c r="D422" s="4" t="n">
        <v>1</v>
      </c>
      <c r="E422" s="13" t="n">
        <v>45295</v>
      </c>
      <c r="F422" s="4" t="s">
        <v>3192</v>
      </c>
      <c r="G422" s="4" t="str">
        <f aca="false">INDEX(PurchaseOrders!$B$2:$B$3001,MATCH(B422,PurchaseOrders!$A$2:$A$3001,0))</f>
        <v>V040</v>
      </c>
    </row>
    <row r="423" customFormat="false" ht="15" hidden="false" customHeight="true" outlineLevel="0" collapsed="false">
      <c r="A423" s="4" t="s">
        <v>3610</v>
      </c>
      <c r="B423" s="4" t="s">
        <v>599</v>
      </c>
      <c r="C423" s="4" t="n">
        <v>338</v>
      </c>
      <c r="D423" s="4" t="n">
        <v>10</v>
      </c>
      <c r="E423" s="13" t="n">
        <v>45215</v>
      </c>
      <c r="F423" s="4" t="s">
        <v>3190</v>
      </c>
      <c r="G423" s="4" t="str">
        <f aca="false">INDEX(PurchaseOrders!$B$2:$B$3001,MATCH(B423,PurchaseOrders!$A$2:$A$3001,0))</f>
        <v>V047</v>
      </c>
    </row>
    <row r="424" customFormat="false" ht="15" hidden="false" customHeight="true" outlineLevel="0" collapsed="false">
      <c r="A424" s="4" t="s">
        <v>3611</v>
      </c>
      <c r="B424" s="4" t="s">
        <v>600</v>
      </c>
      <c r="C424" s="4" t="n">
        <v>1241</v>
      </c>
      <c r="D424" s="4" t="n">
        <v>35</v>
      </c>
      <c r="E424" s="13" t="n">
        <v>45524</v>
      </c>
      <c r="F424" s="4" t="s">
        <v>3190</v>
      </c>
      <c r="G424" s="4" t="str">
        <f aca="false">INDEX(PurchaseOrders!$B$2:$B$3001,MATCH(B424,PurchaseOrders!$A$2:$A$3001,0))</f>
        <v>V034</v>
      </c>
    </row>
    <row r="425" customFormat="false" ht="15" hidden="false" customHeight="true" outlineLevel="0" collapsed="false">
      <c r="A425" s="4" t="s">
        <v>3612</v>
      </c>
      <c r="B425" s="4" t="s">
        <v>601</v>
      </c>
      <c r="C425" s="4" t="n">
        <v>2665</v>
      </c>
      <c r="D425" s="4" t="n">
        <v>110</v>
      </c>
      <c r="E425" s="13" t="n">
        <v>45618</v>
      </c>
      <c r="F425" s="4" t="s">
        <v>3190</v>
      </c>
      <c r="G425" s="4" t="str">
        <f aca="false">INDEX(PurchaseOrders!$B$2:$B$3001,MATCH(B425,PurchaseOrders!$A$2:$A$3001,0))</f>
        <v>V014</v>
      </c>
    </row>
    <row r="426" customFormat="false" ht="15" hidden="false" customHeight="true" outlineLevel="0" collapsed="false">
      <c r="A426" s="4" t="s">
        <v>3613</v>
      </c>
      <c r="B426" s="4" t="s">
        <v>602</v>
      </c>
      <c r="C426" s="4" t="n">
        <v>530</v>
      </c>
      <c r="D426" s="4" t="n">
        <v>1</v>
      </c>
      <c r="E426" s="13" t="n">
        <v>45093</v>
      </c>
      <c r="F426" s="4" t="s">
        <v>3202</v>
      </c>
      <c r="G426" s="4" t="str">
        <f aca="false">INDEX(PurchaseOrders!$B$2:$B$3001,MATCH(B426,PurchaseOrders!$A$2:$A$3001,0))</f>
        <v>V015</v>
      </c>
    </row>
    <row r="427" customFormat="false" ht="15" hidden="false" customHeight="true" outlineLevel="0" collapsed="false">
      <c r="A427" s="4" t="s">
        <v>3614</v>
      </c>
      <c r="B427" s="4" t="s">
        <v>603</v>
      </c>
      <c r="C427" s="4" t="n">
        <v>12</v>
      </c>
      <c r="D427" s="4" t="n">
        <v>1</v>
      </c>
      <c r="E427" s="13" t="n">
        <v>45577</v>
      </c>
      <c r="F427" s="4" t="s">
        <v>3190</v>
      </c>
      <c r="G427" s="4" t="str">
        <f aca="false">INDEX(PurchaseOrders!$B$2:$B$3001,MATCH(B427,PurchaseOrders!$A$2:$A$3001,0))</f>
        <v>V042</v>
      </c>
    </row>
    <row r="428" customFormat="false" ht="15" hidden="false" customHeight="true" outlineLevel="0" collapsed="false">
      <c r="A428" s="4" t="s">
        <v>3615</v>
      </c>
      <c r="B428" s="4" t="s">
        <v>604</v>
      </c>
      <c r="C428" s="4" t="n">
        <v>4</v>
      </c>
      <c r="D428" s="4" t="n">
        <v>0</v>
      </c>
      <c r="E428" s="13" t="n">
        <v>45522</v>
      </c>
      <c r="F428" s="4"/>
      <c r="G428" s="4" t="str">
        <f aca="false">INDEX(PurchaseOrders!$B$2:$B$3001,MATCH(B428,PurchaseOrders!$A$2:$A$3001,0))</f>
        <v>V019</v>
      </c>
    </row>
    <row r="429" customFormat="false" ht="15" hidden="false" customHeight="true" outlineLevel="0" collapsed="false">
      <c r="A429" s="4" t="s">
        <v>3616</v>
      </c>
      <c r="B429" s="4" t="s">
        <v>605</v>
      </c>
      <c r="C429" s="4" t="n">
        <v>205</v>
      </c>
      <c r="D429" s="4" t="n">
        <v>5</v>
      </c>
      <c r="E429" s="13" t="n">
        <v>45136</v>
      </c>
      <c r="F429" s="4" t="s">
        <v>3184</v>
      </c>
      <c r="G429" s="4" t="str">
        <f aca="false">INDEX(PurchaseOrders!$B$2:$B$3001,MATCH(B429,PurchaseOrders!$A$2:$A$3001,0))</f>
        <v>V052</v>
      </c>
    </row>
    <row r="430" customFormat="false" ht="15" hidden="false" customHeight="true" outlineLevel="0" collapsed="false">
      <c r="A430" s="4" t="s">
        <v>3617</v>
      </c>
      <c r="B430" s="4" t="s">
        <v>606</v>
      </c>
      <c r="C430" s="4" t="n">
        <v>3113</v>
      </c>
      <c r="D430" s="4" t="n">
        <v>290</v>
      </c>
      <c r="E430" s="13" t="n">
        <v>45321</v>
      </c>
      <c r="F430" s="4" t="s">
        <v>3184</v>
      </c>
      <c r="G430" s="4" t="str">
        <f aca="false">INDEX(PurchaseOrders!$B$2:$B$3001,MATCH(B430,PurchaseOrders!$A$2:$A$3001,0))</f>
        <v>V014</v>
      </c>
    </row>
    <row r="431" customFormat="false" ht="15" hidden="false" customHeight="true" outlineLevel="0" collapsed="false">
      <c r="A431" s="4" t="s">
        <v>3618</v>
      </c>
      <c r="B431" s="4" t="s">
        <v>607</v>
      </c>
      <c r="C431" s="4" t="n">
        <v>270</v>
      </c>
      <c r="D431" s="4" t="n">
        <v>24</v>
      </c>
      <c r="E431" s="13" t="n">
        <v>45117</v>
      </c>
      <c r="F431" s="4" t="s">
        <v>3190</v>
      </c>
      <c r="G431" s="4" t="str">
        <f aca="false">INDEX(PurchaseOrders!$B$2:$B$3001,MATCH(B431,PurchaseOrders!$A$2:$A$3001,0))</f>
        <v>V013</v>
      </c>
    </row>
    <row r="432" customFormat="false" ht="15" hidden="false" customHeight="true" outlineLevel="0" collapsed="false">
      <c r="A432" s="4" t="s">
        <v>3619</v>
      </c>
      <c r="B432" s="4" t="s">
        <v>608</v>
      </c>
      <c r="C432" s="4" t="n">
        <v>4606</v>
      </c>
      <c r="D432" s="4" t="n">
        <v>252</v>
      </c>
      <c r="E432" s="13" t="n">
        <v>45252</v>
      </c>
      <c r="F432" s="4" t="s">
        <v>3202</v>
      </c>
      <c r="G432" s="4" t="str">
        <f aca="false">INDEX(PurchaseOrders!$B$2:$B$3001,MATCH(B432,PurchaseOrders!$A$2:$A$3001,0))</f>
        <v>V058</v>
      </c>
    </row>
    <row r="433" customFormat="false" ht="15" hidden="false" customHeight="true" outlineLevel="0" collapsed="false">
      <c r="A433" s="4" t="s">
        <v>3620</v>
      </c>
      <c r="B433" s="4" t="s">
        <v>609</v>
      </c>
      <c r="C433" s="4" t="n">
        <v>243</v>
      </c>
      <c r="D433" s="4" t="n">
        <v>35</v>
      </c>
      <c r="E433" s="13" t="n">
        <v>45370</v>
      </c>
      <c r="F433" s="4" t="s">
        <v>3188</v>
      </c>
      <c r="G433" s="4" t="str">
        <f aca="false">INDEX(PurchaseOrders!$B$2:$B$3001,MATCH(B433,PurchaseOrders!$A$2:$A$3001,0))</f>
        <v>V044</v>
      </c>
    </row>
    <row r="434" customFormat="false" ht="15" hidden="false" customHeight="true" outlineLevel="0" collapsed="false">
      <c r="A434" s="4" t="s">
        <v>3621</v>
      </c>
      <c r="B434" s="4" t="s">
        <v>610</v>
      </c>
      <c r="C434" s="4" t="n">
        <v>400</v>
      </c>
      <c r="D434" s="4" t="n">
        <v>0</v>
      </c>
      <c r="E434" s="13" t="n">
        <v>45085</v>
      </c>
      <c r="F434" s="4"/>
      <c r="G434" s="4" t="str">
        <f aca="false">INDEX(PurchaseOrders!$B$2:$B$3001,MATCH(B434,PurchaseOrders!$A$2:$A$3001,0))</f>
        <v>V047</v>
      </c>
    </row>
    <row r="435" customFormat="false" ht="15" hidden="false" customHeight="true" outlineLevel="0" collapsed="false">
      <c r="A435" s="4" t="s">
        <v>3622</v>
      </c>
      <c r="B435" s="4" t="s">
        <v>611</v>
      </c>
      <c r="C435" s="4" t="n">
        <v>459</v>
      </c>
      <c r="D435" s="4" t="n">
        <v>20</v>
      </c>
      <c r="E435" s="13" t="n">
        <v>45389</v>
      </c>
      <c r="F435" s="4" t="s">
        <v>3186</v>
      </c>
      <c r="G435" s="4" t="str">
        <f aca="false">INDEX(PurchaseOrders!$B$2:$B$3001,MATCH(B435,PurchaseOrders!$A$2:$A$3001,0))</f>
        <v>V060</v>
      </c>
    </row>
    <row r="436" customFormat="false" ht="15" hidden="false" customHeight="true" outlineLevel="0" collapsed="false">
      <c r="A436" s="4" t="s">
        <v>3623</v>
      </c>
      <c r="B436" s="4" t="s">
        <v>612</v>
      </c>
      <c r="C436" s="4" t="n">
        <v>297</v>
      </c>
      <c r="D436" s="4" t="n">
        <v>14</v>
      </c>
      <c r="E436" s="13" t="n">
        <v>45147</v>
      </c>
      <c r="F436" s="4" t="s">
        <v>3202</v>
      </c>
      <c r="G436" s="4" t="str">
        <f aca="false">INDEX(PurchaseOrders!$B$2:$B$3001,MATCH(B436,PurchaseOrders!$A$2:$A$3001,0))</f>
        <v>V033</v>
      </c>
    </row>
    <row r="437" customFormat="false" ht="15" hidden="false" customHeight="true" outlineLevel="0" collapsed="false">
      <c r="A437" s="4" t="s">
        <v>3624</v>
      </c>
      <c r="B437" s="4" t="s">
        <v>613</v>
      </c>
      <c r="C437" s="4" t="n">
        <v>663</v>
      </c>
      <c r="D437" s="4" t="n">
        <v>25</v>
      </c>
      <c r="E437" s="13" t="n">
        <v>45148</v>
      </c>
      <c r="F437" s="4" t="s">
        <v>3190</v>
      </c>
      <c r="G437" s="4" t="str">
        <f aca="false">INDEX(PurchaseOrders!$B$2:$B$3001,MATCH(B437,PurchaseOrders!$A$2:$A$3001,0))</f>
        <v>V056</v>
      </c>
    </row>
    <row r="438" customFormat="false" ht="15" hidden="false" customHeight="true" outlineLevel="0" collapsed="false">
      <c r="A438" s="4" t="s">
        <v>3625</v>
      </c>
      <c r="B438" s="4" t="s">
        <v>614</v>
      </c>
      <c r="C438" s="4" t="n">
        <v>77</v>
      </c>
      <c r="D438" s="4" t="n">
        <v>9</v>
      </c>
      <c r="E438" s="13" t="n">
        <v>45674</v>
      </c>
      <c r="F438" s="4" t="s">
        <v>3184</v>
      </c>
      <c r="G438" s="4" t="str">
        <f aca="false">INDEX(PurchaseOrders!$B$2:$B$3001,MATCH(B438,PurchaseOrders!$A$2:$A$3001,0))</f>
        <v>V036</v>
      </c>
    </row>
    <row r="439" customFormat="false" ht="15" hidden="false" customHeight="true" outlineLevel="0" collapsed="false">
      <c r="A439" s="4" t="s">
        <v>3626</v>
      </c>
      <c r="B439" s="4" t="s">
        <v>615</v>
      </c>
      <c r="C439" s="4" t="n">
        <v>275</v>
      </c>
      <c r="D439" s="4" t="n">
        <v>14</v>
      </c>
      <c r="E439" s="13" t="n">
        <v>45574</v>
      </c>
      <c r="F439" s="4" t="s">
        <v>3188</v>
      </c>
      <c r="G439" s="4" t="str">
        <f aca="false">INDEX(PurchaseOrders!$B$2:$B$3001,MATCH(B439,PurchaseOrders!$A$2:$A$3001,0))</f>
        <v>V004</v>
      </c>
    </row>
    <row r="440" customFormat="false" ht="15" hidden="false" customHeight="true" outlineLevel="0" collapsed="false">
      <c r="A440" s="4" t="s">
        <v>3627</v>
      </c>
      <c r="B440" s="4" t="s">
        <v>616</v>
      </c>
      <c r="C440" s="4" t="n">
        <v>232</v>
      </c>
      <c r="D440" s="4" t="n">
        <v>5</v>
      </c>
      <c r="E440" s="13" t="n">
        <v>45262</v>
      </c>
      <c r="F440" s="4" t="s">
        <v>3186</v>
      </c>
      <c r="G440" s="4" t="str">
        <f aca="false">INDEX(PurchaseOrders!$B$2:$B$3001,MATCH(B440,PurchaseOrders!$A$2:$A$3001,0))</f>
        <v>V021</v>
      </c>
    </row>
    <row r="441" customFormat="false" ht="15" hidden="false" customHeight="true" outlineLevel="0" collapsed="false">
      <c r="A441" s="4" t="s">
        <v>3628</v>
      </c>
      <c r="B441" s="4" t="s">
        <v>617</v>
      </c>
      <c r="C441" s="4" t="n">
        <v>380</v>
      </c>
      <c r="D441" s="4" t="n">
        <v>17</v>
      </c>
      <c r="E441" s="13" t="n">
        <v>45438</v>
      </c>
      <c r="F441" s="4" t="s">
        <v>3184</v>
      </c>
      <c r="G441" s="4" t="str">
        <f aca="false">INDEX(PurchaseOrders!$B$2:$B$3001,MATCH(B441,PurchaseOrders!$A$2:$A$3001,0))</f>
        <v>V018</v>
      </c>
    </row>
    <row r="442" customFormat="false" ht="15" hidden="false" customHeight="true" outlineLevel="0" collapsed="false">
      <c r="A442" s="4" t="s">
        <v>3629</v>
      </c>
      <c r="B442" s="4" t="s">
        <v>618</v>
      </c>
      <c r="C442" s="4" t="n">
        <v>760</v>
      </c>
      <c r="D442" s="4" t="n">
        <v>27</v>
      </c>
      <c r="E442" s="13" t="n">
        <v>45255</v>
      </c>
      <c r="F442" s="4" t="s">
        <v>3190</v>
      </c>
      <c r="G442" s="4" t="str">
        <f aca="false">INDEX(PurchaseOrders!$B$2:$B$3001,MATCH(B442,PurchaseOrders!$A$2:$A$3001,0))</f>
        <v>V011</v>
      </c>
    </row>
    <row r="443" customFormat="false" ht="15" hidden="false" customHeight="true" outlineLevel="0" collapsed="false">
      <c r="A443" s="4" t="s">
        <v>3630</v>
      </c>
      <c r="B443" s="4" t="s">
        <v>619</v>
      </c>
      <c r="C443" s="4" t="n">
        <v>6</v>
      </c>
      <c r="D443" s="4" t="n">
        <v>1</v>
      </c>
      <c r="E443" s="13" t="n">
        <v>45390</v>
      </c>
      <c r="F443" s="4" t="s">
        <v>3190</v>
      </c>
      <c r="G443" s="4" t="str">
        <f aca="false">INDEX(PurchaseOrders!$B$2:$B$3001,MATCH(B443,PurchaseOrders!$A$2:$A$3001,0))</f>
        <v>V042</v>
      </c>
    </row>
    <row r="444" customFormat="false" ht="15" hidden="false" customHeight="true" outlineLevel="0" collapsed="false">
      <c r="A444" s="4" t="s">
        <v>3631</v>
      </c>
      <c r="B444" s="4" t="s">
        <v>620</v>
      </c>
      <c r="C444" s="4" t="n">
        <v>1386</v>
      </c>
      <c r="D444" s="4" t="n">
        <v>0</v>
      </c>
      <c r="E444" s="13" t="n">
        <v>45074</v>
      </c>
      <c r="F444" s="4"/>
      <c r="G444" s="4" t="str">
        <f aca="false">INDEX(PurchaseOrders!$B$2:$B$3001,MATCH(B444,PurchaseOrders!$A$2:$A$3001,0))</f>
        <v>V059</v>
      </c>
    </row>
    <row r="445" customFormat="false" ht="15" hidden="false" customHeight="true" outlineLevel="0" collapsed="false">
      <c r="A445" s="4" t="s">
        <v>3632</v>
      </c>
      <c r="B445" s="4" t="s">
        <v>621</v>
      </c>
      <c r="C445" s="4" t="n">
        <v>1114</v>
      </c>
      <c r="D445" s="4" t="n">
        <v>0</v>
      </c>
      <c r="E445" s="13" t="n">
        <v>45468</v>
      </c>
      <c r="F445" s="4"/>
      <c r="G445" s="4" t="str">
        <f aca="false">INDEX(PurchaseOrders!$B$2:$B$3001,MATCH(B445,PurchaseOrders!$A$2:$A$3001,0))</f>
        <v>V051</v>
      </c>
    </row>
    <row r="446" customFormat="false" ht="15" hidden="false" customHeight="true" outlineLevel="0" collapsed="false">
      <c r="A446" s="4" t="s">
        <v>3633</v>
      </c>
      <c r="B446" s="4" t="s">
        <v>622</v>
      </c>
      <c r="C446" s="4" t="n">
        <v>3</v>
      </c>
      <c r="D446" s="4" t="n">
        <v>0</v>
      </c>
      <c r="E446" s="13" t="n">
        <v>45501</v>
      </c>
      <c r="F446" s="4"/>
      <c r="G446" s="4" t="str">
        <f aca="false">INDEX(PurchaseOrders!$B$2:$B$3001,MATCH(B446,PurchaseOrders!$A$2:$A$3001,0))</f>
        <v>V054</v>
      </c>
    </row>
    <row r="447" customFormat="false" ht="15" hidden="false" customHeight="true" outlineLevel="0" collapsed="false">
      <c r="A447" s="4" t="s">
        <v>3634</v>
      </c>
      <c r="B447" s="4" t="s">
        <v>623</v>
      </c>
      <c r="C447" s="4" t="n">
        <v>281</v>
      </c>
      <c r="D447" s="4" t="n">
        <v>20</v>
      </c>
      <c r="E447" s="13" t="n">
        <v>45170</v>
      </c>
      <c r="F447" s="4" t="s">
        <v>3184</v>
      </c>
      <c r="G447" s="4" t="str">
        <f aca="false">INDEX(PurchaseOrders!$B$2:$B$3001,MATCH(B447,PurchaseOrders!$A$2:$A$3001,0))</f>
        <v>V036</v>
      </c>
    </row>
    <row r="448" customFormat="false" ht="15" hidden="false" customHeight="true" outlineLevel="0" collapsed="false">
      <c r="A448" s="4" t="s">
        <v>3635</v>
      </c>
      <c r="B448" s="4" t="s">
        <v>624</v>
      </c>
      <c r="C448" s="4" t="n">
        <v>103</v>
      </c>
      <c r="D448" s="4" t="n">
        <v>6</v>
      </c>
      <c r="E448" s="13" t="n">
        <v>45492</v>
      </c>
      <c r="F448" s="4" t="s">
        <v>3192</v>
      </c>
      <c r="G448" s="4" t="str">
        <f aca="false">INDEX(PurchaseOrders!$B$2:$B$3001,MATCH(B448,PurchaseOrders!$A$2:$A$3001,0))</f>
        <v>V018</v>
      </c>
    </row>
    <row r="449" customFormat="false" ht="15" hidden="false" customHeight="true" outlineLevel="0" collapsed="false">
      <c r="A449" s="4" t="s">
        <v>3636</v>
      </c>
      <c r="B449" s="4" t="s">
        <v>625</v>
      </c>
      <c r="C449" s="4" t="n">
        <v>510</v>
      </c>
      <c r="D449" s="4" t="n">
        <v>13</v>
      </c>
      <c r="E449" s="13" t="n">
        <v>45083</v>
      </c>
      <c r="F449" s="4" t="s">
        <v>3192</v>
      </c>
      <c r="G449" s="4" t="str">
        <f aca="false">INDEX(PurchaseOrders!$B$2:$B$3001,MATCH(B449,PurchaseOrders!$A$2:$A$3001,0))</f>
        <v>V015</v>
      </c>
    </row>
    <row r="450" customFormat="false" ht="15" hidden="false" customHeight="true" outlineLevel="0" collapsed="false">
      <c r="A450" s="4" t="s">
        <v>3637</v>
      </c>
      <c r="B450" s="4" t="s">
        <v>626</v>
      </c>
      <c r="C450" s="4" t="n">
        <v>146</v>
      </c>
      <c r="D450" s="4" t="n">
        <v>0</v>
      </c>
      <c r="E450" s="13" t="n">
        <v>45180</v>
      </c>
      <c r="F450" s="4"/>
      <c r="G450" s="4" t="str">
        <f aca="false">INDEX(PurchaseOrders!$B$2:$B$3001,MATCH(B450,PurchaseOrders!$A$2:$A$3001,0))</f>
        <v>V052</v>
      </c>
    </row>
    <row r="451" customFormat="false" ht="15" hidden="false" customHeight="true" outlineLevel="0" collapsed="false">
      <c r="A451" s="4" t="s">
        <v>3638</v>
      </c>
      <c r="B451" s="4" t="s">
        <v>627</v>
      </c>
      <c r="C451" s="4" t="n">
        <v>6</v>
      </c>
      <c r="D451" s="4" t="n">
        <v>0</v>
      </c>
      <c r="E451" s="13" t="n">
        <v>45016</v>
      </c>
      <c r="F451" s="4"/>
      <c r="G451" s="4" t="str">
        <f aca="false">INDEX(PurchaseOrders!$B$2:$B$3001,MATCH(B451,PurchaseOrders!$A$2:$A$3001,0))</f>
        <v>V053</v>
      </c>
    </row>
    <row r="452" customFormat="false" ht="15" hidden="false" customHeight="true" outlineLevel="0" collapsed="false">
      <c r="A452" s="4" t="s">
        <v>3639</v>
      </c>
      <c r="B452" s="4" t="s">
        <v>628</v>
      </c>
      <c r="C452" s="4" t="n">
        <v>4501</v>
      </c>
      <c r="D452" s="4" t="n">
        <v>233</v>
      </c>
      <c r="E452" s="13" t="n">
        <v>45208</v>
      </c>
      <c r="F452" s="4" t="s">
        <v>3188</v>
      </c>
      <c r="G452" s="4" t="str">
        <f aca="false">INDEX(PurchaseOrders!$B$2:$B$3001,MATCH(B452,PurchaseOrders!$A$2:$A$3001,0))</f>
        <v>V028</v>
      </c>
    </row>
    <row r="453" customFormat="false" ht="15" hidden="false" customHeight="true" outlineLevel="0" collapsed="false">
      <c r="A453" s="4" t="s">
        <v>3640</v>
      </c>
      <c r="B453" s="4" t="s">
        <v>629</v>
      </c>
      <c r="C453" s="4" t="n">
        <v>131</v>
      </c>
      <c r="D453" s="4" t="n">
        <v>7</v>
      </c>
      <c r="E453" s="13" t="n">
        <v>45605</v>
      </c>
      <c r="F453" s="4" t="s">
        <v>3190</v>
      </c>
      <c r="G453" s="4" t="str">
        <f aca="false">INDEX(PurchaseOrders!$B$2:$B$3001,MATCH(B453,PurchaseOrders!$A$2:$A$3001,0))</f>
        <v>V046</v>
      </c>
    </row>
    <row r="454" customFormat="false" ht="15" hidden="false" customHeight="true" outlineLevel="0" collapsed="false">
      <c r="A454" s="4" t="s">
        <v>3641</v>
      </c>
      <c r="B454" s="4" t="s">
        <v>630</v>
      </c>
      <c r="C454" s="4" t="n">
        <v>2</v>
      </c>
      <c r="D454" s="4" t="n">
        <v>0</v>
      </c>
      <c r="E454" s="13" t="n">
        <v>45008</v>
      </c>
      <c r="F454" s="4"/>
      <c r="G454" s="4" t="str">
        <f aca="false">INDEX(PurchaseOrders!$B$2:$B$3001,MATCH(B454,PurchaseOrders!$A$2:$A$3001,0))</f>
        <v>V053</v>
      </c>
    </row>
    <row r="455" customFormat="false" ht="15" hidden="false" customHeight="true" outlineLevel="0" collapsed="false">
      <c r="A455" s="4" t="s">
        <v>3642</v>
      </c>
      <c r="B455" s="4" t="s">
        <v>631</v>
      </c>
      <c r="C455" s="4" t="n">
        <v>2319</v>
      </c>
      <c r="D455" s="4" t="n">
        <v>103</v>
      </c>
      <c r="E455" s="13" t="n">
        <v>45604</v>
      </c>
      <c r="F455" s="4" t="s">
        <v>3190</v>
      </c>
      <c r="G455" s="4" t="str">
        <f aca="false">INDEX(PurchaseOrders!$B$2:$B$3001,MATCH(B455,PurchaseOrders!$A$2:$A$3001,0))</f>
        <v>V002</v>
      </c>
    </row>
    <row r="456" customFormat="false" ht="15" hidden="false" customHeight="true" outlineLevel="0" collapsed="false">
      <c r="A456" s="4" t="s">
        <v>3643</v>
      </c>
      <c r="B456" s="4" t="s">
        <v>632</v>
      </c>
      <c r="C456" s="4" t="n">
        <v>1808</v>
      </c>
      <c r="D456" s="4" t="n">
        <v>132</v>
      </c>
      <c r="E456" s="13" t="n">
        <v>45052</v>
      </c>
      <c r="F456" s="4" t="s">
        <v>3186</v>
      </c>
      <c r="G456" s="4" t="str">
        <f aca="false">INDEX(PurchaseOrders!$B$2:$B$3001,MATCH(B456,PurchaseOrders!$A$2:$A$3001,0))</f>
        <v>V017</v>
      </c>
    </row>
    <row r="457" customFormat="false" ht="15" hidden="false" customHeight="true" outlineLevel="0" collapsed="false">
      <c r="A457" s="4" t="s">
        <v>3644</v>
      </c>
      <c r="B457" s="4" t="s">
        <v>633</v>
      </c>
      <c r="C457" s="4" t="n">
        <v>2156</v>
      </c>
      <c r="D457" s="4" t="n">
        <v>103</v>
      </c>
      <c r="E457" s="13" t="n">
        <v>45017</v>
      </c>
      <c r="F457" s="4" t="s">
        <v>3184</v>
      </c>
      <c r="G457" s="4" t="str">
        <f aca="false">INDEX(PurchaseOrders!$B$2:$B$3001,MATCH(B457,PurchaseOrders!$A$2:$A$3001,0))</f>
        <v>V050</v>
      </c>
    </row>
    <row r="458" customFormat="false" ht="15" hidden="false" customHeight="true" outlineLevel="0" collapsed="false">
      <c r="A458" s="4" t="s">
        <v>3645</v>
      </c>
      <c r="B458" s="4" t="s">
        <v>634</v>
      </c>
      <c r="C458" s="4" t="n">
        <v>3374</v>
      </c>
      <c r="D458" s="4" t="n">
        <v>409</v>
      </c>
      <c r="E458" s="13" t="n">
        <v>45080</v>
      </c>
      <c r="F458" s="4" t="s">
        <v>3188</v>
      </c>
      <c r="G458" s="4" t="str">
        <f aca="false">INDEX(PurchaseOrders!$B$2:$B$3001,MATCH(B458,PurchaseOrders!$A$2:$A$3001,0))</f>
        <v>V032</v>
      </c>
    </row>
    <row r="459" customFormat="false" ht="15" hidden="false" customHeight="true" outlineLevel="0" collapsed="false">
      <c r="A459" s="4" t="s">
        <v>3646</v>
      </c>
      <c r="B459" s="4" t="s">
        <v>635</v>
      </c>
      <c r="C459" s="4" t="n">
        <v>257</v>
      </c>
      <c r="D459" s="4" t="n">
        <v>2</v>
      </c>
      <c r="E459" s="13" t="n">
        <v>45614</v>
      </c>
      <c r="F459" s="4" t="s">
        <v>3190</v>
      </c>
      <c r="G459" s="4" t="str">
        <f aca="false">INDEX(PurchaseOrders!$B$2:$B$3001,MATCH(B459,PurchaseOrders!$A$2:$A$3001,0))</f>
        <v>V008</v>
      </c>
    </row>
    <row r="460" customFormat="false" ht="15" hidden="false" customHeight="true" outlineLevel="0" collapsed="false">
      <c r="A460" s="4" t="s">
        <v>3647</v>
      </c>
      <c r="B460" s="4" t="s">
        <v>636</v>
      </c>
      <c r="C460" s="4" t="n">
        <v>1250</v>
      </c>
      <c r="D460" s="4" t="n">
        <v>31</v>
      </c>
      <c r="E460" s="13" t="n">
        <v>45461</v>
      </c>
      <c r="F460" s="4" t="s">
        <v>3192</v>
      </c>
      <c r="G460" s="4" t="str">
        <f aca="false">INDEX(PurchaseOrders!$B$2:$B$3001,MATCH(B460,PurchaseOrders!$A$2:$A$3001,0))</f>
        <v>V056</v>
      </c>
    </row>
    <row r="461" customFormat="false" ht="15" hidden="false" customHeight="true" outlineLevel="0" collapsed="false">
      <c r="A461" s="4" t="s">
        <v>3648</v>
      </c>
      <c r="B461" s="4" t="s">
        <v>637</v>
      </c>
      <c r="C461" s="4" t="n">
        <v>1152</v>
      </c>
      <c r="D461" s="4" t="n">
        <v>21</v>
      </c>
      <c r="E461" s="13" t="n">
        <v>45521</v>
      </c>
      <c r="F461" s="4" t="s">
        <v>3188</v>
      </c>
      <c r="G461" s="4" t="str">
        <f aca="false">INDEX(PurchaseOrders!$B$2:$B$3001,MATCH(B461,PurchaseOrders!$A$2:$A$3001,0))</f>
        <v>V011</v>
      </c>
    </row>
    <row r="462" customFormat="false" ht="15" hidden="false" customHeight="true" outlineLevel="0" collapsed="false">
      <c r="A462" s="4" t="s">
        <v>3649</v>
      </c>
      <c r="B462" s="4" t="s">
        <v>638</v>
      </c>
      <c r="C462" s="4" t="n">
        <v>97</v>
      </c>
      <c r="D462" s="4" t="n">
        <v>9</v>
      </c>
      <c r="E462" s="13" t="n">
        <v>45160</v>
      </c>
      <c r="F462" s="4" t="s">
        <v>3192</v>
      </c>
      <c r="G462" s="4" t="str">
        <f aca="false">INDEX(PurchaseOrders!$B$2:$B$3001,MATCH(B462,PurchaseOrders!$A$2:$A$3001,0))</f>
        <v>V036</v>
      </c>
    </row>
    <row r="463" customFormat="false" ht="15" hidden="false" customHeight="true" outlineLevel="0" collapsed="false">
      <c r="A463" s="4" t="s">
        <v>3650</v>
      </c>
      <c r="B463" s="4" t="s">
        <v>639</v>
      </c>
      <c r="C463" s="4" t="n">
        <v>1886</v>
      </c>
      <c r="D463" s="4" t="n">
        <v>86</v>
      </c>
      <c r="E463" s="13" t="n">
        <v>45398</v>
      </c>
      <c r="F463" s="4" t="s">
        <v>3190</v>
      </c>
      <c r="G463" s="4" t="str">
        <f aca="false">INDEX(PurchaseOrders!$B$2:$B$3001,MATCH(B463,PurchaseOrders!$A$2:$A$3001,0))</f>
        <v>V022</v>
      </c>
    </row>
    <row r="464" customFormat="false" ht="15" hidden="false" customHeight="true" outlineLevel="0" collapsed="false">
      <c r="A464" s="4" t="s">
        <v>3651</v>
      </c>
      <c r="B464" s="4" t="s">
        <v>640</v>
      </c>
      <c r="C464" s="4" t="n">
        <v>8</v>
      </c>
      <c r="D464" s="4" t="n">
        <v>1</v>
      </c>
      <c r="E464" s="13" t="n">
        <v>45190</v>
      </c>
      <c r="F464" s="4" t="s">
        <v>3184</v>
      </c>
      <c r="G464" s="4" t="str">
        <f aca="false">INDEX(PurchaseOrders!$B$2:$B$3001,MATCH(B464,PurchaseOrders!$A$2:$A$3001,0))</f>
        <v>V042</v>
      </c>
    </row>
    <row r="465" customFormat="false" ht="15" hidden="false" customHeight="true" outlineLevel="0" collapsed="false">
      <c r="A465" s="4" t="s">
        <v>3652</v>
      </c>
      <c r="B465" s="4" t="s">
        <v>641</v>
      </c>
      <c r="C465" s="4" t="n">
        <v>4648</v>
      </c>
      <c r="D465" s="4" t="n">
        <v>81</v>
      </c>
      <c r="E465" s="13" t="n">
        <v>45189</v>
      </c>
      <c r="F465" s="4" t="s">
        <v>3202</v>
      </c>
      <c r="G465" s="4" t="str">
        <f aca="false">INDEX(PurchaseOrders!$B$2:$B$3001,MATCH(B465,PurchaseOrders!$A$2:$A$3001,0))</f>
        <v>V003</v>
      </c>
    </row>
    <row r="466" customFormat="false" ht="15" hidden="false" customHeight="true" outlineLevel="0" collapsed="false">
      <c r="A466" s="4" t="s">
        <v>3653</v>
      </c>
      <c r="B466" s="4" t="s">
        <v>642</v>
      </c>
      <c r="C466" s="4" t="n">
        <v>1695</v>
      </c>
      <c r="D466" s="4" t="n">
        <v>0</v>
      </c>
      <c r="E466" s="13" t="n">
        <v>45261</v>
      </c>
      <c r="F466" s="4"/>
      <c r="G466" s="4" t="str">
        <f aca="false">INDEX(PurchaseOrders!$B$2:$B$3001,MATCH(B466,PurchaseOrders!$A$2:$A$3001,0))</f>
        <v>V015</v>
      </c>
    </row>
    <row r="467" customFormat="false" ht="15" hidden="false" customHeight="true" outlineLevel="0" collapsed="false">
      <c r="A467" s="4" t="s">
        <v>3654</v>
      </c>
      <c r="B467" s="4" t="s">
        <v>643</v>
      </c>
      <c r="C467" s="4" t="n">
        <v>17</v>
      </c>
      <c r="D467" s="4" t="n">
        <v>2</v>
      </c>
      <c r="E467" s="13" t="n">
        <v>44969</v>
      </c>
      <c r="F467" s="4" t="s">
        <v>3184</v>
      </c>
      <c r="G467" s="4" t="str">
        <f aca="false">INDEX(PurchaseOrders!$B$2:$B$3001,MATCH(B467,PurchaseOrders!$A$2:$A$3001,0))</f>
        <v>V042</v>
      </c>
    </row>
    <row r="468" customFormat="false" ht="15" hidden="false" customHeight="true" outlineLevel="0" collapsed="false">
      <c r="A468" s="4" t="s">
        <v>3655</v>
      </c>
      <c r="B468" s="4" t="s">
        <v>644</v>
      </c>
      <c r="C468" s="4" t="n">
        <v>307</v>
      </c>
      <c r="D468" s="4" t="n">
        <v>41</v>
      </c>
      <c r="E468" s="13" t="n">
        <v>45255</v>
      </c>
      <c r="F468" s="4" t="s">
        <v>3186</v>
      </c>
      <c r="G468" s="4" t="str">
        <f aca="false">INDEX(PurchaseOrders!$B$2:$B$3001,MATCH(B468,PurchaseOrders!$A$2:$A$3001,0))</f>
        <v>V055</v>
      </c>
    </row>
    <row r="469" customFormat="false" ht="15" hidden="false" customHeight="true" outlineLevel="0" collapsed="false">
      <c r="A469" s="4" t="s">
        <v>3656</v>
      </c>
      <c r="B469" s="4" t="s">
        <v>645</v>
      </c>
      <c r="C469" s="4" t="n">
        <v>338</v>
      </c>
      <c r="D469" s="4" t="n">
        <v>61</v>
      </c>
      <c r="E469" s="13" t="n">
        <v>45412</v>
      </c>
      <c r="F469" s="4" t="s">
        <v>3192</v>
      </c>
      <c r="G469" s="4" t="str">
        <f aca="false">INDEX(PurchaseOrders!$B$2:$B$3001,MATCH(B469,PurchaseOrders!$A$2:$A$3001,0))</f>
        <v>V025</v>
      </c>
    </row>
    <row r="470" customFormat="false" ht="15" hidden="false" customHeight="true" outlineLevel="0" collapsed="false">
      <c r="A470" s="4" t="s">
        <v>3657</v>
      </c>
      <c r="B470" s="4" t="s">
        <v>646</v>
      </c>
      <c r="C470" s="4" t="n">
        <v>12</v>
      </c>
      <c r="D470" s="4" t="n">
        <v>1</v>
      </c>
      <c r="E470" s="13" t="n">
        <v>45381</v>
      </c>
      <c r="F470" s="4" t="s">
        <v>3186</v>
      </c>
      <c r="G470" s="4" t="str">
        <f aca="false">INDEX(PurchaseOrders!$B$2:$B$3001,MATCH(B470,PurchaseOrders!$A$2:$A$3001,0))</f>
        <v>V019</v>
      </c>
    </row>
    <row r="471" customFormat="false" ht="15" hidden="false" customHeight="true" outlineLevel="0" collapsed="false">
      <c r="A471" s="4" t="s">
        <v>3658</v>
      </c>
      <c r="B471" s="4" t="s">
        <v>647</v>
      </c>
      <c r="C471" s="4" t="n">
        <v>340</v>
      </c>
      <c r="D471" s="4" t="n">
        <v>30</v>
      </c>
      <c r="E471" s="13" t="n">
        <v>45109</v>
      </c>
      <c r="F471" s="4" t="s">
        <v>3202</v>
      </c>
      <c r="G471" s="4" t="str">
        <f aca="false">INDEX(PurchaseOrders!$B$2:$B$3001,MATCH(B471,PurchaseOrders!$A$2:$A$3001,0))</f>
        <v>V013</v>
      </c>
    </row>
    <row r="472" customFormat="false" ht="15" hidden="false" customHeight="true" outlineLevel="0" collapsed="false">
      <c r="A472" s="4" t="s">
        <v>3659</v>
      </c>
      <c r="B472" s="4" t="s">
        <v>648</v>
      </c>
      <c r="C472" s="4" t="n">
        <v>4216</v>
      </c>
      <c r="D472" s="4" t="n">
        <v>323</v>
      </c>
      <c r="E472" s="13" t="n">
        <v>45090</v>
      </c>
      <c r="F472" s="4" t="s">
        <v>3184</v>
      </c>
      <c r="G472" s="4" t="str">
        <f aca="false">INDEX(PurchaseOrders!$B$2:$B$3001,MATCH(B472,PurchaseOrders!$A$2:$A$3001,0))</f>
        <v>V056</v>
      </c>
    </row>
    <row r="473" customFormat="false" ht="15" hidden="false" customHeight="true" outlineLevel="0" collapsed="false">
      <c r="A473" s="4" t="s">
        <v>3660</v>
      </c>
      <c r="B473" s="4" t="s">
        <v>649</v>
      </c>
      <c r="C473" s="4" t="n">
        <v>5</v>
      </c>
      <c r="D473" s="4" t="n">
        <v>0</v>
      </c>
      <c r="E473" s="13" t="n">
        <v>45003</v>
      </c>
      <c r="F473" s="4"/>
      <c r="G473" s="4" t="str">
        <f aca="false">INDEX(PurchaseOrders!$B$2:$B$3001,MATCH(B473,PurchaseOrders!$A$2:$A$3001,0))</f>
        <v>V042</v>
      </c>
    </row>
    <row r="474" customFormat="false" ht="15" hidden="false" customHeight="true" outlineLevel="0" collapsed="false">
      <c r="A474" s="4" t="s">
        <v>3661</v>
      </c>
      <c r="B474" s="4" t="s">
        <v>650</v>
      </c>
      <c r="C474" s="4" t="n">
        <v>1773</v>
      </c>
      <c r="D474" s="4" t="n">
        <v>107</v>
      </c>
      <c r="E474" s="13" t="n">
        <v>45500</v>
      </c>
      <c r="F474" s="4" t="s">
        <v>3192</v>
      </c>
      <c r="G474" s="4" t="str">
        <f aca="false">INDEX(PurchaseOrders!$B$2:$B$3001,MATCH(B474,PurchaseOrders!$A$2:$A$3001,0))</f>
        <v>V010</v>
      </c>
    </row>
    <row r="475" customFormat="false" ht="15" hidden="false" customHeight="true" outlineLevel="0" collapsed="false">
      <c r="A475" s="4" t="s">
        <v>3662</v>
      </c>
      <c r="B475" s="4" t="s">
        <v>651</v>
      </c>
      <c r="C475" s="4" t="n">
        <v>110</v>
      </c>
      <c r="D475" s="4" t="n">
        <v>1</v>
      </c>
      <c r="E475" s="13" t="n">
        <v>45655</v>
      </c>
      <c r="F475" s="4" t="s">
        <v>3188</v>
      </c>
      <c r="G475" s="4" t="str">
        <f aca="false">INDEX(PurchaseOrders!$B$2:$B$3001,MATCH(B475,PurchaseOrders!$A$2:$A$3001,0))</f>
        <v>V008</v>
      </c>
    </row>
    <row r="476" customFormat="false" ht="15" hidden="false" customHeight="true" outlineLevel="0" collapsed="false">
      <c r="A476" s="4" t="s">
        <v>3663</v>
      </c>
      <c r="B476" s="4" t="s">
        <v>652</v>
      </c>
      <c r="C476" s="4" t="n">
        <v>1119</v>
      </c>
      <c r="D476" s="4" t="n">
        <v>64</v>
      </c>
      <c r="E476" s="13" t="n">
        <v>45159</v>
      </c>
      <c r="F476" s="4" t="s">
        <v>3192</v>
      </c>
      <c r="G476" s="4" t="str">
        <f aca="false">INDEX(PurchaseOrders!$B$2:$B$3001,MATCH(B476,PurchaseOrders!$A$2:$A$3001,0))</f>
        <v>V058</v>
      </c>
    </row>
    <row r="477" customFormat="false" ht="15" hidden="false" customHeight="true" outlineLevel="0" collapsed="false">
      <c r="A477" s="4" t="s">
        <v>3664</v>
      </c>
      <c r="B477" s="4" t="s">
        <v>653</v>
      </c>
      <c r="C477" s="4" t="n">
        <v>136</v>
      </c>
      <c r="D477" s="4" t="n">
        <v>0</v>
      </c>
      <c r="E477" s="13" t="n">
        <v>45555</v>
      </c>
      <c r="F477" s="4"/>
      <c r="G477" s="4" t="str">
        <f aca="false">INDEX(PurchaseOrders!$B$2:$B$3001,MATCH(B477,PurchaseOrders!$A$2:$A$3001,0))</f>
        <v>V031</v>
      </c>
    </row>
    <row r="478" customFormat="false" ht="15" hidden="false" customHeight="true" outlineLevel="0" collapsed="false">
      <c r="A478" s="4" t="s">
        <v>3665</v>
      </c>
      <c r="B478" s="4" t="s">
        <v>654</v>
      </c>
      <c r="C478" s="4" t="n">
        <v>410</v>
      </c>
      <c r="D478" s="4" t="n">
        <v>22</v>
      </c>
      <c r="E478" s="13" t="n">
        <v>45145</v>
      </c>
      <c r="F478" s="4" t="s">
        <v>3202</v>
      </c>
      <c r="G478" s="4" t="str">
        <f aca="false">INDEX(PurchaseOrders!$B$2:$B$3001,MATCH(B478,PurchaseOrders!$A$2:$A$3001,0))</f>
        <v>V029</v>
      </c>
    </row>
    <row r="479" customFormat="false" ht="15" hidden="false" customHeight="true" outlineLevel="0" collapsed="false">
      <c r="A479" s="4" t="s">
        <v>3666</v>
      </c>
      <c r="B479" s="4" t="s">
        <v>655</v>
      </c>
      <c r="C479" s="4" t="n">
        <v>2848</v>
      </c>
      <c r="D479" s="4" t="n">
        <v>131</v>
      </c>
      <c r="E479" s="13" t="n">
        <v>45619</v>
      </c>
      <c r="F479" s="4" t="s">
        <v>3186</v>
      </c>
      <c r="G479" s="4" t="str">
        <f aca="false">INDEX(PurchaseOrders!$B$2:$B$3001,MATCH(B479,PurchaseOrders!$A$2:$A$3001,0))</f>
        <v>V058</v>
      </c>
    </row>
    <row r="480" customFormat="false" ht="15" hidden="false" customHeight="true" outlineLevel="0" collapsed="false">
      <c r="A480" s="4" t="s">
        <v>3667</v>
      </c>
      <c r="B480" s="4" t="s">
        <v>656</v>
      </c>
      <c r="C480" s="4" t="n">
        <v>433</v>
      </c>
      <c r="D480" s="4" t="n">
        <v>9</v>
      </c>
      <c r="E480" s="13" t="n">
        <v>45163</v>
      </c>
      <c r="F480" s="4" t="s">
        <v>3188</v>
      </c>
      <c r="G480" s="4" t="str">
        <f aca="false">INDEX(PurchaseOrders!$B$2:$B$3001,MATCH(B480,PurchaseOrders!$A$2:$A$3001,0))</f>
        <v>V045</v>
      </c>
    </row>
    <row r="481" customFormat="false" ht="15" hidden="false" customHeight="true" outlineLevel="0" collapsed="false">
      <c r="A481" s="4" t="s">
        <v>3668</v>
      </c>
      <c r="B481" s="4" t="s">
        <v>657</v>
      </c>
      <c r="C481" s="4" t="n">
        <v>1289</v>
      </c>
      <c r="D481" s="4" t="n">
        <v>75</v>
      </c>
      <c r="E481" s="13" t="n">
        <v>45094</v>
      </c>
      <c r="F481" s="4" t="s">
        <v>3184</v>
      </c>
      <c r="G481" s="4" t="str">
        <f aca="false">INDEX(PurchaseOrders!$B$2:$B$3001,MATCH(B481,PurchaseOrders!$A$2:$A$3001,0))</f>
        <v>V048</v>
      </c>
    </row>
    <row r="482" customFormat="false" ht="15" hidden="false" customHeight="true" outlineLevel="0" collapsed="false">
      <c r="A482" s="4" t="s">
        <v>3669</v>
      </c>
      <c r="B482" s="4" t="s">
        <v>658</v>
      </c>
      <c r="C482" s="4" t="n">
        <v>618</v>
      </c>
      <c r="D482" s="4" t="n">
        <v>15</v>
      </c>
      <c r="E482" s="13" t="n">
        <v>45620</v>
      </c>
      <c r="F482" s="4" t="s">
        <v>3188</v>
      </c>
      <c r="G482" s="4" t="str">
        <f aca="false">INDEX(PurchaseOrders!$B$2:$B$3001,MATCH(B482,PurchaseOrders!$A$2:$A$3001,0))</f>
        <v>V022</v>
      </c>
    </row>
    <row r="483" customFormat="false" ht="15" hidden="false" customHeight="true" outlineLevel="0" collapsed="false">
      <c r="A483" s="4" t="s">
        <v>3670</v>
      </c>
      <c r="B483" s="4" t="s">
        <v>659</v>
      </c>
      <c r="C483" s="4" t="n">
        <v>145</v>
      </c>
      <c r="D483" s="4" t="n">
        <v>1</v>
      </c>
      <c r="E483" s="13" t="n">
        <v>45584</v>
      </c>
      <c r="F483" s="4" t="s">
        <v>3188</v>
      </c>
      <c r="G483" s="4" t="str">
        <f aca="false">INDEX(PurchaseOrders!$B$2:$B$3001,MATCH(B483,PurchaseOrders!$A$2:$A$3001,0))</f>
        <v>V040</v>
      </c>
    </row>
    <row r="484" customFormat="false" ht="15" hidden="false" customHeight="true" outlineLevel="0" collapsed="false">
      <c r="A484" s="4" t="s">
        <v>3671</v>
      </c>
      <c r="B484" s="4" t="s">
        <v>660</v>
      </c>
      <c r="C484" s="4" t="n">
        <v>967</v>
      </c>
      <c r="D484" s="4" t="n">
        <v>7</v>
      </c>
      <c r="E484" s="13" t="n">
        <v>45415</v>
      </c>
      <c r="F484" s="4" t="s">
        <v>3190</v>
      </c>
      <c r="G484" s="4" t="str">
        <f aca="false">INDEX(PurchaseOrders!$B$2:$B$3001,MATCH(B484,PurchaseOrders!$A$2:$A$3001,0))</f>
        <v>V011</v>
      </c>
    </row>
    <row r="485" customFormat="false" ht="15" hidden="false" customHeight="true" outlineLevel="0" collapsed="false">
      <c r="A485" s="4" t="s">
        <v>3672</v>
      </c>
      <c r="B485" s="4" t="s">
        <v>661</v>
      </c>
      <c r="C485" s="4" t="n">
        <v>197</v>
      </c>
      <c r="D485" s="4" t="n">
        <v>0</v>
      </c>
      <c r="E485" s="13" t="n">
        <v>45291</v>
      </c>
      <c r="F485" s="4"/>
      <c r="G485" s="4" t="str">
        <f aca="false">INDEX(PurchaseOrders!$B$2:$B$3001,MATCH(B485,PurchaseOrders!$A$2:$A$3001,0))</f>
        <v>V006</v>
      </c>
    </row>
    <row r="486" customFormat="false" ht="15" hidden="false" customHeight="true" outlineLevel="0" collapsed="false">
      <c r="A486" s="4" t="s">
        <v>3673</v>
      </c>
      <c r="B486" s="4" t="s">
        <v>662</v>
      </c>
      <c r="C486" s="4" t="n">
        <v>232</v>
      </c>
      <c r="D486" s="4" t="n">
        <v>18</v>
      </c>
      <c r="E486" s="13" t="n">
        <v>45131</v>
      </c>
      <c r="F486" s="4" t="s">
        <v>3186</v>
      </c>
      <c r="G486" s="4" t="str">
        <f aca="false">INDEX(PurchaseOrders!$B$2:$B$3001,MATCH(B486,PurchaseOrders!$A$2:$A$3001,0))</f>
        <v>V018</v>
      </c>
    </row>
    <row r="487" customFormat="false" ht="15" hidden="false" customHeight="true" outlineLevel="0" collapsed="false">
      <c r="A487" s="4" t="s">
        <v>3674</v>
      </c>
      <c r="B487" s="4" t="s">
        <v>663</v>
      </c>
      <c r="C487" s="4" t="n">
        <v>1675</v>
      </c>
      <c r="D487" s="4" t="n">
        <v>3</v>
      </c>
      <c r="E487" s="13" t="n">
        <v>45289</v>
      </c>
      <c r="F487" s="4" t="s">
        <v>3186</v>
      </c>
      <c r="G487" s="4" t="str">
        <f aca="false">INDEX(PurchaseOrders!$B$2:$B$3001,MATCH(B487,PurchaseOrders!$A$2:$A$3001,0))</f>
        <v>V021</v>
      </c>
    </row>
    <row r="488" customFormat="false" ht="15" hidden="false" customHeight="true" outlineLevel="0" collapsed="false">
      <c r="A488" s="4" t="s">
        <v>3675</v>
      </c>
      <c r="B488" s="4" t="s">
        <v>664</v>
      </c>
      <c r="C488" s="4" t="n">
        <v>497</v>
      </c>
      <c r="D488" s="4" t="n">
        <v>16</v>
      </c>
      <c r="E488" s="13" t="n">
        <v>45008</v>
      </c>
      <c r="F488" s="4" t="s">
        <v>3186</v>
      </c>
      <c r="G488" s="4" t="str">
        <f aca="false">INDEX(PurchaseOrders!$B$2:$B$3001,MATCH(B488,PurchaseOrders!$A$2:$A$3001,0))</f>
        <v>V001</v>
      </c>
    </row>
    <row r="489" customFormat="false" ht="15" hidden="false" customHeight="true" outlineLevel="0" collapsed="false">
      <c r="A489" s="4" t="s">
        <v>3676</v>
      </c>
      <c r="B489" s="4" t="s">
        <v>665</v>
      </c>
      <c r="C489" s="4" t="n">
        <v>97</v>
      </c>
      <c r="D489" s="4" t="n">
        <v>10</v>
      </c>
      <c r="E489" s="13" t="n">
        <v>45272</v>
      </c>
      <c r="F489" s="4" t="s">
        <v>3202</v>
      </c>
      <c r="G489" s="4" t="str">
        <f aca="false">INDEX(PurchaseOrders!$B$2:$B$3001,MATCH(B489,PurchaseOrders!$A$2:$A$3001,0))</f>
        <v>V009</v>
      </c>
    </row>
    <row r="490" customFormat="false" ht="15" hidden="false" customHeight="true" outlineLevel="0" collapsed="false">
      <c r="A490" s="4" t="s">
        <v>3677</v>
      </c>
      <c r="B490" s="4" t="s">
        <v>666</v>
      </c>
      <c r="C490" s="4" t="n">
        <v>425</v>
      </c>
      <c r="D490" s="4" t="n">
        <v>6</v>
      </c>
      <c r="E490" s="13" t="n">
        <v>45431</v>
      </c>
      <c r="F490" s="4" t="s">
        <v>3188</v>
      </c>
      <c r="G490" s="4" t="str">
        <f aca="false">INDEX(PurchaseOrders!$B$2:$B$3001,MATCH(B490,PurchaseOrders!$A$2:$A$3001,0))</f>
        <v>V021</v>
      </c>
    </row>
    <row r="491" customFormat="false" ht="15" hidden="false" customHeight="true" outlineLevel="0" collapsed="false">
      <c r="A491" s="4" t="s">
        <v>3678</v>
      </c>
      <c r="B491" s="4" t="s">
        <v>667</v>
      </c>
      <c r="C491" s="4" t="n">
        <v>303</v>
      </c>
      <c r="D491" s="4" t="n">
        <v>7</v>
      </c>
      <c r="E491" s="13" t="n">
        <v>45481</v>
      </c>
      <c r="F491" s="4" t="s">
        <v>3188</v>
      </c>
      <c r="G491" s="4" t="str">
        <f aca="false">INDEX(PurchaseOrders!$B$2:$B$3001,MATCH(B491,PurchaseOrders!$A$2:$A$3001,0))</f>
        <v>V010</v>
      </c>
    </row>
    <row r="492" customFormat="false" ht="15" hidden="false" customHeight="true" outlineLevel="0" collapsed="false">
      <c r="A492" s="4" t="s">
        <v>3679</v>
      </c>
      <c r="B492" s="4" t="s">
        <v>668</v>
      </c>
      <c r="C492" s="4" t="n">
        <v>235</v>
      </c>
      <c r="D492" s="4" t="n">
        <v>20</v>
      </c>
      <c r="E492" s="13" t="n">
        <v>45441</v>
      </c>
      <c r="F492" s="4" t="s">
        <v>3202</v>
      </c>
      <c r="G492" s="4" t="str">
        <f aca="false">INDEX(PurchaseOrders!$B$2:$B$3001,MATCH(B492,PurchaseOrders!$A$2:$A$3001,0))</f>
        <v>V036</v>
      </c>
    </row>
    <row r="493" customFormat="false" ht="15" hidden="false" customHeight="true" outlineLevel="0" collapsed="false">
      <c r="A493" s="4" t="s">
        <v>3680</v>
      </c>
      <c r="B493" s="4" t="s">
        <v>669</v>
      </c>
      <c r="C493" s="4" t="n">
        <v>1856</v>
      </c>
      <c r="D493" s="4" t="n">
        <v>0</v>
      </c>
      <c r="E493" s="13" t="n">
        <v>44983</v>
      </c>
      <c r="F493" s="4"/>
      <c r="G493" s="4" t="str">
        <f aca="false">INDEX(PurchaseOrders!$B$2:$B$3001,MATCH(B493,PurchaseOrders!$A$2:$A$3001,0))</f>
        <v>V035</v>
      </c>
    </row>
    <row r="494" customFormat="false" ht="15" hidden="false" customHeight="true" outlineLevel="0" collapsed="false">
      <c r="A494" s="4" t="s">
        <v>3681</v>
      </c>
      <c r="B494" s="4" t="s">
        <v>670</v>
      </c>
      <c r="C494" s="4" t="n">
        <v>4440</v>
      </c>
      <c r="D494" s="4" t="n">
        <v>0</v>
      </c>
      <c r="E494" s="13" t="n">
        <v>45408</v>
      </c>
      <c r="F494" s="4"/>
      <c r="G494" s="4" t="str">
        <f aca="false">INDEX(PurchaseOrders!$B$2:$B$3001,MATCH(B494,PurchaseOrders!$A$2:$A$3001,0))</f>
        <v>V015</v>
      </c>
    </row>
    <row r="495" customFormat="false" ht="15" hidden="false" customHeight="true" outlineLevel="0" collapsed="false">
      <c r="A495" s="4" t="s">
        <v>3682</v>
      </c>
      <c r="B495" s="4" t="s">
        <v>671</v>
      </c>
      <c r="C495" s="4" t="n">
        <v>3004</v>
      </c>
      <c r="D495" s="4" t="n">
        <v>340</v>
      </c>
      <c r="E495" s="13" t="n">
        <v>45340</v>
      </c>
      <c r="F495" s="4" t="s">
        <v>3188</v>
      </c>
      <c r="G495" s="4" t="str">
        <f aca="false">INDEX(PurchaseOrders!$B$2:$B$3001,MATCH(B495,PurchaseOrders!$A$2:$A$3001,0))</f>
        <v>V032</v>
      </c>
    </row>
    <row r="496" customFormat="false" ht="15" hidden="false" customHeight="true" outlineLevel="0" collapsed="false">
      <c r="A496" s="4" t="s">
        <v>3683</v>
      </c>
      <c r="B496" s="4" t="s">
        <v>672</v>
      </c>
      <c r="C496" s="4" t="n">
        <v>60</v>
      </c>
      <c r="D496" s="4" t="n">
        <v>0</v>
      </c>
      <c r="E496" s="13" t="n">
        <v>45263</v>
      </c>
      <c r="F496" s="4"/>
      <c r="G496" s="4" t="str">
        <f aca="false">INDEX(PurchaseOrders!$B$2:$B$3001,MATCH(B496,PurchaseOrders!$A$2:$A$3001,0))</f>
        <v>V040</v>
      </c>
    </row>
    <row r="497" customFormat="false" ht="15" hidden="false" customHeight="true" outlineLevel="0" collapsed="false">
      <c r="A497" s="4" t="s">
        <v>3684</v>
      </c>
      <c r="B497" s="4" t="s">
        <v>673</v>
      </c>
      <c r="C497" s="4" t="n">
        <v>1601</v>
      </c>
      <c r="D497" s="4" t="n">
        <v>376</v>
      </c>
      <c r="E497" s="13" t="n">
        <v>45058</v>
      </c>
      <c r="F497" s="4" t="s">
        <v>3186</v>
      </c>
      <c r="G497" s="4" t="str">
        <f aca="false">INDEX(PurchaseOrders!$B$2:$B$3001,MATCH(B497,PurchaseOrders!$A$2:$A$3001,0))</f>
        <v>V039</v>
      </c>
    </row>
    <row r="498" customFormat="false" ht="15" hidden="false" customHeight="true" outlineLevel="0" collapsed="false">
      <c r="A498" s="4" t="s">
        <v>3685</v>
      </c>
      <c r="B498" s="4" t="s">
        <v>674</v>
      </c>
      <c r="C498" s="4" t="n">
        <v>1636</v>
      </c>
      <c r="D498" s="4" t="n">
        <v>0</v>
      </c>
      <c r="E498" s="13" t="n">
        <v>45647</v>
      </c>
      <c r="F498" s="4"/>
      <c r="G498" s="4" t="str">
        <f aca="false">INDEX(PurchaseOrders!$B$2:$B$3001,MATCH(B498,PurchaseOrders!$A$2:$A$3001,0))</f>
        <v>V011</v>
      </c>
    </row>
    <row r="499" customFormat="false" ht="15" hidden="false" customHeight="true" outlineLevel="0" collapsed="false">
      <c r="A499" s="4" t="s">
        <v>3686</v>
      </c>
      <c r="B499" s="4" t="s">
        <v>675</v>
      </c>
      <c r="C499" s="4" t="n">
        <v>1509</v>
      </c>
      <c r="D499" s="4" t="n">
        <v>33</v>
      </c>
      <c r="E499" s="13" t="n">
        <v>45231</v>
      </c>
      <c r="F499" s="4" t="s">
        <v>3192</v>
      </c>
      <c r="G499" s="4" t="str">
        <f aca="false">INDEX(PurchaseOrders!$B$2:$B$3001,MATCH(B499,PurchaseOrders!$A$2:$A$3001,0))</f>
        <v>V011</v>
      </c>
    </row>
    <row r="500" customFormat="false" ht="15" hidden="false" customHeight="true" outlineLevel="0" collapsed="false">
      <c r="A500" s="4" t="s">
        <v>3687</v>
      </c>
      <c r="B500" s="4" t="s">
        <v>676</v>
      </c>
      <c r="C500" s="4" t="n">
        <v>844</v>
      </c>
      <c r="D500" s="4" t="n">
        <v>56</v>
      </c>
      <c r="E500" s="13" t="n">
        <v>45480</v>
      </c>
      <c r="F500" s="4" t="s">
        <v>3184</v>
      </c>
      <c r="G500" s="4" t="str">
        <f aca="false">INDEX(PurchaseOrders!$B$2:$B$3001,MATCH(B500,PurchaseOrders!$A$2:$A$3001,0))</f>
        <v>V027</v>
      </c>
    </row>
    <row r="501" customFormat="false" ht="15" hidden="false" customHeight="true" outlineLevel="0" collapsed="false">
      <c r="A501" s="4" t="s">
        <v>3688</v>
      </c>
      <c r="B501" s="4" t="s">
        <v>677</v>
      </c>
      <c r="C501" s="4" t="n">
        <v>2877</v>
      </c>
      <c r="D501" s="4" t="n">
        <v>220</v>
      </c>
      <c r="E501" s="13" t="n">
        <v>44949</v>
      </c>
      <c r="F501" s="4" t="s">
        <v>3188</v>
      </c>
      <c r="G501" s="4" t="str">
        <f aca="false">INDEX(PurchaseOrders!$B$2:$B$3001,MATCH(B501,PurchaseOrders!$A$2:$A$3001,0))</f>
        <v>V032</v>
      </c>
    </row>
    <row r="502" customFormat="false" ht="15" hidden="false" customHeight="true" outlineLevel="0" collapsed="false">
      <c r="A502" s="4" t="s">
        <v>3689</v>
      </c>
      <c r="B502" s="4" t="s">
        <v>678</v>
      </c>
      <c r="C502" s="4" t="n">
        <v>184</v>
      </c>
      <c r="D502" s="4" t="n">
        <v>9</v>
      </c>
      <c r="E502" s="13" t="n">
        <v>45375</v>
      </c>
      <c r="F502" s="4" t="s">
        <v>3184</v>
      </c>
      <c r="G502" s="4" t="str">
        <f aca="false">INDEX(PurchaseOrders!$B$2:$B$3001,MATCH(B502,PurchaseOrders!$A$2:$A$3001,0))</f>
        <v>V037</v>
      </c>
    </row>
    <row r="503" customFormat="false" ht="15" hidden="false" customHeight="true" outlineLevel="0" collapsed="false">
      <c r="A503" s="4" t="s">
        <v>3690</v>
      </c>
      <c r="B503" s="4" t="s">
        <v>679</v>
      </c>
      <c r="C503" s="4" t="n">
        <v>839</v>
      </c>
      <c r="D503" s="4" t="n">
        <v>38</v>
      </c>
      <c r="E503" s="13" t="n">
        <v>45574</v>
      </c>
      <c r="F503" s="4" t="s">
        <v>3192</v>
      </c>
      <c r="G503" s="4" t="str">
        <f aca="false">INDEX(PurchaseOrders!$B$2:$B$3001,MATCH(B503,PurchaseOrders!$A$2:$A$3001,0))</f>
        <v>V051</v>
      </c>
    </row>
    <row r="504" customFormat="false" ht="15" hidden="false" customHeight="true" outlineLevel="0" collapsed="false">
      <c r="A504" s="4" t="s">
        <v>3691</v>
      </c>
      <c r="B504" s="4" t="s">
        <v>680</v>
      </c>
      <c r="C504" s="4" t="n">
        <v>5</v>
      </c>
      <c r="D504" s="4" t="n">
        <v>0</v>
      </c>
      <c r="E504" s="13" t="n">
        <v>45124</v>
      </c>
      <c r="F504" s="4"/>
      <c r="G504" s="4" t="str">
        <f aca="false">INDEX(PurchaseOrders!$B$2:$B$3001,MATCH(B504,PurchaseOrders!$A$2:$A$3001,0))</f>
        <v>V054</v>
      </c>
    </row>
    <row r="505" customFormat="false" ht="15" hidden="false" customHeight="true" outlineLevel="0" collapsed="false">
      <c r="A505" s="4" t="s">
        <v>3692</v>
      </c>
      <c r="B505" s="4" t="s">
        <v>681</v>
      </c>
      <c r="C505" s="4" t="n">
        <v>411</v>
      </c>
      <c r="D505" s="4" t="n">
        <v>9</v>
      </c>
      <c r="E505" s="13" t="n">
        <v>45207</v>
      </c>
      <c r="F505" s="4" t="s">
        <v>3192</v>
      </c>
      <c r="G505" s="4" t="str">
        <f aca="false">INDEX(PurchaseOrders!$B$2:$B$3001,MATCH(B505,PurchaseOrders!$A$2:$A$3001,0))</f>
        <v>V004</v>
      </c>
    </row>
    <row r="506" customFormat="false" ht="15" hidden="false" customHeight="true" outlineLevel="0" collapsed="false">
      <c r="A506" s="4" t="s">
        <v>3693</v>
      </c>
      <c r="B506" s="4" t="s">
        <v>682</v>
      </c>
      <c r="C506" s="4" t="n">
        <v>3975</v>
      </c>
      <c r="D506" s="4" t="n">
        <v>660</v>
      </c>
      <c r="E506" s="13" t="n">
        <v>45391</v>
      </c>
      <c r="F506" s="4" t="s">
        <v>3192</v>
      </c>
      <c r="G506" s="4" t="str">
        <f aca="false">INDEX(PurchaseOrders!$B$2:$B$3001,MATCH(B506,PurchaseOrders!$A$2:$A$3001,0))</f>
        <v>V038</v>
      </c>
    </row>
    <row r="507" customFormat="false" ht="15" hidden="false" customHeight="true" outlineLevel="0" collapsed="false">
      <c r="A507" s="4" t="s">
        <v>3694</v>
      </c>
      <c r="B507" s="4" t="s">
        <v>683</v>
      </c>
      <c r="C507" s="4" t="n">
        <v>193</v>
      </c>
      <c r="D507" s="4" t="n">
        <v>6</v>
      </c>
      <c r="E507" s="13" t="n">
        <v>45658</v>
      </c>
      <c r="F507" s="4" t="s">
        <v>3188</v>
      </c>
      <c r="G507" s="4" t="str">
        <f aca="false">INDEX(PurchaseOrders!$B$2:$B$3001,MATCH(B507,PurchaseOrders!$A$2:$A$3001,0))</f>
        <v>V006</v>
      </c>
    </row>
    <row r="508" customFormat="false" ht="15" hidden="false" customHeight="true" outlineLevel="0" collapsed="false">
      <c r="A508" s="4" t="s">
        <v>3695</v>
      </c>
      <c r="B508" s="4" t="s">
        <v>684</v>
      </c>
      <c r="C508" s="4" t="n">
        <v>472</v>
      </c>
      <c r="D508" s="4" t="n">
        <v>21</v>
      </c>
      <c r="E508" s="13" t="n">
        <v>45246</v>
      </c>
      <c r="F508" s="4" t="s">
        <v>3190</v>
      </c>
      <c r="G508" s="4" t="str">
        <f aca="false">INDEX(PurchaseOrders!$B$2:$B$3001,MATCH(B508,PurchaseOrders!$A$2:$A$3001,0))</f>
        <v>V020</v>
      </c>
    </row>
    <row r="509" customFormat="false" ht="15" hidden="false" customHeight="true" outlineLevel="0" collapsed="false">
      <c r="A509" s="4" t="s">
        <v>3696</v>
      </c>
      <c r="B509" s="4" t="s">
        <v>685</v>
      </c>
      <c r="C509" s="4" t="n">
        <v>4613</v>
      </c>
      <c r="D509" s="4" t="n">
        <v>223</v>
      </c>
      <c r="E509" s="13" t="n">
        <v>45425</v>
      </c>
      <c r="F509" s="4" t="s">
        <v>3192</v>
      </c>
      <c r="G509" s="4" t="str">
        <f aca="false">INDEX(PurchaseOrders!$B$2:$B$3001,MATCH(B509,PurchaseOrders!$A$2:$A$3001,0))</f>
        <v>V058</v>
      </c>
    </row>
    <row r="510" customFormat="false" ht="15" hidden="false" customHeight="true" outlineLevel="0" collapsed="false">
      <c r="A510" s="4" t="s">
        <v>3697</v>
      </c>
      <c r="B510" s="4" t="s">
        <v>686</v>
      </c>
      <c r="C510" s="4" t="n">
        <v>269</v>
      </c>
      <c r="D510" s="4" t="n">
        <v>8</v>
      </c>
      <c r="E510" s="13" t="n">
        <v>45636</v>
      </c>
      <c r="F510" s="4" t="s">
        <v>3190</v>
      </c>
      <c r="G510" s="4" t="str">
        <f aca="false">INDEX(PurchaseOrders!$B$2:$B$3001,MATCH(B510,PurchaseOrders!$A$2:$A$3001,0))</f>
        <v>V011</v>
      </c>
    </row>
    <row r="511" customFormat="false" ht="15" hidden="false" customHeight="true" outlineLevel="0" collapsed="false">
      <c r="A511" s="4" t="s">
        <v>3698</v>
      </c>
      <c r="B511" s="4" t="s">
        <v>687</v>
      </c>
      <c r="C511" s="4" t="n">
        <v>2520</v>
      </c>
      <c r="D511" s="4" t="n">
        <v>203</v>
      </c>
      <c r="E511" s="13" t="n">
        <v>45041</v>
      </c>
      <c r="F511" s="4" t="s">
        <v>3184</v>
      </c>
      <c r="G511" s="4" t="str">
        <f aca="false">INDEX(PurchaseOrders!$B$2:$B$3001,MATCH(B511,PurchaseOrders!$A$2:$A$3001,0))</f>
        <v>V014</v>
      </c>
    </row>
    <row r="512" customFormat="false" ht="15" hidden="false" customHeight="true" outlineLevel="0" collapsed="false">
      <c r="A512" s="4" t="s">
        <v>3699</v>
      </c>
      <c r="B512" s="4" t="s">
        <v>688</v>
      </c>
      <c r="C512" s="4" t="n">
        <v>7</v>
      </c>
      <c r="D512" s="4" t="n">
        <v>0</v>
      </c>
      <c r="E512" s="13" t="n">
        <v>45238</v>
      </c>
      <c r="F512" s="4"/>
      <c r="G512" s="4" t="str">
        <f aca="false">INDEX(PurchaseOrders!$B$2:$B$3001,MATCH(B512,PurchaseOrders!$A$2:$A$3001,0))</f>
        <v>V042</v>
      </c>
    </row>
    <row r="513" customFormat="false" ht="15" hidden="false" customHeight="true" outlineLevel="0" collapsed="false">
      <c r="A513" s="4" t="s">
        <v>3700</v>
      </c>
      <c r="B513" s="4" t="s">
        <v>689</v>
      </c>
      <c r="C513" s="4" t="n">
        <v>3608</v>
      </c>
      <c r="D513" s="4" t="n">
        <v>441</v>
      </c>
      <c r="E513" s="13" t="n">
        <v>45171</v>
      </c>
      <c r="F513" s="4" t="s">
        <v>3184</v>
      </c>
      <c r="G513" s="4" t="str">
        <f aca="false">INDEX(PurchaseOrders!$B$2:$B$3001,MATCH(B513,PurchaseOrders!$A$2:$A$3001,0))</f>
        <v>V032</v>
      </c>
    </row>
    <row r="514" customFormat="false" ht="15" hidden="false" customHeight="true" outlineLevel="0" collapsed="false">
      <c r="A514" s="4" t="s">
        <v>3701</v>
      </c>
      <c r="B514" s="4" t="s">
        <v>690</v>
      </c>
      <c r="C514" s="4" t="n">
        <v>151</v>
      </c>
      <c r="D514" s="4" t="n">
        <v>3</v>
      </c>
      <c r="E514" s="13" t="n">
        <v>45573</v>
      </c>
      <c r="F514" s="4" t="s">
        <v>3186</v>
      </c>
      <c r="G514" s="4" t="str">
        <f aca="false">INDEX(PurchaseOrders!$B$2:$B$3001,MATCH(B514,PurchaseOrders!$A$2:$A$3001,0))</f>
        <v>V008</v>
      </c>
    </row>
    <row r="515" customFormat="false" ht="15" hidden="false" customHeight="true" outlineLevel="0" collapsed="false">
      <c r="A515" s="4" t="s">
        <v>3702</v>
      </c>
      <c r="B515" s="4" t="s">
        <v>691</v>
      </c>
      <c r="C515" s="4" t="n">
        <v>387</v>
      </c>
      <c r="D515" s="4" t="n">
        <v>11</v>
      </c>
      <c r="E515" s="13" t="n">
        <v>45036</v>
      </c>
      <c r="F515" s="4" t="s">
        <v>3184</v>
      </c>
      <c r="G515" s="4" t="str">
        <f aca="false">INDEX(PurchaseOrders!$B$2:$B$3001,MATCH(B515,PurchaseOrders!$A$2:$A$3001,0))</f>
        <v>V021</v>
      </c>
    </row>
    <row r="516" customFormat="false" ht="15" hidden="false" customHeight="true" outlineLevel="0" collapsed="false">
      <c r="A516" s="4" t="s">
        <v>3703</v>
      </c>
      <c r="B516" s="4" t="s">
        <v>692</v>
      </c>
      <c r="C516" s="4" t="n">
        <v>1402</v>
      </c>
      <c r="D516" s="4" t="n">
        <v>83</v>
      </c>
      <c r="E516" s="13" t="n">
        <v>45382</v>
      </c>
      <c r="F516" s="4" t="s">
        <v>3186</v>
      </c>
      <c r="G516" s="4" t="str">
        <f aca="false">INDEX(PurchaseOrders!$B$2:$B$3001,MATCH(B516,PurchaseOrders!$A$2:$A$3001,0))</f>
        <v>V048</v>
      </c>
    </row>
    <row r="517" customFormat="false" ht="15" hidden="false" customHeight="true" outlineLevel="0" collapsed="false">
      <c r="A517" s="4" t="s">
        <v>3704</v>
      </c>
      <c r="B517" s="4" t="s">
        <v>693</v>
      </c>
      <c r="C517" s="4" t="n">
        <v>266</v>
      </c>
      <c r="D517" s="4" t="n">
        <v>18</v>
      </c>
      <c r="E517" s="13" t="n">
        <v>45515</v>
      </c>
      <c r="F517" s="4" t="s">
        <v>3184</v>
      </c>
      <c r="G517" s="4" t="str">
        <f aca="false">INDEX(PurchaseOrders!$B$2:$B$3001,MATCH(B517,PurchaseOrders!$A$2:$A$3001,0))</f>
        <v>V031</v>
      </c>
    </row>
    <row r="518" customFormat="false" ht="15" hidden="false" customHeight="true" outlineLevel="0" collapsed="false">
      <c r="A518" s="4" t="s">
        <v>3705</v>
      </c>
      <c r="B518" s="4" t="s">
        <v>694</v>
      </c>
      <c r="C518" s="4" t="n">
        <v>401</v>
      </c>
      <c r="D518" s="4" t="n">
        <v>27</v>
      </c>
      <c r="E518" s="13" t="n">
        <v>45454</v>
      </c>
      <c r="F518" s="4" t="s">
        <v>3190</v>
      </c>
      <c r="G518" s="4" t="str">
        <f aca="false">INDEX(PurchaseOrders!$B$2:$B$3001,MATCH(B518,PurchaseOrders!$A$2:$A$3001,0))</f>
        <v>V031</v>
      </c>
    </row>
    <row r="519" customFormat="false" ht="15" hidden="false" customHeight="true" outlineLevel="0" collapsed="false">
      <c r="A519" s="4" t="s">
        <v>3706</v>
      </c>
      <c r="B519" s="4" t="s">
        <v>695</v>
      </c>
      <c r="C519" s="4" t="n">
        <v>3341</v>
      </c>
      <c r="D519" s="4" t="n">
        <v>314</v>
      </c>
      <c r="E519" s="13" t="n">
        <v>45520</v>
      </c>
      <c r="F519" s="4" t="s">
        <v>3188</v>
      </c>
      <c r="G519" s="4" t="str">
        <f aca="false">INDEX(PurchaseOrders!$B$2:$B$3001,MATCH(B519,PurchaseOrders!$A$2:$A$3001,0))</f>
        <v>V032</v>
      </c>
    </row>
    <row r="520" customFormat="false" ht="15" hidden="false" customHeight="true" outlineLevel="0" collapsed="false">
      <c r="A520" s="4" t="s">
        <v>3707</v>
      </c>
      <c r="B520" s="4" t="s">
        <v>696</v>
      </c>
      <c r="C520" s="4" t="n">
        <v>451</v>
      </c>
      <c r="D520" s="4" t="n">
        <v>0</v>
      </c>
      <c r="E520" s="13" t="n">
        <v>45005</v>
      </c>
      <c r="F520" s="4"/>
      <c r="G520" s="4" t="str">
        <f aca="false">INDEX(PurchaseOrders!$B$2:$B$3001,MATCH(B520,PurchaseOrders!$A$2:$A$3001,0))</f>
        <v>V029</v>
      </c>
    </row>
    <row r="521" customFormat="false" ht="15" hidden="false" customHeight="true" outlineLevel="0" collapsed="false">
      <c r="A521" s="4" t="s">
        <v>3708</v>
      </c>
      <c r="B521" s="4" t="s">
        <v>697</v>
      </c>
      <c r="C521" s="4" t="n">
        <v>3374</v>
      </c>
      <c r="D521" s="4" t="n">
        <v>276</v>
      </c>
      <c r="E521" s="13" t="n">
        <v>45456</v>
      </c>
      <c r="F521" s="4" t="s">
        <v>3190</v>
      </c>
      <c r="G521" s="4" t="str">
        <f aca="false">INDEX(PurchaseOrders!$B$2:$B$3001,MATCH(B521,PurchaseOrders!$A$2:$A$3001,0))</f>
        <v>V014</v>
      </c>
    </row>
    <row r="522" customFormat="false" ht="15" hidden="false" customHeight="true" outlineLevel="0" collapsed="false">
      <c r="A522" s="4" t="s">
        <v>3709</v>
      </c>
      <c r="B522" s="4" t="s">
        <v>698</v>
      </c>
      <c r="C522" s="4" t="n">
        <v>160</v>
      </c>
      <c r="D522" s="4" t="n">
        <v>0</v>
      </c>
      <c r="E522" s="13" t="n">
        <v>45316</v>
      </c>
      <c r="F522" s="4"/>
      <c r="G522" s="4" t="str">
        <f aca="false">INDEX(PurchaseOrders!$B$2:$B$3001,MATCH(B522,PurchaseOrders!$A$2:$A$3001,0))</f>
        <v>V040</v>
      </c>
    </row>
    <row r="523" customFormat="false" ht="15" hidden="false" customHeight="true" outlineLevel="0" collapsed="false">
      <c r="A523" s="4" t="s">
        <v>3710</v>
      </c>
      <c r="B523" s="4" t="s">
        <v>699</v>
      </c>
      <c r="C523" s="4" t="n">
        <v>409</v>
      </c>
      <c r="D523" s="4" t="n">
        <v>8</v>
      </c>
      <c r="E523" s="13" t="n">
        <v>45207</v>
      </c>
      <c r="F523" s="4" t="s">
        <v>3192</v>
      </c>
      <c r="G523" s="4" t="str">
        <f aca="false">INDEX(PurchaseOrders!$B$2:$B$3001,MATCH(B523,PurchaseOrders!$A$2:$A$3001,0))</f>
        <v>V020</v>
      </c>
    </row>
    <row r="524" customFormat="false" ht="15" hidden="false" customHeight="true" outlineLevel="0" collapsed="false">
      <c r="A524" s="4" t="s">
        <v>3711</v>
      </c>
      <c r="B524" s="4" t="s">
        <v>700</v>
      </c>
      <c r="C524" s="4" t="n">
        <v>953</v>
      </c>
      <c r="D524" s="4" t="n">
        <v>40</v>
      </c>
      <c r="E524" s="13" t="n">
        <v>45031</v>
      </c>
      <c r="F524" s="4" t="s">
        <v>3188</v>
      </c>
      <c r="G524" s="4" t="str">
        <f aca="false">INDEX(PurchaseOrders!$B$2:$B$3001,MATCH(B524,PurchaseOrders!$A$2:$A$3001,0))</f>
        <v>V010</v>
      </c>
    </row>
    <row r="525" customFormat="false" ht="15" hidden="false" customHeight="true" outlineLevel="0" collapsed="false">
      <c r="A525" s="4" t="s">
        <v>3712</v>
      </c>
      <c r="B525" s="4" t="s">
        <v>701</v>
      </c>
      <c r="C525" s="4" t="n">
        <v>252</v>
      </c>
      <c r="D525" s="4" t="n">
        <v>3</v>
      </c>
      <c r="E525" s="13" t="n">
        <v>45297</v>
      </c>
      <c r="F525" s="4" t="s">
        <v>3190</v>
      </c>
      <c r="G525" s="4" t="str">
        <f aca="false">INDEX(PurchaseOrders!$B$2:$B$3001,MATCH(B525,PurchaseOrders!$A$2:$A$3001,0))</f>
        <v>V022</v>
      </c>
    </row>
    <row r="526" customFormat="false" ht="15" hidden="false" customHeight="true" outlineLevel="0" collapsed="false">
      <c r="A526" s="4" t="s">
        <v>3713</v>
      </c>
      <c r="B526" s="4" t="s">
        <v>702</v>
      </c>
      <c r="C526" s="4" t="n">
        <v>62</v>
      </c>
      <c r="D526" s="4" t="n">
        <v>3</v>
      </c>
      <c r="E526" s="13" t="n">
        <v>45569</v>
      </c>
      <c r="F526" s="4" t="s">
        <v>3186</v>
      </c>
      <c r="G526" s="4" t="str">
        <f aca="false">INDEX(PurchaseOrders!$B$2:$B$3001,MATCH(B526,PurchaseOrders!$A$2:$A$3001,0))</f>
        <v>V033</v>
      </c>
    </row>
    <row r="527" customFormat="false" ht="15" hidden="false" customHeight="true" outlineLevel="0" collapsed="false">
      <c r="A527" s="4" t="s">
        <v>3714</v>
      </c>
      <c r="B527" s="4" t="s">
        <v>703</v>
      </c>
      <c r="C527" s="4" t="n">
        <v>92</v>
      </c>
      <c r="D527" s="4" t="n">
        <v>10</v>
      </c>
      <c r="E527" s="13" t="n">
        <v>45516</v>
      </c>
      <c r="F527" s="4" t="s">
        <v>3192</v>
      </c>
      <c r="G527" s="4" t="str">
        <f aca="false">INDEX(PurchaseOrders!$B$2:$B$3001,MATCH(B527,PurchaseOrders!$A$2:$A$3001,0))</f>
        <v>V009</v>
      </c>
    </row>
    <row r="528" customFormat="false" ht="15" hidden="false" customHeight="true" outlineLevel="0" collapsed="false">
      <c r="A528" s="4" t="s">
        <v>3715</v>
      </c>
      <c r="B528" s="4" t="s">
        <v>704</v>
      </c>
      <c r="C528" s="4" t="n">
        <v>652</v>
      </c>
      <c r="D528" s="4" t="n">
        <v>26</v>
      </c>
      <c r="E528" s="13" t="n">
        <v>45329</v>
      </c>
      <c r="F528" s="4" t="s">
        <v>3186</v>
      </c>
      <c r="G528" s="4" t="str">
        <f aca="false">INDEX(PurchaseOrders!$B$2:$B$3001,MATCH(B528,PurchaseOrders!$A$2:$A$3001,0))</f>
        <v>V034</v>
      </c>
    </row>
    <row r="529" customFormat="false" ht="15" hidden="false" customHeight="true" outlineLevel="0" collapsed="false">
      <c r="A529" s="4" t="s">
        <v>3716</v>
      </c>
      <c r="B529" s="4" t="s">
        <v>705</v>
      </c>
      <c r="C529" s="4" t="n">
        <v>1743</v>
      </c>
      <c r="D529" s="4" t="n">
        <v>98</v>
      </c>
      <c r="E529" s="13" t="n">
        <v>45038</v>
      </c>
      <c r="F529" s="4" t="s">
        <v>3188</v>
      </c>
      <c r="G529" s="4" t="str">
        <f aca="false">INDEX(PurchaseOrders!$B$2:$B$3001,MATCH(B529,PurchaseOrders!$A$2:$A$3001,0))</f>
        <v>V001</v>
      </c>
    </row>
    <row r="530" customFormat="false" ht="15" hidden="false" customHeight="true" outlineLevel="0" collapsed="false">
      <c r="A530" s="4" t="s">
        <v>3717</v>
      </c>
      <c r="B530" s="4" t="s">
        <v>706</v>
      </c>
      <c r="C530" s="4" t="n">
        <v>688</v>
      </c>
      <c r="D530" s="4" t="n">
        <v>161</v>
      </c>
      <c r="E530" s="13" t="n">
        <v>45132</v>
      </c>
      <c r="F530" s="4" t="s">
        <v>3190</v>
      </c>
      <c r="G530" s="4" t="str">
        <f aca="false">INDEX(PurchaseOrders!$B$2:$B$3001,MATCH(B530,PurchaseOrders!$A$2:$A$3001,0))</f>
        <v>V039</v>
      </c>
    </row>
    <row r="531" customFormat="false" ht="15" hidden="false" customHeight="true" outlineLevel="0" collapsed="false">
      <c r="A531" s="4" t="s">
        <v>3718</v>
      </c>
      <c r="B531" s="4" t="s">
        <v>707</v>
      </c>
      <c r="C531" s="4" t="n">
        <v>253</v>
      </c>
      <c r="D531" s="4" t="n">
        <v>29</v>
      </c>
      <c r="E531" s="13" t="n">
        <v>45529</v>
      </c>
      <c r="F531" s="4" t="s">
        <v>3184</v>
      </c>
      <c r="G531" s="4" t="str">
        <f aca="false">INDEX(PurchaseOrders!$B$2:$B$3001,MATCH(B531,PurchaseOrders!$A$2:$A$3001,0))</f>
        <v>V036</v>
      </c>
    </row>
    <row r="532" customFormat="false" ht="15" hidden="false" customHeight="true" outlineLevel="0" collapsed="false">
      <c r="A532" s="4" t="s">
        <v>3719</v>
      </c>
      <c r="B532" s="4" t="s">
        <v>708</v>
      </c>
      <c r="C532" s="4" t="n">
        <v>2489</v>
      </c>
      <c r="D532" s="4" t="n">
        <v>0</v>
      </c>
      <c r="E532" s="13" t="n">
        <v>45273</v>
      </c>
      <c r="F532" s="4"/>
      <c r="G532" s="4" t="str">
        <f aca="false">INDEX(PurchaseOrders!$B$2:$B$3001,MATCH(B532,PurchaseOrders!$A$2:$A$3001,0))</f>
        <v>V015</v>
      </c>
    </row>
    <row r="533" customFormat="false" ht="15" hidden="false" customHeight="true" outlineLevel="0" collapsed="false">
      <c r="A533" s="4" t="s">
        <v>3720</v>
      </c>
      <c r="B533" s="4" t="s">
        <v>709</v>
      </c>
      <c r="C533" s="4" t="n">
        <v>62</v>
      </c>
      <c r="D533" s="4" t="n">
        <v>0</v>
      </c>
      <c r="E533" s="13" t="n">
        <v>44949</v>
      </c>
      <c r="F533" s="4"/>
      <c r="G533" s="4" t="str">
        <f aca="false">INDEX(PurchaseOrders!$B$2:$B$3001,MATCH(B533,PurchaseOrders!$A$2:$A$3001,0))</f>
        <v>V052</v>
      </c>
    </row>
    <row r="534" customFormat="false" ht="15" hidden="false" customHeight="true" outlineLevel="0" collapsed="false">
      <c r="A534" s="4" t="s">
        <v>3721</v>
      </c>
      <c r="B534" s="4" t="s">
        <v>710</v>
      </c>
      <c r="C534" s="4" t="n">
        <v>2235</v>
      </c>
      <c r="D534" s="4" t="n">
        <v>302</v>
      </c>
      <c r="E534" s="13" t="n">
        <v>45383</v>
      </c>
      <c r="F534" s="4" t="s">
        <v>3184</v>
      </c>
      <c r="G534" s="4" t="str">
        <f aca="false">INDEX(PurchaseOrders!$B$2:$B$3001,MATCH(B534,PurchaseOrders!$A$2:$A$3001,0))</f>
        <v>V038</v>
      </c>
    </row>
    <row r="535" customFormat="false" ht="15" hidden="false" customHeight="true" outlineLevel="0" collapsed="false">
      <c r="A535" s="4" t="s">
        <v>3722</v>
      </c>
      <c r="B535" s="4" t="s">
        <v>711</v>
      </c>
      <c r="C535" s="4" t="n">
        <v>1305</v>
      </c>
      <c r="D535" s="4" t="n">
        <v>78</v>
      </c>
      <c r="E535" s="13" t="n">
        <v>45055</v>
      </c>
      <c r="F535" s="4" t="s">
        <v>3184</v>
      </c>
      <c r="G535" s="4" t="str">
        <f aca="false">INDEX(PurchaseOrders!$B$2:$B$3001,MATCH(B535,PurchaseOrders!$A$2:$A$3001,0))</f>
        <v>V051</v>
      </c>
    </row>
    <row r="536" customFormat="false" ht="15" hidden="false" customHeight="true" outlineLevel="0" collapsed="false">
      <c r="A536" s="4" t="s">
        <v>3723</v>
      </c>
      <c r="B536" s="4" t="s">
        <v>712</v>
      </c>
      <c r="C536" s="4" t="n">
        <v>12</v>
      </c>
      <c r="D536" s="4" t="n">
        <v>0</v>
      </c>
      <c r="E536" s="13" t="n">
        <v>45332</v>
      </c>
      <c r="F536" s="4"/>
      <c r="G536" s="4" t="str">
        <f aca="false">INDEX(PurchaseOrders!$B$2:$B$3001,MATCH(B536,PurchaseOrders!$A$2:$A$3001,0))</f>
        <v>V023</v>
      </c>
    </row>
    <row r="537" customFormat="false" ht="15" hidden="false" customHeight="true" outlineLevel="0" collapsed="false">
      <c r="A537" s="4" t="s">
        <v>3724</v>
      </c>
      <c r="B537" s="4" t="s">
        <v>713</v>
      </c>
      <c r="C537" s="4" t="n">
        <v>843</v>
      </c>
      <c r="D537" s="4" t="n">
        <v>9</v>
      </c>
      <c r="E537" s="13" t="n">
        <v>45631</v>
      </c>
      <c r="F537" s="4" t="s">
        <v>3188</v>
      </c>
      <c r="G537" s="4" t="str">
        <f aca="false">INDEX(PurchaseOrders!$B$2:$B$3001,MATCH(B537,PurchaseOrders!$A$2:$A$3001,0))</f>
        <v>V035</v>
      </c>
    </row>
    <row r="538" customFormat="false" ht="15" hidden="false" customHeight="true" outlineLevel="0" collapsed="false">
      <c r="A538" s="4" t="s">
        <v>3725</v>
      </c>
      <c r="B538" s="4" t="s">
        <v>714</v>
      </c>
      <c r="C538" s="4" t="n">
        <v>15</v>
      </c>
      <c r="D538" s="4" t="n">
        <v>0</v>
      </c>
      <c r="E538" s="13" t="n">
        <v>45507</v>
      </c>
      <c r="F538" s="4"/>
      <c r="G538" s="4" t="str">
        <f aca="false">INDEX(PurchaseOrders!$B$2:$B$3001,MATCH(B538,PurchaseOrders!$A$2:$A$3001,0))</f>
        <v>V023</v>
      </c>
    </row>
    <row r="539" customFormat="false" ht="15" hidden="false" customHeight="true" outlineLevel="0" collapsed="false">
      <c r="A539" s="4" t="s">
        <v>3726</v>
      </c>
      <c r="B539" s="4" t="s">
        <v>715</v>
      </c>
      <c r="C539" s="4" t="n">
        <v>1491</v>
      </c>
      <c r="D539" s="4" t="n">
        <v>188</v>
      </c>
      <c r="E539" s="13" t="n">
        <v>45549</v>
      </c>
      <c r="F539" s="4" t="s">
        <v>3186</v>
      </c>
      <c r="G539" s="4" t="str">
        <f aca="false">INDEX(PurchaseOrders!$B$2:$B$3001,MATCH(B539,PurchaseOrders!$A$2:$A$3001,0))</f>
        <v>V027</v>
      </c>
    </row>
    <row r="540" customFormat="false" ht="15" hidden="false" customHeight="true" outlineLevel="0" collapsed="false">
      <c r="A540" s="4" t="s">
        <v>3727</v>
      </c>
      <c r="B540" s="4" t="s">
        <v>716</v>
      </c>
      <c r="C540" s="4" t="n">
        <v>552</v>
      </c>
      <c r="D540" s="4" t="n">
        <v>27</v>
      </c>
      <c r="E540" s="13" t="n">
        <v>45479</v>
      </c>
      <c r="F540" s="4" t="s">
        <v>3188</v>
      </c>
      <c r="G540" s="4" t="str">
        <f aca="false">INDEX(PurchaseOrders!$B$2:$B$3001,MATCH(B540,PurchaseOrders!$A$2:$A$3001,0))</f>
        <v>V010</v>
      </c>
    </row>
    <row r="541" customFormat="false" ht="15" hidden="false" customHeight="true" outlineLevel="0" collapsed="false">
      <c r="A541" s="4" t="s">
        <v>3728</v>
      </c>
      <c r="B541" s="4" t="s">
        <v>717</v>
      </c>
      <c r="C541" s="4" t="n">
        <v>1636</v>
      </c>
      <c r="D541" s="4" t="n">
        <v>114</v>
      </c>
      <c r="E541" s="13" t="n">
        <v>45612</v>
      </c>
      <c r="F541" s="4" t="s">
        <v>3184</v>
      </c>
      <c r="G541" s="4" t="str">
        <f aca="false">INDEX(PurchaseOrders!$B$2:$B$3001,MATCH(B541,PurchaseOrders!$A$2:$A$3001,0))</f>
        <v>V028</v>
      </c>
    </row>
    <row r="542" customFormat="false" ht="15" hidden="false" customHeight="true" outlineLevel="0" collapsed="false">
      <c r="A542" s="4" t="s">
        <v>3729</v>
      </c>
      <c r="B542" s="4" t="s">
        <v>718</v>
      </c>
      <c r="C542" s="4" t="n">
        <v>187</v>
      </c>
      <c r="D542" s="4" t="n">
        <v>11</v>
      </c>
      <c r="E542" s="13" t="n">
        <v>45557</v>
      </c>
      <c r="F542" s="4" t="s">
        <v>3192</v>
      </c>
      <c r="G542" s="4" t="str">
        <f aca="false">INDEX(PurchaseOrders!$B$2:$B$3001,MATCH(B542,PurchaseOrders!$A$2:$A$3001,0))</f>
        <v>V024</v>
      </c>
    </row>
    <row r="543" customFormat="false" ht="15" hidden="false" customHeight="true" outlineLevel="0" collapsed="false">
      <c r="A543" s="4" t="s">
        <v>3730</v>
      </c>
      <c r="B543" s="4" t="s">
        <v>719</v>
      </c>
      <c r="C543" s="4" t="n">
        <v>404</v>
      </c>
      <c r="D543" s="4" t="n">
        <v>10</v>
      </c>
      <c r="E543" s="13" t="n">
        <v>44970</v>
      </c>
      <c r="F543" s="4" t="s">
        <v>3184</v>
      </c>
      <c r="G543" s="4" t="str">
        <f aca="false">INDEX(PurchaseOrders!$B$2:$B$3001,MATCH(B543,PurchaseOrders!$A$2:$A$3001,0))</f>
        <v>V022</v>
      </c>
    </row>
    <row r="544" customFormat="false" ht="15" hidden="false" customHeight="true" outlineLevel="0" collapsed="false">
      <c r="A544" s="4" t="s">
        <v>3731</v>
      </c>
      <c r="B544" s="4" t="s">
        <v>720</v>
      </c>
      <c r="C544" s="4" t="n">
        <v>4258</v>
      </c>
      <c r="D544" s="4" t="n">
        <v>265</v>
      </c>
      <c r="E544" s="13" t="n">
        <v>45186</v>
      </c>
      <c r="F544" s="4" t="s">
        <v>3192</v>
      </c>
      <c r="G544" s="4" t="str">
        <f aca="false">INDEX(PurchaseOrders!$B$2:$B$3001,MATCH(B544,PurchaseOrders!$A$2:$A$3001,0))</f>
        <v>V050</v>
      </c>
    </row>
    <row r="545" customFormat="false" ht="15" hidden="false" customHeight="true" outlineLevel="0" collapsed="false">
      <c r="A545" s="4" t="s">
        <v>3732</v>
      </c>
      <c r="B545" s="4" t="s">
        <v>721</v>
      </c>
      <c r="C545" s="4" t="n">
        <v>1404</v>
      </c>
      <c r="D545" s="4" t="n">
        <v>35</v>
      </c>
      <c r="E545" s="13" t="n">
        <v>45020</v>
      </c>
      <c r="F545" s="4" t="s">
        <v>3190</v>
      </c>
      <c r="G545" s="4" t="str">
        <f aca="false">INDEX(PurchaseOrders!$B$2:$B$3001,MATCH(B545,PurchaseOrders!$A$2:$A$3001,0))</f>
        <v>V011</v>
      </c>
    </row>
    <row r="546" customFormat="false" ht="15" hidden="false" customHeight="true" outlineLevel="0" collapsed="false">
      <c r="A546" s="4" t="s">
        <v>3733</v>
      </c>
      <c r="B546" s="4" t="s">
        <v>722</v>
      </c>
      <c r="C546" s="4" t="n">
        <v>46</v>
      </c>
      <c r="D546" s="4" t="n">
        <v>0</v>
      </c>
      <c r="E546" s="13" t="n">
        <v>45002</v>
      </c>
      <c r="F546" s="4"/>
      <c r="G546" s="4" t="str">
        <f aca="false">INDEX(PurchaseOrders!$B$2:$B$3001,MATCH(B546,PurchaseOrders!$A$2:$A$3001,0))</f>
        <v>V040</v>
      </c>
    </row>
    <row r="547" customFormat="false" ht="15" hidden="false" customHeight="true" outlineLevel="0" collapsed="false">
      <c r="A547" s="4" t="s">
        <v>3734</v>
      </c>
      <c r="B547" s="4" t="s">
        <v>723</v>
      </c>
      <c r="C547" s="4" t="n">
        <v>459</v>
      </c>
      <c r="D547" s="4" t="n">
        <v>23</v>
      </c>
      <c r="E547" s="13" t="n">
        <v>44979</v>
      </c>
      <c r="F547" s="4" t="s">
        <v>3202</v>
      </c>
      <c r="G547" s="4" t="str">
        <f aca="false">INDEX(PurchaseOrders!$B$2:$B$3001,MATCH(B547,PurchaseOrders!$A$2:$A$3001,0))</f>
        <v>V007</v>
      </c>
    </row>
    <row r="548" customFormat="false" ht="15" hidden="false" customHeight="true" outlineLevel="0" collapsed="false">
      <c r="A548" s="4" t="s">
        <v>3735</v>
      </c>
      <c r="B548" s="4" t="s">
        <v>724</v>
      </c>
      <c r="C548" s="4" t="n">
        <v>425</v>
      </c>
      <c r="D548" s="4" t="n">
        <v>33</v>
      </c>
      <c r="E548" s="13" t="n">
        <v>45563</v>
      </c>
      <c r="F548" s="4" t="s">
        <v>3192</v>
      </c>
      <c r="G548" s="4" t="str">
        <f aca="false">INDEX(PurchaseOrders!$B$2:$B$3001,MATCH(B548,PurchaseOrders!$A$2:$A$3001,0))</f>
        <v>V033</v>
      </c>
    </row>
    <row r="549" customFormat="false" ht="15" hidden="false" customHeight="true" outlineLevel="0" collapsed="false">
      <c r="A549" s="4" t="s">
        <v>3736</v>
      </c>
      <c r="B549" s="4" t="s">
        <v>725</v>
      </c>
      <c r="C549" s="4" t="n">
        <v>159</v>
      </c>
      <c r="D549" s="4" t="n">
        <v>5</v>
      </c>
      <c r="E549" s="13" t="n">
        <v>45232</v>
      </c>
      <c r="F549" s="4" t="s">
        <v>3202</v>
      </c>
      <c r="G549" s="4" t="str">
        <f aca="false">INDEX(PurchaseOrders!$B$2:$B$3001,MATCH(B549,PurchaseOrders!$A$2:$A$3001,0))</f>
        <v>V031</v>
      </c>
    </row>
    <row r="550" customFormat="false" ht="15" hidden="false" customHeight="true" outlineLevel="0" collapsed="false">
      <c r="A550" s="4" t="s">
        <v>3737</v>
      </c>
      <c r="B550" s="4" t="s">
        <v>726</v>
      </c>
      <c r="C550" s="4" t="n">
        <v>126</v>
      </c>
      <c r="D550" s="4" t="n">
        <v>9</v>
      </c>
      <c r="E550" s="13" t="n">
        <v>45311</v>
      </c>
      <c r="F550" s="4" t="s">
        <v>3192</v>
      </c>
      <c r="G550" s="4" t="str">
        <f aca="false">INDEX(PurchaseOrders!$B$2:$B$3001,MATCH(B550,PurchaseOrders!$A$2:$A$3001,0))</f>
        <v>V004</v>
      </c>
    </row>
    <row r="551" customFormat="false" ht="15" hidden="false" customHeight="true" outlineLevel="0" collapsed="false">
      <c r="A551" s="4" t="s">
        <v>3738</v>
      </c>
      <c r="B551" s="4" t="s">
        <v>727</v>
      </c>
      <c r="C551" s="4" t="n">
        <v>645</v>
      </c>
      <c r="D551" s="4" t="n">
        <v>47</v>
      </c>
      <c r="E551" s="13" t="n">
        <v>45021</v>
      </c>
      <c r="F551" s="4" t="s">
        <v>3202</v>
      </c>
      <c r="G551" s="4" t="str">
        <f aca="false">INDEX(PurchaseOrders!$B$2:$B$3001,MATCH(B551,PurchaseOrders!$A$2:$A$3001,0))</f>
        <v>V007</v>
      </c>
    </row>
    <row r="552" customFormat="false" ht="15" hidden="false" customHeight="true" outlineLevel="0" collapsed="false">
      <c r="A552" s="4" t="s">
        <v>3739</v>
      </c>
      <c r="B552" s="4" t="s">
        <v>728</v>
      </c>
      <c r="C552" s="4" t="n">
        <v>514</v>
      </c>
      <c r="D552" s="4" t="n">
        <v>22</v>
      </c>
      <c r="E552" s="13" t="n">
        <v>45272</v>
      </c>
      <c r="F552" s="4" t="s">
        <v>3186</v>
      </c>
      <c r="G552" s="4" t="str">
        <f aca="false">INDEX(PurchaseOrders!$B$2:$B$3001,MATCH(B552,PurchaseOrders!$A$2:$A$3001,0))</f>
        <v>V010</v>
      </c>
    </row>
    <row r="553" customFormat="false" ht="15" hidden="false" customHeight="true" outlineLevel="0" collapsed="false">
      <c r="A553" s="4" t="s">
        <v>3740</v>
      </c>
      <c r="B553" s="4" t="s">
        <v>729</v>
      </c>
      <c r="C553" s="4" t="n">
        <v>1801</v>
      </c>
      <c r="D553" s="4" t="n">
        <v>123</v>
      </c>
      <c r="E553" s="13" t="n">
        <v>45531</v>
      </c>
      <c r="F553" s="4" t="s">
        <v>3190</v>
      </c>
      <c r="G553" s="4" t="str">
        <f aca="false">INDEX(PurchaseOrders!$B$2:$B$3001,MATCH(B553,PurchaseOrders!$A$2:$A$3001,0))</f>
        <v>V056</v>
      </c>
    </row>
    <row r="554" customFormat="false" ht="15" hidden="false" customHeight="true" outlineLevel="0" collapsed="false">
      <c r="A554" s="4" t="s">
        <v>3741</v>
      </c>
      <c r="B554" s="4" t="s">
        <v>730</v>
      </c>
      <c r="C554" s="4" t="n">
        <v>1158</v>
      </c>
      <c r="D554" s="4" t="n">
        <v>52</v>
      </c>
      <c r="E554" s="13" t="n">
        <v>45130</v>
      </c>
      <c r="F554" s="4" t="s">
        <v>3190</v>
      </c>
      <c r="G554" s="4" t="str">
        <f aca="false">INDEX(PurchaseOrders!$B$2:$B$3001,MATCH(B554,PurchaseOrders!$A$2:$A$3001,0))</f>
        <v>V003</v>
      </c>
    </row>
    <row r="555" customFormat="false" ht="15" hidden="false" customHeight="true" outlineLevel="0" collapsed="false">
      <c r="A555" s="4" t="s">
        <v>3742</v>
      </c>
      <c r="B555" s="4" t="s">
        <v>731</v>
      </c>
      <c r="C555" s="4" t="n">
        <v>21</v>
      </c>
      <c r="D555" s="4" t="n">
        <v>1</v>
      </c>
      <c r="E555" s="13" t="n">
        <v>45477</v>
      </c>
      <c r="F555" s="4" t="s">
        <v>3202</v>
      </c>
      <c r="G555" s="4" t="str">
        <f aca="false">INDEX(PurchaseOrders!$B$2:$B$3001,MATCH(B555,PurchaseOrders!$A$2:$A$3001,0))</f>
        <v>V037</v>
      </c>
    </row>
    <row r="556" customFormat="false" ht="15" hidden="false" customHeight="true" outlineLevel="0" collapsed="false">
      <c r="A556" s="4" t="s">
        <v>3743</v>
      </c>
      <c r="B556" s="4" t="s">
        <v>732</v>
      </c>
      <c r="C556" s="4" t="n">
        <v>472</v>
      </c>
      <c r="D556" s="4" t="n">
        <v>9</v>
      </c>
      <c r="E556" s="13" t="n">
        <v>45340</v>
      </c>
      <c r="F556" s="4" t="s">
        <v>3202</v>
      </c>
      <c r="G556" s="4" t="str">
        <f aca="false">INDEX(PurchaseOrders!$B$2:$B$3001,MATCH(B556,PurchaseOrders!$A$2:$A$3001,0))</f>
        <v>V060</v>
      </c>
    </row>
    <row r="557" customFormat="false" ht="15" hidden="false" customHeight="true" outlineLevel="0" collapsed="false">
      <c r="A557" s="4" t="s">
        <v>3744</v>
      </c>
      <c r="B557" s="4" t="s">
        <v>733</v>
      </c>
      <c r="C557" s="4" t="n">
        <v>373</v>
      </c>
      <c r="D557" s="4" t="n">
        <v>17</v>
      </c>
      <c r="E557" s="13" t="n">
        <v>45476</v>
      </c>
      <c r="F557" s="4" t="s">
        <v>3184</v>
      </c>
      <c r="G557" s="4" t="str">
        <f aca="false">INDEX(PurchaseOrders!$B$2:$B$3001,MATCH(B557,PurchaseOrders!$A$2:$A$3001,0))</f>
        <v>V006</v>
      </c>
    </row>
    <row r="558" customFormat="false" ht="15" hidden="false" customHeight="true" outlineLevel="0" collapsed="false">
      <c r="A558" s="4" t="s">
        <v>3745</v>
      </c>
      <c r="B558" s="4" t="s">
        <v>734</v>
      </c>
      <c r="C558" s="4" t="n">
        <v>218</v>
      </c>
      <c r="D558" s="4" t="n">
        <v>3</v>
      </c>
      <c r="E558" s="13" t="n">
        <v>44975</v>
      </c>
      <c r="F558" s="4" t="s">
        <v>3192</v>
      </c>
      <c r="G558" s="4" t="str">
        <f aca="false">INDEX(PurchaseOrders!$B$2:$B$3001,MATCH(B558,PurchaseOrders!$A$2:$A$3001,0))</f>
        <v>V047</v>
      </c>
    </row>
    <row r="559" customFormat="false" ht="15" hidden="false" customHeight="true" outlineLevel="0" collapsed="false">
      <c r="A559" s="4" t="s">
        <v>3746</v>
      </c>
      <c r="B559" s="4" t="s">
        <v>735</v>
      </c>
      <c r="C559" s="4" t="n">
        <v>870</v>
      </c>
      <c r="D559" s="4" t="n">
        <v>51</v>
      </c>
      <c r="E559" s="13" t="n">
        <v>45438</v>
      </c>
      <c r="F559" s="4" t="s">
        <v>3188</v>
      </c>
      <c r="G559" s="4" t="str">
        <f aca="false">INDEX(PurchaseOrders!$B$2:$B$3001,MATCH(B559,PurchaseOrders!$A$2:$A$3001,0))</f>
        <v>V051</v>
      </c>
    </row>
    <row r="560" customFormat="false" ht="15" hidden="false" customHeight="true" outlineLevel="0" collapsed="false">
      <c r="A560" s="4" t="s">
        <v>3747</v>
      </c>
      <c r="B560" s="4" t="s">
        <v>736</v>
      </c>
      <c r="C560" s="4" t="n">
        <v>2061</v>
      </c>
      <c r="D560" s="4" t="n">
        <v>51</v>
      </c>
      <c r="E560" s="13" t="n">
        <v>45142</v>
      </c>
      <c r="F560" s="4" t="s">
        <v>3192</v>
      </c>
      <c r="G560" s="4" t="str">
        <f aca="false">INDEX(PurchaseOrders!$B$2:$B$3001,MATCH(B560,PurchaseOrders!$A$2:$A$3001,0))</f>
        <v>V015</v>
      </c>
    </row>
    <row r="561" customFormat="false" ht="15" hidden="false" customHeight="true" outlineLevel="0" collapsed="false">
      <c r="A561" s="4" t="s">
        <v>3748</v>
      </c>
      <c r="B561" s="4" t="s">
        <v>737</v>
      </c>
      <c r="C561" s="4" t="n">
        <v>400</v>
      </c>
      <c r="D561" s="4" t="n">
        <v>23</v>
      </c>
      <c r="E561" s="13" t="n">
        <v>45320</v>
      </c>
      <c r="F561" s="4" t="s">
        <v>3186</v>
      </c>
      <c r="G561" s="4" t="str">
        <f aca="false">INDEX(PurchaseOrders!$B$2:$B$3001,MATCH(B561,PurchaseOrders!$A$2:$A$3001,0))</f>
        <v>V034</v>
      </c>
    </row>
    <row r="562" customFormat="false" ht="15" hidden="false" customHeight="true" outlineLevel="0" collapsed="false">
      <c r="A562" s="4" t="s">
        <v>3749</v>
      </c>
      <c r="B562" s="4" t="s">
        <v>738</v>
      </c>
      <c r="C562" s="4" t="n">
        <v>2980</v>
      </c>
      <c r="D562" s="4" t="n">
        <v>105</v>
      </c>
      <c r="E562" s="13" t="n">
        <v>45256</v>
      </c>
      <c r="F562" s="4" t="s">
        <v>3184</v>
      </c>
      <c r="G562" s="4" t="str">
        <f aca="false">INDEX(PurchaseOrders!$B$2:$B$3001,MATCH(B562,PurchaseOrders!$A$2:$A$3001,0))</f>
        <v>V014</v>
      </c>
    </row>
    <row r="563" customFormat="false" ht="15" hidden="false" customHeight="true" outlineLevel="0" collapsed="false">
      <c r="A563" s="4" t="s">
        <v>3750</v>
      </c>
      <c r="B563" s="4" t="s">
        <v>739</v>
      </c>
      <c r="C563" s="4" t="n">
        <v>2710</v>
      </c>
      <c r="D563" s="4" t="n">
        <v>109</v>
      </c>
      <c r="E563" s="13" t="n">
        <v>45060</v>
      </c>
      <c r="F563" s="4" t="s">
        <v>3202</v>
      </c>
      <c r="G563" s="4" t="str">
        <f aca="false">INDEX(PurchaseOrders!$B$2:$B$3001,MATCH(B563,PurchaseOrders!$A$2:$A$3001,0))</f>
        <v>V003</v>
      </c>
    </row>
    <row r="564" customFormat="false" ht="15" hidden="false" customHeight="true" outlineLevel="0" collapsed="false">
      <c r="A564" s="4" t="s">
        <v>3751</v>
      </c>
      <c r="B564" s="4" t="s">
        <v>740</v>
      </c>
      <c r="C564" s="4" t="n">
        <v>1947</v>
      </c>
      <c r="D564" s="4" t="n">
        <v>146</v>
      </c>
      <c r="E564" s="13" t="n">
        <v>45253</v>
      </c>
      <c r="F564" s="4" t="s">
        <v>3184</v>
      </c>
      <c r="G564" s="4" t="str">
        <f aca="false">INDEX(PurchaseOrders!$B$2:$B$3001,MATCH(B564,PurchaseOrders!$A$2:$A$3001,0))</f>
        <v>V028</v>
      </c>
    </row>
    <row r="565" customFormat="false" ht="15" hidden="false" customHeight="true" outlineLevel="0" collapsed="false">
      <c r="A565" s="4" t="s">
        <v>3752</v>
      </c>
      <c r="B565" s="4" t="s">
        <v>741</v>
      </c>
      <c r="C565" s="4" t="n">
        <v>211</v>
      </c>
      <c r="D565" s="4" t="n">
        <v>17</v>
      </c>
      <c r="E565" s="13" t="n">
        <v>45417</v>
      </c>
      <c r="F565" s="4" t="s">
        <v>3186</v>
      </c>
      <c r="G565" s="4" t="str">
        <f aca="false">INDEX(PurchaseOrders!$B$2:$B$3001,MATCH(B565,PurchaseOrders!$A$2:$A$3001,0))</f>
        <v>V009</v>
      </c>
    </row>
    <row r="566" customFormat="false" ht="15" hidden="false" customHeight="true" outlineLevel="0" collapsed="false">
      <c r="A566" s="4" t="s">
        <v>3753</v>
      </c>
      <c r="B566" s="4" t="s">
        <v>742</v>
      </c>
      <c r="C566" s="4" t="n">
        <v>3909</v>
      </c>
      <c r="D566" s="4" t="n">
        <v>415</v>
      </c>
      <c r="E566" s="13" t="n">
        <v>44991</v>
      </c>
      <c r="F566" s="4" t="s">
        <v>3186</v>
      </c>
      <c r="G566" s="4" t="str">
        <f aca="false">INDEX(PurchaseOrders!$B$2:$B$3001,MATCH(B566,PurchaseOrders!$A$2:$A$3001,0))</f>
        <v>V028</v>
      </c>
    </row>
    <row r="567" customFormat="false" ht="15" hidden="false" customHeight="true" outlineLevel="0" collapsed="false">
      <c r="A567" s="4" t="s">
        <v>3754</v>
      </c>
      <c r="B567" s="4" t="s">
        <v>743</v>
      </c>
      <c r="C567" s="4" t="n">
        <v>8</v>
      </c>
      <c r="D567" s="4" t="n">
        <v>1</v>
      </c>
      <c r="E567" s="13" t="n">
        <v>45137</v>
      </c>
      <c r="F567" s="4" t="s">
        <v>3190</v>
      </c>
      <c r="G567" s="4" t="str">
        <f aca="false">INDEX(PurchaseOrders!$B$2:$B$3001,MATCH(B567,PurchaseOrders!$A$2:$A$3001,0))</f>
        <v>V042</v>
      </c>
    </row>
    <row r="568" customFormat="false" ht="15" hidden="false" customHeight="true" outlineLevel="0" collapsed="false">
      <c r="A568" s="4" t="s">
        <v>3755</v>
      </c>
      <c r="B568" s="4" t="s">
        <v>744</v>
      </c>
      <c r="C568" s="4" t="n">
        <v>1862</v>
      </c>
      <c r="D568" s="4" t="n">
        <v>199</v>
      </c>
      <c r="E568" s="13" t="n">
        <v>45598</v>
      </c>
      <c r="F568" s="4" t="s">
        <v>3184</v>
      </c>
      <c r="G568" s="4" t="str">
        <f aca="false">INDEX(PurchaseOrders!$B$2:$B$3001,MATCH(B568,PurchaseOrders!$A$2:$A$3001,0))</f>
        <v>V044</v>
      </c>
    </row>
    <row r="569" customFormat="false" ht="15" hidden="false" customHeight="true" outlineLevel="0" collapsed="false">
      <c r="A569" s="4" t="s">
        <v>3756</v>
      </c>
      <c r="B569" s="4" t="s">
        <v>745</v>
      </c>
      <c r="C569" s="4" t="n">
        <v>2023</v>
      </c>
      <c r="D569" s="4" t="n">
        <v>0</v>
      </c>
      <c r="E569" s="13" t="n">
        <v>45531</v>
      </c>
      <c r="F569" s="4"/>
      <c r="G569" s="4" t="str">
        <f aca="false">INDEX(PurchaseOrders!$B$2:$B$3001,MATCH(B569,PurchaseOrders!$A$2:$A$3001,0))</f>
        <v>V058</v>
      </c>
    </row>
    <row r="570" customFormat="false" ht="15" hidden="false" customHeight="true" outlineLevel="0" collapsed="false">
      <c r="A570" s="4" t="s">
        <v>3757</v>
      </c>
      <c r="B570" s="4" t="s">
        <v>746</v>
      </c>
      <c r="C570" s="4" t="n">
        <v>252</v>
      </c>
      <c r="D570" s="4" t="n">
        <v>6</v>
      </c>
      <c r="E570" s="13" t="n">
        <v>45059</v>
      </c>
      <c r="F570" s="4" t="s">
        <v>3190</v>
      </c>
      <c r="G570" s="4" t="str">
        <f aca="false">INDEX(PurchaseOrders!$B$2:$B$3001,MATCH(B570,PurchaseOrders!$A$2:$A$3001,0))</f>
        <v>V052</v>
      </c>
    </row>
    <row r="571" customFormat="false" ht="15" hidden="false" customHeight="true" outlineLevel="0" collapsed="false">
      <c r="A571" s="4" t="s">
        <v>3758</v>
      </c>
      <c r="B571" s="4" t="s">
        <v>747</v>
      </c>
      <c r="C571" s="4" t="n">
        <v>207</v>
      </c>
      <c r="D571" s="4" t="n">
        <v>17</v>
      </c>
      <c r="E571" s="13" t="n">
        <v>45662</v>
      </c>
      <c r="F571" s="4" t="s">
        <v>3184</v>
      </c>
      <c r="G571" s="4" t="str">
        <f aca="false">INDEX(PurchaseOrders!$B$2:$B$3001,MATCH(B571,PurchaseOrders!$A$2:$A$3001,0))</f>
        <v>V037</v>
      </c>
    </row>
    <row r="572" customFormat="false" ht="15" hidden="false" customHeight="true" outlineLevel="0" collapsed="false">
      <c r="A572" s="4" t="s">
        <v>3759</v>
      </c>
      <c r="B572" s="4" t="s">
        <v>748</v>
      </c>
      <c r="C572" s="4" t="n">
        <v>972</v>
      </c>
      <c r="D572" s="4" t="n">
        <v>93</v>
      </c>
      <c r="E572" s="13" t="n">
        <v>45121</v>
      </c>
      <c r="F572" s="4" t="s">
        <v>3184</v>
      </c>
      <c r="G572" s="4" t="str">
        <f aca="false">INDEX(PurchaseOrders!$B$2:$B$3001,MATCH(B572,PurchaseOrders!$A$2:$A$3001,0))</f>
        <v>V005</v>
      </c>
    </row>
    <row r="573" customFormat="false" ht="15" hidden="false" customHeight="true" outlineLevel="0" collapsed="false">
      <c r="A573" s="4" t="s">
        <v>3760</v>
      </c>
      <c r="B573" s="4" t="s">
        <v>749</v>
      </c>
      <c r="C573" s="4" t="n">
        <v>3428</v>
      </c>
      <c r="D573" s="4" t="n">
        <v>264</v>
      </c>
      <c r="E573" s="13" t="n">
        <v>45048</v>
      </c>
      <c r="F573" s="4" t="s">
        <v>3188</v>
      </c>
      <c r="G573" s="4" t="str">
        <f aca="false">INDEX(PurchaseOrders!$B$2:$B$3001,MATCH(B573,PurchaseOrders!$A$2:$A$3001,0))</f>
        <v>V028</v>
      </c>
    </row>
    <row r="574" customFormat="false" ht="15" hidden="false" customHeight="true" outlineLevel="0" collapsed="false">
      <c r="A574" s="4" t="s">
        <v>3761</v>
      </c>
      <c r="B574" s="4" t="s">
        <v>750</v>
      </c>
      <c r="C574" s="4" t="n">
        <v>2723</v>
      </c>
      <c r="D574" s="4" t="n">
        <v>397</v>
      </c>
      <c r="E574" s="13" t="n">
        <v>45469</v>
      </c>
      <c r="F574" s="4" t="s">
        <v>3192</v>
      </c>
      <c r="G574" s="4" t="str">
        <f aca="false">INDEX(PurchaseOrders!$B$2:$B$3001,MATCH(B574,PurchaseOrders!$A$2:$A$3001,0))</f>
        <v>V026</v>
      </c>
    </row>
    <row r="575" customFormat="false" ht="15" hidden="false" customHeight="true" outlineLevel="0" collapsed="false">
      <c r="A575" s="4" t="s">
        <v>3762</v>
      </c>
      <c r="B575" s="4" t="s">
        <v>751</v>
      </c>
      <c r="C575" s="4" t="n">
        <v>107</v>
      </c>
      <c r="D575" s="4" t="n">
        <v>2</v>
      </c>
      <c r="E575" s="13" t="n">
        <v>45556</v>
      </c>
      <c r="F575" s="4" t="s">
        <v>3202</v>
      </c>
      <c r="G575" s="4" t="str">
        <f aca="false">INDEX(PurchaseOrders!$B$2:$B$3001,MATCH(B575,PurchaseOrders!$A$2:$A$3001,0))</f>
        <v>V031</v>
      </c>
    </row>
    <row r="576" customFormat="false" ht="15" hidden="false" customHeight="true" outlineLevel="0" collapsed="false">
      <c r="A576" s="4" t="s">
        <v>3763</v>
      </c>
      <c r="B576" s="4" t="s">
        <v>752</v>
      </c>
      <c r="C576" s="4" t="n">
        <v>169</v>
      </c>
      <c r="D576" s="4" t="n">
        <v>13</v>
      </c>
      <c r="E576" s="13" t="n">
        <v>45228</v>
      </c>
      <c r="F576" s="4" t="s">
        <v>3202</v>
      </c>
      <c r="G576" s="4" t="str">
        <f aca="false">INDEX(PurchaseOrders!$B$2:$B$3001,MATCH(B576,PurchaseOrders!$A$2:$A$3001,0))</f>
        <v>V013</v>
      </c>
    </row>
    <row r="577" customFormat="false" ht="15" hidden="false" customHeight="true" outlineLevel="0" collapsed="false">
      <c r="A577" s="4" t="s">
        <v>3764</v>
      </c>
      <c r="B577" s="4" t="s">
        <v>753</v>
      </c>
      <c r="C577" s="4" t="n">
        <v>107</v>
      </c>
      <c r="D577" s="4" t="n">
        <v>5</v>
      </c>
      <c r="E577" s="13" t="n">
        <v>45546</v>
      </c>
      <c r="F577" s="4" t="s">
        <v>3192</v>
      </c>
      <c r="G577" s="4" t="str">
        <f aca="false">INDEX(PurchaseOrders!$B$2:$B$3001,MATCH(B577,PurchaseOrders!$A$2:$A$3001,0))</f>
        <v>V018</v>
      </c>
    </row>
    <row r="578" customFormat="false" ht="15" hidden="false" customHeight="true" outlineLevel="0" collapsed="false">
      <c r="A578" s="4" t="s">
        <v>3765</v>
      </c>
      <c r="B578" s="4" t="s">
        <v>754</v>
      </c>
      <c r="C578" s="4" t="n">
        <v>1367</v>
      </c>
      <c r="D578" s="4" t="n">
        <v>70</v>
      </c>
      <c r="E578" s="13" t="n">
        <v>45646</v>
      </c>
      <c r="F578" s="4" t="s">
        <v>3186</v>
      </c>
      <c r="G578" s="4" t="str">
        <f aca="false">INDEX(PurchaseOrders!$B$2:$B$3001,MATCH(B578,PurchaseOrders!$A$2:$A$3001,0))</f>
        <v>V056</v>
      </c>
    </row>
    <row r="579" customFormat="false" ht="15" hidden="false" customHeight="true" outlineLevel="0" collapsed="false">
      <c r="A579" s="4" t="s">
        <v>3766</v>
      </c>
      <c r="B579" s="4" t="s">
        <v>755</v>
      </c>
      <c r="C579" s="4" t="n">
        <v>2821</v>
      </c>
      <c r="D579" s="4" t="n">
        <v>296</v>
      </c>
      <c r="E579" s="13" t="n">
        <v>45047</v>
      </c>
      <c r="F579" s="4" t="s">
        <v>3186</v>
      </c>
      <c r="G579" s="4" t="str">
        <f aca="false">INDEX(PurchaseOrders!$B$2:$B$3001,MATCH(B579,PurchaseOrders!$A$2:$A$3001,0))</f>
        <v>V028</v>
      </c>
    </row>
    <row r="580" customFormat="false" ht="15" hidden="false" customHeight="true" outlineLevel="0" collapsed="false">
      <c r="A580" s="4" t="s">
        <v>3767</v>
      </c>
      <c r="B580" s="4" t="s">
        <v>756</v>
      </c>
      <c r="C580" s="4" t="n">
        <v>505</v>
      </c>
      <c r="D580" s="4" t="n">
        <v>122</v>
      </c>
      <c r="E580" s="13" t="n">
        <v>45640</v>
      </c>
      <c r="F580" s="4" t="s">
        <v>3190</v>
      </c>
      <c r="G580" s="4" t="str">
        <f aca="false">INDEX(PurchaseOrders!$B$2:$B$3001,MATCH(B580,PurchaseOrders!$A$2:$A$3001,0))</f>
        <v>V039</v>
      </c>
    </row>
    <row r="581" customFormat="false" ht="15" hidden="false" customHeight="true" outlineLevel="0" collapsed="false">
      <c r="A581" s="4" t="s">
        <v>3768</v>
      </c>
      <c r="B581" s="4" t="s">
        <v>757</v>
      </c>
      <c r="C581" s="4" t="n">
        <v>2450</v>
      </c>
      <c r="D581" s="4" t="n">
        <v>157</v>
      </c>
      <c r="E581" s="13" t="n">
        <v>45044</v>
      </c>
      <c r="F581" s="4" t="s">
        <v>3186</v>
      </c>
      <c r="G581" s="4" t="str">
        <f aca="false">INDEX(PurchaseOrders!$B$2:$B$3001,MATCH(B581,PurchaseOrders!$A$2:$A$3001,0))</f>
        <v>V056</v>
      </c>
    </row>
    <row r="582" customFormat="false" ht="15" hidden="false" customHeight="true" outlineLevel="0" collapsed="false">
      <c r="A582" s="4" t="s">
        <v>3769</v>
      </c>
      <c r="B582" s="4" t="s">
        <v>758</v>
      </c>
      <c r="C582" s="4" t="n">
        <v>1</v>
      </c>
      <c r="D582" s="4" t="n">
        <v>0</v>
      </c>
      <c r="E582" s="13" t="n">
        <v>44990</v>
      </c>
      <c r="F582" s="4"/>
      <c r="G582" s="4" t="str">
        <f aca="false">INDEX(PurchaseOrders!$B$2:$B$3001,MATCH(B582,PurchaseOrders!$A$2:$A$3001,0))</f>
        <v>V016</v>
      </c>
    </row>
    <row r="583" customFormat="false" ht="15" hidden="false" customHeight="true" outlineLevel="0" collapsed="false">
      <c r="A583" s="4" t="s">
        <v>3770</v>
      </c>
      <c r="B583" s="4" t="s">
        <v>759</v>
      </c>
      <c r="C583" s="4" t="n">
        <v>1161</v>
      </c>
      <c r="D583" s="4" t="n">
        <v>29</v>
      </c>
      <c r="E583" s="13" t="n">
        <v>45387</v>
      </c>
      <c r="F583" s="4" t="s">
        <v>3188</v>
      </c>
      <c r="G583" s="4" t="str">
        <f aca="false">INDEX(PurchaseOrders!$B$2:$B$3001,MATCH(B583,PurchaseOrders!$A$2:$A$3001,0))</f>
        <v>V007</v>
      </c>
    </row>
    <row r="584" customFormat="false" ht="15" hidden="false" customHeight="true" outlineLevel="0" collapsed="false">
      <c r="A584" s="4" t="s">
        <v>3771</v>
      </c>
      <c r="B584" s="4" t="s">
        <v>760</v>
      </c>
      <c r="C584" s="4" t="n">
        <v>4095</v>
      </c>
      <c r="D584" s="4" t="n">
        <v>563</v>
      </c>
      <c r="E584" s="13" t="n">
        <v>45548</v>
      </c>
      <c r="F584" s="4" t="s">
        <v>3202</v>
      </c>
      <c r="G584" s="4" t="str">
        <f aca="false">INDEX(PurchaseOrders!$B$2:$B$3001,MATCH(B584,PurchaseOrders!$A$2:$A$3001,0))</f>
        <v>V038</v>
      </c>
    </row>
    <row r="585" customFormat="false" ht="15" hidden="false" customHeight="true" outlineLevel="0" collapsed="false">
      <c r="A585" s="4" t="s">
        <v>3772</v>
      </c>
      <c r="B585" s="4" t="s">
        <v>761</v>
      </c>
      <c r="C585" s="4" t="n">
        <v>264</v>
      </c>
      <c r="D585" s="4" t="n">
        <v>19</v>
      </c>
      <c r="E585" s="13" t="n">
        <v>45159</v>
      </c>
      <c r="F585" s="4" t="s">
        <v>3188</v>
      </c>
      <c r="G585" s="4" t="str">
        <f aca="false">INDEX(PurchaseOrders!$B$2:$B$3001,MATCH(B585,PurchaseOrders!$A$2:$A$3001,0))</f>
        <v>V004</v>
      </c>
    </row>
    <row r="586" customFormat="false" ht="15" hidden="false" customHeight="true" outlineLevel="0" collapsed="false">
      <c r="A586" s="4" t="s">
        <v>3773</v>
      </c>
      <c r="B586" s="4" t="s">
        <v>762</v>
      </c>
      <c r="C586" s="4" t="n">
        <v>3440</v>
      </c>
      <c r="D586" s="4" t="n">
        <v>355</v>
      </c>
      <c r="E586" s="13" t="n">
        <v>45054</v>
      </c>
      <c r="F586" s="4" t="s">
        <v>3186</v>
      </c>
      <c r="G586" s="4" t="str">
        <f aca="false">INDEX(PurchaseOrders!$B$2:$B$3001,MATCH(B586,PurchaseOrders!$A$2:$A$3001,0))</f>
        <v>V014</v>
      </c>
    </row>
    <row r="587" customFormat="false" ht="15" hidden="false" customHeight="true" outlineLevel="0" collapsed="false">
      <c r="A587" s="4" t="s">
        <v>3774</v>
      </c>
      <c r="B587" s="4" t="s">
        <v>763</v>
      </c>
      <c r="C587" s="4" t="n">
        <v>229</v>
      </c>
      <c r="D587" s="4" t="n">
        <v>5</v>
      </c>
      <c r="E587" s="13" t="n">
        <v>45527</v>
      </c>
      <c r="F587" s="4" t="s">
        <v>3202</v>
      </c>
      <c r="G587" s="4" t="str">
        <f aca="false">INDEX(PurchaseOrders!$B$2:$B$3001,MATCH(B587,PurchaseOrders!$A$2:$A$3001,0))</f>
        <v>V052</v>
      </c>
    </row>
    <row r="588" customFormat="false" ht="15" hidden="false" customHeight="true" outlineLevel="0" collapsed="false">
      <c r="A588" s="4" t="s">
        <v>3775</v>
      </c>
      <c r="B588" s="4" t="s">
        <v>764</v>
      </c>
      <c r="C588" s="4" t="n">
        <v>3908</v>
      </c>
      <c r="D588" s="4" t="n">
        <v>637</v>
      </c>
      <c r="E588" s="13" t="n">
        <v>45188</v>
      </c>
      <c r="F588" s="4" t="s">
        <v>3190</v>
      </c>
      <c r="G588" s="4" t="str">
        <f aca="false">INDEX(PurchaseOrders!$B$2:$B$3001,MATCH(B588,PurchaseOrders!$A$2:$A$3001,0))</f>
        <v>V026</v>
      </c>
    </row>
    <row r="589" customFormat="false" ht="15" hidden="false" customHeight="true" outlineLevel="0" collapsed="false">
      <c r="A589" s="4" t="s">
        <v>3776</v>
      </c>
      <c r="B589" s="4" t="s">
        <v>765</v>
      </c>
      <c r="C589" s="4" t="n">
        <v>4645</v>
      </c>
      <c r="D589" s="4" t="n">
        <v>351</v>
      </c>
      <c r="E589" s="13" t="n">
        <v>44952</v>
      </c>
      <c r="F589" s="4" t="s">
        <v>3202</v>
      </c>
      <c r="G589" s="4" t="str">
        <f aca="false">INDEX(PurchaseOrders!$B$2:$B$3001,MATCH(B589,PurchaseOrders!$A$2:$A$3001,0))</f>
        <v>V028</v>
      </c>
    </row>
    <row r="590" customFormat="false" ht="15" hidden="false" customHeight="true" outlineLevel="0" collapsed="false">
      <c r="A590" s="4" t="s">
        <v>3777</v>
      </c>
      <c r="B590" s="4" t="s">
        <v>766</v>
      </c>
      <c r="C590" s="4" t="n">
        <v>349</v>
      </c>
      <c r="D590" s="4" t="n">
        <v>0</v>
      </c>
      <c r="E590" s="13" t="n">
        <v>45083</v>
      </c>
      <c r="F590" s="4"/>
      <c r="G590" s="4" t="str">
        <f aca="false">INDEX(PurchaseOrders!$B$2:$B$3001,MATCH(B590,PurchaseOrders!$A$2:$A$3001,0))</f>
        <v>V029</v>
      </c>
    </row>
    <row r="591" customFormat="false" ht="15" hidden="false" customHeight="true" outlineLevel="0" collapsed="false">
      <c r="A591" s="4" t="s">
        <v>3778</v>
      </c>
      <c r="B591" s="4" t="s">
        <v>767</v>
      </c>
      <c r="C591" s="4" t="n">
        <v>1</v>
      </c>
      <c r="D591" s="4" t="n">
        <v>0</v>
      </c>
      <c r="E591" s="13" t="n">
        <v>45625</v>
      </c>
      <c r="F591" s="4"/>
      <c r="G591" s="4" t="str">
        <f aca="false">INDEX(PurchaseOrders!$B$2:$B$3001,MATCH(B591,PurchaseOrders!$A$2:$A$3001,0))</f>
        <v>V054</v>
      </c>
    </row>
    <row r="592" customFormat="false" ht="15" hidden="false" customHeight="true" outlineLevel="0" collapsed="false">
      <c r="A592" s="4" t="s">
        <v>3779</v>
      </c>
      <c r="B592" s="4" t="s">
        <v>768</v>
      </c>
      <c r="C592" s="4" t="n">
        <v>3307</v>
      </c>
      <c r="D592" s="4" t="n">
        <v>292</v>
      </c>
      <c r="E592" s="13" t="n">
        <v>45279</v>
      </c>
      <c r="F592" s="4" t="s">
        <v>3202</v>
      </c>
      <c r="G592" s="4" t="str">
        <f aca="false">INDEX(PurchaseOrders!$B$2:$B$3001,MATCH(B592,PurchaseOrders!$A$2:$A$3001,0))</f>
        <v>V001</v>
      </c>
    </row>
    <row r="593" customFormat="false" ht="15" hidden="false" customHeight="true" outlineLevel="0" collapsed="false">
      <c r="A593" s="4" t="s">
        <v>3780</v>
      </c>
      <c r="B593" s="4" t="s">
        <v>769</v>
      </c>
      <c r="C593" s="4" t="n">
        <v>1714</v>
      </c>
      <c r="D593" s="4" t="n">
        <v>83</v>
      </c>
      <c r="E593" s="13" t="n">
        <v>45198</v>
      </c>
      <c r="F593" s="4" t="s">
        <v>3186</v>
      </c>
      <c r="G593" s="4" t="str">
        <f aca="false">INDEX(PurchaseOrders!$B$2:$B$3001,MATCH(B593,PurchaseOrders!$A$2:$A$3001,0))</f>
        <v>V007</v>
      </c>
    </row>
    <row r="594" customFormat="false" ht="15" hidden="false" customHeight="true" outlineLevel="0" collapsed="false">
      <c r="A594" s="4" t="s">
        <v>3781</v>
      </c>
      <c r="B594" s="4" t="s">
        <v>770</v>
      </c>
      <c r="C594" s="4" t="n">
        <v>252</v>
      </c>
      <c r="D594" s="4" t="n">
        <v>5</v>
      </c>
      <c r="E594" s="13" t="n">
        <v>45314</v>
      </c>
      <c r="F594" s="4" t="s">
        <v>3188</v>
      </c>
      <c r="G594" s="4" t="str">
        <f aca="false">INDEX(PurchaseOrders!$B$2:$B$3001,MATCH(B594,PurchaseOrders!$A$2:$A$3001,0))</f>
        <v>V004</v>
      </c>
    </row>
    <row r="595" customFormat="false" ht="15" hidden="false" customHeight="true" outlineLevel="0" collapsed="false">
      <c r="A595" s="4" t="s">
        <v>3782</v>
      </c>
      <c r="B595" s="4" t="s">
        <v>771</v>
      </c>
      <c r="C595" s="4" t="n">
        <v>661</v>
      </c>
      <c r="D595" s="4" t="n">
        <v>107</v>
      </c>
      <c r="E595" s="13" t="n">
        <v>45315</v>
      </c>
      <c r="F595" s="4" t="s">
        <v>3202</v>
      </c>
      <c r="G595" s="4" t="str">
        <f aca="false">INDEX(PurchaseOrders!$B$2:$B$3001,MATCH(B595,PurchaseOrders!$A$2:$A$3001,0))</f>
        <v>V044</v>
      </c>
    </row>
    <row r="596" customFormat="false" ht="15" hidden="false" customHeight="true" outlineLevel="0" collapsed="false">
      <c r="A596" s="4" t="s">
        <v>3783</v>
      </c>
      <c r="B596" s="4" t="s">
        <v>772</v>
      </c>
      <c r="C596" s="4" t="n">
        <v>84</v>
      </c>
      <c r="D596" s="4" t="n">
        <v>6</v>
      </c>
      <c r="E596" s="13" t="n">
        <v>45560</v>
      </c>
      <c r="F596" s="4" t="s">
        <v>3184</v>
      </c>
      <c r="G596" s="4" t="str">
        <f aca="false">INDEX(PurchaseOrders!$B$2:$B$3001,MATCH(B596,PurchaseOrders!$A$2:$A$3001,0))</f>
        <v>V006</v>
      </c>
    </row>
    <row r="597" customFormat="false" ht="15" hidden="false" customHeight="true" outlineLevel="0" collapsed="false">
      <c r="A597" s="4" t="s">
        <v>3784</v>
      </c>
      <c r="B597" s="4" t="s">
        <v>773</v>
      </c>
      <c r="C597" s="4" t="n">
        <v>97</v>
      </c>
      <c r="D597" s="4" t="n">
        <v>1</v>
      </c>
      <c r="E597" s="13" t="n">
        <v>45205</v>
      </c>
      <c r="F597" s="4" t="s">
        <v>3202</v>
      </c>
      <c r="G597" s="4" t="str">
        <f aca="false">INDEX(PurchaseOrders!$B$2:$B$3001,MATCH(B597,PurchaseOrders!$A$2:$A$3001,0))</f>
        <v>V029</v>
      </c>
    </row>
    <row r="598" customFormat="false" ht="15" hidden="false" customHeight="true" outlineLevel="0" collapsed="false">
      <c r="A598" s="4" t="s">
        <v>3785</v>
      </c>
      <c r="B598" s="4" t="s">
        <v>774</v>
      </c>
      <c r="C598" s="4" t="n">
        <v>6</v>
      </c>
      <c r="D598" s="4" t="n">
        <v>1</v>
      </c>
      <c r="E598" s="13" t="n">
        <v>44960</v>
      </c>
      <c r="F598" s="4" t="s">
        <v>3186</v>
      </c>
      <c r="G598" s="4" t="str">
        <f aca="false">INDEX(PurchaseOrders!$B$2:$B$3001,MATCH(B598,PurchaseOrders!$A$2:$A$3001,0))</f>
        <v>V042</v>
      </c>
    </row>
    <row r="599" customFormat="false" ht="15" hidden="false" customHeight="true" outlineLevel="0" collapsed="false">
      <c r="A599" s="4" t="s">
        <v>3786</v>
      </c>
      <c r="B599" s="4" t="s">
        <v>775</v>
      </c>
      <c r="C599" s="4" t="n">
        <v>3556</v>
      </c>
      <c r="D599" s="4" t="n">
        <v>452</v>
      </c>
      <c r="E599" s="13" t="n">
        <v>45379</v>
      </c>
      <c r="F599" s="4" t="s">
        <v>3186</v>
      </c>
      <c r="G599" s="4" t="str">
        <f aca="false">INDEX(PurchaseOrders!$B$2:$B$3001,MATCH(B599,PurchaseOrders!$A$2:$A$3001,0))</f>
        <v>V057</v>
      </c>
    </row>
    <row r="600" customFormat="false" ht="15" hidden="false" customHeight="true" outlineLevel="0" collapsed="false">
      <c r="A600" s="4" t="s">
        <v>3787</v>
      </c>
      <c r="B600" s="4" t="s">
        <v>776</v>
      </c>
      <c r="C600" s="4" t="n">
        <v>6</v>
      </c>
      <c r="D600" s="4" t="n">
        <v>0</v>
      </c>
      <c r="E600" s="13" t="n">
        <v>45485</v>
      </c>
      <c r="F600" s="4"/>
      <c r="G600" s="4" t="str">
        <f aca="false">INDEX(PurchaseOrders!$B$2:$B$3001,MATCH(B600,PurchaseOrders!$A$2:$A$3001,0))</f>
        <v>V016</v>
      </c>
    </row>
    <row r="601" customFormat="false" ht="15" hidden="false" customHeight="true" outlineLevel="0" collapsed="false">
      <c r="A601" s="4" t="s">
        <v>3788</v>
      </c>
      <c r="B601" s="4" t="s">
        <v>777</v>
      </c>
      <c r="C601" s="4" t="n">
        <v>1398</v>
      </c>
      <c r="D601" s="4" t="n">
        <v>100</v>
      </c>
      <c r="E601" s="13" t="n">
        <v>45673</v>
      </c>
      <c r="F601" s="4" t="s">
        <v>3186</v>
      </c>
      <c r="G601" s="4" t="str">
        <f aca="false">INDEX(PurchaseOrders!$B$2:$B$3001,MATCH(B601,PurchaseOrders!$A$2:$A$3001,0))</f>
        <v>V007</v>
      </c>
    </row>
    <row r="602" customFormat="false" ht="15" hidden="false" customHeight="true" outlineLevel="0" collapsed="false">
      <c r="A602" s="4" t="s">
        <v>3789</v>
      </c>
      <c r="B602" s="4" t="s">
        <v>778</v>
      </c>
      <c r="C602" s="4" t="n">
        <v>1060</v>
      </c>
      <c r="D602" s="4" t="n">
        <v>181</v>
      </c>
      <c r="E602" s="13" t="n">
        <v>45132</v>
      </c>
      <c r="F602" s="4" t="s">
        <v>3190</v>
      </c>
      <c r="G602" s="4" t="str">
        <f aca="false">INDEX(PurchaseOrders!$B$2:$B$3001,MATCH(B602,PurchaseOrders!$A$2:$A$3001,0))</f>
        <v>V025</v>
      </c>
    </row>
    <row r="603" customFormat="false" ht="15" hidden="false" customHeight="true" outlineLevel="0" collapsed="false">
      <c r="A603" s="4" t="s">
        <v>3790</v>
      </c>
      <c r="B603" s="4" t="s">
        <v>779</v>
      </c>
      <c r="C603" s="4" t="n">
        <v>55</v>
      </c>
      <c r="D603" s="4" t="n">
        <v>7</v>
      </c>
      <c r="E603" s="13" t="n">
        <v>45196</v>
      </c>
      <c r="F603" s="4" t="s">
        <v>3186</v>
      </c>
      <c r="G603" s="4" t="str">
        <f aca="false">INDEX(PurchaseOrders!$B$2:$B$3001,MATCH(B603,PurchaseOrders!$A$2:$A$3001,0))</f>
        <v>V049</v>
      </c>
    </row>
    <row r="604" customFormat="false" ht="15" hidden="false" customHeight="true" outlineLevel="0" collapsed="false">
      <c r="A604" s="4" t="s">
        <v>3791</v>
      </c>
      <c r="B604" s="4" t="s">
        <v>780</v>
      </c>
      <c r="C604" s="4" t="n">
        <v>36</v>
      </c>
      <c r="D604" s="4" t="n">
        <v>1</v>
      </c>
      <c r="E604" s="13" t="n">
        <v>45435</v>
      </c>
      <c r="F604" s="4" t="s">
        <v>3186</v>
      </c>
      <c r="G604" s="4" t="str">
        <f aca="false">INDEX(PurchaseOrders!$B$2:$B$3001,MATCH(B604,PurchaseOrders!$A$2:$A$3001,0))</f>
        <v>V040</v>
      </c>
    </row>
    <row r="605" customFormat="false" ht="15" hidden="false" customHeight="true" outlineLevel="0" collapsed="false">
      <c r="A605" s="4" t="s">
        <v>3792</v>
      </c>
      <c r="B605" s="4" t="s">
        <v>781</v>
      </c>
      <c r="C605" s="4" t="n">
        <v>60</v>
      </c>
      <c r="D605" s="4" t="n">
        <v>3</v>
      </c>
      <c r="E605" s="13" t="n">
        <v>45228</v>
      </c>
      <c r="F605" s="4" t="s">
        <v>3192</v>
      </c>
      <c r="G605" s="4" t="str">
        <f aca="false">INDEX(PurchaseOrders!$B$2:$B$3001,MATCH(B605,PurchaseOrders!$A$2:$A$3001,0))</f>
        <v>V004</v>
      </c>
    </row>
    <row r="606" customFormat="false" ht="15" hidden="false" customHeight="true" outlineLevel="0" collapsed="false">
      <c r="A606" s="4" t="s">
        <v>3793</v>
      </c>
      <c r="B606" s="4" t="s">
        <v>782</v>
      </c>
      <c r="C606" s="4" t="n">
        <v>1753</v>
      </c>
      <c r="D606" s="4" t="n">
        <v>215</v>
      </c>
      <c r="E606" s="13" t="n">
        <v>45603</v>
      </c>
      <c r="F606" s="4" t="s">
        <v>3190</v>
      </c>
      <c r="G606" s="4" t="str">
        <f aca="false">INDEX(PurchaseOrders!$B$2:$B$3001,MATCH(B606,PurchaseOrders!$A$2:$A$3001,0))</f>
        <v>V057</v>
      </c>
    </row>
    <row r="607" customFormat="false" ht="15" hidden="false" customHeight="true" outlineLevel="0" collapsed="false">
      <c r="A607" s="4" t="s">
        <v>3794</v>
      </c>
      <c r="B607" s="4" t="s">
        <v>783</v>
      </c>
      <c r="C607" s="4" t="n">
        <v>1476</v>
      </c>
      <c r="D607" s="4" t="n">
        <v>85</v>
      </c>
      <c r="E607" s="13" t="n">
        <v>45639</v>
      </c>
      <c r="F607" s="4" t="s">
        <v>3186</v>
      </c>
      <c r="G607" s="4" t="str">
        <f aca="false">INDEX(PurchaseOrders!$B$2:$B$3001,MATCH(B607,PurchaseOrders!$A$2:$A$3001,0))</f>
        <v>V048</v>
      </c>
    </row>
    <row r="608" customFormat="false" ht="15" hidden="false" customHeight="true" outlineLevel="0" collapsed="false">
      <c r="A608" s="4" t="s">
        <v>3795</v>
      </c>
      <c r="B608" s="4" t="s">
        <v>784</v>
      </c>
      <c r="C608" s="4" t="n">
        <v>911</v>
      </c>
      <c r="D608" s="4" t="n">
        <v>43</v>
      </c>
      <c r="E608" s="13" t="n">
        <v>45536</v>
      </c>
      <c r="F608" s="4" t="s">
        <v>3192</v>
      </c>
      <c r="G608" s="4" t="str">
        <f aca="false">INDEX(PurchaseOrders!$B$2:$B$3001,MATCH(B608,PurchaseOrders!$A$2:$A$3001,0))</f>
        <v>V048</v>
      </c>
    </row>
    <row r="609" customFormat="false" ht="15" hidden="false" customHeight="true" outlineLevel="0" collapsed="false">
      <c r="A609" s="4" t="s">
        <v>3796</v>
      </c>
      <c r="B609" s="4" t="s">
        <v>785</v>
      </c>
      <c r="C609" s="4" t="n">
        <v>201</v>
      </c>
      <c r="D609" s="4" t="n">
        <v>12</v>
      </c>
      <c r="E609" s="13" t="n">
        <v>45191</v>
      </c>
      <c r="F609" s="4" t="s">
        <v>3190</v>
      </c>
      <c r="G609" s="4" t="str">
        <f aca="false">INDEX(PurchaseOrders!$B$2:$B$3001,MATCH(B609,PurchaseOrders!$A$2:$A$3001,0))</f>
        <v>V009</v>
      </c>
    </row>
    <row r="610" customFormat="false" ht="15" hidden="false" customHeight="true" outlineLevel="0" collapsed="false">
      <c r="A610" s="4" t="s">
        <v>3797</v>
      </c>
      <c r="B610" s="4" t="s">
        <v>786</v>
      </c>
      <c r="C610" s="4" t="n">
        <v>3685</v>
      </c>
      <c r="D610" s="4" t="n">
        <v>241</v>
      </c>
      <c r="E610" s="13" t="n">
        <v>45173</v>
      </c>
      <c r="F610" s="4" t="s">
        <v>3186</v>
      </c>
      <c r="G610" s="4" t="str">
        <f aca="false">INDEX(PurchaseOrders!$B$2:$B$3001,MATCH(B610,PurchaseOrders!$A$2:$A$3001,0))</f>
        <v>V014</v>
      </c>
    </row>
    <row r="611" customFormat="false" ht="15" hidden="false" customHeight="true" outlineLevel="0" collapsed="false">
      <c r="A611" s="4" t="s">
        <v>3798</v>
      </c>
      <c r="B611" s="4" t="s">
        <v>787</v>
      </c>
      <c r="C611" s="4" t="n">
        <v>6</v>
      </c>
      <c r="D611" s="4" t="n">
        <v>0</v>
      </c>
      <c r="E611" s="13" t="n">
        <v>45272</v>
      </c>
      <c r="F611" s="4"/>
      <c r="G611" s="4" t="str">
        <f aca="false">INDEX(PurchaseOrders!$B$2:$B$3001,MATCH(B611,PurchaseOrders!$A$2:$A$3001,0))</f>
        <v>V023</v>
      </c>
    </row>
    <row r="612" customFormat="false" ht="15" hidden="false" customHeight="true" outlineLevel="0" collapsed="false">
      <c r="A612" s="4" t="s">
        <v>3799</v>
      </c>
      <c r="B612" s="4" t="s">
        <v>788</v>
      </c>
      <c r="C612" s="4" t="n">
        <v>248</v>
      </c>
      <c r="D612" s="4" t="n">
        <v>17</v>
      </c>
      <c r="E612" s="13" t="n">
        <v>45036</v>
      </c>
      <c r="F612" s="4" t="s">
        <v>3188</v>
      </c>
      <c r="G612" s="4" t="str">
        <f aca="false">INDEX(PurchaseOrders!$B$2:$B$3001,MATCH(B612,PurchaseOrders!$A$2:$A$3001,0))</f>
        <v>V004</v>
      </c>
    </row>
    <row r="613" customFormat="false" ht="15" hidden="false" customHeight="true" outlineLevel="0" collapsed="false">
      <c r="A613" s="4" t="s">
        <v>3800</v>
      </c>
      <c r="B613" s="4" t="s">
        <v>789</v>
      </c>
      <c r="C613" s="4" t="n">
        <v>11</v>
      </c>
      <c r="D613" s="4" t="n">
        <v>0</v>
      </c>
      <c r="E613" s="13" t="n">
        <v>45163</v>
      </c>
      <c r="F613" s="4"/>
      <c r="G613" s="4" t="str">
        <f aca="false">INDEX(PurchaseOrders!$B$2:$B$3001,MATCH(B613,PurchaseOrders!$A$2:$A$3001,0))</f>
        <v>V053</v>
      </c>
    </row>
    <row r="614" customFormat="false" ht="15" hidden="false" customHeight="true" outlineLevel="0" collapsed="false">
      <c r="A614" s="4" t="s">
        <v>3801</v>
      </c>
      <c r="B614" s="4" t="s">
        <v>790</v>
      </c>
      <c r="C614" s="4" t="n">
        <v>2334</v>
      </c>
      <c r="D614" s="4" t="n">
        <v>0</v>
      </c>
      <c r="E614" s="13" t="n">
        <v>45215</v>
      </c>
      <c r="F614" s="4"/>
      <c r="G614" s="4" t="str">
        <f aca="false">INDEX(PurchaseOrders!$B$2:$B$3001,MATCH(B614,PurchaseOrders!$A$2:$A$3001,0))</f>
        <v>V002</v>
      </c>
    </row>
    <row r="615" customFormat="false" ht="15" hidden="false" customHeight="true" outlineLevel="0" collapsed="false">
      <c r="A615" s="4" t="s">
        <v>3802</v>
      </c>
      <c r="B615" s="4" t="s">
        <v>791</v>
      </c>
      <c r="C615" s="4" t="n">
        <v>165</v>
      </c>
      <c r="D615" s="4" t="n">
        <v>0</v>
      </c>
      <c r="E615" s="13" t="n">
        <v>45532</v>
      </c>
      <c r="F615" s="4"/>
      <c r="G615" s="4" t="str">
        <f aca="false">INDEX(PurchaseOrders!$B$2:$B$3001,MATCH(B615,PurchaseOrders!$A$2:$A$3001,0))</f>
        <v>V040</v>
      </c>
    </row>
    <row r="616" customFormat="false" ht="15" hidden="false" customHeight="true" outlineLevel="0" collapsed="false">
      <c r="A616" s="4" t="s">
        <v>3803</v>
      </c>
      <c r="B616" s="4" t="s">
        <v>792</v>
      </c>
      <c r="C616" s="4" t="n">
        <v>315</v>
      </c>
      <c r="D616" s="4" t="n">
        <v>0</v>
      </c>
      <c r="E616" s="13" t="n">
        <v>45185</v>
      </c>
      <c r="F616" s="4"/>
      <c r="G616" s="4" t="str">
        <f aca="false">INDEX(PurchaseOrders!$B$2:$B$3001,MATCH(B616,PurchaseOrders!$A$2:$A$3001,0))</f>
        <v>V024</v>
      </c>
    </row>
    <row r="617" customFormat="false" ht="15" hidden="false" customHeight="true" outlineLevel="0" collapsed="false">
      <c r="A617" s="4" t="s">
        <v>3804</v>
      </c>
      <c r="B617" s="4" t="s">
        <v>793</v>
      </c>
      <c r="C617" s="4" t="n">
        <v>1319</v>
      </c>
      <c r="D617" s="4" t="n">
        <v>139</v>
      </c>
      <c r="E617" s="13" t="n">
        <v>45499</v>
      </c>
      <c r="F617" s="4" t="s">
        <v>3184</v>
      </c>
      <c r="G617" s="4" t="str">
        <f aca="false">INDEX(PurchaseOrders!$B$2:$B$3001,MATCH(B617,PurchaseOrders!$A$2:$A$3001,0))</f>
        <v>V032</v>
      </c>
    </row>
    <row r="618" customFormat="false" ht="15" hidden="false" customHeight="true" outlineLevel="0" collapsed="false">
      <c r="A618" s="4" t="s">
        <v>3805</v>
      </c>
      <c r="B618" s="4" t="s">
        <v>794</v>
      </c>
      <c r="C618" s="4" t="n">
        <v>1588</v>
      </c>
      <c r="D618" s="4" t="n">
        <v>85</v>
      </c>
      <c r="E618" s="13" t="n">
        <v>45160</v>
      </c>
      <c r="F618" s="4" t="s">
        <v>3190</v>
      </c>
      <c r="G618" s="4" t="str">
        <f aca="false">INDEX(PurchaseOrders!$B$2:$B$3001,MATCH(B618,PurchaseOrders!$A$2:$A$3001,0))</f>
        <v>V048</v>
      </c>
    </row>
    <row r="619" customFormat="false" ht="15" hidden="false" customHeight="true" outlineLevel="0" collapsed="false">
      <c r="A619" s="4" t="s">
        <v>3806</v>
      </c>
      <c r="B619" s="4" t="s">
        <v>795</v>
      </c>
      <c r="C619" s="4" t="n">
        <v>2637</v>
      </c>
      <c r="D619" s="4" t="n">
        <v>78</v>
      </c>
      <c r="E619" s="13" t="n">
        <v>45547</v>
      </c>
      <c r="F619" s="4" t="s">
        <v>3190</v>
      </c>
      <c r="G619" s="4" t="str">
        <f aca="false">INDEX(PurchaseOrders!$B$2:$B$3001,MATCH(B619,PurchaseOrders!$A$2:$A$3001,0))</f>
        <v>V002</v>
      </c>
    </row>
    <row r="620" customFormat="false" ht="15" hidden="false" customHeight="true" outlineLevel="0" collapsed="false">
      <c r="A620" s="4" t="s">
        <v>3807</v>
      </c>
      <c r="B620" s="4" t="s">
        <v>796</v>
      </c>
      <c r="C620" s="4" t="n">
        <v>140</v>
      </c>
      <c r="D620" s="4" t="n">
        <v>5</v>
      </c>
      <c r="E620" s="13" t="n">
        <v>45553</v>
      </c>
      <c r="F620" s="4" t="s">
        <v>3190</v>
      </c>
      <c r="G620" s="4" t="str">
        <f aca="false">INDEX(PurchaseOrders!$B$2:$B$3001,MATCH(B620,PurchaseOrders!$A$2:$A$3001,0))</f>
        <v>V024</v>
      </c>
    </row>
    <row r="621" customFormat="false" ht="15" hidden="false" customHeight="true" outlineLevel="0" collapsed="false">
      <c r="A621" s="4" t="s">
        <v>3808</v>
      </c>
      <c r="B621" s="4" t="s">
        <v>797</v>
      </c>
      <c r="C621" s="4" t="n">
        <v>195</v>
      </c>
      <c r="D621" s="4" t="n">
        <v>3</v>
      </c>
      <c r="E621" s="13" t="n">
        <v>45006</v>
      </c>
      <c r="F621" s="4" t="s">
        <v>3190</v>
      </c>
      <c r="G621" s="4" t="str">
        <f aca="false">INDEX(PurchaseOrders!$B$2:$B$3001,MATCH(B621,PurchaseOrders!$A$2:$A$3001,0))</f>
        <v>V040</v>
      </c>
    </row>
    <row r="622" customFormat="false" ht="15" hidden="false" customHeight="true" outlineLevel="0" collapsed="false">
      <c r="A622" s="4" t="s">
        <v>3809</v>
      </c>
      <c r="B622" s="4" t="s">
        <v>798</v>
      </c>
      <c r="C622" s="4" t="n">
        <v>174</v>
      </c>
      <c r="D622" s="4" t="n">
        <v>14</v>
      </c>
      <c r="E622" s="13" t="n">
        <v>45400</v>
      </c>
      <c r="F622" s="4" t="s">
        <v>3184</v>
      </c>
      <c r="G622" s="4" t="str">
        <f aca="false">INDEX(PurchaseOrders!$B$2:$B$3001,MATCH(B622,PurchaseOrders!$A$2:$A$3001,0))</f>
        <v>V009</v>
      </c>
    </row>
    <row r="623" customFormat="false" ht="15" hidden="false" customHeight="true" outlineLevel="0" collapsed="false">
      <c r="A623" s="4" t="s">
        <v>3810</v>
      </c>
      <c r="B623" s="4" t="s">
        <v>799</v>
      </c>
      <c r="C623" s="4" t="n">
        <v>1683</v>
      </c>
      <c r="D623" s="4" t="n">
        <v>73</v>
      </c>
      <c r="E623" s="13" t="n">
        <v>45216</v>
      </c>
      <c r="F623" s="4" t="s">
        <v>3202</v>
      </c>
      <c r="G623" s="4" t="str">
        <f aca="false">INDEX(PurchaseOrders!$B$2:$B$3001,MATCH(B623,PurchaseOrders!$A$2:$A$3001,0))</f>
        <v>V051</v>
      </c>
    </row>
    <row r="624" customFormat="false" ht="15" hidden="false" customHeight="true" outlineLevel="0" collapsed="false">
      <c r="A624" s="4" t="s">
        <v>3811</v>
      </c>
      <c r="B624" s="4" t="s">
        <v>800</v>
      </c>
      <c r="C624" s="4" t="n">
        <v>390</v>
      </c>
      <c r="D624" s="4" t="n">
        <v>27</v>
      </c>
      <c r="E624" s="13" t="n">
        <v>45187</v>
      </c>
      <c r="F624" s="4" t="s">
        <v>3188</v>
      </c>
      <c r="G624" s="4" t="str">
        <f aca="false">INDEX(PurchaseOrders!$B$2:$B$3001,MATCH(B624,PurchaseOrders!$A$2:$A$3001,0))</f>
        <v>V005</v>
      </c>
    </row>
    <row r="625" customFormat="false" ht="15" hidden="false" customHeight="true" outlineLevel="0" collapsed="false">
      <c r="A625" s="4" t="s">
        <v>3812</v>
      </c>
      <c r="B625" s="4" t="s">
        <v>801</v>
      </c>
      <c r="C625" s="4" t="n">
        <v>3816</v>
      </c>
      <c r="D625" s="4" t="n">
        <v>620</v>
      </c>
      <c r="E625" s="13" t="n">
        <v>45174</v>
      </c>
      <c r="F625" s="4" t="s">
        <v>3184</v>
      </c>
      <c r="G625" s="4" t="str">
        <f aca="false">INDEX(PurchaseOrders!$B$2:$B$3001,MATCH(B625,PurchaseOrders!$A$2:$A$3001,0))</f>
        <v>V057</v>
      </c>
    </row>
    <row r="626" customFormat="false" ht="15" hidden="false" customHeight="true" outlineLevel="0" collapsed="false">
      <c r="A626" s="4" t="s">
        <v>3813</v>
      </c>
      <c r="B626" s="4" t="s">
        <v>802</v>
      </c>
      <c r="C626" s="4" t="n">
        <v>661</v>
      </c>
      <c r="D626" s="4" t="n">
        <v>0</v>
      </c>
      <c r="E626" s="13" t="n">
        <v>45390</v>
      </c>
      <c r="F626" s="4"/>
      <c r="G626" s="4" t="str">
        <f aca="false">INDEX(PurchaseOrders!$B$2:$B$3001,MATCH(B626,PurchaseOrders!$A$2:$A$3001,0))</f>
        <v>V035</v>
      </c>
    </row>
    <row r="627" customFormat="false" ht="15" hidden="false" customHeight="true" outlineLevel="0" collapsed="false">
      <c r="A627" s="4" t="s">
        <v>3814</v>
      </c>
      <c r="B627" s="4" t="s">
        <v>803</v>
      </c>
      <c r="C627" s="4" t="n">
        <v>2</v>
      </c>
      <c r="D627" s="4" t="n">
        <v>0</v>
      </c>
      <c r="E627" s="13" t="n">
        <v>45469</v>
      </c>
      <c r="F627" s="4"/>
      <c r="G627" s="4" t="str">
        <f aca="false">INDEX(PurchaseOrders!$B$2:$B$3001,MATCH(B627,PurchaseOrders!$A$2:$A$3001,0))</f>
        <v>V054</v>
      </c>
    </row>
    <row r="628" customFormat="false" ht="15" hidden="false" customHeight="true" outlineLevel="0" collapsed="false">
      <c r="A628" s="4" t="s">
        <v>3815</v>
      </c>
      <c r="B628" s="4" t="s">
        <v>804</v>
      </c>
      <c r="C628" s="4" t="n">
        <v>399</v>
      </c>
      <c r="D628" s="4" t="n">
        <v>37</v>
      </c>
      <c r="E628" s="13" t="n">
        <v>45234</v>
      </c>
      <c r="F628" s="4" t="s">
        <v>3202</v>
      </c>
      <c r="G628" s="4" t="str">
        <f aca="false">INDEX(PurchaseOrders!$B$2:$B$3001,MATCH(B628,PurchaseOrders!$A$2:$A$3001,0))</f>
        <v>V013</v>
      </c>
    </row>
    <row r="629" customFormat="false" ht="15" hidden="false" customHeight="true" outlineLevel="0" collapsed="false">
      <c r="A629" s="4" t="s">
        <v>3816</v>
      </c>
      <c r="B629" s="4" t="s">
        <v>805</v>
      </c>
      <c r="C629" s="4" t="n">
        <v>47</v>
      </c>
      <c r="D629" s="4" t="n">
        <v>5</v>
      </c>
      <c r="E629" s="13" t="n">
        <v>45101</v>
      </c>
      <c r="F629" s="4" t="s">
        <v>3186</v>
      </c>
      <c r="G629" s="4" t="str">
        <f aca="false">INDEX(PurchaseOrders!$B$2:$B$3001,MATCH(B629,PurchaseOrders!$A$2:$A$3001,0))</f>
        <v>V036</v>
      </c>
    </row>
    <row r="630" customFormat="false" ht="15" hidden="false" customHeight="true" outlineLevel="0" collapsed="false">
      <c r="A630" s="4" t="s">
        <v>3817</v>
      </c>
      <c r="B630" s="4" t="s">
        <v>806</v>
      </c>
      <c r="C630" s="4" t="n">
        <v>2758</v>
      </c>
      <c r="D630" s="4" t="n">
        <v>129</v>
      </c>
      <c r="E630" s="13" t="n">
        <v>45289</v>
      </c>
      <c r="F630" s="4" t="s">
        <v>3192</v>
      </c>
      <c r="G630" s="4" t="str">
        <f aca="false">INDEX(PurchaseOrders!$B$2:$B$3001,MATCH(B630,PurchaseOrders!$A$2:$A$3001,0))</f>
        <v>V003</v>
      </c>
    </row>
    <row r="631" customFormat="false" ht="15" hidden="false" customHeight="true" outlineLevel="0" collapsed="false">
      <c r="A631" s="4" t="s">
        <v>3818</v>
      </c>
      <c r="B631" s="4" t="s">
        <v>807</v>
      </c>
      <c r="C631" s="4" t="n">
        <v>13</v>
      </c>
      <c r="D631" s="4" t="n">
        <v>1</v>
      </c>
      <c r="E631" s="13" t="n">
        <v>45182</v>
      </c>
      <c r="F631" s="4" t="s">
        <v>3188</v>
      </c>
      <c r="G631" s="4" t="str">
        <f aca="false">INDEX(PurchaseOrders!$B$2:$B$3001,MATCH(B631,PurchaseOrders!$A$2:$A$3001,0))</f>
        <v>V054</v>
      </c>
    </row>
    <row r="632" customFormat="false" ht="15" hidden="false" customHeight="true" outlineLevel="0" collapsed="false">
      <c r="A632" s="4" t="s">
        <v>3819</v>
      </c>
      <c r="B632" s="4" t="s">
        <v>808</v>
      </c>
      <c r="C632" s="4" t="n">
        <v>2392</v>
      </c>
      <c r="D632" s="4" t="n">
        <v>407</v>
      </c>
      <c r="E632" s="13" t="n">
        <v>45443</v>
      </c>
      <c r="F632" s="4" t="s">
        <v>3192</v>
      </c>
      <c r="G632" s="4" t="str">
        <f aca="false">INDEX(PurchaseOrders!$B$2:$B$3001,MATCH(B632,PurchaseOrders!$A$2:$A$3001,0))</f>
        <v>V026</v>
      </c>
    </row>
    <row r="633" customFormat="false" ht="15" hidden="false" customHeight="true" outlineLevel="0" collapsed="false">
      <c r="A633" s="4" t="s">
        <v>3820</v>
      </c>
      <c r="B633" s="4" t="s">
        <v>809</v>
      </c>
      <c r="C633" s="4" t="n">
        <v>433</v>
      </c>
      <c r="D633" s="4" t="n">
        <v>0</v>
      </c>
      <c r="E633" s="13" t="n">
        <v>45555</v>
      </c>
      <c r="F633" s="4"/>
      <c r="G633" s="4" t="str">
        <f aca="false">INDEX(PurchaseOrders!$B$2:$B$3001,MATCH(B633,PurchaseOrders!$A$2:$A$3001,0))</f>
        <v>V008</v>
      </c>
    </row>
    <row r="634" customFormat="false" ht="15" hidden="false" customHeight="true" outlineLevel="0" collapsed="false">
      <c r="A634" s="4" t="s">
        <v>3821</v>
      </c>
      <c r="B634" s="4" t="s">
        <v>810</v>
      </c>
      <c r="C634" s="4" t="n">
        <v>1614</v>
      </c>
      <c r="D634" s="4" t="n">
        <v>102</v>
      </c>
      <c r="E634" s="13" t="n">
        <v>45291</v>
      </c>
      <c r="F634" s="4" t="s">
        <v>3184</v>
      </c>
      <c r="G634" s="4" t="str">
        <f aca="false">INDEX(PurchaseOrders!$B$2:$B$3001,MATCH(B634,PurchaseOrders!$A$2:$A$3001,0))</f>
        <v>V005</v>
      </c>
    </row>
    <row r="635" customFormat="false" ht="15" hidden="false" customHeight="true" outlineLevel="0" collapsed="false">
      <c r="A635" s="4" t="s">
        <v>3822</v>
      </c>
      <c r="B635" s="4" t="s">
        <v>811</v>
      </c>
      <c r="C635" s="4" t="n">
        <v>1754</v>
      </c>
      <c r="D635" s="4" t="n">
        <v>49</v>
      </c>
      <c r="E635" s="13" t="n">
        <v>44996</v>
      </c>
      <c r="F635" s="4" t="s">
        <v>3184</v>
      </c>
      <c r="G635" s="4" t="str">
        <f aca="false">INDEX(PurchaseOrders!$B$2:$B$3001,MATCH(B635,PurchaseOrders!$A$2:$A$3001,0))</f>
        <v>V045</v>
      </c>
    </row>
    <row r="636" customFormat="false" ht="15" hidden="false" customHeight="true" outlineLevel="0" collapsed="false">
      <c r="A636" s="4" t="s">
        <v>3823</v>
      </c>
      <c r="B636" s="4" t="s">
        <v>812</v>
      </c>
      <c r="C636" s="4" t="n">
        <v>1860</v>
      </c>
      <c r="D636" s="4" t="n">
        <v>207</v>
      </c>
      <c r="E636" s="13" t="n">
        <v>45312</v>
      </c>
      <c r="F636" s="4" t="s">
        <v>3188</v>
      </c>
      <c r="G636" s="4" t="str">
        <f aca="false">INDEX(PurchaseOrders!$B$2:$B$3001,MATCH(B636,PurchaseOrders!$A$2:$A$3001,0))</f>
        <v>V028</v>
      </c>
    </row>
    <row r="637" customFormat="false" ht="15" hidden="false" customHeight="true" outlineLevel="0" collapsed="false">
      <c r="A637" s="4" t="s">
        <v>3824</v>
      </c>
      <c r="B637" s="4" t="s">
        <v>813</v>
      </c>
      <c r="C637" s="4" t="n">
        <v>282</v>
      </c>
      <c r="D637" s="4" t="n">
        <v>15</v>
      </c>
      <c r="E637" s="13" t="n">
        <v>45142</v>
      </c>
      <c r="F637" s="4" t="s">
        <v>3184</v>
      </c>
      <c r="G637" s="4" t="str">
        <f aca="false">INDEX(PurchaseOrders!$B$2:$B$3001,MATCH(B637,PurchaseOrders!$A$2:$A$3001,0))</f>
        <v>V035</v>
      </c>
    </row>
    <row r="638" customFormat="false" ht="15" hidden="false" customHeight="true" outlineLevel="0" collapsed="false">
      <c r="A638" s="4" t="s">
        <v>3825</v>
      </c>
      <c r="B638" s="4" t="s">
        <v>814</v>
      </c>
      <c r="C638" s="4" t="n">
        <v>308</v>
      </c>
      <c r="D638" s="4" t="n">
        <v>2</v>
      </c>
      <c r="E638" s="13" t="n">
        <v>45351</v>
      </c>
      <c r="F638" s="4" t="s">
        <v>3186</v>
      </c>
      <c r="G638" s="4" t="str">
        <f aca="false">INDEX(PurchaseOrders!$B$2:$B$3001,MATCH(B638,PurchaseOrders!$A$2:$A$3001,0))</f>
        <v>V031</v>
      </c>
    </row>
    <row r="639" customFormat="false" ht="15" hidden="false" customHeight="true" outlineLevel="0" collapsed="false">
      <c r="A639" s="4" t="s">
        <v>3826</v>
      </c>
      <c r="B639" s="4" t="s">
        <v>815</v>
      </c>
      <c r="C639" s="4" t="n">
        <v>931</v>
      </c>
      <c r="D639" s="4" t="n">
        <v>0</v>
      </c>
      <c r="E639" s="13" t="n">
        <v>45217</v>
      </c>
      <c r="F639" s="4"/>
      <c r="G639" s="4" t="str">
        <f aca="false">INDEX(PurchaseOrders!$B$2:$B$3001,MATCH(B639,PurchaseOrders!$A$2:$A$3001,0))</f>
        <v>V059</v>
      </c>
    </row>
    <row r="640" customFormat="false" ht="15" hidden="false" customHeight="true" outlineLevel="0" collapsed="false">
      <c r="A640" s="4" t="s">
        <v>3827</v>
      </c>
      <c r="B640" s="4" t="s">
        <v>816</v>
      </c>
      <c r="C640" s="4" t="n">
        <v>903</v>
      </c>
      <c r="D640" s="4" t="n">
        <v>62</v>
      </c>
      <c r="E640" s="13" t="n">
        <v>45185</v>
      </c>
      <c r="F640" s="4" t="s">
        <v>3190</v>
      </c>
      <c r="G640" s="4" t="str">
        <f aca="false">INDEX(PurchaseOrders!$B$2:$B$3001,MATCH(B640,PurchaseOrders!$A$2:$A$3001,0))</f>
        <v>V022</v>
      </c>
    </row>
    <row r="641" customFormat="false" ht="15" hidden="false" customHeight="true" outlineLevel="0" collapsed="false">
      <c r="A641" s="4" t="s">
        <v>3828</v>
      </c>
      <c r="B641" s="4" t="s">
        <v>817</v>
      </c>
      <c r="C641" s="4" t="n">
        <v>815</v>
      </c>
      <c r="D641" s="4" t="n">
        <v>21</v>
      </c>
      <c r="E641" s="13" t="n">
        <v>45514</v>
      </c>
      <c r="F641" s="4" t="s">
        <v>3192</v>
      </c>
      <c r="G641" s="4" t="str">
        <f aca="false">INDEX(PurchaseOrders!$B$2:$B$3001,MATCH(B641,PurchaseOrders!$A$2:$A$3001,0))</f>
        <v>V045</v>
      </c>
    </row>
    <row r="642" customFormat="false" ht="15" hidden="false" customHeight="true" outlineLevel="0" collapsed="false">
      <c r="A642" s="4" t="s">
        <v>3829</v>
      </c>
      <c r="B642" s="4" t="s">
        <v>818</v>
      </c>
      <c r="C642" s="4" t="n">
        <v>299</v>
      </c>
      <c r="D642" s="4" t="n">
        <v>29</v>
      </c>
      <c r="E642" s="13" t="n">
        <v>45410</v>
      </c>
      <c r="F642" s="4" t="s">
        <v>3192</v>
      </c>
      <c r="G642" s="4" t="str">
        <f aca="false">INDEX(PurchaseOrders!$B$2:$B$3001,MATCH(B642,PurchaseOrders!$A$2:$A$3001,0))</f>
        <v>V043</v>
      </c>
    </row>
    <row r="643" customFormat="false" ht="15" hidden="false" customHeight="true" outlineLevel="0" collapsed="false">
      <c r="A643" s="4" t="s">
        <v>3830</v>
      </c>
      <c r="B643" s="4" t="s">
        <v>819</v>
      </c>
      <c r="C643" s="4" t="n">
        <v>430</v>
      </c>
      <c r="D643" s="4" t="n">
        <v>9</v>
      </c>
      <c r="E643" s="13" t="n">
        <v>44986</v>
      </c>
      <c r="F643" s="4" t="s">
        <v>3188</v>
      </c>
      <c r="G643" s="4" t="str">
        <f aca="false">INDEX(PurchaseOrders!$B$2:$B$3001,MATCH(B643,PurchaseOrders!$A$2:$A$3001,0))</f>
        <v>V035</v>
      </c>
    </row>
    <row r="644" customFormat="false" ht="15" hidden="false" customHeight="true" outlineLevel="0" collapsed="false">
      <c r="A644" s="4" t="s">
        <v>3831</v>
      </c>
      <c r="B644" s="4" t="s">
        <v>820</v>
      </c>
      <c r="C644" s="4" t="n">
        <v>45</v>
      </c>
      <c r="D644" s="4" t="n">
        <v>0</v>
      </c>
      <c r="E644" s="13" t="n">
        <v>45318</v>
      </c>
      <c r="F644" s="4"/>
      <c r="G644" s="4" t="str">
        <f aca="false">INDEX(PurchaseOrders!$B$2:$B$3001,MATCH(B644,PurchaseOrders!$A$2:$A$3001,0))</f>
        <v>V052</v>
      </c>
    </row>
    <row r="645" customFormat="false" ht="15" hidden="false" customHeight="true" outlineLevel="0" collapsed="false">
      <c r="A645" s="4" t="s">
        <v>3832</v>
      </c>
      <c r="B645" s="4" t="s">
        <v>821</v>
      </c>
      <c r="C645" s="4" t="n">
        <v>48</v>
      </c>
      <c r="D645" s="4" t="n">
        <v>0</v>
      </c>
      <c r="E645" s="13" t="n">
        <v>44988</v>
      </c>
      <c r="F645" s="4"/>
      <c r="G645" s="4" t="str">
        <f aca="false">INDEX(PurchaseOrders!$B$2:$B$3001,MATCH(B645,PurchaseOrders!$A$2:$A$3001,0))</f>
        <v>V008</v>
      </c>
    </row>
    <row r="646" customFormat="false" ht="15" hidden="false" customHeight="true" outlineLevel="0" collapsed="false">
      <c r="A646" s="4" t="s">
        <v>3833</v>
      </c>
      <c r="B646" s="4" t="s">
        <v>822</v>
      </c>
      <c r="C646" s="4" t="n">
        <v>1137</v>
      </c>
      <c r="D646" s="4" t="n">
        <v>41</v>
      </c>
      <c r="E646" s="13" t="n">
        <v>45312</v>
      </c>
      <c r="F646" s="4" t="s">
        <v>3192</v>
      </c>
      <c r="G646" s="4" t="str">
        <f aca="false">INDEX(PurchaseOrders!$B$2:$B$3001,MATCH(B646,PurchaseOrders!$A$2:$A$3001,0))</f>
        <v>V059</v>
      </c>
    </row>
    <row r="647" customFormat="false" ht="15" hidden="false" customHeight="true" outlineLevel="0" collapsed="false">
      <c r="A647" s="4" t="s">
        <v>3834</v>
      </c>
      <c r="B647" s="4" t="s">
        <v>823</v>
      </c>
      <c r="C647" s="4" t="n">
        <v>299</v>
      </c>
      <c r="D647" s="4" t="n">
        <v>37</v>
      </c>
      <c r="E647" s="13" t="n">
        <v>45328</v>
      </c>
      <c r="F647" s="4" t="s">
        <v>3190</v>
      </c>
      <c r="G647" s="4" t="str">
        <f aca="false">INDEX(PurchaseOrders!$B$2:$B$3001,MATCH(B647,PurchaseOrders!$A$2:$A$3001,0))</f>
        <v>V013</v>
      </c>
    </row>
    <row r="648" customFormat="false" ht="15" hidden="false" customHeight="true" outlineLevel="0" collapsed="false">
      <c r="A648" s="4" t="s">
        <v>3835</v>
      </c>
      <c r="B648" s="4" t="s">
        <v>824</v>
      </c>
      <c r="C648" s="4" t="n">
        <v>1622</v>
      </c>
      <c r="D648" s="4" t="n">
        <v>45</v>
      </c>
      <c r="E648" s="13" t="n">
        <v>45304</v>
      </c>
      <c r="F648" s="4" t="s">
        <v>3192</v>
      </c>
      <c r="G648" s="4" t="str">
        <f aca="false">INDEX(PurchaseOrders!$B$2:$B$3001,MATCH(B648,PurchaseOrders!$A$2:$A$3001,0))</f>
        <v>V010</v>
      </c>
    </row>
    <row r="649" customFormat="false" ht="15" hidden="false" customHeight="true" outlineLevel="0" collapsed="false">
      <c r="A649" s="4" t="s">
        <v>3836</v>
      </c>
      <c r="B649" s="4" t="s">
        <v>825</v>
      </c>
      <c r="C649" s="4" t="n">
        <v>1971</v>
      </c>
      <c r="D649" s="4" t="n">
        <v>25</v>
      </c>
      <c r="E649" s="13" t="n">
        <v>45658</v>
      </c>
      <c r="F649" s="4" t="s">
        <v>3184</v>
      </c>
      <c r="G649" s="4" t="str">
        <f aca="false">INDEX(PurchaseOrders!$B$2:$B$3001,MATCH(B649,PurchaseOrders!$A$2:$A$3001,0))</f>
        <v>V058</v>
      </c>
    </row>
    <row r="650" customFormat="false" ht="15" hidden="false" customHeight="true" outlineLevel="0" collapsed="false">
      <c r="A650" s="4" t="s">
        <v>3837</v>
      </c>
      <c r="B650" s="4" t="s">
        <v>826</v>
      </c>
      <c r="C650" s="4" t="n">
        <v>2222</v>
      </c>
      <c r="D650" s="4" t="n">
        <v>111</v>
      </c>
      <c r="E650" s="13" t="n">
        <v>45022</v>
      </c>
      <c r="F650" s="4" t="s">
        <v>3202</v>
      </c>
      <c r="G650" s="4" t="str">
        <f aca="false">INDEX(PurchaseOrders!$B$2:$B$3001,MATCH(B650,PurchaseOrders!$A$2:$A$3001,0))</f>
        <v>V003</v>
      </c>
    </row>
    <row r="651" customFormat="false" ht="15" hidden="false" customHeight="true" outlineLevel="0" collapsed="false">
      <c r="A651" s="4" t="s">
        <v>3838</v>
      </c>
      <c r="B651" s="4" t="s">
        <v>827</v>
      </c>
      <c r="C651" s="4" t="n">
        <v>125</v>
      </c>
      <c r="D651" s="4" t="n">
        <v>9</v>
      </c>
      <c r="E651" s="13" t="n">
        <v>44988</v>
      </c>
      <c r="F651" s="4" t="s">
        <v>3190</v>
      </c>
      <c r="G651" s="4" t="str">
        <f aca="false">INDEX(PurchaseOrders!$B$2:$B$3001,MATCH(B651,PurchaseOrders!$A$2:$A$3001,0))</f>
        <v>V009</v>
      </c>
    </row>
    <row r="652" customFormat="false" ht="15" hidden="false" customHeight="true" outlineLevel="0" collapsed="false">
      <c r="A652" s="4" t="s">
        <v>3839</v>
      </c>
      <c r="B652" s="4" t="s">
        <v>828</v>
      </c>
      <c r="C652" s="4" t="n">
        <v>8</v>
      </c>
      <c r="D652" s="4" t="n">
        <v>0</v>
      </c>
      <c r="E652" s="13" t="n">
        <v>45226</v>
      </c>
      <c r="F652" s="4"/>
      <c r="G652" s="4" t="str">
        <f aca="false">INDEX(PurchaseOrders!$B$2:$B$3001,MATCH(B652,PurchaseOrders!$A$2:$A$3001,0))</f>
        <v>V019</v>
      </c>
    </row>
    <row r="653" customFormat="false" ht="15" hidden="false" customHeight="true" outlineLevel="0" collapsed="false">
      <c r="A653" s="4" t="s">
        <v>3840</v>
      </c>
      <c r="B653" s="4" t="s">
        <v>829</v>
      </c>
      <c r="C653" s="4" t="n">
        <v>16</v>
      </c>
      <c r="D653" s="4" t="n">
        <v>0</v>
      </c>
      <c r="E653" s="13" t="n">
        <v>45547</v>
      </c>
      <c r="F653" s="4"/>
      <c r="G653" s="4" t="str">
        <f aca="false">INDEX(PurchaseOrders!$B$2:$B$3001,MATCH(B653,PurchaseOrders!$A$2:$A$3001,0))</f>
        <v>V016</v>
      </c>
    </row>
    <row r="654" customFormat="false" ht="15" hidden="false" customHeight="true" outlineLevel="0" collapsed="false">
      <c r="A654" s="4" t="s">
        <v>3841</v>
      </c>
      <c r="B654" s="4" t="s">
        <v>830</v>
      </c>
      <c r="C654" s="4" t="n">
        <v>1164</v>
      </c>
      <c r="D654" s="4" t="n">
        <v>45</v>
      </c>
      <c r="E654" s="13" t="n">
        <v>45219</v>
      </c>
      <c r="F654" s="4" t="s">
        <v>3192</v>
      </c>
      <c r="G654" s="4" t="str">
        <f aca="false">INDEX(PurchaseOrders!$B$2:$B$3001,MATCH(B654,PurchaseOrders!$A$2:$A$3001,0))</f>
        <v>V020</v>
      </c>
    </row>
    <row r="655" customFormat="false" ht="15" hidden="false" customHeight="true" outlineLevel="0" collapsed="false">
      <c r="A655" s="4" t="s">
        <v>3842</v>
      </c>
      <c r="B655" s="4" t="s">
        <v>831</v>
      </c>
      <c r="C655" s="4" t="n">
        <v>4124</v>
      </c>
      <c r="D655" s="4" t="n">
        <v>52</v>
      </c>
      <c r="E655" s="13" t="n">
        <v>45517</v>
      </c>
      <c r="F655" s="4" t="s">
        <v>3190</v>
      </c>
      <c r="G655" s="4" t="str">
        <f aca="false">INDEX(PurchaseOrders!$B$2:$B$3001,MATCH(B655,PurchaseOrders!$A$2:$A$3001,0))</f>
        <v>V015</v>
      </c>
    </row>
    <row r="656" customFormat="false" ht="15" hidden="false" customHeight="true" outlineLevel="0" collapsed="false">
      <c r="A656" s="4" t="s">
        <v>3843</v>
      </c>
      <c r="B656" s="4" t="s">
        <v>832</v>
      </c>
      <c r="C656" s="4" t="n">
        <v>444</v>
      </c>
      <c r="D656" s="4" t="n">
        <v>10</v>
      </c>
      <c r="E656" s="13" t="n">
        <v>45195</v>
      </c>
      <c r="F656" s="4" t="s">
        <v>3184</v>
      </c>
      <c r="G656" s="4" t="str">
        <f aca="false">INDEX(PurchaseOrders!$B$2:$B$3001,MATCH(B656,PurchaseOrders!$A$2:$A$3001,0))</f>
        <v>V010</v>
      </c>
    </row>
    <row r="657" customFormat="false" ht="15" hidden="false" customHeight="true" outlineLevel="0" collapsed="false">
      <c r="A657" s="4" t="s">
        <v>3844</v>
      </c>
      <c r="B657" s="4" t="s">
        <v>833</v>
      </c>
      <c r="C657" s="4" t="n">
        <v>15</v>
      </c>
      <c r="D657" s="4" t="n">
        <v>2</v>
      </c>
      <c r="E657" s="13" t="n">
        <v>45583</v>
      </c>
      <c r="F657" s="4" t="s">
        <v>3202</v>
      </c>
      <c r="G657" s="4" t="str">
        <f aca="false">INDEX(PurchaseOrders!$B$2:$B$3001,MATCH(B657,PurchaseOrders!$A$2:$A$3001,0))</f>
        <v>V042</v>
      </c>
    </row>
    <row r="658" customFormat="false" ht="15" hidden="false" customHeight="true" outlineLevel="0" collapsed="false">
      <c r="A658" s="4" t="s">
        <v>3845</v>
      </c>
      <c r="B658" s="4" t="s">
        <v>834</v>
      </c>
      <c r="C658" s="4" t="n">
        <v>421</v>
      </c>
      <c r="D658" s="4" t="n">
        <v>39</v>
      </c>
      <c r="E658" s="13" t="n">
        <v>45287</v>
      </c>
      <c r="F658" s="4" t="s">
        <v>3190</v>
      </c>
      <c r="G658" s="4" t="str">
        <f aca="false">INDEX(PurchaseOrders!$B$2:$B$3001,MATCH(B658,PurchaseOrders!$A$2:$A$3001,0))</f>
        <v>V049</v>
      </c>
    </row>
    <row r="659" customFormat="false" ht="15" hidden="false" customHeight="true" outlineLevel="0" collapsed="false">
      <c r="A659" s="4" t="s">
        <v>3846</v>
      </c>
      <c r="B659" s="4" t="s">
        <v>835</v>
      </c>
      <c r="C659" s="4" t="n">
        <v>238</v>
      </c>
      <c r="D659" s="4" t="n">
        <v>16</v>
      </c>
      <c r="E659" s="13" t="n">
        <v>45300</v>
      </c>
      <c r="F659" s="4" t="s">
        <v>3186</v>
      </c>
      <c r="G659" s="4" t="str">
        <f aca="false">INDEX(PurchaseOrders!$B$2:$B$3001,MATCH(B659,PurchaseOrders!$A$2:$A$3001,0))</f>
        <v>V009</v>
      </c>
    </row>
    <row r="660" customFormat="false" ht="15" hidden="false" customHeight="true" outlineLevel="0" collapsed="false">
      <c r="A660" s="4" t="s">
        <v>3847</v>
      </c>
      <c r="B660" s="4" t="s">
        <v>836</v>
      </c>
      <c r="C660" s="4" t="n">
        <v>233</v>
      </c>
      <c r="D660" s="4" t="n">
        <v>24</v>
      </c>
      <c r="E660" s="13" t="n">
        <v>45191</v>
      </c>
      <c r="F660" s="4" t="s">
        <v>3192</v>
      </c>
      <c r="G660" s="4" t="str">
        <f aca="false">INDEX(PurchaseOrders!$B$2:$B$3001,MATCH(B660,PurchaseOrders!$A$2:$A$3001,0))</f>
        <v>V009</v>
      </c>
    </row>
    <row r="661" customFormat="false" ht="15" hidden="false" customHeight="true" outlineLevel="0" collapsed="false">
      <c r="A661" s="4" t="s">
        <v>3848</v>
      </c>
      <c r="B661" s="4" t="s">
        <v>837</v>
      </c>
      <c r="C661" s="4" t="n">
        <v>968</v>
      </c>
      <c r="D661" s="4" t="n">
        <v>12</v>
      </c>
      <c r="E661" s="13" t="n">
        <v>45222</v>
      </c>
      <c r="F661" s="4" t="s">
        <v>3188</v>
      </c>
      <c r="G661" s="4" t="str">
        <f aca="false">INDEX(PurchaseOrders!$B$2:$B$3001,MATCH(B661,PurchaseOrders!$A$2:$A$3001,0))</f>
        <v>V045</v>
      </c>
    </row>
    <row r="662" customFormat="false" ht="15" hidden="false" customHeight="true" outlineLevel="0" collapsed="false">
      <c r="A662" s="4" t="s">
        <v>3849</v>
      </c>
      <c r="B662" s="4" t="s">
        <v>838</v>
      </c>
      <c r="C662" s="4" t="n">
        <v>357</v>
      </c>
      <c r="D662" s="4" t="n">
        <v>27</v>
      </c>
      <c r="E662" s="13" t="n">
        <v>45250</v>
      </c>
      <c r="F662" s="4" t="s">
        <v>3190</v>
      </c>
      <c r="G662" s="4" t="str">
        <f aca="false">INDEX(PurchaseOrders!$B$2:$B$3001,MATCH(B662,PurchaseOrders!$A$2:$A$3001,0))</f>
        <v>V004</v>
      </c>
    </row>
    <row r="663" customFormat="false" ht="15" hidden="false" customHeight="true" outlineLevel="0" collapsed="false">
      <c r="A663" s="4" t="s">
        <v>3850</v>
      </c>
      <c r="B663" s="4" t="s">
        <v>839</v>
      </c>
      <c r="C663" s="4" t="n">
        <v>204</v>
      </c>
      <c r="D663" s="4" t="n">
        <v>13</v>
      </c>
      <c r="E663" s="13" t="n">
        <v>45204</v>
      </c>
      <c r="F663" s="4" t="s">
        <v>3184</v>
      </c>
      <c r="G663" s="4" t="str">
        <f aca="false">INDEX(PurchaseOrders!$B$2:$B$3001,MATCH(B663,PurchaseOrders!$A$2:$A$3001,0))</f>
        <v>V051</v>
      </c>
    </row>
    <row r="664" customFormat="false" ht="15" hidden="false" customHeight="true" outlineLevel="0" collapsed="false">
      <c r="A664" s="4" t="s">
        <v>3851</v>
      </c>
      <c r="B664" s="4" t="s">
        <v>840</v>
      </c>
      <c r="C664" s="4" t="n">
        <v>1895</v>
      </c>
      <c r="D664" s="4" t="n">
        <v>64</v>
      </c>
      <c r="E664" s="13" t="n">
        <v>45105</v>
      </c>
      <c r="F664" s="4" t="s">
        <v>3190</v>
      </c>
      <c r="G664" s="4" t="str">
        <f aca="false">INDEX(PurchaseOrders!$B$2:$B$3001,MATCH(B664,PurchaseOrders!$A$2:$A$3001,0))</f>
        <v>V022</v>
      </c>
    </row>
    <row r="665" customFormat="false" ht="15" hidden="false" customHeight="true" outlineLevel="0" collapsed="false">
      <c r="A665" s="4" t="s">
        <v>3852</v>
      </c>
      <c r="B665" s="4" t="s">
        <v>841</v>
      </c>
      <c r="C665" s="4" t="n">
        <v>393</v>
      </c>
      <c r="D665" s="4" t="n">
        <v>27</v>
      </c>
      <c r="E665" s="13" t="n">
        <v>45308</v>
      </c>
      <c r="F665" s="4" t="s">
        <v>3192</v>
      </c>
      <c r="G665" s="4" t="str">
        <f aca="false">INDEX(PurchaseOrders!$B$2:$B$3001,MATCH(B665,PurchaseOrders!$A$2:$A$3001,0))</f>
        <v>V004</v>
      </c>
    </row>
    <row r="666" customFormat="false" ht="15" hidden="false" customHeight="true" outlineLevel="0" collapsed="false">
      <c r="A666" s="4" t="s">
        <v>3853</v>
      </c>
      <c r="B666" s="4" t="s">
        <v>842</v>
      </c>
      <c r="C666" s="4" t="n">
        <v>317</v>
      </c>
      <c r="D666" s="4" t="n">
        <v>14</v>
      </c>
      <c r="E666" s="13" t="n">
        <v>45668</v>
      </c>
      <c r="F666" s="4" t="s">
        <v>3188</v>
      </c>
      <c r="G666" s="4" t="str">
        <f aca="false">INDEX(PurchaseOrders!$B$2:$B$3001,MATCH(B666,PurchaseOrders!$A$2:$A$3001,0))</f>
        <v>V033</v>
      </c>
    </row>
    <row r="667" customFormat="false" ht="15" hidden="false" customHeight="true" outlineLevel="0" collapsed="false">
      <c r="A667" s="4" t="s">
        <v>3854</v>
      </c>
      <c r="B667" s="4" t="s">
        <v>843</v>
      </c>
      <c r="C667" s="4" t="n">
        <v>252</v>
      </c>
      <c r="D667" s="4" t="n">
        <v>0</v>
      </c>
      <c r="E667" s="13" t="n">
        <v>45655</v>
      </c>
      <c r="F667" s="4"/>
      <c r="G667" s="4" t="str">
        <f aca="false">INDEX(PurchaseOrders!$B$2:$B$3001,MATCH(B667,PurchaseOrders!$A$2:$A$3001,0))</f>
        <v>V040</v>
      </c>
    </row>
    <row r="668" customFormat="false" ht="15" hidden="false" customHeight="true" outlineLevel="0" collapsed="false">
      <c r="A668" s="4" t="s">
        <v>3855</v>
      </c>
      <c r="B668" s="4" t="s">
        <v>844</v>
      </c>
      <c r="C668" s="4" t="n">
        <v>1120</v>
      </c>
      <c r="D668" s="4" t="n">
        <v>146</v>
      </c>
      <c r="E668" s="13" t="n">
        <v>45086</v>
      </c>
      <c r="F668" s="4" t="s">
        <v>3188</v>
      </c>
      <c r="G668" s="4" t="str">
        <f aca="false">INDEX(PurchaseOrders!$B$2:$B$3001,MATCH(B668,PurchaseOrders!$A$2:$A$3001,0))</f>
        <v>V027</v>
      </c>
    </row>
    <row r="669" customFormat="false" ht="15" hidden="false" customHeight="true" outlineLevel="0" collapsed="false">
      <c r="A669" s="4" t="s">
        <v>3856</v>
      </c>
      <c r="B669" s="4" t="s">
        <v>845</v>
      </c>
      <c r="C669" s="4" t="n">
        <v>12</v>
      </c>
      <c r="D669" s="4" t="n">
        <v>0</v>
      </c>
      <c r="E669" s="13" t="n">
        <v>45007</v>
      </c>
      <c r="F669" s="4"/>
      <c r="G669" s="4" t="str">
        <f aca="false">INDEX(PurchaseOrders!$B$2:$B$3001,MATCH(B669,PurchaseOrders!$A$2:$A$3001,0))</f>
        <v>V019</v>
      </c>
    </row>
    <row r="670" customFormat="false" ht="15" hidden="false" customHeight="true" outlineLevel="0" collapsed="false">
      <c r="A670" s="4" t="s">
        <v>3857</v>
      </c>
      <c r="B670" s="4" t="s">
        <v>846</v>
      </c>
      <c r="C670" s="4" t="n">
        <v>965</v>
      </c>
      <c r="D670" s="4" t="n">
        <v>55</v>
      </c>
      <c r="E670" s="13" t="n">
        <v>45637</v>
      </c>
      <c r="F670" s="4" t="s">
        <v>3188</v>
      </c>
      <c r="G670" s="4" t="str">
        <f aca="false">INDEX(PurchaseOrders!$B$2:$B$3001,MATCH(B670,PurchaseOrders!$A$2:$A$3001,0))</f>
        <v>V051</v>
      </c>
    </row>
    <row r="671" customFormat="false" ht="15" hidden="false" customHeight="true" outlineLevel="0" collapsed="false">
      <c r="A671" s="4" t="s">
        <v>3858</v>
      </c>
      <c r="B671" s="4" t="s">
        <v>847</v>
      </c>
      <c r="C671" s="4" t="n">
        <v>972</v>
      </c>
      <c r="D671" s="4" t="n">
        <v>39</v>
      </c>
      <c r="E671" s="13" t="n">
        <v>45648</v>
      </c>
      <c r="F671" s="4" t="s">
        <v>3184</v>
      </c>
      <c r="G671" s="4" t="str">
        <f aca="false">INDEX(PurchaseOrders!$B$2:$B$3001,MATCH(B671,PurchaseOrders!$A$2:$A$3001,0))</f>
        <v>V048</v>
      </c>
    </row>
    <row r="672" customFormat="false" ht="15" hidden="false" customHeight="true" outlineLevel="0" collapsed="false">
      <c r="A672" s="4" t="s">
        <v>3859</v>
      </c>
      <c r="B672" s="4" t="s">
        <v>848</v>
      </c>
      <c r="C672" s="4" t="n">
        <v>352</v>
      </c>
      <c r="D672" s="4" t="n">
        <v>28</v>
      </c>
      <c r="E672" s="13" t="n">
        <v>45612</v>
      </c>
      <c r="F672" s="4" t="s">
        <v>3202</v>
      </c>
      <c r="G672" s="4" t="str">
        <f aca="false">INDEX(PurchaseOrders!$B$2:$B$3001,MATCH(B672,PurchaseOrders!$A$2:$A$3001,0))</f>
        <v>V055</v>
      </c>
    </row>
    <row r="673" customFormat="false" ht="15" hidden="false" customHeight="true" outlineLevel="0" collapsed="false">
      <c r="A673" s="4" t="s">
        <v>3860</v>
      </c>
      <c r="B673" s="4" t="s">
        <v>849</v>
      </c>
      <c r="C673" s="4" t="n">
        <v>1802</v>
      </c>
      <c r="D673" s="4" t="n">
        <v>0</v>
      </c>
      <c r="E673" s="13" t="n">
        <v>45395</v>
      </c>
      <c r="F673" s="4"/>
      <c r="G673" s="4" t="str">
        <f aca="false">INDEX(PurchaseOrders!$B$2:$B$3001,MATCH(B673,PurchaseOrders!$A$2:$A$3001,0))</f>
        <v>V020</v>
      </c>
    </row>
    <row r="674" customFormat="false" ht="15" hidden="false" customHeight="true" outlineLevel="0" collapsed="false">
      <c r="A674" s="4" t="s">
        <v>3861</v>
      </c>
      <c r="B674" s="4" t="s">
        <v>850</v>
      </c>
      <c r="C674" s="4" t="n">
        <v>169</v>
      </c>
      <c r="D674" s="4" t="n">
        <v>1</v>
      </c>
      <c r="E674" s="13" t="n">
        <v>45002</v>
      </c>
      <c r="F674" s="4" t="s">
        <v>3188</v>
      </c>
      <c r="G674" s="4" t="str">
        <f aca="false">INDEX(PurchaseOrders!$B$2:$B$3001,MATCH(B674,PurchaseOrders!$A$2:$A$3001,0))</f>
        <v>V046</v>
      </c>
    </row>
    <row r="675" customFormat="false" ht="15" hidden="false" customHeight="true" outlineLevel="0" collapsed="false">
      <c r="A675" s="4" t="s">
        <v>3862</v>
      </c>
      <c r="B675" s="4" t="s">
        <v>851</v>
      </c>
      <c r="C675" s="4" t="n">
        <v>1543</v>
      </c>
      <c r="D675" s="4" t="n">
        <v>27</v>
      </c>
      <c r="E675" s="13" t="n">
        <v>45616</v>
      </c>
      <c r="F675" s="4" t="s">
        <v>3190</v>
      </c>
      <c r="G675" s="4" t="str">
        <f aca="false">INDEX(PurchaseOrders!$B$2:$B$3001,MATCH(B675,PurchaseOrders!$A$2:$A$3001,0))</f>
        <v>V011</v>
      </c>
    </row>
    <row r="676" customFormat="false" ht="15" hidden="false" customHeight="true" outlineLevel="0" collapsed="false">
      <c r="A676" s="4" t="s">
        <v>3863</v>
      </c>
      <c r="B676" s="4" t="s">
        <v>852</v>
      </c>
      <c r="C676" s="4" t="n">
        <v>234</v>
      </c>
      <c r="D676" s="4" t="n">
        <v>51</v>
      </c>
      <c r="E676" s="13" t="n">
        <v>45399</v>
      </c>
      <c r="F676" s="4" t="s">
        <v>3188</v>
      </c>
      <c r="G676" s="4" t="str">
        <f aca="false">INDEX(PurchaseOrders!$B$2:$B$3001,MATCH(B676,PurchaseOrders!$A$2:$A$3001,0))</f>
        <v>V039</v>
      </c>
    </row>
    <row r="677" customFormat="false" ht="15" hidden="false" customHeight="true" outlineLevel="0" collapsed="false">
      <c r="A677" s="4" t="s">
        <v>3864</v>
      </c>
      <c r="B677" s="4" t="s">
        <v>853</v>
      </c>
      <c r="C677" s="4" t="n">
        <v>61</v>
      </c>
      <c r="D677" s="4" t="n">
        <v>0</v>
      </c>
      <c r="E677" s="13" t="n">
        <v>45196</v>
      </c>
      <c r="F677" s="4"/>
      <c r="G677" s="4" t="str">
        <f aca="false">INDEX(PurchaseOrders!$B$2:$B$3001,MATCH(B677,PurchaseOrders!$A$2:$A$3001,0))</f>
        <v>V029</v>
      </c>
    </row>
    <row r="678" customFormat="false" ht="15" hidden="false" customHeight="true" outlineLevel="0" collapsed="false">
      <c r="A678" s="4" t="s">
        <v>3865</v>
      </c>
      <c r="B678" s="4" t="s">
        <v>854</v>
      </c>
      <c r="C678" s="4" t="n">
        <v>1144</v>
      </c>
      <c r="D678" s="4" t="n">
        <v>168</v>
      </c>
      <c r="E678" s="13" t="n">
        <v>45471</v>
      </c>
      <c r="F678" s="4" t="s">
        <v>3192</v>
      </c>
      <c r="G678" s="4" t="str">
        <f aca="false">INDEX(PurchaseOrders!$B$2:$B$3001,MATCH(B678,PurchaseOrders!$A$2:$A$3001,0))</f>
        <v>V025</v>
      </c>
    </row>
    <row r="679" customFormat="false" ht="15" hidden="false" customHeight="true" outlineLevel="0" collapsed="false">
      <c r="A679" s="4" t="s">
        <v>3866</v>
      </c>
      <c r="B679" s="4" t="s">
        <v>855</v>
      </c>
      <c r="C679" s="4" t="n">
        <v>461</v>
      </c>
      <c r="D679" s="4" t="n">
        <v>56</v>
      </c>
      <c r="E679" s="13" t="n">
        <v>45243</v>
      </c>
      <c r="F679" s="4" t="s">
        <v>3192</v>
      </c>
      <c r="G679" s="4" t="str">
        <f aca="false">INDEX(PurchaseOrders!$B$2:$B$3001,MATCH(B679,PurchaseOrders!$A$2:$A$3001,0))</f>
        <v>V030</v>
      </c>
    </row>
    <row r="680" customFormat="false" ht="15" hidden="false" customHeight="true" outlineLevel="0" collapsed="false">
      <c r="A680" s="4" t="s">
        <v>3867</v>
      </c>
      <c r="B680" s="4" t="s">
        <v>856</v>
      </c>
      <c r="C680" s="4" t="n">
        <v>11</v>
      </c>
      <c r="D680" s="4" t="n">
        <v>1</v>
      </c>
      <c r="E680" s="13" t="n">
        <v>45251</v>
      </c>
      <c r="F680" s="4" t="s">
        <v>3190</v>
      </c>
      <c r="G680" s="4" t="str">
        <f aca="false">INDEX(PurchaseOrders!$B$2:$B$3001,MATCH(B680,PurchaseOrders!$A$2:$A$3001,0))</f>
        <v>V054</v>
      </c>
    </row>
    <row r="681" customFormat="false" ht="15" hidden="false" customHeight="true" outlineLevel="0" collapsed="false">
      <c r="A681" s="4" t="s">
        <v>3868</v>
      </c>
      <c r="B681" s="4" t="s">
        <v>857</v>
      </c>
      <c r="C681" s="4" t="n">
        <v>438</v>
      </c>
      <c r="D681" s="4" t="n">
        <v>41</v>
      </c>
      <c r="E681" s="13" t="n">
        <v>45161</v>
      </c>
      <c r="F681" s="4" t="s">
        <v>3192</v>
      </c>
      <c r="G681" s="4" t="str">
        <f aca="false">INDEX(PurchaseOrders!$B$2:$B$3001,MATCH(B681,PurchaseOrders!$A$2:$A$3001,0))</f>
        <v>V030</v>
      </c>
    </row>
    <row r="682" customFormat="false" ht="15" hidden="false" customHeight="true" outlineLevel="0" collapsed="false">
      <c r="A682" s="4" t="s">
        <v>3869</v>
      </c>
      <c r="B682" s="4" t="s">
        <v>858</v>
      </c>
      <c r="C682" s="4" t="n">
        <v>3597</v>
      </c>
      <c r="D682" s="4" t="n">
        <v>154</v>
      </c>
      <c r="E682" s="13" t="n">
        <v>45392</v>
      </c>
      <c r="F682" s="4" t="s">
        <v>3190</v>
      </c>
      <c r="G682" s="4" t="str">
        <f aca="false">INDEX(PurchaseOrders!$B$2:$B$3001,MATCH(B682,PurchaseOrders!$A$2:$A$3001,0))</f>
        <v>V003</v>
      </c>
    </row>
    <row r="683" customFormat="false" ht="15" hidden="false" customHeight="true" outlineLevel="0" collapsed="false">
      <c r="A683" s="4" t="s">
        <v>3870</v>
      </c>
      <c r="B683" s="4" t="s">
        <v>859</v>
      </c>
      <c r="C683" s="4" t="n">
        <v>1555</v>
      </c>
      <c r="D683" s="4" t="n">
        <v>9</v>
      </c>
      <c r="E683" s="13" t="n">
        <v>45293</v>
      </c>
      <c r="F683" s="4" t="s">
        <v>3188</v>
      </c>
      <c r="G683" s="4" t="str">
        <f aca="false">INDEX(PurchaseOrders!$B$2:$B$3001,MATCH(B683,PurchaseOrders!$A$2:$A$3001,0))</f>
        <v>V035</v>
      </c>
    </row>
    <row r="684" customFormat="false" ht="15" hidden="false" customHeight="true" outlineLevel="0" collapsed="false">
      <c r="A684" s="4" t="s">
        <v>3871</v>
      </c>
      <c r="B684" s="4" t="s">
        <v>860</v>
      </c>
      <c r="C684" s="4" t="n">
        <v>4190</v>
      </c>
      <c r="D684" s="4" t="n">
        <v>298</v>
      </c>
      <c r="E684" s="13" t="n">
        <v>45293</v>
      </c>
      <c r="F684" s="4" t="s">
        <v>3184</v>
      </c>
      <c r="G684" s="4" t="str">
        <f aca="false">INDEX(PurchaseOrders!$B$2:$B$3001,MATCH(B684,PurchaseOrders!$A$2:$A$3001,0))</f>
        <v>V056</v>
      </c>
    </row>
    <row r="685" customFormat="false" ht="15" hidden="false" customHeight="true" outlineLevel="0" collapsed="false">
      <c r="A685" s="4" t="s">
        <v>3872</v>
      </c>
      <c r="B685" s="4" t="s">
        <v>861</v>
      </c>
      <c r="C685" s="4" t="n">
        <v>3272</v>
      </c>
      <c r="D685" s="4" t="n">
        <v>481</v>
      </c>
      <c r="E685" s="13" t="n">
        <v>45236</v>
      </c>
      <c r="F685" s="4" t="s">
        <v>3192</v>
      </c>
      <c r="G685" s="4" t="str">
        <f aca="false">INDEX(PurchaseOrders!$B$2:$B$3001,MATCH(B685,PurchaseOrders!$A$2:$A$3001,0))</f>
        <v>V026</v>
      </c>
    </row>
    <row r="686" customFormat="false" ht="15" hidden="false" customHeight="true" outlineLevel="0" collapsed="false">
      <c r="A686" s="4" t="s">
        <v>3873</v>
      </c>
      <c r="B686" s="4" t="s">
        <v>862</v>
      </c>
      <c r="C686" s="4" t="n">
        <v>145</v>
      </c>
      <c r="D686" s="4" t="n">
        <v>2</v>
      </c>
      <c r="E686" s="13" t="n">
        <v>44976</v>
      </c>
      <c r="F686" s="4" t="s">
        <v>3190</v>
      </c>
      <c r="G686" s="4" t="str">
        <f aca="false">INDEX(PurchaseOrders!$B$2:$B$3001,MATCH(B686,PurchaseOrders!$A$2:$A$3001,0))</f>
        <v>V029</v>
      </c>
    </row>
    <row r="687" customFormat="false" ht="15" hidden="false" customHeight="true" outlineLevel="0" collapsed="false">
      <c r="A687" s="4" t="s">
        <v>3874</v>
      </c>
      <c r="B687" s="4" t="s">
        <v>863</v>
      </c>
      <c r="C687" s="4" t="n">
        <v>1875</v>
      </c>
      <c r="D687" s="4" t="n">
        <v>25</v>
      </c>
      <c r="E687" s="13" t="n">
        <v>45381</v>
      </c>
      <c r="F687" s="4" t="s">
        <v>3188</v>
      </c>
      <c r="G687" s="4" t="str">
        <f aca="false">INDEX(PurchaseOrders!$B$2:$B$3001,MATCH(B687,PurchaseOrders!$A$2:$A$3001,0))</f>
        <v>V020</v>
      </c>
    </row>
    <row r="688" customFormat="false" ht="15" hidden="false" customHeight="true" outlineLevel="0" collapsed="false">
      <c r="A688" s="4" t="s">
        <v>3875</v>
      </c>
      <c r="B688" s="4" t="s">
        <v>864</v>
      </c>
      <c r="C688" s="4" t="n">
        <v>1204</v>
      </c>
      <c r="D688" s="4" t="n">
        <v>70</v>
      </c>
      <c r="E688" s="13" t="n">
        <v>45368</v>
      </c>
      <c r="F688" s="4" t="s">
        <v>3184</v>
      </c>
      <c r="G688" s="4" t="str">
        <f aca="false">INDEX(PurchaseOrders!$B$2:$B$3001,MATCH(B688,PurchaseOrders!$A$2:$A$3001,0))</f>
        <v>V045</v>
      </c>
    </row>
    <row r="689" customFormat="false" ht="15" hidden="false" customHeight="true" outlineLevel="0" collapsed="false">
      <c r="A689" s="4" t="s">
        <v>3876</v>
      </c>
      <c r="B689" s="4" t="s">
        <v>865</v>
      </c>
      <c r="C689" s="4" t="n">
        <v>128</v>
      </c>
      <c r="D689" s="4" t="n">
        <v>7</v>
      </c>
      <c r="E689" s="13" t="n">
        <v>45037</v>
      </c>
      <c r="F689" s="4" t="s">
        <v>3202</v>
      </c>
      <c r="G689" s="4" t="str">
        <f aca="false">INDEX(PurchaseOrders!$B$2:$B$3001,MATCH(B689,PurchaseOrders!$A$2:$A$3001,0))</f>
        <v>V013</v>
      </c>
    </row>
    <row r="690" customFormat="false" ht="15" hidden="false" customHeight="true" outlineLevel="0" collapsed="false">
      <c r="A690" s="4" t="s">
        <v>3877</v>
      </c>
      <c r="B690" s="4" t="s">
        <v>866</v>
      </c>
      <c r="C690" s="4" t="n">
        <v>4</v>
      </c>
      <c r="D690" s="4" t="n">
        <v>0</v>
      </c>
      <c r="E690" s="13" t="n">
        <v>45661</v>
      </c>
      <c r="F690" s="4"/>
      <c r="G690" s="4" t="str">
        <f aca="false">INDEX(PurchaseOrders!$B$2:$B$3001,MATCH(B690,PurchaseOrders!$A$2:$A$3001,0))</f>
        <v>V042</v>
      </c>
    </row>
    <row r="691" customFormat="false" ht="15" hidden="false" customHeight="true" outlineLevel="0" collapsed="false">
      <c r="A691" s="4" t="s">
        <v>3878</v>
      </c>
      <c r="B691" s="4" t="s">
        <v>867</v>
      </c>
      <c r="C691" s="4" t="n">
        <v>872</v>
      </c>
      <c r="D691" s="4" t="n">
        <v>160</v>
      </c>
      <c r="E691" s="13" t="n">
        <v>45253</v>
      </c>
      <c r="F691" s="4" t="s">
        <v>3192</v>
      </c>
      <c r="G691" s="4" t="str">
        <f aca="false">INDEX(PurchaseOrders!$B$2:$B$3001,MATCH(B691,PurchaseOrders!$A$2:$A$3001,0))</f>
        <v>V026</v>
      </c>
    </row>
    <row r="692" customFormat="false" ht="15" hidden="false" customHeight="true" outlineLevel="0" collapsed="false">
      <c r="A692" s="4" t="s">
        <v>3879</v>
      </c>
      <c r="B692" s="4" t="s">
        <v>868</v>
      </c>
      <c r="C692" s="4" t="n">
        <v>1326</v>
      </c>
      <c r="D692" s="4" t="n">
        <v>177</v>
      </c>
      <c r="E692" s="13" t="n">
        <v>44973</v>
      </c>
      <c r="F692" s="4" t="s">
        <v>3188</v>
      </c>
      <c r="G692" s="4" t="str">
        <f aca="false">INDEX(PurchaseOrders!$B$2:$B$3001,MATCH(B692,PurchaseOrders!$A$2:$A$3001,0))</f>
        <v>V044</v>
      </c>
    </row>
    <row r="693" customFormat="false" ht="15" hidden="false" customHeight="true" outlineLevel="0" collapsed="false">
      <c r="A693" s="4" t="s">
        <v>3880</v>
      </c>
      <c r="B693" s="4" t="s">
        <v>869</v>
      </c>
      <c r="C693" s="4" t="n">
        <v>348</v>
      </c>
      <c r="D693" s="4" t="n">
        <v>16</v>
      </c>
      <c r="E693" s="13" t="n">
        <v>45342</v>
      </c>
      <c r="F693" s="4" t="s">
        <v>3190</v>
      </c>
      <c r="G693" s="4" t="str">
        <f aca="false">INDEX(PurchaseOrders!$B$2:$B$3001,MATCH(B693,PurchaseOrders!$A$2:$A$3001,0))</f>
        <v>V018</v>
      </c>
    </row>
    <row r="694" customFormat="false" ht="15" hidden="false" customHeight="true" outlineLevel="0" collapsed="false">
      <c r="A694" s="4" t="s">
        <v>3881</v>
      </c>
      <c r="B694" s="4" t="s">
        <v>870</v>
      </c>
      <c r="C694" s="4" t="n">
        <v>543</v>
      </c>
      <c r="D694" s="4" t="n">
        <v>36</v>
      </c>
      <c r="E694" s="13" t="n">
        <v>45191</v>
      </c>
      <c r="F694" s="4" t="s">
        <v>3186</v>
      </c>
      <c r="G694" s="4" t="str">
        <f aca="false">INDEX(PurchaseOrders!$B$2:$B$3001,MATCH(B694,PurchaseOrders!$A$2:$A$3001,0))</f>
        <v>V058</v>
      </c>
    </row>
    <row r="695" customFormat="false" ht="15" hidden="false" customHeight="true" outlineLevel="0" collapsed="false">
      <c r="A695" s="4" t="s">
        <v>3882</v>
      </c>
      <c r="B695" s="4" t="s">
        <v>871</v>
      </c>
      <c r="C695" s="4" t="n">
        <v>627</v>
      </c>
      <c r="D695" s="4" t="n">
        <v>51</v>
      </c>
      <c r="E695" s="13" t="n">
        <v>45215</v>
      </c>
      <c r="F695" s="4" t="s">
        <v>3186</v>
      </c>
      <c r="G695" s="4" t="str">
        <f aca="false">INDEX(PurchaseOrders!$B$2:$B$3001,MATCH(B695,PurchaseOrders!$A$2:$A$3001,0))</f>
        <v>V028</v>
      </c>
    </row>
    <row r="696" customFormat="false" ht="15" hidden="false" customHeight="true" outlineLevel="0" collapsed="false">
      <c r="A696" s="4" t="s">
        <v>3883</v>
      </c>
      <c r="B696" s="4" t="s">
        <v>872</v>
      </c>
      <c r="C696" s="4" t="n">
        <v>15</v>
      </c>
      <c r="D696" s="4" t="n">
        <v>1</v>
      </c>
      <c r="E696" s="13" t="n">
        <v>45152</v>
      </c>
      <c r="F696" s="4" t="s">
        <v>3192</v>
      </c>
      <c r="G696" s="4" t="str">
        <f aca="false">INDEX(PurchaseOrders!$B$2:$B$3001,MATCH(B696,PurchaseOrders!$A$2:$A$3001,0))</f>
        <v>V023</v>
      </c>
    </row>
    <row r="697" customFormat="false" ht="15" hidden="false" customHeight="true" outlineLevel="0" collapsed="false">
      <c r="A697" s="4" t="s">
        <v>3884</v>
      </c>
      <c r="B697" s="4" t="s">
        <v>873</v>
      </c>
      <c r="C697" s="4" t="n">
        <v>1592</v>
      </c>
      <c r="D697" s="4" t="n">
        <v>70</v>
      </c>
      <c r="E697" s="13" t="n">
        <v>44957</v>
      </c>
      <c r="F697" s="4" t="s">
        <v>3202</v>
      </c>
      <c r="G697" s="4" t="str">
        <f aca="false">INDEX(PurchaseOrders!$B$2:$B$3001,MATCH(B697,PurchaseOrders!$A$2:$A$3001,0))</f>
        <v>V007</v>
      </c>
    </row>
    <row r="698" customFormat="false" ht="15" hidden="false" customHeight="true" outlineLevel="0" collapsed="false">
      <c r="A698" s="4" t="s">
        <v>3885</v>
      </c>
      <c r="B698" s="4" t="s">
        <v>874</v>
      </c>
      <c r="C698" s="4" t="n">
        <v>10</v>
      </c>
      <c r="D698" s="4" t="n">
        <v>1</v>
      </c>
      <c r="E698" s="13" t="n">
        <v>45253</v>
      </c>
      <c r="F698" s="4" t="s">
        <v>3190</v>
      </c>
      <c r="G698" s="4" t="str">
        <f aca="false">INDEX(PurchaseOrders!$B$2:$B$3001,MATCH(B698,PurchaseOrders!$A$2:$A$3001,0))</f>
        <v>V023</v>
      </c>
    </row>
    <row r="699" customFormat="false" ht="15" hidden="false" customHeight="true" outlineLevel="0" collapsed="false">
      <c r="A699" s="4" t="s">
        <v>3886</v>
      </c>
      <c r="B699" s="4" t="s">
        <v>875</v>
      </c>
      <c r="C699" s="4" t="n">
        <v>14</v>
      </c>
      <c r="D699" s="4" t="n">
        <v>1</v>
      </c>
      <c r="E699" s="13" t="n">
        <v>44983</v>
      </c>
      <c r="F699" s="4" t="s">
        <v>3190</v>
      </c>
      <c r="G699" s="4" t="str">
        <f aca="false">INDEX(PurchaseOrders!$B$2:$B$3001,MATCH(B699,PurchaseOrders!$A$2:$A$3001,0))</f>
        <v>V019</v>
      </c>
    </row>
    <row r="700" customFormat="false" ht="15" hidden="false" customHeight="true" outlineLevel="0" collapsed="false">
      <c r="A700" s="4" t="s">
        <v>3887</v>
      </c>
      <c r="B700" s="4" t="s">
        <v>876</v>
      </c>
      <c r="C700" s="4" t="n">
        <v>688</v>
      </c>
      <c r="D700" s="4" t="n">
        <v>29</v>
      </c>
      <c r="E700" s="13" t="n">
        <v>44963</v>
      </c>
      <c r="F700" s="4" t="s">
        <v>3186</v>
      </c>
      <c r="G700" s="4" t="str">
        <f aca="false">INDEX(PurchaseOrders!$B$2:$B$3001,MATCH(B700,PurchaseOrders!$A$2:$A$3001,0))</f>
        <v>V022</v>
      </c>
    </row>
    <row r="701" customFormat="false" ht="15" hidden="false" customHeight="true" outlineLevel="0" collapsed="false">
      <c r="A701" s="4" t="s">
        <v>3888</v>
      </c>
      <c r="B701" s="4" t="s">
        <v>877</v>
      </c>
      <c r="C701" s="4" t="n">
        <v>1218</v>
      </c>
      <c r="D701" s="4" t="n">
        <v>85</v>
      </c>
      <c r="E701" s="13" t="n">
        <v>45503</v>
      </c>
      <c r="F701" s="4" t="s">
        <v>3202</v>
      </c>
      <c r="G701" s="4" t="str">
        <f aca="false">INDEX(PurchaseOrders!$B$2:$B$3001,MATCH(B701,PurchaseOrders!$A$2:$A$3001,0))</f>
        <v>V007</v>
      </c>
    </row>
    <row r="702" customFormat="false" ht="15" hidden="false" customHeight="true" outlineLevel="0" collapsed="false">
      <c r="A702" s="4" t="s">
        <v>3889</v>
      </c>
      <c r="B702" s="4" t="s">
        <v>878</v>
      </c>
      <c r="C702" s="4" t="n">
        <v>2125</v>
      </c>
      <c r="D702" s="4" t="n">
        <v>224</v>
      </c>
      <c r="E702" s="13" t="n">
        <v>45628</v>
      </c>
      <c r="F702" s="4" t="s">
        <v>3186</v>
      </c>
      <c r="G702" s="4" t="str">
        <f aca="false">INDEX(PurchaseOrders!$B$2:$B$3001,MATCH(B702,PurchaseOrders!$A$2:$A$3001,0))</f>
        <v>V028</v>
      </c>
    </row>
    <row r="703" customFormat="false" ht="15" hidden="false" customHeight="true" outlineLevel="0" collapsed="false">
      <c r="A703" s="4" t="s">
        <v>3890</v>
      </c>
      <c r="B703" s="4" t="s">
        <v>879</v>
      </c>
      <c r="C703" s="4" t="n">
        <v>3074</v>
      </c>
      <c r="D703" s="4" t="n">
        <v>116</v>
      </c>
      <c r="E703" s="13" t="n">
        <v>45167</v>
      </c>
      <c r="F703" s="4" t="s">
        <v>3190</v>
      </c>
      <c r="G703" s="4" t="str">
        <f aca="false">INDEX(PurchaseOrders!$B$2:$B$3001,MATCH(B703,PurchaseOrders!$A$2:$A$3001,0))</f>
        <v>V001</v>
      </c>
    </row>
    <row r="704" customFormat="false" ht="15" hidden="false" customHeight="true" outlineLevel="0" collapsed="false">
      <c r="A704" s="4" t="s">
        <v>3891</v>
      </c>
      <c r="B704" s="4" t="s">
        <v>880</v>
      </c>
      <c r="C704" s="4" t="n">
        <v>40</v>
      </c>
      <c r="D704" s="4" t="n">
        <v>0</v>
      </c>
      <c r="E704" s="13" t="n">
        <v>45133</v>
      </c>
      <c r="F704" s="4"/>
      <c r="G704" s="4" t="str">
        <f aca="false">INDEX(PurchaseOrders!$B$2:$B$3001,MATCH(B704,PurchaseOrders!$A$2:$A$3001,0))</f>
        <v>V052</v>
      </c>
    </row>
    <row r="705" customFormat="false" ht="15" hidden="false" customHeight="true" outlineLevel="0" collapsed="false">
      <c r="A705" s="4" t="s">
        <v>3892</v>
      </c>
      <c r="B705" s="4" t="s">
        <v>881</v>
      </c>
      <c r="C705" s="4" t="n">
        <v>268</v>
      </c>
      <c r="D705" s="4" t="n">
        <v>0</v>
      </c>
      <c r="E705" s="13" t="n">
        <v>45402</v>
      </c>
      <c r="F705" s="4"/>
      <c r="G705" s="4" t="str">
        <f aca="false">INDEX(PurchaseOrders!$B$2:$B$3001,MATCH(B705,PurchaseOrders!$A$2:$A$3001,0))</f>
        <v>V040</v>
      </c>
    </row>
    <row r="706" customFormat="false" ht="15" hidden="false" customHeight="true" outlineLevel="0" collapsed="false">
      <c r="A706" s="4" t="s">
        <v>3893</v>
      </c>
      <c r="B706" s="4" t="s">
        <v>882</v>
      </c>
      <c r="C706" s="4" t="n">
        <v>62</v>
      </c>
      <c r="D706" s="4" t="n">
        <v>3</v>
      </c>
      <c r="E706" s="13" t="n">
        <v>45608</v>
      </c>
      <c r="F706" s="4" t="s">
        <v>3192</v>
      </c>
      <c r="G706" s="4" t="str">
        <f aca="false">INDEX(PurchaseOrders!$B$2:$B$3001,MATCH(B706,PurchaseOrders!$A$2:$A$3001,0))</f>
        <v>V033</v>
      </c>
    </row>
    <row r="707" customFormat="false" ht="15" hidden="false" customHeight="true" outlineLevel="0" collapsed="false">
      <c r="A707" s="4" t="s">
        <v>3894</v>
      </c>
      <c r="B707" s="4" t="s">
        <v>883</v>
      </c>
      <c r="C707" s="4" t="n">
        <v>102</v>
      </c>
      <c r="D707" s="4" t="n">
        <v>4</v>
      </c>
      <c r="E707" s="13" t="n">
        <v>45380</v>
      </c>
      <c r="F707" s="4" t="s">
        <v>3188</v>
      </c>
      <c r="G707" s="4" t="str">
        <f aca="false">INDEX(PurchaseOrders!$B$2:$B$3001,MATCH(B707,PurchaseOrders!$A$2:$A$3001,0))</f>
        <v>V009</v>
      </c>
    </row>
    <row r="708" customFormat="false" ht="15" hidden="false" customHeight="true" outlineLevel="0" collapsed="false">
      <c r="A708" s="4" t="s">
        <v>3895</v>
      </c>
      <c r="B708" s="4" t="s">
        <v>884</v>
      </c>
      <c r="C708" s="4" t="n">
        <v>10</v>
      </c>
      <c r="D708" s="4" t="n">
        <v>1</v>
      </c>
      <c r="E708" s="13" t="n">
        <v>45420</v>
      </c>
      <c r="F708" s="4" t="s">
        <v>3188</v>
      </c>
      <c r="G708" s="4" t="str">
        <f aca="false">INDEX(PurchaseOrders!$B$2:$B$3001,MATCH(B708,PurchaseOrders!$A$2:$A$3001,0))</f>
        <v>V054</v>
      </c>
    </row>
    <row r="709" customFormat="false" ht="15" hidden="false" customHeight="true" outlineLevel="0" collapsed="false">
      <c r="A709" s="4" t="s">
        <v>3896</v>
      </c>
      <c r="B709" s="4" t="s">
        <v>885</v>
      </c>
      <c r="C709" s="4" t="n">
        <v>3572</v>
      </c>
      <c r="D709" s="4" t="n">
        <v>268</v>
      </c>
      <c r="E709" s="13" t="n">
        <v>45655</v>
      </c>
      <c r="F709" s="4" t="s">
        <v>3184</v>
      </c>
      <c r="G709" s="4" t="str">
        <f aca="false">INDEX(PurchaseOrders!$B$2:$B$3001,MATCH(B709,PurchaseOrders!$A$2:$A$3001,0))</f>
        <v>V001</v>
      </c>
    </row>
    <row r="710" customFormat="false" ht="15" hidden="false" customHeight="true" outlineLevel="0" collapsed="false">
      <c r="A710" s="4" t="s">
        <v>3897</v>
      </c>
      <c r="B710" s="4" t="s">
        <v>886</v>
      </c>
      <c r="C710" s="4" t="n">
        <v>4017</v>
      </c>
      <c r="D710" s="4" t="n">
        <v>260</v>
      </c>
      <c r="E710" s="13" t="n">
        <v>45242</v>
      </c>
      <c r="F710" s="4" t="s">
        <v>3186</v>
      </c>
      <c r="G710" s="4" t="str">
        <f aca="false">INDEX(PurchaseOrders!$B$2:$B$3001,MATCH(B710,PurchaseOrders!$A$2:$A$3001,0))</f>
        <v>V017</v>
      </c>
    </row>
    <row r="711" customFormat="false" ht="15" hidden="false" customHeight="true" outlineLevel="0" collapsed="false">
      <c r="A711" s="4" t="s">
        <v>3898</v>
      </c>
      <c r="B711" s="4" t="s">
        <v>887</v>
      </c>
      <c r="C711" s="4" t="n">
        <v>66</v>
      </c>
      <c r="D711" s="4" t="n">
        <v>7</v>
      </c>
      <c r="E711" s="13" t="n">
        <v>45665</v>
      </c>
      <c r="F711" s="4" t="s">
        <v>3188</v>
      </c>
      <c r="G711" s="4" t="str">
        <f aca="false">INDEX(PurchaseOrders!$B$2:$B$3001,MATCH(B711,PurchaseOrders!$A$2:$A$3001,0))</f>
        <v>V009</v>
      </c>
    </row>
    <row r="712" customFormat="false" ht="15" hidden="false" customHeight="true" outlineLevel="0" collapsed="false">
      <c r="A712" s="4" t="s">
        <v>3899</v>
      </c>
      <c r="B712" s="4" t="s">
        <v>888</v>
      </c>
      <c r="C712" s="4" t="n">
        <v>1023</v>
      </c>
      <c r="D712" s="4" t="n">
        <v>146</v>
      </c>
      <c r="E712" s="13" t="n">
        <v>45358</v>
      </c>
      <c r="F712" s="4" t="s">
        <v>3192</v>
      </c>
      <c r="G712" s="4" t="str">
        <f aca="false">INDEX(PurchaseOrders!$B$2:$B$3001,MATCH(B712,PurchaseOrders!$A$2:$A$3001,0))</f>
        <v>V038</v>
      </c>
    </row>
    <row r="713" customFormat="false" ht="15" hidden="false" customHeight="true" outlineLevel="0" collapsed="false">
      <c r="A713" s="4" t="s">
        <v>3900</v>
      </c>
      <c r="B713" s="4" t="s">
        <v>889</v>
      </c>
      <c r="C713" s="4" t="n">
        <v>346</v>
      </c>
      <c r="D713" s="4" t="n">
        <v>5</v>
      </c>
      <c r="E713" s="13" t="n">
        <v>45384</v>
      </c>
      <c r="F713" s="4" t="s">
        <v>3184</v>
      </c>
      <c r="G713" s="4" t="str">
        <f aca="false">INDEX(PurchaseOrders!$B$2:$B$3001,MATCH(B713,PurchaseOrders!$A$2:$A$3001,0))</f>
        <v>V020</v>
      </c>
    </row>
    <row r="714" customFormat="false" ht="15" hidden="false" customHeight="true" outlineLevel="0" collapsed="false">
      <c r="A714" s="4" t="s">
        <v>3901</v>
      </c>
      <c r="B714" s="4" t="s">
        <v>890</v>
      </c>
      <c r="C714" s="4" t="n">
        <v>1398</v>
      </c>
      <c r="D714" s="4" t="n">
        <v>122</v>
      </c>
      <c r="E714" s="13" t="n">
        <v>45652</v>
      </c>
      <c r="F714" s="4" t="s">
        <v>3188</v>
      </c>
      <c r="G714" s="4" t="str">
        <f aca="false">INDEX(PurchaseOrders!$B$2:$B$3001,MATCH(B714,PurchaseOrders!$A$2:$A$3001,0))</f>
        <v>V032</v>
      </c>
    </row>
    <row r="715" customFormat="false" ht="15" hidden="false" customHeight="true" outlineLevel="0" collapsed="false">
      <c r="A715" s="4" t="s">
        <v>3902</v>
      </c>
      <c r="B715" s="4" t="s">
        <v>891</v>
      </c>
      <c r="C715" s="4" t="n">
        <v>456</v>
      </c>
      <c r="D715" s="4" t="n">
        <v>15</v>
      </c>
      <c r="E715" s="13" t="n">
        <v>45431</v>
      </c>
      <c r="F715" s="4" t="s">
        <v>3202</v>
      </c>
      <c r="G715" s="4" t="str">
        <f aca="false">INDEX(PurchaseOrders!$B$2:$B$3001,MATCH(B715,PurchaseOrders!$A$2:$A$3001,0))</f>
        <v>V055</v>
      </c>
    </row>
    <row r="716" customFormat="false" ht="15" hidden="false" customHeight="true" outlineLevel="0" collapsed="false">
      <c r="A716" s="4" t="s">
        <v>3903</v>
      </c>
      <c r="B716" s="4" t="s">
        <v>892</v>
      </c>
      <c r="C716" s="4" t="n">
        <v>768</v>
      </c>
      <c r="D716" s="4" t="n">
        <v>0</v>
      </c>
      <c r="E716" s="13" t="n">
        <v>45536</v>
      </c>
      <c r="F716" s="4"/>
      <c r="G716" s="4" t="str">
        <f aca="false">INDEX(PurchaseOrders!$B$2:$B$3001,MATCH(B716,PurchaseOrders!$A$2:$A$3001,0))</f>
        <v>V011</v>
      </c>
    </row>
    <row r="717" customFormat="false" ht="15" hidden="false" customHeight="true" outlineLevel="0" collapsed="false">
      <c r="A717" s="4" t="s">
        <v>3904</v>
      </c>
      <c r="B717" s="4" t="s">
        <v>893</v>
      </c>
      <c r="C717" s="4" t="n">
        <v>278</v>
      </c>
      <c r="D717" s="4" t="n">
        <v>0</v>
      </c>
      <c r="E717" s="13" t="n">
        <v>45435</v>
      </c>
      <c r="F717" s="4"/>
      <c r="G717" s="4" t="str">
        <f aca="false">INDEX(PurchaseOrders!$B$2:$B$3001,MATCH(B717,PurchaseOrders!$A$2:$A$3001,0))</f>
        <v>V060</v>
      </c>
    </row>
    <row r="718" customFormat="false" ht="15" hidden="false" customHeight="true" outlineLevel="0" collapsed="false">
      <c r="A718" s="4" t="s">
        <v>3905</v>
      </c>
      <c r="B718" s="4" t="s">
        <v>894</v>
      </c>
      <c r="C718" s="4" t="n">
        <v>9</v>
      </c>
      <c r="D718" s="4" t="n">
        <v>0</v>
      </c>
      <c r="E718" s="13" t="n">
        <v>44964</v>
      </c>
      <c r="F718" s="4"/>
      <c r="G718" s="4" t="str">
        <f aca="false">INDEX(PurchaseOrders!$B$2:$B$3001,MATCH(B718,PurchaseOrders!$A$2:$A$3001,0))</f>
        <v>V023</v>
      </c>
    </row>
    <row r="719" customFormat="false" ht="15" hidden="false" customHeight="true" outlineLevel="0" collapsed="false">
      <c r="A719" s="4" t="s">
        <v>3906</v>
      </c>
      <c r="B719" s="4" t="s">
        <v>895</v>
      </c>
      <c r="C719" s="4" t="n">
        <v>281</v>
      </c>
      <c r="D719" s="4" t="n">
        <v>24</v>
      </c>
      <c r="E719" s="13" t="n">
        <v>45029</v>
      </c>
      <c r="F719" s="4" t="s">
        <v>3190</v>
      </c>
      <c r="G719" s="4" t="str">
        <f aca="false">INDEX(PurchaseOrders!$B$2:$B$3001,MATCH(B719,PurchaseOrders!$A$2:$A$3001,0))</f>
        <v>V013</v>
      </c>
    </row>
    <row r="720" customFormat="false" ht="15" hidden="false" customHeight="true" outlineLevel="0" collapsed="false">
      <c r="A720" s="4" t="s">
        <v>3907</v>
      </c>
      <c r="B720" s="4" t="s">
        <v>896</v>
      </c>
      <c r="C720" s="4" t="n">
        <v>490</v>
      </c>
      <c r="D720" s="4" t="n">
        <v>44</v>
      </c>
      <c r="E720" s="13" t="n">
        <v>45359</v>
      </c>
      <c r="F720" s="4" t="s">
        <v>3190</v>
      </c>
      <c r="G720" s="4" t="str">
        <f aca="false">INDEX(PurchaseOrders!$B$2:$B$3001,MATCH(B720,PurchaseOrders!$A$2:$A$3001,0))</f>
        <v>V028</v>
      </c>
    </row>
    <row r="721" customFormat="false" ht="15" hidden="false" customHeight="true" outlineLevel="0" collapsed="false">
      <c r="A721" s="4" t="s">
        <v>3908</v>
      </c>
      <c r="B721" s="4" t="s">
        <v>897</v>
      </c>
      <c r="C721" s="4" t="n">
        <v>3752</v>
      </c>
      <c r="D721" s="4" t="n">
        <v>463</v>
      </c>
      <c r="E721" s="13" t="n">
        <v>45546</v>
      </c>
      <c r="F721" s="4" t="s">
        <v>3184</v>
      </c>
      <c r="G721" s="4" t="str">
        <f aca="false">INDEX(PurchaseOrders!$B$2:$B$3001,MATCH(B721,PurchaseOrders!$A$2:$A$3001,0))</f>
        <v>V014</v>
      </c>
    </row>
    <row r="722" customFormat="false" ht="15" hidden="false" customHeight="true" outlineLevel="0" collapsed="false">
      <c r="A722" s="4" t="s">
        <v>3909</v>
      </c>
      <c r="B722" s="4" t="s">
        <v>898</v>
      </c>
      <c r="C722" s="4" t="n">
        <v>157</v>
      </c>
      <c r="D722" s="4" t="n">
        <v>16</v>
      </c>
      <c r="E722" s="13" t="n">
        <v>45034</v>
      </c>
      <c r="F722" s="4" t="s">
        <v>3190</v>
      </c>
      <c r="G722" s="4" t="str">
        <f aca="false">INDEX(PurchaseOrders!$B$2:$B$3001,MATCH(B722,PurchaseOrders!$A$2:$A$3001,0))</f>
        <v>V055</v>
      </c>
    </row>
    <row r="723" customFormat="false" ht="15" hidden="false" customHeight="true" outlineLevel="0" collapsed="false">
      <c r="A723" s="4" t="s">
        <v>3910</v>
      </c>
      <c r="B723" s="4" t="s">
        <v>899</v>
      </c>
      <c r="C723" s="4" t="n">
        <v>158</v>
      </c>
      <c r="D723" s="4" t="n">
        <v>5</v>
      </c>
      <c r="E723" s="13" t="n">
        <v>45353</v>
      </c>
      <c r="F723" s="4" t="s">
        <v>3186</v>
      </c>
      <c r="G723" s="4" t="str">
        <f aca="false">INDEX(PurchaseOrders!$B$2:$B$3001,MATCH(B723,PurchaseOrders!$A$2:$A$3001,0))</f>
        <v>V024</v>
      </c>
    </row>
    <row r="724" customFormat="false" ht="15" hidden="false" customHeight="true" outlineLevel="0" collapsed="false">
      <c r="A724" s="4" t="s">
        <v>3911</v>
      </c>
      <c r="B724" s="4" t="s">
        <v>900</v>
      </c>
      <c r="C724" s="4" t="n">
        <v>11</v>
      </c>
      <c r="D724" s="4" t="n">
        <v>1</v>
      </c>
      <c r="E724" s="13" t="n">
        <v>45363</v>
      </c>
      <c r="F724" s="4" t="s">
        <v>3188</v>
      </c>
      <c r="G724" s="4" t="str">
        <f aca="false">INDEX(PurchaseOrders!$B$2:$B$3001,MATCH(B724,PurchaseOrders!$A$2:$A$3001,0))</f>
        <v>V042</v>
      </c>
    </row>
    <row r="725" customFormat="false" ht="15" hidden="false" customHeight="true" outlineLevel="0" collapsed="false">
      <c r="A725" s="4" t="s">
        <v>3912</v>
      </c>
      <c r="B725" s="4" t="s">
        <v>901</v>
      </c>
      <c r="C725" s="4" t="n">
        <v>2884</v>
      </c>
      <c r="D725" s="4" t="n">
        <v>463</v>
      </c>
      <c r="E725" s="13" t="n">
        <v>44976</v>
      </c>
      <c r="F725" s="4" t="s">
        <v>3202</v>
      </c>
      <c r="G725" s="4" t="str">
        <f aca="false">INDEX(PurchaseOrders!$B$2:$B$3001,MATCH(B725,PurchaseOrders!$A$2:$A$3001,0))</f>
        <v>V026</v>
      </c>
    </row>
    <row r="726" customFormat="false" ht="15" hidden="false" customHeight="true" outlineLevel="0" collapsed="false">
      <c r="A726" s="4" t="s">
        <v>3913</v>
      </c>
      <c r="B726" s="4" t="s">
        <v>902</v>
      </c>
      <c r="C726" s="4" t="n">
        <v>49</v>
      </c>
      <c r="D726" s="4" t="n">
        <v>2</v>
      </c>
      <c r="E726" s="13" t="n">
        <v>45412</v>
      </c>
      <c r="F726" s="4" t="s">
        <v>3186</v>
      </c>
      <c r="G726" s="4" t="str">
        <f aca="false">INDEX(PurchaseOrders!$B$2:$B$3001,MATCH(B726,PurchaseOrders!$A$2:$A$3001,0))</f>
        <v>V029</v>
      </c>
    </row>
    <row r="727" customFormat="false" ht="15" hidden="false" customHeight="true" outlineLevel="0" collapsed="false">
      <c r="A727" s="4" t="s">
        <v>3914</v>
      </c>
      <c r="B727" s="4" t="s">
        <v>903</v>
      </c>
      <c r="C727" s="4" t="n">
        <v>2406</v>
      </c>
      <c r="D727" s="4" t="n">
        <v>52</v>
      </c>
      <c r="E727" s="13" t="n">
        <v>45162</v>
      </c>
      <c r="F727" s="4" t="s">
        <v>3184</v>
      </c>
      <c r="G727" s="4" t="str">
        <f aca="false">INDEX(PurchaseOrders!$B$2:$B$3001,MATCH(B727,PurchaseOrders!$A$2:$A$3001,0))</f>
        <v>V058</v>
      </c>
    </row>
    <row r="728" customFormat="false" ht="15" hidden="false" customHeight="true" outlineLevel="0" collapsed="false">
      <c r="A728" s="4" t="s">
        <v>3915</v>
      </c>
      <c r="B728" s="4" t="s">
        <v>904</v>
      </c>
      <c r="C728" s="4" t="n">
        <v>423</v>
      </c>
      <c r="D728" s="4" t="n">
        <v>20</v>
      </c>
      <c r="E728" s="13" t="n">
        <v>45615</v>
      </c>
      <c r="F728" s="4" t="s">
        <v>3190</v>
      </c>
      <c r="G728" s="4" t="str">
        <f aca="false">INDEX(PurchaseOrders!$B$2:$B$3001,MATCH(B728,PurchaseOrders!$A$2:$A$3001,0))</f>
        <v>V031</v>
      </c>
    </row>
    <row r="729" customFormat="false" ht="15" hidden="false" customHeight="true" outlineLevel="0" collapsed="false">
      <c r="A729" s="4" t="s">
        <v>3916</v>
      </c>
      <c r="B729" s="4" t="s">
        <v>905</v>
      </c>
      <c r="C729" s="4" t="n">
        <v>135</v>
      </c>
      <c r="D729" s="4" t="n">
        <v>5</v>
      </c>
      <c r="E729" s="13" t="n">
        <v>45073</v>
      </c>
      <c r="F729" s="4" t="s">
        <v>3190</v>
      </c>
      <c r="G729" s="4" t="str">
        <f aca="false">INDEX(PurchaseOrders!$B$2:$B$3001,MATCH(B729,PurchaseOrders!$A$2:$A$3001,0))</f>
        <v>V052</v>
      </c>
    </row>
    <row r="730" customFormat="false" ht="15" hidden="false" customHeight="true" outlineLevel="0" collapsed="false">
      <c r="A730" s="4" t="s">
        <v>3917</v>
      </c>
      <c r="B730" s="4" t="s">
        <v>906</v>
      </c>
      <c r="C730" s="4" t="n">
        <v>95</v>
      </c>
      <c r="D730" s="4" t="n">
        <v>10</v>
      </c>
      <c r="E730" s="13" t="n">
        <v>45592</v>
      </c>
      <c r="F730" s="4" t="s">
        <v>3186</v>
      </c>
      <c r="G730" s="4" t="str">
        <f aca="false">INDEX(PurchaseOrders!$B$2:$B$3001,MATCH(B730,PurchaseOrders!$A$2:$A$3001,0))</f>
        <v>V049</v>
      </c>
    </row>
    <row r="731" customFormat="false" ht="15" hidden="false" customHeight="true" outlineLevel="0" collapsed="false">
      <c r="A731" s="4" t="s">
        <v>3918</v>
      </c>
      <c r="B731" s="4" t="s">
        <v>907</v>
      </c>
      <c r="C731" s="4" t="n">
        <v>305</v>
      </c>
      <c r="D731" s="4" t="n">
        <v>8</v>
      </c>
      <c r="E731" s="13" t="n">
        <v>45573</v>
      </c>
      <c r="F731" s="4" t="s">
        <v>3186</v>
      </c>
      <c r="G731" s="4" t="str">
        <f aca="false">INDEX(PurchaseOrders!$B$2:$B$3001,MATCH(B731,PurchaseOrders!$A$2:$A$3001,0))</f>
        <v>V008</v>
      </c>
    </row>
    <row r="732" customFormat="false" ht="15" hidden="false" customHeight="true" outlineLevel="0" collapsed="false">
      <c r="A732" s="4" t="s">
        <v>3919</v>
      </c>
      <c r="B732" s="4" t="s">
        <v>908</v>
      </c>
      <c r="C732" s="4" t="n">
        <v>4359</v>
      </c>
      <c r="D732" s="4" t="n">
        <v>372</v>
      </c>
      <c r="E732" s="13" t="n">
        <v>45455</v>
      </c>
      <c r="F732" s="4" t="s">
        <v>3186</v>
      </c>
      <c r="G732" s="4" t="str">
        <f aca="false">INDEX(PurchaseOrders!$B$2:$B$3001,MATCH(B732,PurchaseOrders!$A$2:$A$3001,0))</f>
        <v>V028</v>
      </c>
    </row>
    <row r="733" customFormat="false" ht="15" hidden="false" customHeight="true" outlineLevel="0" collapsed="false">
      <c r="A733" s="4" t="s">
        <v>3920</v>
      </c>
      <c r="B733" s="4" t="s">
        <v>909</v>
      </c>
      <c r="C733" s="4" t="n">
        <v>1907</v>
      </c>
      <c r="D733" s="4" t="n">
        <v>26</v>
      </c>
      <c r="E733" s="13" t="n">
        <v>45072</v>
      </c>
      <c r="F733" s="4" t="s">
        <v>3186</v>
      </c>
      <c r="G733" s="4" t="str">
        <f aca="false">INDEX(PurchaseOrders!$B$2:$B$3001,MATCH(B733,PurchaseOrders!$A$2:$A$3001,0))</f>
        <v>V035</v>
      </c>
    </row>
    <row r="734" customFormat="false" ht="15" hidden="false" customHeight="true" outlineLevel="0" collapsed="false">
      <c r="A734" s="4" t="s">
        <v>3921</v>
      </c>
      <c r="B734" s="4" t="s">
        <v>910</v>
      </c>
      <c r="C734" s="4" t="n">
        <v>753</v>
      </c>
      <c r="D734" s="4" t="n">
        <v>26</v>
      </c>
      <c r="E734" s="13" t="n">
        <v>45484</v>
      </c>
      <c r="F734" s="4" t="s">
        <v>3188</v>
      </c>
      <c r="G734" s="4" t="str">
        <f aca="false">INDEX(PurchaseOrders!$B$2:$B$3001,MATCH(B734,PurchaseOrders!$A$2:$A$3001,0))</f>
        <v>V021</v>
      </c>
    </row>
    <row r="735" customFormat="false" ht="15" hidden="false" customHeight="true" outlineLevel="0" collapsed="false">
      <c r="A735" s="4" t="s">
        <v>3922</v>
      </c>
      <c r="B735" s="4" t="s">
        <v>911</v>
      </c>
      <c r="C735" s="4" t="n">
        <v>161</v>
      </c>
      <c r="D735" s="4" t="n">
        <v>7</v>
      </c>
      <c r="E735" s="13" t="n">
        <v>45282</v>
      </c>
      <c r="F735" s="4" t="s">
        <v>3202</v>
      </c>
      <c r="G735" s="4" t="str">
        <f aca="false">INDEX(PurchaseOrders!$B$2:$B$3001,MATCH(B735,PurchaseOrders!$A$2:$A$3001,0))</f>
        <v>V018</v>
      </c>
    </row>
    <row r="736" customFormat="false" ht="15" hidden="false" customHeight="true" outlineLevel="0" collapsed="false">
      <c r="A736" s="4" t="s">
        <v>3923</v>
      </c>
      <c r="B736" s="4" t="s">
        <v>912</v>
      </c>
      <c r="C736" s="4" t="n">
        <v>402</v>
      </c>
      <c r="D736" s="4" t="n">
        <v>12</v>
      </c>
      <c r="E736" s="13" t="n">
        <v>45131</v>
      </c>
      <c r="F736" s="4" t="s">
        <v>3202</v>
      </c>
      <c r="G736" s="4" t="str">
        <f aca="false">INDEX(PurchaseOrders!$B$2:$B$3001,MATCH(B736,PurchaseOrders!$A$2:$A$3001,0))</f>
        <v>V018</v>
      </c>
    </row>
    <row r="737" customFormat="false" ht="15" hidden="false" customHeight="true" outlineLevel="0" collapsed="false">
      <c r="A737" s="4" t="s">
        <v>3924</v>
      </c>
      <c r="B737" s="4" t="s">
        <v>913</v>
      </c>
      <c r="C737" s="4" t="n">
        <v>3576</v>
      </c>
      <c r="D737" s="4" t="n">
        <v>63</v>
      </c>
      <c r="E737" s="13" t="n">
        <v>45596</v>
      </c>
      <c r="F737" s="4" t="s">
        <v>3188</v>
      </c>
      <c r="G737" s="4" t="str">
        <f aca="false">INDEX(PurchaseOrders!$B$2:$B$3001,MATCH(B737,PurchaseOrders!$A$2:$A$3001,0))</f>
        <v>V002</v>
      </c>
    </row>
    <row r="738" customFormat="false" ht="15" hidden="false" customHeight="true" outlineLevel="0" collapsed="false">
      <c r="A738" s="4" t="s">
        <v>3925</v>
      </c>
      <c r="B738" s="4" t="s">
        <v>914</v>
      </c>
      <c r="C738" s="4" t="n">
        <v>65</v>
      </c>
      <c r="D738" s="4" t="n">
        <v>1</v>
      </c>
      <c r="E738" s="13" t="n">
        <v>44974</v>
      </c>
      <c r="F738" s="4" t="s">
        <v>3192</v>
      </c>
      <c r="G738" s="4" t="str">
        <f aca="false">INDEX(PurchaseOrders!$B$2:$B$3001,MATCH(B738,PurchaseOrders!$A$2:$A$3001,0))</f>
        <v>V008</v>
      </c>
    </row>
    <row r="739" customFormat="false" ht="15" hidden="false" customHeight="true" outlineLevel="0" collapsed="false">
      <c r="A739" s="4" t="s">
        <v>3926</v>
      </c>
      <c r="B739" s="4" t="s">
        <v>915</v>
      </c>
      <c r="C739" s="4" t="n">
        <v>208</v>
      </c>
      <c r="D739" s="4" t="n">
        <v>1</v>
      </c>
      <c r="E739" s="13" t="n">
        <v>45427</v>
      </c>
      <c r="F739" s="4" t="s">
        <v>3186</v>
      </c>
      <c r="G739" s="4" t="str">
        <f aca="false">INDEX(PurchaseOrders!$B$2:$B$3001,MATCH(B739,PurchaseOrders!$A$2:$A$3001,0))</f>
        <v>V004</v>
      </c>
    </row>
    <row r="740" customFormat="false" ht="15" hidden="false" customHeight="true" outlineLevel="0" collapsed="false">
      <c r="A740" s="4" t="s">
        <v>3927</v>
      </c>
      <c r="B740" s="4" t="s">
        <v>916</v>
      </c>
      <c r="C740" s="4" t="n">
        <v>150</v>
      </c>
      <c r="D740" s="4" t="n">
        <v>17</v>
      </c>
      <c r="E740" s="13" t="n">
        <v>45603</v>
      </c>
      <c r="F740" s="4" t="s">
        <v>3186</v>
      </c>
      <c r="G740" s="4" t="str">
        <f aca="false">INDEX(PurchaseOrders!$B$2:$B$3001,MATCH(B740,PurchaseOrders!$A$2:$A$3001,0))</f>
        <v>V009</v>
      </c>
    </row>
    <row r="741" customFormat="false" ht="15" hidden="false" customHeight="true" outlineLevel="0" collapsed="false">
      <c r="A741" s="4" t="s">
        <v>3928</v>
      </c>
      <c r="B741" s="4" t="s">
        <v>917</v>
      </c>
      <c r="C741" s="4" t="n">
        <v>1947</v>
      </c>
      <c r="D741" s="4" t="n">
        <v>189</v>
      </c>
      <c r="E741" s="13" t="n">
        <v>45222</v>
      </c>
      <c r="F741" s="4" t="s">
        <v>3192</v>
      </c>
      <c r="G741" s="4" t="str">
        <f aca="false">INDEX(PurchaseOrders!$B$2:$B$3001,MATCH(B741,PurchaseOrders!$A$2:$A$3001,0))</f>
        <v>V057</v>
      </c>
    </row>
    <row r="742" customFormat="false" ht="15" hidden="false" customHeight="true" outlineLevel="0" collapsed="false">
      <c r="A742" s="4" t="s">
        <v>3929</v>
      </c>
      <c r="B742" s="4" t="s">
        <v>918</v>
      </c>
      <c r="C742" s="4" t="n">
        <v>264</v>
      </c>
      <c r="D742" s="4" t="n">
        <v>18</v>
      </c>
      <c r="E742" s="13" t="n">
        <v>45446</v>
      </c>
      <c r="F742" s="4" t="s">
        <v>3190</v>
      </c>
      <c r="G742" s="4" t="str">
        <f aca="false">INDEX(PurchaseOrders!$B$2:$B$3001,MATCH(B742,PurchaseOrders!$A$2:$A$3001,0))</f>
        <v>V009</v>
      </c>
    </row>
    <row r="743" customFormat="false" ht="15" hidden="false" customHeight="true" outlineLevel="0" collapsed="false">
      <c r="A743" s="4" t="s">
        <v>3930</v>
      </c>
      <c r="B743" s="4" t="s">
        <v>919</v>
      </c>
      <c r="C743" s="4" t="n">
        <v>269</v>
      </c>
      <c r="D743" s="4" t="n">
        <v>2</v>
      </c>
      <c r="E743" s="13" t="n">
        <v>45431</v>
      </c>
      <c r="F743" s="4" t="s">
        <v>3202</v>
      </c>
      <c r="G743" s="4" t="str">
        <f aca="false">INDEX(PurchaseOrders!$B$2:$B$3001,MATCH(B743,PurchaseOrders!$A$2:$A$3001,0))</f>
        <v>V040</v>
      </c>
    </row>
    <row r="744" customFormat="false" ht="15" hidden="false" customHeight="true" outlineLevel="0" collapsed="false">
      <c r="A744" s="4" t="s">
        <v>3931</v>
      </c>
      <c r="B744" s="4" t="s">
        <v>920</v>
      </c>
      <c r="C744" s="4" t="n">
        <v>15</v>
      </c>
      <c r="D744" s="4" t="n">
        <v>2</v>
      </c>
      <c r="E744" s="13" t="n">
        <v>45517</v>
      </c>
      <c r="F744" s="4" t="s">
        <v>3202</v>
      </c>
      <c r="G744" s="4" t="str">
        <f aca="false">INDEX(PurchaseOrders!$B$2:$B$3001,MATCH(B744,PurchaseOrders!$A$2:$A$3001,0))</f>
        <v>V042</v>
      </c>
    </row>
    <row r="745" customFormat="false" ht="15" hidden="false" customHeight="true" outlineLevel="0" collapsed="false">
      <c r="A745" s="4" t="s">
        <v>3932</v>
      </c>
      <c r="B745" s="4" t="s">
        <v>921</v>
      </c>
      <c r="C745" s="4" t="n">
        <v>125</v>
      </c>
      <c r="D745" s="4" t="n">
        <v>5</v>
      </c>
      <c r="E745" s="13" t="n">
        <v>45402</v>
      </c>
      <c r="F745" s="4" t="s">
        <v>3188</v>
      </c>
      <c r="G745" s="4" t="str">
        <f aca="false">INDEX(PurchaseOrders!$B$2:$B$3001,MATCH(B745,PurchaseOrders!$A$2:$A$3001,0))</f>
        <v>V006</v>
      </c>
    </row>
    <row r="746" customFormat="false" ht="15" hidden="false" customHeight="true" outlineLevel="0" collapsed="false">
      <c r="A746" s="4" t="s">
        <v>3933</v>
      </c>
      <c r="B746" s="4" t="s">
        <v>922</v>
      </c>
      <c r="C746" s="4" t="n">
        <v>1305</v>
      </c>
      <c r="D746" s="4" t="n">
        <v>29</v>
      </c>
      <c r="E746" s="13" t="n">
        <v>45420</v>
      </c>
      <c r="F746" s="4" t="s">
        <v>3202</v>
      </c>
      <c r="G746" s="4" t="str">
        <f aca="false">INDEX(PurchaseOrders!$B$2:$B$3001,MATCH(B746,PurchaseOrders!$A$2:$A$3001,0))</f>
        <v>V059</v>
      </c>
    </row>
    <row r="747" customFormat="false" ht="15" hidden="false" customHeight="true" outlineLevel="0" collapsed="false">
      <c r="A747" s="4" t="s">
        <v>3934</v>
      </c>
      <c r="B747" s="4" t="s">
        <v>923</v>
      </c>
      <c r="C747" s="4" t="n">
        <v>1709</v>
      </c>
      <c r="D747" s="4" t="n">
        <v>172</v>
      </c>
      <c r="E747" s="13" t="n">
        <v>45454</v>
      </c>
      <c r="F747" s="4" t="s">
        <v>3192</v>
      </c>
      <c r="G747" s="4" t="str">
        <f aca="false">INDEX(PurchaseOrders!$B$2:$B$3001,MATCH(B747,PurchaseOrders!$A$2:$A$3001,0))</f>
        <v>V057</v>
      </c>
    </row>
    <row r="748" customFormat="false" ht="15" hidden="false" customHeight="true" outlineLevel="0" collapsed="false">
      <c r="A748" s="4" t="s">
        <v>3935</v>
      </c>
      <c r="B748" s="4" t="s">
        <v>924</v>
      </c>
      <c r="C748" s="4" t="n">
        <v>326</v>
      </c>
      <c r="D748" s="4" t="n">
        <v>23</v>
      </c>
      <c r="E748" s="13" t="n">
        <v>44982</v>
      </c>
      <c r="F748" s="4" t="s">
        <v>3184</v>
      </c>
      <c r="G748" s="4" t="str">
        <f aca="false">INDEX(PurchaseOrders!$B$2:$B$3001,MATCH(B748,PurchaseOrders!$A$2:$A$3001,0))</f>
        <v>V024</v>
      </c>
    </row>
    <row r="749" customFormat="false" ht="15" hidden="false" customHeight="true" outlineLevel="0" collapsed="false">
      <c r="A749" s="4" t="s">
        <v>3936</v>
      </c>
      <c r="B749" s="4" t="s">
        <v>925</v>
      </c>
      <c r="C749" s="4" t="n">
        <v>108</v>
      </c>
      <c r="D749" s="4" t="n">
        <v>13</v>
      </c>
      <c r="E749" s="13" t="n">
        <v>45237</v>
      </c>
      <c r="F749" s="4" t="s">
        <v>3188</v>
      </c>
      <c r="G749" s="4" t="str">
        <f aca="false">INDEX(PurchaseOrders!$B$2:$B$3001,MATCH(B749,PurchaseOrders!$A$2:$A$3001,0))</f>
        <v>V055</v>
      </c>
    </row>
    <row r="750" customFormat="false" ht="15" hidden="false" customHeight="true" outlineLevel="0" collapsed="false">
      <c r="A750" s="4" t="s">
        <v>3937</v>
      </c>
      <c r="B750" s="4" t="s">
        <v>926</v>
      </c>
      <c r="C750" s="4" t="n">
        <v>1676</v>
      </c>
      <c r="D750" s="4" t="n">
        <v>76</v>
      </c>
      <c r="E750" s="13" t="n">
        <v>45428</v>
      </c>
      <c r="F750" s="4" t="s">
        <v>3184</v>
      </c>
      <c r="G750" s="4" t="str">
        <f aca="false">INDEX(PurchaseOrders!$B$2:$B$3001,MATCH(B750,PurchaseOrders!$A$2:$A$3001,0))</f>
        <v>V051</v>
      </c>
    </row>
    <row r="751" customFormat="false" ht="15" hidden="false" customHeight="true" outlineLevel="0" collapsed="false">
      <c r="A751" s="4" t="s">
        <v>3938</v>
      </c>
      <c r="B751" s="4" t="s">
        <v>927</v>
      </c>
      <c r="C751" s="4" t="n">
        <v>475</v>
      </c>
      <c r="D751" s="4" t="n">
        <v>0</v>
      </c>
      <c r="E751" s="13" t="n">
        <v>45094</v>
      </c>
      <c r="F751" s="4"/>
      <c r="G751" s="4" t="str">
        <f aca="false">INDEX(PurchaseOrders!$B$2:$B$3001,MATCH(B751,PurchaseOrders!$A$2:$A$3001,0))</f>
        <v>V029</v>
      </c>
    </row>
    <row r="752" customFormat="false" ht="15" hidden="false" customHeight="true" outlineLevel="0" collapsed="false">
      <c r="A752" s="4" t="s">
        <v>3939</v>
      </c>
      <c r="B752" s="4" t="s">
        <v>928</v>
      </c>
      <c r="C752" s="4" t="n">
        <v>112</v>
      </c>
      <c r="D752" s="4" t="n">
        <v>6</v>
      </c>
      <c r="E752" s="13" t="n">
        <v>45106</v>
      </c>
      <c r="F752" s="4" t="s">
        <v>3190</v>
      </c>
      <c r="G752" s="4" t="str">
        <f aca="false">INDEX(PurchaseOrders!$B$2:$B$3001,MATCH(B752,PurchaseOrders!$A$2:$A$3001,0))</f>
        <v>V033</v>
      </c>
    </row>
    <row r="753" customFormat="false" ht="15" hidden="false" customHeight="true" outlineLevel="0" collapsed="false">
      <c r="A753" s="4" t="s">
        <v>3940</v>
      </c>
      <c r="B753" s="4" t="s">
        <v>929</v>
      </c>
      <c r="C753" s="4" t="n">
        <v>1795</v>
      </c>
      <c r="D753" s="4" t="n">
        <v>0</v>
      </c>
      <c r="E753" s="13" t="n">
        <v>45323</v>
      </c>
      <c r="F753" s="4"/>
      <c r="G753" s="4" t="str">
        <f aca="false">INDEX(PurchaseOrders!$B$2:$B$3001,MATCH(B753,PurchaseOrders!$A$2:$A$3001,0))</f>
        <v>V015</v>
      </c>
    </row>
    <row r="754" customFormat="false" ht="15" hidden="false" customHeight="true" outlineLevel="0" collapsed="false">
      <c r="A754" s="4" t="s">
        <v>3941</v>
      </c>
      <c r="B754" s="4" t="s">
        <v>930</v>
      </c>
      <c r="C754" s="4" t="n">
        <v>4326</v>
      </c>
      <c r="D754" s="4" t="n">
        <v>61</v>
      </c>
      <c r="E754" s="13" t="n">
        <v>45517</v>
      </c>
      <c r="F754" s="4" t="s">
        <v>3202</v>
      </c>
      <c r="G754" s="4" t="str">
        <f aca="false">INDEX(PurchaseOrders!$B$2:$B$3001,MATCH(B754,PurchaseOrders!$A$2:$A$3001,0))</f>
        <v>V015</v>
      </c>
    </row>
    <row r="755" customFormat="false" ht="15" hidden="false" customHeight="true" outlineLevel="0" collapsed="false">
      <c r="A755" s="4" t="s">
        <v>3942</v>
      </c>
      <c r="B755" s="4" t="s">
        <v>931</v>
      </c>
      <c r="C755" s="4" t="n">
        <v>4147</v>
      </c>
      <c r="D755" s="4" t="n">
        <v>210</v>
      </c>
      <c r="E755" s="13" t="n">
        <v>44940</v>
      </c>
      <c r="F755" s="4" t="s">
        <v>3188</v>
      </c>
      <c r="G755" s="4" t="str">
        <f aca="false">INDEX(PurchaseOrders!$B$2:$B$3001,MATCH(B755,PurchaseOrders!$A$2:$A$3001,0))</f>
        <v>V028</v>
      </c>
    </row>
    <row r="756" customFormat="false" ht="15" hidden="false" customHeight="true" outlineLevel="0" collapsed="false">
      <c r="A756" s="4" t="s">
        <v>3943</v>
      </c>
      <c r="B756" s="4" t="s">
        <v>932</v>
      </c>
      <c r="C756" s="4" t="n">
        <v>3429</v>
      </c>
      <c r="D756" s="4" t="n">
        <v>277</v>
      </c>
      <c r="E756" s="13" t="n">
        <v>45255</v>
      </c>
      <c r="F756" s="4" t="s">
        <v>3188</v>
      </c>
      <c r="G756" s="4" t="str">
        <f aca="false">INDEX(PurchaseOrders!$B$2:$B$3001,MATCH(B756,PurchaseOrders!$A$2:$A$3001,0))</f>
        <v>V028</v>
      </c>
    </row>
    <row r="757" customFormat="false" ht="15" hidden="false" customHeight="true" outlineLevel="0" collapsed="false">
      <c r="A757" s="4" t="s">
        <v>3944</v>
      </c>
      <c r="B757" s="4" t="s">
        <v>933</v>
      </c>
      <c r="C757" s="4" t="n">
        <v>282</v>
      </c>
      <c r="D757" s="4" t="n">
        <v>1</v>
      </c>
      <c r="E757" s="13" t="n">
        <v>45455</v>
      </c>
      <c r="F757" s="4" t="s">
        <v>3202</v>
      </c>
      <c r="G757" s="4" t="str">
        <f aca="false">INDEX(PurchaseOrders!$B$2:$B$3001,MATCH(B757,PurchaseOrders!$A$2:$A$3001,0))</f>
        <v>V046</v>
      </c>
    </row>
    <row r="758" customFormat="false" ht="15" hidden="false" customHeight="true" outlineLevel="0" collapsed="false">
      <c r="A758" s="4" t="s">
        <v>3945</v>
      </c>
      <c r="B758" s="4" t="s">
        <v>934</v>
      </c>
      <c r="C758" s="4" t="n">
        <v>390</v>
      </c>
      <c r="D758" s="4" t="n">
        <v>25</v>
      </c>
      <c r="E758" s="13" t="n">
        <v>45349</v>
      </c>
      <c r="F758" s="4" t="s">
        <v>3202</v>
      </c>
      <c r="G758" s="4" t="str">
        <f aca="false">INDEX(PurchaseOrders!$B$2:$B$3001,MATCH(B758,PurchaseOrders!$A$2:$A$3001,0))</f>
        <v>V012</v>
      </c>
    </row>
    <row r="759" customFormat="false" ht="15" hidden="false" customHeight="true" outlineLevel="0" collapsed="false">
      <c r="A759" s="4" t="s">
        <v>3946</v>
      </c>
      <c r="B759" s="4" t="s">
        <v>935</v>
      </c>
      <c r="C759" s="4" t="n">
        <v>394</v>
      </c>
      <c r="D759" s="4" t="n">
        <v>10</v>
      </c>
      <c r="E759" s="13" t="n">
        <v>45660</v>
      </c>
      <c r="F759" s="4" t="s">
        <v>3202</v>
      </c>
      <c r="G759" s="4" t="str">
        <f aca="false">INDEX(PurchaseOrders!$B$2:$B$3001,MATCH(B759,PurchaseOrders!$A$2:$A$3001,0))</f>
        <v>V033</v>
      </c>
    </row>
    <row r="760" customFormat="false" ht="15" hidden="false" customHeight="true" outlineLevel="0" collapsed="false">
      <c r="A760" s="4" t="s">
        <v>3947</v>
      </c>
      <c r="B760" s="4" t="s">
        <v>936</v>
      </c>
      <c r="C760" s="4" t="n">
        <v>2</v>
      </c>
      <c r="D760" s="4" t="n">
        <v>0</v>
      </c>
      <c r="E760" s="13" t="n">
        <v>45386</v>
      </c>
      <c r="F760" s="4"/>
      <c r="G760" s="4" t="str">
        <f aca="false">INDEX(PurchaseOrders!$B$2:$B$3001,MATCH(B760,PurchaseOrders!$A$2:$A$3001,0))</f>
        <v>V042</v>
      </c>
    </row>
    <row r="761" customFormat="false" ht="15" hidden="false" customHeight="true" outlineLevel="0" collapsed="false">
      <c r="A761" s="4" t="s">
        <v>3948</v>
      </c>
      <c r="B761" s="4" t="s">
        <v>937</v>
      </c>
      <c r="C761" s="4" t="n">
        <v>36</v>
      </c>
      <c r="D761" s="4" t="n">
        <v>3</v>
      </c>
      <c r="E761" s="13" t="n">
        <v>45188</v>
      </c>
      <c r="F761" s="4" t="s">
        <v>3184</v>
      </c>
      <c r="G761" s="4" t="str">
        <f aca="false">INDEX(PurchaseOrders!$B$2:$B$3001,MATCH(B761,PurchaseOrders!$A$2:$A$3001,0))</f>
        <v>V009</v>
      </c>
    </row>
    <row r="762" customFormat="false" ht="15" hidden="false" customHeight="true" outlineLevel="0" collapsed="false">
      <c r="A762" s="4" t="s">
        <v>3949</v>
      </c>
      <c r="B762" s="4" t="s">
        <v>938</v>
      </c>
      <c r="C762" s="4" t="n">
        <v>1311</v>
      </c>
      <c r="D762" s="4" t="n">
        <v>76</v>
      </c>
      <c r="E762" s="13" t="n">
        <v>45619</v>
      </c>
      <c r="F762" s="4" t="s">
        <v>3188</v>
      </c>
      <c r="G762" s="4" t="str">
        <f aca="false">INDEX(PurchaseOrders!$B$2:$B$3001,MATCH(B762,PurchaseOrders!$A$2:$A$3001,0))</f>
        <v>V014</v>
      </c>
    </row>
    <row r="763" customFormat="false" ht="15" hidden="false" customHeight="true" outlineLevel="0" collapsed="false">
      <c r="A763" s="4" t="s">
        <v>3950</v>
      </c>
      <c r="B763" s="4" t="s">
        <v>939</v>
      </c>
      <c r="C763" s="4" t="n">
        <v>319</v>
      </c>
      <c r="D763" s="4" t="n">
        <v>30</v>
      </c>
      <c r="E763" s="13" t="n">
        <v>45382</v>
      </c>
      <c r="F763" s="4" t="s">
        <v>3190</v>
      </c>
      <c r="G763" s="4" t="str">
        <f aca="false">INDEX(PurchaseOrders!$B$2:$B$3001,MATCH(B763,PurchaseOrders!$A$2:$A$3001,0))</f>
        <v>V012</v>
      </c>
    </row>
    <row r="764" customFormat="false" ht="15" hidden="false" customHeight="true" outlineLevel="0" collapsed="false">
      <c r="A764" s="4" t="s">
        <v>3951</v>
      </c>
      <c r="B764" s="4" t="s">
        <v>940</v>
      </c>
      <c r="C764" s="4" t="n">
        <v>814</v>
      </c>
      <c r="D764" s="4" t="n">
        <v>39</v>
      </c>
      <c r="E764" s="13" t="n">
        <v>45178</v>
      </c>
      <c r="F764" s="4" t="s">
        <v>3184</v>
      </c>
      <c r="G764" s="4" t="str">
        <f aca="false">INDEX(PurchaseOrders!$B$2:$B$3001,MATCH(B764,PurchaseOrders!$A$2:$A$3001,0))</f>
        <v>V048</v>
      </c>
    </row>
    <row r="765" customFormat="false" ht="15" hidden="false" customHeight="true" outlineLevel="0" collapsed="false">
      <c r="A765" s="4" t="s">
        <v>3952</v>
      </c>
      <c r="B765" s="4" t="s">
        <v>941</v>
      </c>
      <c r="C765" s="4" t="n">
        <v>1451</v>
      </c>
      <c r="D765" s="4" t="n">
        <v>236</v>
      </c>
      <c r="E765" s="13" t="n">
        <v>45252</v>
      </c>
      <c r="F765" s="4" t="s">
        <v>3192</v>
      </c>
      <c r="G765" s="4" t="str">
        <f aca="false">INDEX(PurchaseOrders!$B$2:$B$3001,MATCH(B765,PurchaseOrders!$A$2:$A$3001,0))</f>
        <v>V025</v>
      </c>
    </row>
    <row r="766" customFormat="false" ht="15" hidden="false" customHeight="true" outlineLevel="0" collapsed="false">
      <c r="A766" s="4" t="s">
        <v>3953</v>
      </c>
      <c r="B766" s="4" t="s">
        <v>942</v>
      </c>
      <c r="C766" s="4" t="n">
        <v>2467</v>
      </c>
      <c r="D766" s="4" t="n">
        <v>460</v>
      </c>
      <c r="E766" s="13" t="n">
        <v>45161</v>
      </c>
      <c r="F766" s="4" t="s">
        <v>3190</v>
      </c>
      <c r="G766" s="4" t="str">
        <f aca="false">INDEX(PurchaseOrders!$B$2:$B$3001,MATCH(B766,PurchaseOrders!$A$2:$A$3001,0))</f>
        <v>V026</v>
      </c>
    </row>
    <row r="767" customFormat="false" ht="15" hidden="false" customHeight="true" outlineLevel="0" collapsed="false">
      <c r="A767" s="4" t="s">
        <v>3954</v>
      </c>
      <c r="B767" s="4" t="s">
        <v>943</v>
      </c>
      <c r="C767" s="4" t="n">
        <v>609</v>
      </c>
      <c r="D767" s="4" t="n">
        <v>132</v>
      </c>
      <c r="E767" s="13" t="n">
        <v>45369</v>
      </c>
      <c r="F767" s="4" t="s">
        <v>3202</v>
      </c>
      <c r="G767" s="4" t="str">
        <f aca="false">INDEX(PurchaseOrders!$B$2:$B$3001,MATCH(B767,PurchaseOrders!$A$2:$A$3001,0))</f>
        <v>V039</v>
      </c>
    </row>
    <row r="768" customFormat="false" ht="15" hidden="false" customHeight="true" outlineLevel="0" collapsed="false">
      <c r="A768" s="4" t="s">
        <v>3955</v>
      </c>
      <c r="B768" s="4" t="s">
        <v>944</v>
      </c>
      <c r="C768" s="4" t="n">
        <v>3218</v>
      </c>
      <c r="D768" s="4" t="n">
        <v>385</v>
      </c>
      <c r="E768" s="13" t="n">
        <v>45175</v>
      </c>
      <c r="F768" s="4" t="s">
        <v>3202</v>
      </c>
      <c r="G768" s="4" t="str">
        <f aca="false">INDEX(PurchaseOrders!$B$2:$B$3001,MATCH(B768,PurchaseOrders!$A$2:$A$3001,0))</f>
        <v>V038</v>
      </c>
    </row>
    <row r="769" customFormat="false" ht="15" hidden="false" customHeight="true" outlineLevel="0" collapsed="false">
      <c r="A769" s="4" t="s">
        <v>3956</v>
      </c>
      <c r="B769" s="4" t="s">
        <v>945</v>
      </c>
      <c r="C769" s="4" t="n">
        <v>3377</v>
      </c>
      <c r="D769" s="4" t="n">
        <v>142</v>
      </c>
      <c r="E769" s="13" t="n">
        <v>45210</v>
      </c>
      <c r="F769" s="4" t="s">
        <v>3190</v>
      </c>
      <c r="G769" s="4" t="str">
        <f aca="false">INDEX(PurchaseOrders!$B$2:$B$3001,MATCH(B769,PurchaseOrders!$A$2:$A$3001,0))</f>
        <v>V056</v>
      </c>
    </row>
    <row r="770" customFormat="false" ht="15" hidden="false" customHeight="true" outlineLevel="0" collapsed="false">
      <c r="A770" s="4" t="s">
        <v>3957</v>
      </c>
      <c r="B770" s="4" t="s">
        <v>946</v>
      </c>
      <c r="C770" s="4" t="n">
        <v>83</v>
      </c>
      <c r="D770" s="4" t="n">
        <v>6</v>
      </c>
      <c r="E770" s="13" t="n">
        <v>45341</v>
      </c>
      <c r="F770" s="4" t="s">
        <v>3186</v>
      </c>
      <c r="G770" s="4" t="str">
        <f aca="false">INDEX(PurchaseOrders!$B$2:$B$3001,MATCH(B770,PurchaseOrders!$A$2:$A$3001,0))</f>
        <v>V012</v>
      </c>
    </row>
    <row r="771" customFormat="false" ht="15" hidden="false" customHeight="true" outlineLevel="0" collapsed="false">
      <c r="A771" s="4" t="s">
        <v>3958</v>
      </c>
      <c r="B771" s="4" t="s">
        <v>947</v>
      </c>
      <c r="C771" s="4" t="n">
        <v>1</v>
      </c>
      <c r="D771" s="4" t="n">
        <v>0</v>
      </c>
      <c r="E771" s="13" t="n">
        <v>45307</v>
      </c>
      <c r="F771" s="4"/>
      <c r="G771" s="4" t="str">
        <f aca="false">INDEX(PurchaseOrders!$B$2:$B$3001,MATCH(B771,PurchaseOrders!$A$2:$A$3001,0))</f>
        <v>V054</v>
      </c>
    </row>
    <row r="772" customFormat="false" ht="15" hidden="false" customHeight="true" outlineLevel="0" collapsed="false">
      <c r="A772" s="4" t="s">
        <v>3959</v>
      </c>
      <c r="B772" s="4" t="s">
        <v>948</v>
      </c>
      <c r="C772" s="4" t="n">
        <v>4619</v>
      </c>
      <c r="D772" s="4" t="n">
        <v>234</v>
      </c>
      <c r="E772" s="13" t="n">
        <v>45019</v>
      </c>
      <c r="F772" s="4" t="s">
        <v>3188</v>
      </c>
      <c r="G772" s="4" t="str">
        <f aca="false">INDEX(PurchaseOrders!$B$2:$B$3001,MATCH(B772,PurchaseOrders!$A$2:$A$3001,0))</f>
        <v>V003</v>
      </c>
    </row>
    <row r="773" customFormat="false" ht="15" hidden="false" customHeight="true" outlineLevel="0" collapsed="false">
      <c r="A773" s="4" t="s">
        <v>3960</v>
      </c>
      <c r="B773" s="4" t="s">
        <v>949</v>
      </c>
      <c r="C773" s="4" t="n">
        <v>1238</v>
      </c>
      <c r="D773" s="4" t="n">
        <v>39</v>
      </c>
      <c r="E773" s="13" t="n">
        <v>45134</v>
      </c>
      <c r="F773" s="4" t="s">
        <v>3192</v>
      </c>
      <c r="G773" s="4" t="str">
        <f aca="false">INDEX(PurchaseOrders!$B$2:$B$3001,MATCH(B773,PurchaseOrders!$A$2:$A$3001,0))</f>
        <v>V051</v>
      </c>
    </row>
    <row r="774" customFormat="false" ht="15" hidden="false" customHeight="true" outlineLevel="0" collapsed="false">
      <c r="A774" s="4" t="s">
        <v>3961</v>
      </c>
      <c r="B774" s="4" t="s">
        <v>950</v>
      </c>
      <c r="C774" s="4" t="n">
        <v>617</v>
      </c>
      <c r="D774" s="4" t="n">
        <v>1</v>
      </c>
      <c r="E774" s="13" t="n">
        <v>45500</v>
      </c>
      <c r="F774" s="4" t="s">
        <v>3202</v>
      </c>
      <c r="G774" s="4" t="str">
        <f aca="false">INDEX(PurchaseOrders!$B$2:$B$3001,MATCH(B774,PurchaseOrders!$A$2:$A$3001,0))</f>
        <v>V059</v>
      </c>
    </row>
    <row r="775" customFormat="false" ht="15" hidden="false" customHeight="true" outlineLevel="0" collapsed="false">
      <c r="A775" s="4" t="s">
        <v>3962</v>
      </c>
      <c r="B775" s="4" t="s">
        <v>951</v>
      </c>
      <c r="C775" s="4" t="n">
        <v>1880</v>
      </c>
      <c r="D775" s="4" t="n">
        <v>239</v>
      </c>
      <c r="E775" s="13" t="n">
        <v>45514</v>
      </c>
      <c r="F775" s="4" t="s">
        <v>3192</v>
      </c>
      <c r="G775" s="4" t="str">
        <f aca="false">INDEX(PurchaseOrders!$B$2:$B$3001,MATCH(B775,PurchaseOrders!$A$2:$A$3001,0))</f>
        <v>V057</v>
      </c>
    </row>
    <row r="776" customFormat="false" ht="15" hidden="false" customHeight="true" outlineLevel="0" collapsed="false">
      <c r="A776" s="4" t="s">
        <v>3963</v>
      </c>
      <c r="B776" s="4" t="s">
        <v>952</v>
      </c>
      <c r="C776" s="4" t="n">
        <v>1707</v>
      </c>
      <c r="D776" s="4" t="n">
        <v>130</v>
      </c>
      <c r="E776" s="13" t="n">
        <v>45334</v>
      </c>
      <c r="F776" s="4" t="s">
        <v>3184</v>
      </c>
      <c r="G776" s="4" t="str">
        <f aca="false">INDEX(PurchaseOrders!$B$2:$B$3001,MATCH(B776,PurchaseOrders!$A$2:$A$3001,0))</f>
        <v>V014</v>
      </c>
    </row>
    <row r="777" customFormat="false" ht="15" hidden="false" customHeight="true" outlineLevel="0" collapsed="false">
      <c r="A777" s="4" t="s">
        <v>3964</v>
      </c>
      <c r="B777" s="4" t="s">
        <v>953</v>
      </c>
      <c r="C777" s="4" t="n">
        <v>19</v>
      </c>
      <c r="D777" s="4" t="n">
        <v>2</v>
      </c>
      <c r="E777" s="13" t="n">
        <v>44974</v>
      </c>
      <c r="F777" s="4" t="s">
        <v>3184</v>
      </c>
      <c r="G777" s="4" t="str">
        <f aca="false">INDEX(PurchaseOrders!$B$2:$B$3001,MATCH(B777,PurchaseOrders!$A$2:$A$3001,0))</f>
        <v>V054</v>
      </c>
    </row>
    <row r="778" customFormat="false" ht="15" hidden="false" customHeight="true" outlineLevel="0" collapsed="false">
      <c r="A778" s="4" t="s">
        <v>3965</v>
      </c>
      <c r="B778" s="4" t="s">
        <v>954</v>
      </c>
      <c r="C778" s="4" t="n">
        <v>2275</v>
      </c>
      <c r="D778" s="4" t="n">
        <v>88</v>
      </c>
      <c r="E778" s="13" t="n">
        <v>44976</v>
      </c>
      <c r="F778" s="4" t="s">
        <v>3202</v>
      </c>
      <c r="G778" s="4" t="str">
        <f aca="false">INDEX(PurchaseOrders!$B$2:$B$3001,MATCH(B778,PurchaseOrders!$A$2:$A$3001,0))</f>
        <v>V003</v>
      </c>
    </row>
    <row r="779" customFormat="false" ht="15" hidden="false" customHeight="true" outlineLevel="0" collapsed="false">
      <c r="A779" s="4" t="s">
        <v>3966</v>
      </c>
      <c r="B779" s="4" t="s">
        <v>955</v>
      </c>
      <c r="C779" s="4" t="n">
        <v>172</v>
      </c>
      <c r="D779" s="4" t="n">
        <v>3</v>
      </c>
      <c r="E779" s="13" t="n">
        <v>45497</v>
      </c>
      <c r="F779" s="4" t="s">
        <v>3188</v>
      </c>
      <c r="G779" s="4" t="str">
        <f aca="false">INDEX(PurchaseOrders!$B$2:$B$3001,MATCH(B779,PurchaseOrders!$A$2:$A$3001,0))</f>
        <v>V040</v>
      </c>
    </row>
    <row r="780" customFormat="false" ht="15" hidden="false" customHeight="true" outlineLevel="0" collapsed="false">
      <c r="A780" s="4" t="s">
        <v>3967</v>
      </c>
      <c r="B780" s="4" t="s">
        <v>956</v>
      </c>
      <c r="C780" s="4" t="n">
        <v>435</v>
      </c>
      <c r="D780" s="4" t="n">
        <v>44</v>
      </c>
      <c r="E780" s="13" t="n">
        <v>45433</v>
      </c>
      <c r="F780" s="4" t="s">
        <v>3184</v>
      </c>
      <c r="G780" s="4" t="str">
        <f aca="false">INDEX(PurchaseOrders!$B$2:$B$3001,MATCH(B780,PurchaseOrders!$A$2:$A$3001,0))</f>
        <v>V012</v>
      </c>
    </row>
    <row r="781" customFormat="false" ht="15" hidden="false" customHeight="true" outlineLevel="0" collapsed="false">
      <c r="A781" s="4" t="s">
        <v>3968</v>
      </c>
      <c r="B781" s="4" t="s">
        <v>957</v>
      </c>
      <c r="C781" s="4" t="n">
        <v>270</v>
      </c>
      <c r="D781" s="4" t="n">
        <v>9</v>
      </c>
      <c r="E781" s="13" t="n">
        <v>45489</v>
      </c>
      <c r="F781" s="4" t="s">
        <v>3202</v>
      </c>
      <c r="G781" s="4" t="str">
        <f aca="false">INDEX(PurchaseOrders!$B$2:$B$3001,MATCH(B781,PurchaseOrders!$A$2:$A$3001,0))</f>
        <v>V052</v>
      </c>
    </row>
    <row r="782" customFormat="false" ht="15" hidden="false" customHeight="true" outlineLevel="0" collapsed="false">
      <c r="A782" s="4" t="s">
        <v>3969</v>
      </c>
      <c r="B782" s="4" t="s">
        <v>958</v>
      </c>
      <c r="C782" s="4" t="n">
        <v>250</v>
      </c>
      <c r="D782" s="4" t="n">
        <v>22</v>
      </c>
      <c r="E782" s="13" t="n">
        <v>45235</v>
      </c>
      <c r="F782" s="4" t="s">
        <v>3192</v>
      </c>
      <c r="G782" s="4" t="str">
        <f aca="false">INDEX(PurchaseOrders!$B$2:$B$3001,MATCH(B782,PurchaseOrders!$A$2:$A$3001,0))</f>
        <v>V009</v>
      </c>
    </row>
    <row r="783" customFormat="false" ht="15" hidden="false" customHeight="true" outlineLevel="0" collapsed="false">
      <c r="A783" s="4" t="s">
        <v>3970</v>
      </c>
      <c r="B783" s="4" t="s">
        <v>959</v>
      </c>
      <c r="C783" s="4" t="n">
        <v>4972</v>
      </c>
      <c r="D783" s="4" t="n">
        <v>43</v>
      </c>
      <c r="E783" s="13" t="n">
        <v>45637</v>
      </c>
      <c r="F783" s="4" t="s">
        <v>3186</v>
      </c>
      <c r="G783" s="4" t="str">
        <f aca="false">INDEX(PurchaseOrders!$B$2:$B$3001,MATCH(B783,PurchaseOrders!$A$2:$A$3001,0))</f>
        <v>V017</v>
      </c>
    </row>
    <row r="784" customFormat="false" ht="15" hidden="false" customHeight="true" outlineLevel="0" collapsed="false">
      <c r="A784" s="4" t="s">
        <v>3971</v>
      </c>
      <c r="B784" s="4" t="s">
        <v>960</v>
      </c>
      <c r="C784" s="4" t="n">
        <v>2161</v>
      </c>
      <c r="D784" s="4" t="n">
        <v>379</v>
      </c>
      <c r="E784" s="13" t="n">
        <v>45423</v>
      </c>
      <c r="F784" s="4" t="s">
        <v>3190</v>
      </c>
      <c r="G784" s="4" t="str">
        <f aca="false">INDEX(PurchaseOrders!$B$2:$B$3001,MATCH(B784,PurchaseOrders!$A$2:$A$3001,0))</f>
        <v>V026</v>
      </c>
    </row>
    <row r="785" customFormat="false" ht="15" hidden="false" customHeight="true" outlineLevel="0" collapsed="false">
      <c r="A785" s="4" t="s">
        <v>3972</v>
      </c>
      <c r="B785" s="4" t="s">
        <v>961</v>
      </c>
      <c r="C785" s="4" t="n">
        <v>1603</v>
      </c>
      <c r="D785" s="4" t="n">
        <v>24</v>
      </c>
      <c r="E785" s="13" t="n">
        <v>45605</v>
      </c>
      <c r="F785" s="4" t="s">
        <v>3188</v>
      </c>
      <c r="G785" s="4" t="str">
        <f aca="false">INDEX(PurchaseOrders!$B$2:$B$3001,MATCH(B785,PurchaseOrders!$A$2:$A$3001,0))</f>
        <v>V022</v>
      </c>
    </row>
    <row r="786" customFormat="false" ht="15" hidden="false" customHeight="true" outlineLevel="0" collapsed="false">
      <c r="A786" s="4" t="s">
        <v>3973</v>
      </c>
      <c r="B786" s="4" t="s">
        <v>962</v>
      </c>
      <c r="C786" s="4" t="n">
        <v>209</v>
      </c>
      <c r="D786" s="4" t="n">
        <v>0</v>
      </c>
      <c r="E786" s="13" t="n">
        <v>45104</v>
      </c>
      <c r="F786" s="4"/>
      <c r="G786" s="4" t="str">
        <f aca="false">INDEX(PurchaseOrders!$B$2:$B$3001,MATCH(B786,PurchaseOrders!$A$2:$A$3001,0))</f>
        <v>V046</v>
      </c>
    </row>
    <row r="787" customFormat="false" ht="15" hidden="false" customHeight="true" outlineLevel="0" collapsed="false">
      <c r="A787" s="4" t="s">
        <v>3974</v>
      </c>
      <c r="B787" s="4" t="s">
        <v>963</v>
      </c>
      <c r="C787" s="4" t="n">
        <v>1304</v>
      </c>
      <c r="D787" s="4" t="n">
        <v>39</v>
      </c>
      <c r="E787" s="13" t="n">
        <v>45101</v>
      </c>
      <c r="F787" s="4" t="s">
        <v>3188</v>
      </c>
      <c r="G787" s="4" t="str">
        <f aca="false">INDEX(PurchaseOrders!$B$2:$B$3001,MATCH(B787,PurchaseOrders!$A$2:$A$3001,0))</f>
        <v>V011</v>
      </c>
    </row>
    <row r="788" customFormat="false" ht="15" hidden="false" customHeight="true" outlineLevel="0" collapsed="false">
      <c r="A788" s="4" t="s">
        <v>3975</v>
      </c>
      <c r="B788" s="4" t="s">
        <v>964</v>
      </c>
      <c r="C788" s="4" t="n">
        <v>695</v>
      </c>
      <c r="D788" s="4" t="n">
        <v>19</v>
      </c>
      <c r="E788" s="13" t="n">
        <v>45344</v>
      </c>
      <c r="F788" s="4" t="s">
        <v>3186</v>
      </c>
      <c r="G788" s="4" t="str">
        <f aca="false">INDEX(PurchaseOrders!$B$2:$B$3001,MATCH(B788,PurchaseOrders!$A$2:$A$3001,0))</f>
        <v>V022</v>
      </c>
    </row>
    <row r="789" customFormat="false" ht="15" hidden="false" customHeight="true" outlineLevel="0" collapsed="false">
      <c r="A789" s="4" t="s">
        <v>3976</v>
      </c>
      <c r="B789" s="4" t="s">
        <v>965</v>
      </c>
      <c r="C789" s="4" t="n">
        <v>335</v>
      </c>
      <c r="D789" s="4" t="n">
        <v>34</v>
      </c>
      <c r="E789" s="13" t="n">
        <v>45490</v>
      </c>
      <c r="F789" s="4" t="s">
        <v>3188</v>
      </c>
      <c r="G789" s="4" t="str">
        <f aca="false">INDEX(PurchaseOrders!$B$2:$B$3001,MATCH(B789,PurchaseOrders!$A$2:$A$3001,0))</f>
        <v>V049</v>
      </c>
    </row>
    <row r="790" customFormat="false" ht="15" hidden="false" customHeight="true" outlineLevel="0" collapsed="false">
      <c r="A790" s="4" t="s">
        <v>3977</v>
      </c>
      <c r="B790" s="4" t="s">
        <v>966</v>
      </c>
      <c r="C790" s="4" t="n">
        <v>207</v>
      </c>
      <c r="D790" s="4" t="n">
        <v>18</v>
      </c>
      <c r="E790" s="13" t="n">
        <v>45304</v>
      </c>
      <c r="F790" s="4" t="s">
        <v>3184</v>
      </c>
      <c r="G790" s="4" t="str">
        <f aca="false">INDEX(PurchaseOrders!$B$2:$B$3001,MATCH(B790,PurchaseOrders!$A$2:$A$3001,0))</f>
        <v>V030</v>
      </c>
    </row>
    <row r="791" customFormat="false" ht="15" hidden="false" customHeight="true" outlineLevel="0" collapsed="false">
      <c r="A791" s="4" t="s">
        <v>3978</v>
      </c>
      <c r="B791" s="4" t="s">
        <v>967</v>
      </c>
      <c r="C791" s="4" t="n">
        <v>159</v>
      </c>
      <c r="D791" s="4" t="n">
        <v>8</v>
      </c>
      <c r="E791" s="13" t="n">
        <v>45144</v>
      </c>
      <c r="F791" s="4" t="s">
        <v>3190</v>
      </c>
      <c r="G791" s="4" t="str">
        <f aca="false">INDEX(PurchaseOrders!$B$2:$B$3001,MATCH(B791,PurchaseOrders!$A$2:$A$3001,0))</f>
        <v>V033</v>
      </c>
    </row>
    <row r="792" customFormat="false" ht="15" hidden="false" customHeight="true" outlineLevel="0" collapsed="false">
      <c r="A792" s="4" t="s">
        <v>3979</v>
      </c>
      <c r="B792" s="4" t="s">
        <v>968</v>
      </c>
      <c r="C792" s="4" t="n">
        <v>421</v>
      </c>
      <c r="D792" s="4" t="n">
        <v>32</v>
      </c>
      <c r="E792" s="13" t="n">
        <v>45037</v>
      </c>
      <c r="F792" s="4" t="s">
        <v>3190</v>
      </c>
      <c r="G792" s="4" t="str">
        <f aca="false">INDEX(PurchaseOrders!$B$2:$B$3001,MATCH(B792,PurchaseOrders!$A$2:$A$3001,0))</f>
        <v>V030</v>
      </c>
    </row>
    <row r="793" customFormat="false" ht="15" hidden="false" customHeight="true" outlineLevel="0" collapsed="false">
      <c r="A793" s="4" t="s">
        <v>3980</v>
      </c>
      <c r="B793" s="4" t="s">
        <v>969</v>
      </c>
      <c r="C793" s="4" t="n">
        <v>822</v>
      </c>
      <c r="D793" s="4" t="n">
        <v>44</v>
      </c>
      <c r="E793" s="13" t="n">
        <v>45004</v>
      </c>
      <c r="F793" s="4" t="s">
        <v>3188</v>
      </c>
      <c r="G793" s="4" t="str">
        <f aca="false">INDEX(PurchaseOrders!$B$2:$B$3001,MATCH(B793,PurchaseOrders!$A$2:$A$3001,0))</f>
        <v>V034</v>
      </c>
    </row>
    <row r="794" customFormat="false" ht="15" hidden="false" customHeight="true" outlineLevel="0" collapsed="false">
      <c r="A794" s="4" t="s">
        <v>3981</v>
      </c>
      <c r="B794" s="4" t="s">
        <v>970</v>
      </c>
      <c r="C794" s="4" t="n">
        <v>10</v>
      </c>
      <c r="D794" s="4" t="n">
        <v>1</v>
      </c>
      <c r="E794" s="13" t="n">
        <v>45518</v>
      </c>
      <c r="F794" s="4" t="s">
        <v>3188</v>
      </c>
      <c r="G794" s="4" t="str">
        <f aca="false">INDEX(PurchaseOrders!$B$2:$B$3001,MATCH(B794,PurchaseOrders!$A$2:$A$3001,0))</f>
        <v>V054</v>
      </c>
    </row>
    <row r="795" customFormat="false" ht="15" hidden="false" customHeight="true" outlineLevel="0" collapsed="false">
      <c r="A795" s="4" t="s">
        <v>3982</v>
      </c>
      <c r="B795" s="4" t="s">
        <v>971</v>
      </c>
      <c r="C795" s="4" t="n">
        <v>3</v>
      </c>
      <c r="D795" s="4" t="n">
        <v>0</v>
      </c>
      <c r="E795" s="13" t="n">
        <v>45439</v>
      </c>
      <c r="F795" s="4"/>
      <c r="G795" s="4" t="str">
        <f aca="false">INDEX(PurchaseOrders!$B$2:$B$3001,MATCH(B795,PurchaseOrders!$A$2:$A$3001,0))</f>
        <v>V053</v>
      </c>
    </row>
    <row r="796" customFormat="false" ht="15" hidden="false" customHeight="true" outlineLevel="0" collapsed="false">
      <c r="A796" s="4" t="s">
        <v>3983</v>
      </c>
      <c r="B796" s="4" t="s">
        <v>972</v>
      </c>
      <c r="C796" s="4" t="n">
        <v>84</v>
      </c>
      <c r="D796" s="4" t="n">
        <v>3</v>
      </c>
      <c r="E796" s="13" t="n">
        <v>45075</v>
      </c>
      <c r="F796" s="4" t="s">
        <v>3186</v>
      </c>
      <c r="G796" s="4" t="str">
        <f aca="false">INDEX(PurchaseOrders!$B$2:$B$3001,MATCH(B796,PurchaseOrders!$A$2:$A$3001,0))</f>
        <v>V052</v>
      </c>
    </row>
    <row r="797" customFormat="false" ht="15" hidden="false" customHeight="true" outlineLevel="0" collapsed="false">
      <c r="A797" s="4" t="s">
        <v>3984</v>
      </c>
      <c r="B797" s="4" t="s">
        <v>973</v>
      </c>
      <c r="C797" s="4" t="n">
        <v>1876</v>
      </c>
      <c r="D797" s="4" t="n">
        <v>88</v>
      </c>
      <c r="E797" s="13" t="n">
        <v>45115</v>
      </c>
      <c r="F797" s="4" t="s">
        <v>3202</v>
      </c>
      <c r="G797" s="4" t="str">
        <f aca="false">INDEX(PurchaseOrders!$B$2:$B$3001,MATCH(B797,PurchaseOrders!$A$2:$A$3001,0))</f>
        <v>V034</v>
      </c>
    </row>
    <row r="798" customFormat="false" ht="15" hidden="false" customHeight="true" outlineLevel="0" collapsed="false">
      <c r="A798" s="4" t="s">
        <v>3985</v>
      </c>
      <c r="B798" s="4" t="s">
        <v>974</v>
      </c>
      <c r="C798" s="4" t="n">
        <v>1326</v>
      </c>
      <c r="D798" s="4" t="n">
        <v>252</v>
      </c>
      <c r="E798" s="13" t="n">
        <v>45232</v>
      </c>
      <c r="F798" s="4" t="s">
        <v>3192</v>
      </c>
      <c r="G798" s="4" t="str">
        <f aca="false">INDEX(PurchaseOrders!$B$2:$B$3001,MATCH(B798,PurchaseOrders!$A$2:$A$3001,0))</f>
        <v>V026</v>
      </c>
    </row>
    <row r="799" customFormat="false" ht="15" hidden="false" customHeight="true" outlineLevel="0" collapsed="false">
      <c r="A799" s="4" t="s">
        <v>3986</v>
      </c>
      <c r="B799" s="4" t="s">
        <v>975</v>
      </c>
      <c r="C799" s="4" t="n">
        <v>330</v>
      </c>
      <c r="D799" s="4" t="n">
        <v>0</v>
      </c>
      <c r="E799" s="13" t="n">
        <v>45259</v>
      </c>
      <c r="F799" s="4"/>
      <c r="G799" s="4" t="str">
        <f aca="false">INDEX(PurchaseOrders!$B$2:$B$3001,MATCH(B799,PurchaseOrders!$A$2:$A$3001,0))</f>
        <v>V008</v>
      </c>
    </row>
    <row r="800" customFormat="false" ht="15" hidden="false" customHeight="true" outlineLevel="0" collapsed="false">
      <c r="A800" s="4" t="s">
        <v>3987</v>
      </c>
      <c r="B800" s="4" t="s">
        <v>976</v>
      </c>
      <c r="C800" s="4" t="n">
        <v>3663</v>
      </c>
      <c r="D800" s="4" t="n">
        <v>128</v>
      </c>
      <c r="E800" s="13" t="n">
        <v>45158</v>
      </c>
      <c r="F800" s="4" t="s">
        <v>3190</v>
      </c>
      <c r="G800" s="4" t="str">
        <f aca="false">INDEX(PurchaseOrders!$B$2:$B$3001,MATCH(B800,PurchaseOrders!$A$2:$A$3001,0))</f>
        <v>V058</v>
      </c>
    </row>
    <row r="801" customFormat="false" ht="15" hidden="false" customHeight="true" outlineLevel="0" collapsed="false">
      <c r="A801" s="4" t="s">
        <v>3988</v>
      </c>
      <c r="B801" s="4" t="s">
        <v>977</v>
      </c>
      <c r="C801" s="4" t="n">
        <v>2669</v>
      </c>
      <c r="D801" s="4" t="n">
        <v>111</v>
      </c>
      <c r="E801" s="13" t="n">
        <v>45219</v>
      </c>
      <c r="F801" s="4" t="s">
        <v>3184</v>
      </c>
      <c r="G801" s="4" t="str">
        <f aca="false">INDEX(PurchaseOrders!$B$2:$B$3001,MATCH(B801,PurchaseOrders!$A$2:$A$3001,0))</f>
        <v>V002</v>
      </c>
    </row>
    <row r="802" customFormat="false" ht="15" hidden="false" customHeight="true" outlineLevel="0" collapsed="false">
      <c r="A802" s="4" t="s">
        <v>3989</v>
      </c>
      <c r="B802" s="4" t="s">
        <v>978</v>
      </c>
      <c r="C802" s="4" t="n">
        <v>721</v>
      </c>
      <c r="D802" s="4" t="n">
        <v>50</v>
      </c>
      <c r="E802" s="13" t="n">
        <v>45316</v>
      </c>
      <c r="F802" s="4" t="s">
        <v>3186</v>
      </c>
      <c r="G802" s="4" t="str">
        <f aca="false">INDEX(PurchaseOrders!$B$2:$B$3001,MATCH(B802,PurchaseOrders!$A$2:$A$3001,0))</f>
        <v>V014</v>
      </c>
    </row>
    <row r="803" customFormat="false" ht="15" hidden="false" customHeight="true" outlineLevel="0" collapsed="false">
      <c r="A803" s="4" t="s">
        <v>3990</v>
      </c>
      <c r="B803" s="4" t="s">
        <v>979</v>
      </c>
      <c r="C803" s="4" t="n">
        <v>17</v>
      </c>
      <c r="D803" s="4" t="n">
        <v>2</v>
      </c>
      <c r="E803" s="13" t="n">
        <v>45552</v>
      </c>
      <c r="F803" s="4" t="s">
        <v>3188</v>
      </c>
      <c r="G803" s="4" t="str">
        <f aca="false">INDEX(PurchaseOrders!$B$2:$B$3001,MATCH(B803,PurchaseOrders!$A$2:$A$3001,0))</f>
        <v>V042</v>
      </c>
    </row>
    <row r="804" customFormat="false" ht="15" hidden="false" customHeight="true" outlineLevel="0" collapsed="false">
      <c r="A804" s="4" t="s">
        <v>3991</v>
      </c>
      <c r="B804" s="4" t="s">
        <v>980</v>
      </c>
      <c r="C804" s="4" t="n">
        <v>58</v>
      </c>
      <c r="D804" s="4" t="n">
        <v>2</v>
      </c>
      <c r="E804" s="13" t="n">
        <v>45407</v>
      </c>
      <c r="F804" s="4" t="s">
        <v>3190</v>
      </c>
      <c r="G804" s="4" t="str">
        <f aca="false">INDEX(PurchaseOrders!$B$2:$B$3001,MATCH(B804,PurchaseOrders!$A$2:$A$3001,0))</f>
        <v>V037</v>
      </c>
    </row>
    <row r="805" customFormat="false" ht="15" hidden="false" customHeight="true" outlineLevel="0" collapsed="false">
      <c r="A805" s="4" t="s">
        <v>3992</v>
      </c>
      <c r="B805" s="4" t="s">
        <v>981</v>
      </c>
      <c r="C805" s="4" t="n">
        <v>702</v>
      </c>
      <c r="D805" s="4" t="n">
        <v>116</v>
      </c>
      <c r="E805" s="13" t="n">
        <v>45439</v>
      </c>
      <c r="F805" s="4" t="s">
        <v>3202</v>
      </c>
      <c r="G805" s="4" t="str">
        <f aca="false">INDEX(PurchaseOrders!$B$2:$B$3001,MATCH(B805,PurchaseOrders!$A$2:$A$3001,0))</f>
        <v>V025</v>
      </c>
    </row>
    <row r="806" customFormat="false" ht="15" hidden="false" customHeight="true" outlineLevel="0" collapsed="false">
      <c r="A806" s="4" t="s">
        <v>3993</v>
      </c>
      <c r="B806" s="4" t="s">
        <v>982</v>
      </c>
      <c r="C806" s="4" t="n">
        <v>3294</v>
      </c>
      <c r="D806" s="4" t="n">
        <v>232</v>
      </c>
      <c r="E806" s="13" t="n">
        <v>45359</v>
      </c>
      <c r="F806" s="4" t="s">
        <v>3188</v>
      </c>
      <c r="G806" s="4" t="str">
        <f aca="false">INDEX(PurchaseOrders!$B$2:$B$3001,MATCH(B806,PurchaseOrders!$A$2:$A$3001,0))</f>
        <v>V058</v>
      </c>
    </row>
    <row r="807" customFormat="false" ht="15" hidden="false" customHeight="true" outlineLevel="0" collapsed="false">
      <c r="A807" s="4" t="s">
        <v>3994</v>
      </c>
      <c r="B807" s="4" t="s">
        <v>983</v>
      </c>
      <c r="C807" s="4" t="n">
        <v>109</v>
      </c>
      <c r="D807" s="4" t="n">
        <v>10</v>
      </c>
      <c r="E807" s="13" t="n">
        <v>45245</v>
      </c>
      <c r="F807" s="4" t="s">
        <v>3192</v>
      </c>
      <c r="G807" s="4" t="str">
        <f aca="false">INDEX(PurchaseOrders!$B$2:$B$3001,MATCH(B807,PurchaseOrders!$A$2:$A$3001,0))</f>
        <v>V030</v>
      </c>
    </row>
    <row r="808" customFormat="false" ht="15" hidden="false" customHeight="true" outlineLevel="0" collapsed="false">
      <c r="A808" s="4" t="s">
        <v>3995</v>
      </c>
      <c r="B808" s="4" t="s">
        <v>984</v>
      </c>
      <c r="C808" s="4" t="n">
        <v>411</v>
      </c>
      <c r="D808" s="4" t="n">
        <v>48</v>
      </c>
      <c r="E808" s="13" t="n">
        <v>45093</v>
      </c>
      <c r="F808" s="4" t="s">
        <v>3190</v>
      </c>
      <c r="G808" s="4" t="str">
        <f aca="false">INDEX(PurchaseOrders!$B$2:$B$3001,MATCH(B808,PurchaseOrders!$A$2:$A$3001,0))</f>
        <v>V055</v>
      </c>
    </row>
    <row r="809" customFormat="false" ht="15" hidden="false" customHeight="true" outlineLevel="0" collapsed="false">
      <c r="A809" s="4" t="s">
        <v>3996</v>
      </c>
      <c r="B809" s="4" t="s">
        <v>985</v>
      </c>
      <c r="C809" s="4" t="n">
        <v>3890</v>
      </c>
      <c r="D809" s="4" t="n">
        <v>327</v>
      </c>
      <c r="E809" s="13" t="n">
        <v>45148</v>
      </c>
      <c r="F809" s="4" t="s">
        <v>3190</v>
      </c>
      <c r="G809" s="4" t="str">
        <f aca="false">INDEX(PurchaseOrders!$B$2:$B$3001,MATCH(B809,PurchaseOrders!$A$2:$A$3001,0))</f>
        <v>V001</v>
      </c>
    </row>
    <row r="810" customFormat="false" ht="15" hidden="false" customHeight="true" outlineLevel="0" collapsed="false">
      <c r="A810" s="4" t="s">
        <v>3997</v>
      </c>
      <c r="B810" s="4" t="s">
        <v>986</v>
      </c>
      <c r="C810" s="4" t="n">
        <v>1504</v>
      </c>
      <c r="D810" s="4" t="n">
        <v>23</v>
      </c>
      <c r="E810" s="13" t="n">
        <v>45411</v>
      </c>
      <c r="F810" s="4" t="s">
        <v>3188</v>
      </c>
      <c r="G810" s="4" t="str">
        <f aca="false">INDEX(PurchaseOrders!$B$2:$B$3001,MATCH(B810,PurchaseOrders!$A$2:$A$3001,0))</f>
        <v>V022</v>
      </c>
    </row>
    <row r="811" customFormat="false" ht="15" hidden="false" customHeight="true" outlineLevel="0" collapsed="false">
      <c r="A811" s="4" t="s">
        <v>3998</v>
      </c>
      <c r="B811" s="4" t="s">
        <v>987</v>
      </c>
      <c r="C811" s="4" t="n">
        <v>5</v>
      </c>
      <c r="D811" s="4" t="n">
        <v>0</v>
      </c>
      <c r="E811" s="13" t="n">
        <v>45163</v>
      </c>
      <c r="F811" s="4"/>
      <c r="G811" s="4" t="str">
        <f aca="false">INDEX(PurchaseOrders!$B$2:$B$3001,MATCH(B811,PurchaseOrders!$A$2:$A$3001,0))</f>
        <v>V054</v>
      </c>
    </row>
    <row r="812" customFormat="false" ht="15" hidden="false" customHeight="true" outlineLevel="0" collapsed="false">
      <c r="A812" s="4" t="s">
        <v>3999</v>
      </c>
      <c r="B812" s="4" t="s">
        <v>988</v>
      </c>
      <c r="C812" s="4" t="n">
        <v>332</v>
      </c>
      <c r="D812" s="4" t="n">
        <v>21</v>
      </c>
      <c r="E812" s="13" t="n">
        <v>45525</v>
      </c>
      <c r="F812" s="4" t="s">
        <v>3202</v>
      </c>
      <c r="G812" s="4" t="str">
        <f aca="false">INDEX(PurchaseOrders!$B$2:$B$3001,MATCH(B812,PurchaseOrders!$A$2:$A$3001,0))</f>
        <v>V012</v>
      </c>
    </row>
    <row r="813" customFormat="false" ht="15" hidden="false" customHeight="true" outlineLevel="0" collapsed="false">
      <c r="A813" s="4" t="s">
        <v>4000</v>
      </c>
      <c r="B813" s="4" t="s">
        <v>989</v>
      </c>
      <c r="C813" s="4" t="n">
        <v>1205</v>
      </c>
      <c r="D813" s="4" t="n">
        <v>50</v>
      </c>
      <c r="E813" s="13" t="n">
        <v>45403</v>
      </c>
      <c r="F813" s="4" t="s">
        <v>3202</v>
      </c>
      <c r="G813" s="4" t="str">
        <f aca="false">INDEX(PurchaseOrders!$B$2:$B$3001,MATCH(B813,PurchaseOrders!$A$2:$A$3001,0))</f>
        <v>V017</v>
      </c>
    </row>
    <row r="814" customFormat="false" ht="15" hidden="false" customHeight="true" outlineLevel="0" collapsed="false">
      <c r="A814" s="4" t="s">
        <v>4001</v>
      </c>
      <c r="B814" s="4" t="s">
        <v>990</v>
      </c>
      <c r="C814" s="4" t="n">
        <v>238</v>
      </c>
      <c r="D814" s="4" t="n">
        <v>21</v>
      </c>
      <c r="E814" s="13" t="n">
        <v>45375</v>
      </c>
      <c r="F814" s="4" t="s">
        <v>3190</v>
      </c>
      <c r="G814" s="4" t="str">
        <f aca="false">INDEX(PurchaseOrders!$B$2:$B$3001,MATCH(B814,PurchaseOrders!$A$2:$A$3001,0))</f>
        <v>V027</v>
      </c>
    </row>
    <row r="815" customFormat="false" ht="15" hidden="false" customHeight="true" outlineLevel="0" collapsed="false">
      <c r="A815" s="4" t="s">
        <v>4002</v>
      </c>
      <c r="B815" s="4" t="s">
        <v>991</v>
      </c>
      <c r="C815" s="4" t="n">
        <v>2293</v>
      </c>
      <c r="D815" s="4" t="n">
        <v>113</v>
      </c>
      <c r="E815" s="13" t="n">
        <v>45425</v>
      </c>
      <c r="F815" s="4" t="s">
        <v>3188</v>
      </c>
      <c r="G815" s="4" t="str">
        <f aca="false">INDEX(PurchaseOrders!$B$2:$B$3001,MATCH(B815,PurchaseOrders!$A$2:$A$3001,0))</f>
        <v>V050</v>
      </c>
    </row>
    <row r="816" customFormat="false" ht="15" hidden="false" customHeight="true" outlineLevel="0" collapsed="false">
      <c r="A816" s="4" t="s">
        <v>4003</v>
      </c>
      <c r="B816" s="4" t="s">
        <v>992</v>
      </c>
      <c r="C816" s="4" t="n">
        <v>4024</v>
      </c>
      <c r="D816" s="4" t="n">
        <v>327</v>
      </c>
      <c r="E816" s="13" t="n">
        <v>44967</v>
      </c>
      <c r="F816" s="4" t="s">
        <v>3190</v>
      </c>
      <c r="G816" s="4" t="str">
        <f aca="false">INDEX(PurchaseOrders!$B$2:$B$3001,MATCH(B816,PurchaseOrders!$A$2:$A$3001,0))</f>
        <v>V014</v>
      </c>
    </row>
    <row r="817" customFormat="false" ht="15" hidden="false" customHeight="true" outlineLevel="0" collapsed="false">
      <c r="A817" s="4" t="s">
        <v>4004</v>
      </c>
      <c r="B817" s="4" t="s">
        <v>993</v>
      </c>
      <c r="C817" s="4" t="n">
        <v>212</v>
      </c>
      <c r="D817" s="4" t="n">
        <v>1</v>
      </c>
      <c r="E817" s="13" t="n">
        <v>45358</v>
      </c>
      <c r="F817" s="4" t="s">
        <v>3184</v>
      </c>
      <c r="G817" s="4" t="str">
        <f aca="false">INDEX(PurchaseOrders!$B$2:$B$3001,MATCH(B817,PurchaseOrders!$A$2:$A$3001,0))</f>
        <v>V046</v>
      </c>
    </row>
    <row r="818" customFormat="false" ht="15" hidden="false" customHeight="true" outlineLevel="0" collapsed="false">
      <c r="A818" s="4" t="s">
        <v>4005</v>
      </c>
      <c r="B818" s="4" t="s">
        <v>994</v>
      </c>
      <c r="C818" s="4" t="n">
        <v>1738</v>
      </c>
      <c r="D818" s="4" t="n">
        <v>106</v>
      </c>
      <c r="E818" s="13" t="n">
        <v>44982</v>
      </c>
      <c r="F818" s="4" t="s">
        <v>3184</v>
      </c>
      <c r="G818" s="4" t="str">
        <f aca="false">INDEX(PurchaseOrders!$B$2:$B$3001,MATCH(B818,PurchaseOrders!$A$2:$A$3001,0))</f>
        <v>V050</v>
      </c>
    </row>
    <row r="819" customFormat="false" ht="15" hidden="false" customHeight="true" outlineLevel="0" collapsed="false">
      <c r="A819" s="4" t="s">
        <v>4006</v>
      </c>
      <c r="B819" s="4" t="s">
        <v>995</v>
      </c>
      <c r="C819" s="4" t="n">
        <v>1333</v>
      </c>
      <c r="D819" s="4" t="n">
        <v>111</v>
      </c>
      <c r="E819" s="13" t="n">
        <v>44996</v>
      </c>
      <c r="F819" s="4" t="s">
        <v>3202</v>
      </c>
      <c r="G819" s="4" t="str">
        <f aca="false">INDEX(PurchaseOrders!$B$2:$B$3001,MATCH(B819,PurchaseOrders!$A$2:$A$3001,0))</f>
        <v>V007</v>
      </c>
    </row>
    <row r="820" customFormat="false" ht="15" hidden="false" customHeight="true" outlineLevel="0" collapsed="false">
      <c r="A820" s="4" t="s">
        <v>4007</v>
      </c>
      <c r="B820" s="4" t="s">
        <v>996</v>
      </c>
      <c r="C820" s="4" t="n">
        <v>195</v>
      </c>
      <c r="D820" s="4" t="n">
        <v>18</v>
      </c>
      <c r="E820" s="13" t="n">
        <v>45184</v>
      </c>
      <c r="F820" s="4" t="s">
        <v>3188</v>
      </c>
      <c r="G820" s="4" t="str">
        <f aca="false">INDEX(PurchaseOrders!$B$2:$B$3001,MATCH(B820,PurchaseOrders!$A$2:$A$3001,0))</f>
        <v>V013</v>
      </c>
    </row>
    <row r="821" customFormat="false" ht="15" hidden="false" customHeight="true" outlineLevel="0" collapsed="false">
      <c r="A821" s="4" t="s">
        <v>4008</v>
      </c>
      <c r="B821" s="4" t="s">
        <v>997</v>
      </c>
      <c r="C821" s="4" t="n">
        <v>785</v>
      </c>
      <c r="D821" s="4" t="n">
        <v>134</v>
      </c>
      <c r="E821" s="13" t="n">
        <v>45030</v>
      </c>
      <c r="F821" s="4" t="s">
        <v>3188</v>
      </c>
      <c r="G821" s="4" t="str">
        <f aca="false">INDEX(PurchaseOrders!$B$2:$B$3001,MATCH(B821,PurchaseOrders!$A$2:$A$3001,0))</f>
        <v>V025</v>
      </c>
    </row>
    <row r="822" customFormat="false" ht="15" hidden="false" customHeight="true" outlineLevel="0" collapsed="false">
      <c r="A822" s="4" t="s">
        <v>4009</v>
      </c>
      <c r="B822" s="4" t="s">
        <v>998</v>
      </c>
      <c r="C822" s="4" t="n">
        <v>267</v>
      </c>
      <c r="D822" s="4" t="n">
        <v>6</v>
      </c>
      <c r="E822" s="13" t="n">
        <v>45198</v>
      </c>
      <c r="F822" s="4" t="s">
        <v>3192</v>
      </c>
      <c r="G822" s="4" t="str">
        <f aca="false">INDEX(PurchaseOrders!$B$2:$B$3001,MATCH(B822,PurchaseOrders!$A$2:$A$3001,0))</f>
        <v>V060</v>
      </c>
    </row>
    <row r="823" customFormat="false" ht="15" hidden="false" customHeight="true" outlineLevel="0" collapsed="false">
      <c r="A823" s="4" t="s">
        <v>4010</v>
      </c>
      <c r="B823" s="4" t="s">
        <v>999</v>
      </c>
      <c r="C823" s="4" t="n">
        <v>813</v>
      </c>
      <c r="D823" s="4" t="n">
        <v>52</v>
      </c>
      <c r="E823" s="13" t="n">
        <v>45382</v>
      </c>
      <c r="F823" s="4" t="s">
        <v>3202</v>
      </c>
      <c r="G823" s="4" t="str">
        <f aca="false">INDEX(PurchaseOrders!$B$2:$B$3001,MATCH(B823,PurchaseOrders!$A$2:$A$3001,0))</f>
        <v>V021</v>
      </c>
    </row>
    <row r="824" customFormat="false" ht="15" hidden="false" customHeight="true" outlineLevel="0" collapsed="false">
      <c r="A824" s="4" t="s">
        <v>4011</v>
      </c>
      <c r="B824" s="4" t="s">
        <v>1000</v>
      </c>
      <c r="C824" s="4" t="n">
        <v>106</v>
      </c>
      <c r="D824" s="4" t="n">
        <v>10</v>
      </c>
      <c r="E824" s="13" t="n">
        <v>45220</v>
      </c>
      <c r="F824" s="4" t="s">
        <v>3192</v>
      </c>
      <c r="G824" s="4" t="str">
        <f aca="false">INDEX(PurchaseOrders!$B$2:$B$3001,MATCH(B824,PurchaseOrders!$A$2:$A$3001,0))</f>
        <v>V009</v>
      </c>
    </row>
    <row r="825" customFormat="false" ht="15" hidden="false" customHeight="true" outlineLevel="0" collapsed="false">
      <c r="A825" s="4" t="s">
        <v>4012</v>
      </c>
      <c r="B825" s="4" t="s">
        <v>1001</v>
      </c>
      <c r="C825" s="4" t="n">
        <v>1291</v>
      </c>
      <c r="D825" s="4" t="n">
        <v>129</v>
      </c>
      <c r="E825" s="13" t="n">
        <v>45526</v>
      </c>
      <c r="F825" s="4" t="s">
        <v>3192</v>
      </c>
      <c r="G825" s="4" t="str">
        <f aca="false">INDEX(PurchaseOrders!$B$2:$B$3001,MATCH(B825,PurchaseOrders!$A$2:$A$3001,0))</f>
        <v>V050</v>
      </c>
    </row>
    <row r="826" customFormat="false" ht="15" hidden="false" customHeight="true" outlineLevel="0" collapsed="false">
      <c r="A826" s="4" t="s">
        <v>4013</v>
      </c>
      <c r="B826" s="4" t="s">
        <v>1002</v>
      </c>
      <c r="C826" s="4" t="n">
        <v>1564</v>
      </c>
      <c r="D826" s="4" t="n">
        <v>102</v>
      </c>
      <c r="E826" s="13" t="n">
        <v>45019</v>
      </c>
      <c r="F826" s="4" t="s">
        <v>3190</v>
      </c>
      <c r="G826" s="4" t="str">
        <f aca="false">INDEX(PurchaseOrders!$B$2:$B$3001,MATCH(B826,PurchaseOrders!$A$2:$A$3001,0))</f>
        <v>V014</v>
      </c>
    </row>
    <row r="827" customFormat="false" ht="15" hidden="false" customHeight="true" outlineLevel="0" collapsed="false">
      <c r="A827" s="4" t="s">
        <v>4014</v>
      </c>
      <c r="B827" s="4" t="s">
        <v>1003</v>
      </c>
      <c r="C827" s="4" t="n">
        <v>2610</v>
      </c>
      <c r="D827" s="4" t="n">
        <v>61</v>
      </c>
      <c r="E827" s="13" t="n">
        <v>45060</v>
      </c>
      <c r="F827" s="4" t="s">
        <v>3190</v>
      </c>
      <c r="G827" s="4" t="str">
        <f aca="false">INDEX(PurchaseOrders!$B$2:$B$3001,MATCH(B827,PurchaseOrders!$A$2:$A$3001,0))</f>
        <v>V003</v>
      </c>
    </row>
    <row r="828" customFormat="false" ht="15" hidden="false" customHeight="true" outlineLevel="0" collapsed="false">
      <c r="A828" s="4" t="s">
        <v>4015</v>
      </c>
      <c r="B828" s="4" t="s">
        <v>1004</v>
      </c>
      <c r="C828" s="4" t="n">
        <v>257</v>
      </c>
      <c r="D828" s="4" t="n">
        <v>16</v>
      </c>
      <c r="E828" s="13" t="n">
        <v>45015</v>
      </c>
      <c r="F828" s="4" t="s">
        <v>3188</v>
      </c>
      <c r="G828" s="4" t="str">
        <f aca="false">INDEX(PurchaseOrders!$B$2:$B$3001,MATCH(B828,PurchaseOrders!$A$2:$A$3001,0))</f>
        <v>V004</v>
      </c>
    </row>
    <row r="829" customFormat="false" ht="15" hidden="false" customHeight="true" outlineLevel="0" collapsed="false">
      <c r="A829" s="4" t="s">
        <v>4016</v>
      </c>
      <c r="B829" s="4" t="s">
        <v>1005</v>
      </c>
      <c r="C829" s="4" t="n">
        <v>452</v>
      </c>
      <c r="D829" s="4" t="n">
        <v>2</v>
      </c>
      <c r="E829" s="13" t="n">
        <v>45440</v>
      </c>
      <c r="F829" s="4" t="s">
        <v>3202</v>
      </c>
      <c r="G829" s="4" t="str">
        <f aca="false">INDEX(PurchaseOrders!$B$2:$B$3001,MATCH(B829,PurchaseOrders!$A$2:$A$3001,0))</f>
        <v>V060</v>
      </c>
    </row>
    <row r="830" customFormat="false" ht="15" hidden="false" customHeight="true" outlineLevel="0" collapsed="false">
      <c r="A830" s="4" t="s">
        <v>4017</v>
      </c>
      <c r="B830" s="4" t="s">
        <v>1006</v>
      </c>
      <c r="C830" s="4" t="n">
        <v>111</v>
      </c>
      <c r="D830" s="4" t="n">
        <v>3</v>
      </c>
      <c r="E830" s="13" t="n">
        <v>45339</v>
      </c>
      <c r="F830" s="4" t="s">
        <v>3186</v>
      </c>
      <c r="G830" s="4" t="str">
        <f aca="false">INDEX(PurchaseOrders!$B$2:$B$3001,MATCH(B830,PurchaseOrders!$A$2:$A$3001,0))</f>
        <v>V046</v>
      </c>
    </row>
    <row r="831" customFormat="false" ht="15" hidden="false" customHeight="true" outlineLevel="0" collapsed="false">
      <c r="A831" s="4" t="s">
        <v>4018</v>
      </c>
      <c r="B831" s="4" t="s">
        <v>1007</v>
      </c>
      <c r="C831" s="4" t="n">
        <v>197</v>
      </c>
      <c r="D831" s="4" t="n">
        <v>41</v>
      </c>
      <c r="E831" s="13" t="n">
        <v>45451</v>
      </c>
      <c r="F831" s="4" t="s">
        <v>3192</v>
      </c>
      <c r="G831" s="4" t="str">
        <f aca="false">INDEX(PurchaseOrders!$B$2:$B$3001,MATCH(B831,PurchaseOrders!$A$2:$A$3001,0))</f>
        <v>V025</v>
      </c>
    </row>
    <row r="832" customFormat="false" ht="15" hidden="false" customHeight="true" outlineLevel="0" collapsed="false">
      <c r="A832" s="4" t="s">
        <v>4019</v>
      </c>
      <c r="B832" s="4" t="s">
        <v>1008</v>
      </c>
      <c r="C832" s="4" t="n">
        <v>6</v>
      </c>
      <c r="D832" s="4" t="n">
        <v>0</v>
      </c>
      <c r="E832" s="13" t="n">
        <v>45110</v>
      </c>
      <c r="F832" s="4"/>
      <c r="G832" s="4" t="str">
        <f aca="false">INDEX(PurchaseOrders!$B$2:$B$3001,MATCH(B832,PurchaseOrders!$A$2:$A$3001,0))</f>
        <v>V053</v>
      </c>
    </row>
    <row r="833" customFormat="false" ht="15" hidden="false" customHeight="true" outlineLevel="0" collapsed="false">
      <c r="A833" s="4" t="s">
        <v>4020</v>
      </c>
      <c r="B833" s="4" t="s">
        <v>1009</v>
      </c>
      <c r="C833" s="4" t="n">
        <v>883</v>
      </c>
      <c r="D833" s="4" t="n">
        <v>45</v>
      </c>
      <c r="E833" s="13" t="n">
        <v>45237</v>
      </c>
      <c r="F833" s="4" t="s">
        <v>3184</v>
      </c>
      <c r="G833" s="4" t="str">
        <f aca="false">INDEX(PurchaseOrders!$B$2:$B$3001,MATCH(B833,PurchaseOrders!$A$2:$A$3001,0))</f>
        <v>V051</v>
      </c>
    </row>
    <row r="834" customFormat="false" ht="15" hidden="false" customHeight="true" outlineLevel="0" collapsed="false">
      <c r="A834" s="4" t="s">
        <v>4021</v>
      </c>
      <c r="B834" s="4" t="s">
        <v>1010</v>
      </c>
      <c r="C834" s="4" t="n">
        <v>158</v>
      </c>
      <c r="D834" s="4" t="n">
        <v>2</v>
      </c>
      <c r="E834" s="13" t="n">
        <v>45003</v>
      </c>
      <c r="F834" s="4" t="s">
        <v>3188</v>
      </c>
      <c r="G834" s="4" t="str">
        <f aca="false">INDEX(PurchaseOrders!$B$2:$B$3001,MATCH(B834,PurchaseOrders!$A$2:$A$3001,0))</f>
        <v>V046</v>
      </c>
    </row>
    <row r="835" customFormat="false" ht="15" hidden="false" customHeight="true" outlineLevel="0" collapsed="false">
      <c r="A835" s="4" t="s">
        <v>4022</v>
      </c>
      <c r="B835" s="4" t="s">
        <v>1011</v>
      </c>
      <c r="C835" s="4" t="n">
        <v>223</v>
      </c>
      <c r="D835" s="4" t="n">
        <v>26</v>
      </c>
      <c r="E835" s="13" t="n">
        <v>45129</v>
      </c>
      <c r="F835" s="4" t="s">
        <v>3202</v>
      </c>
      <c r="G835" s="4" t="str">
        <f aca="false">INDEX(PurchaseOrders!$B$2:$B$3001,MATCH(B835,PurchaseOrders!$A$2:$A$3001,0))</f>
        <v>V009</v>
      </c>
    </row>
    <row r="836" customFormat="false" ht="15" hidden="false" customHeight="true" outlineLevel="0" collapsed="false">
      <c r="A836" s="4" t="s">
        <v>4023</v>
      </c>
      <c r="B836" s="4" t="s">
        <v>1012</v>
      </c>
      <c r="C836" s="4" t="n">
        <v>877</v>
      </c>
      <c r="D836" s="4" t="n">
        <v>7</v>
      </c>
      <c r="E836" s="13" t="n">
        <v>45349</v>
      </c>
      <c r="F836" s="4" t="s">
        <v>3202</v>
      </c>
      <c r="G836" s="4" t="str">
        <f aca="false">INDEX(PurchaseOrders!$B$2:$B$3001,MATCH(B836,PurchaseOrders!$A$2:$A$3001,0))</f>
        <v>V020</v>
      </c>
    </row>
    <row r="837" customFormat="false" ht="15" hidden="false" customHeight="true" outlineLevel="0" collapsed="false">
      <c r="A837" s="4" t="s">
        <v>4024</v>
      </c>
      <c r="B837" s="4" t="s">
        <v>1013</v>
      </c>
      <c r="C837" s="4" t="n">
        <v>556</v>
      </c>
      <c r="D837" s="4" t="n">
        <v>32</v>
      </c>
      <c r="E837" s="13" t="n">
        <v>45040</v>
      </c>
      <c r="F837" s="4" t="s">
        <v>3184</v>
      </c>
      <c r="G837" s="4" t="str">
        <f aca="false">INDEX(PurchaseOrders!$B$2:$B$3001,MATCH(B837,PurchaseOrders!$A$2:$A$3001,0))</f>
        <v>V045</v>
      </c>
    </row>
    <row r="838" customFormat="false" ht="15" hidden="false" customHeight="true" outlineLevel="0" collapsed="false">
      <c r="A838" s="4" t="s">
        <v>4025</v>
      </c>
      <c r="B838" s="4" t="s">
        <v>1014</v>
      </c>
      <c r="C838" s="4" t="n">
        <v>315</v>
      </c>
      <c r="D838" s="4" t="n">
        <v>0</v>
      </c>
      <c r="E838" s="13" t="n">
        <v>45198</v>
      </c>
      <c r="F838" s="4"/>
      <c r="G838" s="4" t="str">
        <f aca="false">INDEX(PurchaseOrders!$B$2:$B$3001,MATCH(B838,PurchaseOrders!$A$2:$A$3001,0))</f>
        <v>V060</v>
      </c>
    </row>
    <row r="839" customFormat="false" ht="15" hidden="false" customHeight="true" outlineLevel="0" collapsed="false">
      <c r="A839" s="4" t="s">
        <v>4026</v>
      </c>
      <c r="B839" s="4" t="s">
        <v>1015</v>
      </c>
      <c r="C839" s="4" t="n">
        <v>230</v>
      </c>
      <c r="D839" s="4" t="n">
        <v>11</v>
      </c>
      <c r="E839" s="13" t="n">
        <v>45229</v>
      </c>
      <c r="F839" s="4" t="s">
        <v>3186</v>
      </c>
      <c r="G839" s="4" t="str">
        <f aca="false">INDEX(PurchaseOrders!$B$2:$B$3001,MATCH(B839,PurchaseOrders!$A$2:$A$3001,0))</f>
        <v>V004</v>
      </c>
    </row>
    <row r="840" customFormat="false" ht="15" hidden="false" customHeight="true" outlineLevel="0" collapsed="false">
      <c r="A840" s="4" t="s">
        <v>4027</v>
      </c>
      <c r="B840" s="4" t="s">
        <v>1016</v>
      </c>
      <c r="C840" s="4" t="n">
        <v>2968</v>
      </c>
      <c r="D840" s="4" t="n">
        <v>178</v>
      </c>
      <c r="E840" s="13" t="n">
        <v>44952</v>
      </c>
      <c r="F840" s="4" t="s">
        <v>3202</v>
      </c>
      <c r="G840" s="4" t="str">
        <f aca="false">INDEX(PurchaseOrders!$B$2:$B$3001,MATCH(B840,PurchaseOrders!$A$2:$A$3001,0))</f>
        <v>V058</v>
      </c>
    </row>
    <row r="841" customFormat="false" ht="15" hidden="false" customHeight="true" outlineLevel="0" collapsed="false">
      <c r="A841" s="4" t="s">
        <v>4028</v>
      </c>
      <c r="B841" s="4" t="s">
        <v>1017</v>
      </c>
      <c r="C841" s="4" t="n">
        <v>516</v>
      </c>
      <c r="D841" s="4" t="n">
        <v>26</v>
      </c>
      <c r="E841" s="13" t="n">
        <v>45448</v>
      </c>
      <c r="F841" s="4" t="s">
        <v>3186</v>
      </c>
      <c r="G841" s="4" t="str">
        <f aca="false">INDEX(PurchaseOrders!$B$2:$B$3001,MATCH(B841,PurchaseOrders!$A$2:$A$3001,0))</f>
        <v>V035</v>
      </c>
    </row>
    <row r="842" customFormat="false" ht="15" hidden="false" customHeight="true" outlineLevel="0" collapsed="false">
      <c r="A842" s="4" t="s">
        <v>4029</v>
      </c>
      <c r="B842" s="4" t="s">
        <v>1018</v>
      </c>
      <c r="C842" s="4" t="n">
        <v>487</v>
      </c>
      <c r="D842" s="4" t="n">
        <v>28</v>
      </c>
      <c r="E842" s="13" t="n">
        <v>45070</v>
      </c>
      <c r="F842" s="4" t="s">
        <v>3188</v>
      </c>
      <c r="G842" s="4" t="str">
        <f aca="false">INDEX(PurchaseOrders!$B$2:$B$3001,MATCH(B842,PurchaseOrders!$A$2:$A$3001,0))</f>
        <v>V048</v>
      </c>
    </row>
    <row r="843" customFormat="false" ht="15" hidden="false" customHeight="true" outlineLevel="0" collapsed="false">
      <c r="A843" s="4" t="s">
        <v>4030</v>
      </c>
      <c r="B843" s="4" t="s">
        <v>1019</v>
      </c>
      <c r="C843" s="4" t="n">
        <v>1419</v>
      </c>
      <c r="D843" s="4" t="n">
        <v>62</v>
      </c>
      <c r="E843" s="13" t="n">
        <v>45118</v>
      </c>
      <c r="F843" s="4" t="s">
        <v>3192</v>
      </c>
      <c r="G843" s="4" t="str">
        <f aca="false">INDEX(PurchaseOrders!$B$2:$B$3001,MATCH(B843,PurchaseOrders!$A$2:$A$3001,0))</f>
        <v>V058</v>
      </c>
    </row>
    <row r="844" customFormat="false" ht="15" hidden="false" customHeight="true" outlineLevel="0" collapsed="false">
      <c r="A844" s="4" t="s">
        <v>4031</v>
      </c>
      <c r="B844" s="4" t="s">
        <v>1020</v>
      </c>
      <c r="C844" s="4" t="n">
        <v>862</v>
      </c>
      <c r="D844" s="4" t="n">
        <v>42</v>
      </c>
      <c r="E844" s="13" t="n">
        <v>45238</v>
      </c>
      <c r="F844" s="4" t="s">
        <v>3192</v>
      </c>
      <c r="G844" s="4" t="str">
        <f aca="false">INDEX(PurchaseOrders!$B$2:$B$3001,MATCH(B844,PurchaseOrders!$A$2:$A$3001,0))</f>
        <v>V051</v>
      </c>
    </row>
    <row r="845" customFormat="false" ht="15" hidden="false" customHeight="true" outlineLevel="0" collapsed="false">
      <c r="A845" s="4" t="s">
        <v>4032</v>
      </c>
      <c r="B845" s="4" t="s">
        <v>1021</v>
      </c>
      <c r="C845" s="4" t="n">
        <v>3</v>
      </c>
      <c r="D845" s="4" t="n">
        <v>0</v>
      </c>
      <c r="E845" s="13" t="n">
        <v>45373</v>
      </c>
      <c r="F845" s="4"/>
      <c r="G845" s="4" t="str">
        <f aca="false">INDEX(PurchaseOrders!$B$2:$B$3001,MATCH(B845,PurchaseOrders!$A$2:$A$3001,0))</f>
        <v>V042</v>
      </c>
    </row>
    <row r="846" customFormat="false" ht="15" hidden="false" customHeight="true" outlineLevel="0" collapsed="false">
      <c r="A846" s="4" t="s">
        <v>4033</v>
      </c>
      <c r="B846" s="4" t="s">
        <v>1022</v>
      </c>
      <c r="C846" s="4" t="n">
        <v>312</v>
      </c>
      <c r="D846" s="4" t="n">
        <v>30</v>
      </c>
      <c r="E846" s="13" t="n">
        <v>44983</v>
      </c>
      <c r="F846" s="4" t="s">
        <v>3190</v>
      </c>
      <c r="G846" s="4" t="str">
        <f aca="false">INDEX(PurchaseOrders!$B$2:$B$3001,MATCH(B846,PurchaseOrders!$A$2:$A$3001,0))</f>
        <v>V043</v>
      </c>
    </row>
    <row r="847" customFormat="false" ht="15" hidden="false" customHeight="true" outlineLevel="0" collapsed="false">
      <c r="A847" s="4" t="s">
        <v>4034</v>
      </c>
      <c r="B847" s="4" t="s">
        <v>1023</v>
      </c>
      <c r="C847" s="4" t="n">
        <v>465</v>
      </c>
      <c r="D847" s="4" t="n">
        <v>10</v>
      </c>
      <c r="E847" s="13" t="n">
        <v>45360</v>
      </c>
      <c r="F847" s="4" t="s">
        <v>3184</v>
      </c>
      <c r="G847" s="4" t="str">
        <f aca="false">INDEX(PurchaseOrders!$B$2:$B$3001,MATCH(B847,PurchaseOrders!$A$2:$A$3001,0))</f>
        <v>V008</v>
      </c>
    </row>
    <row r="848" customFormat="false" ht="15" hidden="false" customHeight="true" outlineLevel="0" collapsed="false">
      <c r="A848" s="4" t="s">
        <v>4035</v>
      </c>
      <c r="B848" s="4" t="s">
        <v>1024</v>
      </c>
      <c r="C848" s="4" t="n">
        <v>844</v>
      </c>
      <c r="D848" s="4" t="n">
        <v>124</v>
      </c>
      <c r="E848" s="13" t="n">
        <v>45457</v>
      </c>
      <c r="F848" s="4" t="s">
        <v>3186</v>
      </c>
      <c r="G848" s="4" t="str">
        <f aca="false">INDEX(PurchaseOrders!$B$2:$B$3001,MATCH(B848,PurchaseOrders!$A$2:$A$3001,0))</f>
        <v>V057</v>
      </c>
    </row>
    <row r="849" customFormat="false" ht="15" hidden="false" customHeight="true" outlineLevel="0" collapsed="false">
      <c r="A849" s="4" t="s">
        <v>4036</v>
      </c>
      <c r="B849" s="4" t="s">
        <v>1025</v>
      </c>
      <c r="C849" s="4" t="n">
        <v>1455</v>
      </c>
      <c r="D849" s="4" t="n">
        <v>274</v>
      </c>
      <c r="E849" s="13" t="n">
        <v>45514</v>
      </c>
      <c r="F849" s="4" t="s">
        <v>3192</v>
      </c>
      <c r="G849" s="4" t="str">
        <f aca="false">INDEX(PurchaseOrders!$B$2:$B$3001,MATCH(B849,PurchaseOrders!$A$2:$A$3001,0))</f>
        <v>V025</v>
      </c>
    </row>
    <row r="850" customFormat="false" ht="15" hidden="false" customHeight="true" outlineLevel="0" collapsed="false">
      <c r="A850" s="4" t="s">
        <v>4037</v>
      </c>
      <c r="B850" s="4" t="s">
        <v>1026</v>
      </c>
      <c r="C850" s="4" t="n">
        <v>950</v>
      </c>
      <c r="D850" s="4" t="n">
        <v>118</v>
      </c>
      <c r="E850" s="13" t="n">
        <v>45192</v>
      </c>
      <c r="F850" s="4" t="s">
        <v>3202</v>
      </c>
      <c r="G850" s="4" t="str">
        <f aca="false">INDEX(PurchaseOrders!$B$2:$B$3001,MATCH(B850,PurchaseOrders!$A$2:$A$3001,0))</f>
        <v>V005</v>
      </c>
    </row>
    <row r="851" customFormat="false" ht="15" hidden="false" customHeight="true" outlineLevel="0" collapsed="false">
      <c r="A851" s="4" t="s">
        <v>4038</v>
      </c>
      <c r="B851" s="4" t="s">
        <v>1027</v>
      </c>
      <c r="C851" s="4" t="n">
        <v>4233</v>
      </c>
      <c r="D851" s="4" t="n">
        <v>274</v>
      </c>
      <c r="E851" s="13" t="n">
        <v>45043</v>
      </c>
      <c r="F851" s="4" t="s">
        <v>3202</v>
      </c>
      <c r="G851" s="4" t="str">
        <f aca="false">INDEX(PurchaseOrders!$B$2:$B$3001,MATCH(B851,PurchaseOrders!$A$2:$A$3001,0))</f>
        <v>V001</v>
      </c>
    </row>
    <row r="852" customFormat="false" ht="15" hidden="false" customHeight="true" outlineLevel="0" collapsed="false">
      <c r="A852" s="4" t="s">
        <v>4039</v>
      </c>
      <c r="B852" s="4" t="s">
        <v>1028</v>
      </c>
      <c r="C852" s="4" t="n">
        <v>1060</v>
      </c>
      <c r="D852" s="4" t="n">
        <v>93</v>
      </c>
      <c r="E852" s="13" t="n">
        <v>45132</v>
      </c>
      <c r="F852" s="4" t="s">
        <v>3192</v>
      </c>
      <c r="G852" s="4" t="str">
        <f aca="false">INDEX(PurchaseOrders!$B$2:$B$3001,MATCH(B852,PurchaseOrders!$A$2:$A$3001,0))</f>
        <v>V005</v>
      </c>
    </row>
    <row r="853" customFormat="false" ht="15" hidden="false" customHeight="true" outlineLevel="0" collapsed="false">
      <c r="A853" s="4" t="s">
        <v>4040</v>
      </c>
      <c r="B853" s="4" t="s">
        <v>1029</v>
      </c>
      <c r="C853" s="4" t="n">
        <v>355</v>
      </c>
      <c r="D853" s="4" t="n">
        <v>0</v>
      </c>
      <c r="E853" s="13" t="n">
        <v>45293</v>
      </c>
      <c r="F853" s="4"/>
      <c r="G853" s="4" t="str">
        <f aca="false">INDEX(PurchaseOrders!$B$2:$B$3001,MATCH(B853,PurchaseOrders!$A$2:$A$3001,0))</f>
        <v>V031</v>
      </c>
    </row>
    <row r="854" customFormat="false" ht="15" hidden="false" customHeight="true" outlineLevel="0" collapsed="false">
      <c r="A854" s="4" t="s">
        <v>4041</v>
      </c>
      <c r="B854" s="4" t="s">
        <v>1030</v>
      </c>
      <c r="C854" s="4" t="n">
        <v>871</v>
      </c>
      <c r="D854" s="4" t="n">
        <v>137</v>
      </c>
      <c r="E854" s="13" t="n">
        <v>45125</v>
      </c>
      <c r="F854" s="4" t="s">
        <v>3186</v>
      </c>
      <c r="G854" s="4" t="str">
        <f aca="false">INDEX(PurchaseOrders!$B$2:$B$3001,MATCH(B854,PurchaseOrders!$A$2:$A$3001,0))</f>
        <v>V025</v>
      </c>
    </row>
    <row r="855" customFormat="false" ht="15" hidden="false" customHeight="true" outlineLevel="0" collapsed="false">
      <c r="A855" s="4" t="s">
        <v>4042</v>
      </c>
      <c r="B855" s="4" t="s">
        <v>1031</v>
      </c>
      <c r="C855" s="4" t="n">
        <v>480</v>
      </c>
      <c r="D855" s="4" t="n">
        <v>27</v>
      </c>
      <c r="E855" s="13" t="n">
        <v>45295</v>
      </c>
      <c r="F855" s="4" t="s">
        <v>3186</v>
      </c>
      <c r="G855" s="4" t="str">
        <f aca="false">INDEX(PurchaseOrders!$B$2:$B$3001,MATCH(B855,PurchaseOrders!$A$2:$A$3001,0))</f>
        <v>V033</v>
      </c>
    </row>
    <row r="856" customFormat="false" ht="15" hidden="false" customHeight="true" outlineLevel="0" collapsed="false">
      <c r="A856" s="4" t="s">
        <v>4043</v>
      </c>
      <c r="B856" s="4" t="s">
        <v>1032</v>
      </c>
      <c r="C856" s="4" t="n">
        <v>1707</v>
      </c>
      <c r="D856" s="4" t="n">
        <v>226</v>
      </c>
      <c r="E856" s="13" t="n">
        <v>45153</v>
      </c>
      <c r="F856" s="4" t="s">
        <v>3188</v>
      </c>
      <c r="G856" s="4" t="str">
        <f aca="false">INDEX(PurchaseOrders!$B$2:$B$3001,MATCH(B856,PurchaseOrders!$A$2:$A$3001,0))</f>
        <v>V044</v>
      </c>
    </row>
    <row r="857" customFormat="false" ht="15" hidden="false" customHeight="true" outlineLevel="0" collapsed="false">
      <c r="A857" s="4" t="s">
        <v>4044</v>
      </c>
      <c r="B857" s="4" t="s">
        <v>1033</v>
      </c>
      <c r="C857" s="4" t="n">
        <v>477</v>
      </c>
      <c r="D857" s="4" t="n">
        <v>10</v>
      </c>
      <c r="E857" s="13" t="n">
        <v>44990</v>
      </c>
      <c r="F857" s="4" t="s">
        <v>3188</v>
      </c>
      <c r="G857" s="4" t="str">
        <f aca="false">INDEX(PurchaseOrders!$B$2:$B$3001,MATCH(B857,PurchaseOrders!$A$2:$A$3001,0))</f>
        <v>V059</v>
      </c>
    </row>
    <row r="858" customFormat="false" ht="15" hidden="false" customHeight="true" outlineLevel="0" collapsed="false">
      <c r="A858" s="4" t="s">
        <v>4045</v>
      </c>
      <c r="B858" s="4" t="s">
        <v>1034</v>
      </c>
      <c r="C858" s="4" t="n">
        <v>483</v>
      </c>
      <c r="D858" s="4" t="n">
        <v>40</v>
      </c>
      <c r="E858" s="13" t="n">
        <v>45285</v>
      </c>
      <c r="F858" s="4" t="s">
        <v>3186</v>
      </c>
      <c r="G858" s="4" t="str">
        <f aca="false">INDEX(PurchaseOrders!$B$2:$B$3001,MATCH(B858,PurchaseOrders!$A$2:$A$3001,0))</f>
        <v>V018</v>
      </c>
    </row>
    <row r="859" customFormat="false" ht="15" hidden="false" customHeight="true" outlineLevel="0" collapsed="false">
      <c r="A859" s="4" t="s">
        <v>4046</v>
      </c>
      <c r="B859" s="4" t="s">
        <v>1035</v>
      </c>
      <c r="C859" s="4" t="n">
        <v>323</v>
      </c>
      <c r="D859" s="4" t="n">
        <v>9</v>
      </c>
      <c r="E859" s="13" t="n">
        <v>45583</v>
      </c>
      <c r="F859" s="4" t="s">
        <v>3192</v>
      </c>
      <c r="G859" s="4" t="str">
        <f aca="false">INDEX(PurchaseOrders!$B$2:$B$3001,MATCH(B859,PurchaseOrders!$A$2:$A$3001,0))</f>
        <v>V008</v>
      </c>
    </row>
    <row r="860" customFormat="false" ht="15" hidden="false" customHeight="true" outlineLevel="0" collapsed="false">
      <c r="A860" s="4" t="s">
        <v>4047</v>
      </c>
      <c r="B860" s="4" t="s">
        <v>1036</v>
      </c>
      <c r="C860" s="4" t="n">
        <v>1233</v>
      </c>
      <c r="D860" s="4" t="n">
        <v>73</v>
      </c>
      <c r="E860" s="13" t="n">
        <v>45106</v>
      </c>
      <c r="F860" s="4" t="s">
        <v>3186</v>
      </c>
      <c r="G860" s="4" t="str">
        <f aca="false">INDEX(PurchaseOrders!$B$2:$B$3001,MATCH(B860,PurchaseOrders!$A$2:$A$3001,0))</f>
        <v>V051</v>
      </c>
    </row>
    <row r="861" customFormat="false" ht="15" hidden="false" customHeight="true" outlineLevel="0" collapsed="false">
      <c r="A861" s="4" t="s">
        <v>4048</v>
      </c>
      <c r="B861" s="4" t="s">
        <v>1037</v>
      </c>
      <c r="C861" s="4" t="n">
        <v>359</v>
      </c>
      <c r="D861" s="4" t="n">
        <v>26</v>
      </c>
      <c r="E861" s="13" t="n">
        <v>45325</v>
      </c>
      <c r="F861" s="4" t="s">
        <v>3188</v>
      </c>
      <c r="G861" s="4" t="str">
        <f aca="false">INDEX(PurchaseOrders!$B$2:$B$3001,MATCH(B861,PurchaseOrders!$A$2:$A$3001,0))</f>
        <v>V013</v>
      </c>
    </row>
    <row r="862" customFormat="false" ht="15" hidden="false" customHeight="true" outlineLevel="0" collapsed="false">
      <c r="A862" s="4" t="s">
        <v>4049</v>
      </c>
      <c r="B862" s="4" t="s">
        <v>1038</v>
      </c>
      <c r="C862" s="4" t="n">
        <v>6</v>
      </c>
      <c r="D862" s="4" t="n">
        <v>0</v>
      </c>
      <c r="E862" s="13" t="n">
        <v>45272</v>
      </c>
      <c r="F862" s="4"/>
      <c r="G862" s="4" t="str">
        <f aca="false">INDEX(PurchaseOrders!$B$2:$B$3001,MATCH(B862,PurchaseOrders!$A$2:$A$3001,0))</f>
        <v>V019</v>
      </c>
    </row>
    <row r="863" customFormat="false" ht="15" hidden="false" customHeight="true" outlineLevel="0" collapsed="false">
      <c r="A863" s="4" t="s">
        <v>4050</v>
      </c>
      <c r="B863" s="4" t="s">
        <v>1039</v>
      </c>
      <c r="C863" s="4" t="n">
        <v>184</v>
      </c>
      <c r="D863" s="4" t="n">
        <v>10</v>
      </c>
      <c r="E863" s="13" t="n">
        <v>45387</v>
      </c>
      <c r="F863" s="4" t="s">
        <v>3190</v>
      </c>
      <c r="G863" s="4" t="str">
        <f aca="false">INDEX(PurchaseOrders!$B$2:$B$3001,MATCH(B863,PurchaseOrders!$A$2:$A$3001,0))</f>
        <v>V043</v>
      </c>
    </row>
    <row r="864" customFormat="false" ht="15" hidden="false" customHeight="true" outlineLevel="0" collapsed="false">
      <c r="A864" s="4" t="s">
        <v>4051</v>
      </c>
      <c r="B864" s="4" t="s">
        <v>1040</v>
      </c>
      <c r="C864" s="4" t="n">
        <v>3920</v>
      </c>
      <c r="D864" s="4" t="n">
        <v>224</v>
      </c>
      <c r="E864" s="13" t="n">
        <v>45613</v>
      </c>
      <c r="F864" s="4" t="s">
        <v>3190</v>
      </c>
      <c r="G864" s="4" t="str">
        <f aca="false">INDEX(PurchaseOrders!$B$2:$B$3001,MATCH(B864,PurchaseOrders!$A$2:$A$3001,0))</f>
        <v>V002</v>
      </c>
    </row>
    <row r="865" customFormat="false" ht="15" hidden="false" customHeight="true" outlineLevel="0" collapsed="false">
      <c r="A865" s="4" t="s">
        <v>4052</v>
      </c>
      <c r="B865" s="4" t="s">
        <v>1041</v>
      </c>
      <c r="C865" s="4" t="n">
        <v>1922</v>
      </c>
      <c r="D865" s="4" t="n">
        <v>59</v>
      </c>
      <c r="E865" s="13" t="n">
        <v>45293</v>
      </c>
      <c r="F865" s="4" t="s">
        <v>3190</v>
      </c>
      <c r="G865" s="4" t="str">
        <f aca="false">INDEX(PurchaseOrders!$B$2:$B$3001,MATCH(B865,PurchaseOrders!$A$2:$A$3001,0))</f>
        <v>V056</v>
      </c>
    </row>
    <row r="866" customFormat="false" ht="15" hidden="false" customHeight="true" outlineLevel="0" collapsed="false">
      <c r="A866" s="4" t="s">
        <v>4053</v>
      </c>
      <c r="B866" s="4" t="s">
        <v>1042</v>
      </c>
      <c r="C866" s="4" t="n">
        <v>94</v>
      </c>
      <c r="D866" s="4" t="n">
        <v>6</v>
      </c>
      <c r="E866" s="13" t="n">
        <v>44998</v>
      </c>
      <c r="F866" s="4" t="s">
        <v>3188</v>
      </c>
      <c r="G866" s="4" t="str">
        <f aca="false">INDEX(PurchaseOrders!$B$2:$B$3001,MATCH(B866,PurchaseOrders!$A$2:$A$3001,0))</f>
        <v>V013</v>
      </c>
    </row>
    <row r="867" customFormat="false" ht="15" hidden="false" customHeight="true" outlineLevel="0" collapsed="false">
      <c r="A867" s="4" t="s">
        <v>4054</v>
      </c>
      <c r="B867" s="4" t="s">
        <v>1043</v>
      </c>
      <c r="C867" s="4" t="n">
        <v>1637</v>
      </c>
      <c r="D867" s="4" t="n">
        <v>11</v>
      </c>
      <c r="E867" s="13" t="n">
        <v>45525</v>
      </c>
      <c r="F867" s="4" t="s">
        <v>3190</v>
      </c>
      <c r="G867" s="4" t="str">
        <f aca="false">INDEX(PurchaseOrders!$B$2:$B$3001,MATCH(B867,PurchaseOrders!$A$2:$A$3001,0))</f>
        <v>V021</v>
      </c>
    </row>
    <row r="868" customFormat="false" ht="15" hidden="false" customHeight="true" outlineLevel="0" collapsed="false">
      <c r="A868" s="4" t="s">
        <v>4055</v>
      </c>
      <c r="B868" s="4" t="s">
        <v>1044</v>
      </c>
      <c r="C868" s="4" t="n">
        <v>1348</v>
      </c>
      <c r="D868" s="4" t="n">
        <v>32</v>
      </c>
      <c r="E868" s="13" t="n">
        <v>45253</v>
      </c>
      <c r="F868" s="4" t="s">
        <v>3202</v>
      </c>
      <c r="G868" s="4" t="str">
        <f aca="false">INDEX(PurchaseOrders!$B$2:$B$3001,MATCH(B868,PurchaseOrders!$A$2:$A$3001,0))</f>
        <v>V045</v>
      </c>
    </row>
    <row r="869" customFormat="false" ht="15" hidden="false" customHeight="true" outlineLevel="0" collapsed="false">
      <c r="A869" s="4" t="s">
        <v>4056</v>
      </c>
      <c r="B869" s="4" t="s">
        <v>1045</v>
      </c>
      <c r="C869" s="4" t="n">
        <v>506</v>
      </c>
      <c r="D869" s="4" t="n">
        <v>15</v>
      </c>
      <c r="E869" s="13" t="n">
        <v>45216</v>
      </c>
      <c r="F869" s="4" t="s">
        <v>3186</v>
      </c>
      <c r="G869" s="4" t="str">
        <f aca="false">INDEX(PurchaseOrders!$B$2:$B$3001,MATCH(B869,PurchaseOrders!$A$2:$A$3001,0))</f>
        <v>V059</v>
      </c>
    </row>
    <row r="870" customFormat="false" ht="15" hidden="false" customHeight="true" outlineLevel="0" collapsed="false">
      <c r="A870" s="4" t="s">
        <v>4057</v>
      </c>
      <c r="B870" s="4" t="s">
        <v>1046</v>
      </c>
      <c r="C870" s="4" t="n">
        <v>469</v>
      </c>
      <c r="D870" s="4" t="n">
        <v>53</v>
      </c>
      <c r="E870" s="13" t="n">
        <v>45236</v>
      </c>
      <c r="F870" s="4" t="s">
        <v>3188</v>
      </c>
      <c r="G870" s="4" t="str">
        <f aca="false">INDEX(PurchaseOrders!$B$2:$B$3001,MATCH(B870,PurchaseOrders!$A$2:$A$3001,0))</f>
        <v>V055</v>
      </c>
    </row>
    <row r="871" customFormat="false" ht="15" hidden="false" customHeight="true" outlineLevel="0" collapsed="false">
      <c r="A871" s="4" t="s">
        <v>4058</v>
      </c>
      <c r="B871" s="4" t="s">
        <v>1047</v>
      </c>
      <c r="C871" s="4" t="n">
        <v>1593</v>
      </c>
      <c r="D871" s="4" t="n">
        <v>212</v>
      </c>
      <c r="E871" s="13" t="n">
        <v>45534</v>
      </c>
      <c r="F871" s="4" t="s">
        <v>3184</v>
      </c>
      <c r="G871" s="4" t="str">
        <f aca="false">INDEX(PurchaseOrders!$B$2:$B$3001,MATCH(B871,PurchaseOrders!$A$2:$A$3001,0))</f>
        <v>V038</v>
      </c>
    </row>
    <row r="872" customFormat="false" ht="15" hidden="false" customHeight="true" outlineLevel="0" collapsed="false">
      <c r="A872" s="4" t="s">
        <v>4059</v>
      </c>
      <c r="B872" s="4" t="s">
        <v>1048</v>
      </c>
      <c r="C872" s="4" t="n">
        <v>27</v>
      </c>
      <c r="D872" s="4" t="n">
        <v>1</v>
      </c>
      <c r="E872" s="13" t="n">
        <v>45231</v>
      </c>
      <c r="F872" s="4" t="s">
        <v>3184</v>
      </c>
      <c r="G872" s="4" t="str">
        <f aca="false">INDEX(PurchaseOrders!$B$2:$B$3001,MATCH(B872,PurchaseOrders!$A$2:$A$3001,0))</f>
        <v>V037</v>
      </c>
    </row>
    <row r="873" customFormat="false" ht="15" hidden="false" customHeight="true" outlineLevel="0" collapsed="false">
      <c r="A873" s="4" t="s">
        <v>4060</v>
      </c>
      <c r="B873" s="4" t="s">
        <v>1049</v>
      </c>
      <c r="C873" s="4" t="n">
        <v>192</v>
      </c>
      <c r="D873" s="4" t="n">
        <v>27</v>
      </c>
      <c r="E873" s="13" t="n">
        <v>45405</v>
      </c>
      <c r="F873" s="4" t="s">
        <v>3184</v>
      </c>
      <c r="G873" s="4" t="str">
        <f aca="false">INDEX(PurchaseOrders!$B$2:$B$3001,MATCH(B873,PurchaseOrders!$A$2:$A$3001,0))</f>
        <v>V049</v>
      </c>
    </row>
    <row r="874" customFormat="false" ht="15" hidden="false" customHeight="true" outlineLevel="0" collapsed="false">
      <c r="A874" s="4" t="s">
        <v>4061</v>
      </c>
      <c r="B874" s="4" t="s">
        <v>1050</v>
      </c>
      <c r="C874" s="4" t="n">
        <v>1478</v>
      </c>
      <c r="D874" s="4" t="n">
        <v>60</v>
      </c>
      <c r="E874" s="13" t="n">
        <v>45142</v>
      </c>
      <c r="F874" s="4" t="s">
        <v>3188</v>
      </c>
      <c r="G874" s="4" t="str">
        <f aca="false">INDEX(PurchaseOrders!$B$2:$B$3001,MATCH(B874,PurchaseOrders!$A$2:$A$3001,0))</f>
        <v>V015</v>
      </c>
    </row>
    <row r="875" customFormat="false" ht="15" hidden="false" customHeight="true" outlineLevel="0" collapsed="false">
      <c r="A875" s="4" t="s">
        <v>4062</v>
      </c>
      <c r="B875" s="4" t="s">
        <v>1051</v>
      </c>
      <c r="C875" s="4" t="n">
        <v>376</v>
      </c>
      <c r="D875" s="4" t="n">
        <v>20</v>
      </c>
      <c r="E875" s="13" t="n">
        <v>45277</v>
      </c>
      <c r="F875" s="4" t="s">
        <v>3202</v>
      </c>
      <c r="G875" s="4" t="str">
        <f aca="false">INDEX(PurchaseOrders!$B$2:$B$3001,MATCH(B875,PurchaseOrders!$A$2:$A$3001,0))</f>
        <v>V045</v>
      </c>
    </row>
    <row r="876" customFormat="false" ht="15" hidden="false" customHeight="true" outlineLevel="0" collapsed="false">
      <c r="A876" s="4" t="s">
        <v>4063</v>
      </c>
      <c r="B876" s="4" t="s">
        <v>1052</v>
      </c>
      <c r="C876" s="4" t="n">
        <v>367</v>
      </c>
      <c r="D876" s="4" t="n">
        <v>9</v>
      </c>
      <c r="E876" s="13" t="n">
        <v>45624</v>
      </c>
      <c r="F876" s="4" t="s">
        <v>3188</v>
      </c>
      <c r="G876" s="4" t="str">
        <f aca="false">INDEX(PurchaseOrders!$B$2:$B$3001,MATCH(B876,PurchaseOrders!$A$2:$A$3001,0))</f>
        <v>V024</v>
      </c>
    </row>
    <row r="877" customFormat="false" ht="15" hidden="false" customHeight="true" outlineLevel="0" collapsed="false">
      <c r="A877" s="4" t="s">
        <v>4064</v>
      </c>
      <c r="B877" s="4" t="s">
        <v>1053</v>
      </c>
      <c r="C877" s="4" t="n">
        <v>304</v>
      </c>
      <c r="D877" s="4" t="n">
        <v>0</v>
      </c>
      <c r="E877" s="13" t="n">
        <v>45032</v>
      </c>
      <c r="F877" s="4"/>
      <c r="G877" s="4" t="str">
        <f aca="false">INDEX(PurchaseOrders!$B$2:$B$3001,MATCH(B877,PurchaseOrders!$A$2:$A$3001,0))</f>
        <v>V060</v>
      </c>
    </row>
    <row r="878" customFormat="false" ht="15" hidden="false" customHeight="true" outlineLevel="0" collapsed="false">
      <c r="A878" s="4" t="s">
        <v>4065</v>
      </c>
      <c r="B878" s="4" t="s">
        <v>1054</v>
      </c>
      <c r="C878" s="4" t="n">
        <v>234</v>
      </c>
      <c r="D878" s="4" t="n">
        <v>4</v>
      </c>
      <c r="E878" s="13" t="n">
        <v>45036</v>
      </c>
      <c r="F878" s="4" t="s">
        <v>3190</v>
      </c>
      <c r="G878" s="4" t="str">
        <f aca="false">INDEX(PurchaseOrders!$B$2:$B$3001,MATCH(B878,PurchaseOrders!$A$2:$A$3001,0))</f>
        <v>V046</v>
      </c>
    </row>
    <row r="879" customFormat="false" ht="15" hidden="false" customHeight="true" outlineLevel="0" collapsed="false">
      <c r="A879" s="4" t="s">
        <v>4066</v>
      </c>
      <c r="B879" s="4" t="s">
        <v>1055</v>
      </c>
      <c r="C879" s="4" t="n">
        <v>8</v>
      </c>
      <c r="D879" s="4" t="n">
        <v>0</v>
      </c>
      <c r="E879" s="13" t="n">
        <v>45453</v>
      </c>
      <c r="F879" s="4"/>
      <c r="G879" s="4" t="str">
        <f aca="false">INDEX(PurchaseOrders!$B$2:$B$3001,MATCH(B879,PurchaseOrders!$A$2:$A$3001,0))</f>
        <v>V016</v>
      </c>
    </row>
    <row r="880" customFormat="false" ht="15" hidden="false" customHeight="true" outlineLevel="0" collapsed="false">
      <c r="A880" s="4" t="s">
        <v>4067</v>
      </c>
      <c r="B880" s="4" t="s">
        <v>1056</v>
      </c>
      <c r="C880" s="4" t="n">
        <v>1584</v>
      </c>
      <c r="D880" s="4" t="n">
        <v>196</v>
      </c>
      <c r="E880" s="13" t="n">
        <v>45169</v>
      </c>
      <c r="F880" s="4" t="s">
        <v>3184</v>
      </c>
      <c r="G880" s="4" t="str">
        <f aca="false">INDEX(PurchaseOrders!$B$2:$B$3001,MATCH(B880,PurchaseOrders!$A$2:$A$3001,0))</f>
        <v>V027</v>
      </c>
    </row>
    <row r="881" customFormat="false" ht="15" hidden="false" customHeight="true" outlineLevel="0" collapsed="false">
      <c r="A881" s="4" t="s">
        <v>4068</v>
      </c>
      <c r="B881" s="4" t="s">
        <v>1057</v>
      </c>
      <c r="C881" s="4" t="n">
        <v>99</v>
      </c>
      <c r="D881" s="4" t="n">
        <v>4</v>
      </c>
      <c r="E881" s="13" t="n">
        <v>45047</v>
      </c>
      <c r="F881" s="4" t="s">
        <v>3188</v>
      </c>
      <c r="G881" s="4" t="str">
        <f aca="false">INDEX(PurchaseOrders!$B$2:$B$3001,MATCH(B881,PurchaseOrders!$A$2:$A$3001,0))</f>
        <v>V043</v>
      </c>
    </row>
    <row r="882" customFormat="false" ht="15" hidden="false" customHeight="true" outlineLevel="0" collapsed="false">
      <c r="A882" s="4" t="s">
        <v>4069</v>
      </c>
      <c r="B882" s="4" t="s">
        <v>1058</v>
      </c>
      <c r="C882" s="4" t="n">
        <v>868</v>
      </c>
      <c r="D882" s="4" t="n">
        <v>11</v>
      </c>
      <c r="E882" s="13" t="n">
        <v>44994</v>
      </c>
      <c r="F882" s="4" t="s">
        <v>3188</v>
      </c>
      <c r="G882" s="4" t="str">
        <f aca="false">INDEX(PurchaseOrders!$B$2:$B$3001,MATCH(B882,PurchaseOrders!$A$2:$A$3001,0))</f>
        <v>V020</v>
      </c>
    </row>
    <row r="883" customFormat="false" ht="15" hidden="false" customHeight="true" outlineLevel="0" collapsed="false">
      <c r="A883" s="4" t="s">
        <v>4070</v>
      </c>
      <c r="B883" s="4" t="s">
        <v>1059</v>
      </c>
      <c r="C883" s="4" t="n">
        <v>364</v>
      </c>
      <c r="D883" s="4" t="n">
        <v>23</v>
      </c>
      <c r="E883" s="13" t="n">
        <v>45419</v>
      </c>
      <c r="F883" s="4" t="s">
        <v>3188</v>
      </c>
      <c r="G883" s="4" t="str">
        <f aca="false">INDEX(PurchaseOrders!$B$2:$B$3001,MATCH(B883,PurchaseOrders!$A$2:$A$3001,0))</f>
        <v>V004</v>
      </c>
    </row>
    <row r="884" customFormat="false" ht="15" hidden="false" customHeight="true" outlineLevel="0" collapsed="false">
      <c r="A884" s="4" t="s">
        <v>4071</v>
      </c>
      <c r="B884" s="4" t="s">
        <v>1060</v>
      </c>
      <c r="C884" s="4" t="n">
        <v>2327</v>
      </c>
      <c r="D884" s="4" t="n">
        <v>234</v>
      </c>
      <c r="E884" s="13" t="n">
        <v>45151</v>
      </c>
      <c r="F884" s="4" t="s">
        <v>3186</v>
      </c>
      <c r="G884" s="4" t="str">
        <f aca="false">INDEX(PurchaseOrders!$B$2:$B$3001,MATCH(B884,PurchaseOrders!$A$2:$A$3001,0))</f>
        <v>V001</v>
      </c>
    </row>
    <row r="885" customFormat="false" ht="15" hidden="false" customHeight="true" outlineLevel="0" collapsed="false">
      <c r="A885" s="4" t="s">
        <v>4072</v>
      </c>
      <c r="B885" s="4" t="s">
        <v>1061</v>
      </c>
      <c r="C885" s="4" t="n">
        <v>1850</v>
      </c>
      <c r="D885" s="4" t="n">
        <v>106</v>
      </c>
      <c r="E885" s="13" t="n">
        <v>45114</v>
      </c>
      <c r="F885" s="4" t="s">
        <v>3190</v>
      </c>
      <c r="G885" s="4" t="str">
        <f aca="false">INDEX(PurchaseOrders!$B$2:$B$3001,MATCH(B885,PurchaseOrders!$A$2:$A$3001,0))</f>
        <v>V014</v>
      </c>
    </row>
    <row r="886" customFormat="false" ht="15" hidden="false" customHeight="true" outlineLevel="0" collapsed="false">
      <c r="A886" s="4" t="s">
        <v>4073</v>
      </c>
      <c r="B886" s="4" t="s">
        <v>1062</v>
      </c>
      <c r="C886" s="4" t="n">
        <v>3786</v>
      </c>
      <c r="D886" s="4" t="n">
        <v>644</v>
      </c>
      <c r="E886" s="13" t="n">
        <v>45234</v>
      </c>
      <c r="F886" s="4" t="s">
        <v>3188</v>
      </c>
      <c r="G886" s="4" t="str">
        <f aca="false">INDEX(PurchaseOrders!$B$2:$B$3001,MATCH(B886,PurchaseOrders!$A$2:$A$3001,0))</f>
        <v>V026</v>
      </c>
    </row>
    <row r="887" customFormat="false" ht="15" hidden="false" customHeight="true" outlineLevel="0" collapsed="false">
      <c r="A887" s="4" t="s">
        <v>4074</v>
      </c>
      <c r="B887" s="4" t="s">
        <v>1063</v>
      </c>
      <c r="C887" s="4" t="n">
        <v>2</v>
      </c>
      <c r="D887" s="4" t="n">
        <v>0</v>
      </c>
      <c r="E887" s="13" t="n">
        <v>45574</v>
      </c>
      <c r="F887" s="4"/>
      <c r="G887" s="4" t="str">
        <f aca="false">INDEX(PurchaseOrders!$B$2:$B$3001,MATCH(B887,PurchaseOrders!$A$2:$A$3001,0))</f>
        <v>V019</v>
      </c>
    </row>
    <row r="888" customFormat="false" ht="15" hidden="false" customHeight="true" outlineLevel="0" collapsed="false">
      <c r="A888" s="4" t="s">
        <v>4075</v>
      </c>
      <c r="B888" s="4" t="s">
        <v>1064</v>
      </c>
      <c r="C888" s="4" t="n">
        <v>1866</v>
      </c>
      <c r="D888" s="4" t="n">
        <v>347</v>
      </c>
      <c r="E888" s="13" t="n">
        <v>45175</v>
      </c>
      <c r="F888" s="4" t="s">
        <v>3192</v>
      </c>
      <c r="G888" s="4" t="str">
        <f aca="false">INDEX(PurchaseOrders!$B$2:$B$3001,MATCH(B888,PurchaseOrders!$A$2:$A$3001,0))</f>
        <v>V025</v>
      </c>
    </row>
    <row r="889" customFormat="false" ht="15" hidden="false" customHeight="true" outlineLevel="0" collapsed="false">
      <c r="A889" s="4" t="s">
        <v>4076</v>
      </c>
      <c r="B889" s="4" t="s">
        <v>1065</v>
      </c>
      <c r="C889" s="4" t="n">
        <v>1850</v>
      </c>
      <c r="D889" s="4" t="n">
        <v>82</v>
      </c>
      <c r="E889" s="13" t="n">
        <v>45638</v>
      </c>
      <c r="F889" s="4" t="s">
        <v>3186</v>
      </c>
      <c r="G889" s="4" t="str">
        <f aca="false">INDEX(PurchaseOrders!$B$2:$B$3001,MATCH(B889,PurchaseOrders!$A$2:$A$3001,0))</f>
        <v>V034</v>
      </c>
    </row>
    <row r="890" customFormat="false" ht="15" hidden="false" customHeight="true" outlineLevel="0" collapsed="false">
      <c r="A890" s="4" t="s">
        <v>4077</v>
      </c>
      <c r="B890" s="4" t="s">
        <v>1066</v>
      </c>
      <c r="C890" s="4" t="n">
        <v>964</v>
      </c>
      <c r="D890" s="4" t="n">
        <v>69</v>
      </c>
      <c r="E890" s="13" t="n">
        <v>45483</v>
      </c>
      <c r="F890" s="4" t="s">
        <v>3184</v>
      </c>
      <c r="G890" s="4" t="str">
        <f aca="false">INDEX(PurchaseOrders!$B$2:$B$3001,MATCH(B890,PurchaseOrders!$A$2:$A$3001,0))</f>
        <v>V007</v>
      </c>
    </row>
    <row r="891" customFormat="false" ht="15" hidden="false" customHeight="true" outlineLevel="0" collapsed="false">
      <c r="A891" s="4" t="s">
        <v>4078</v>
      </c>
      <c r="B891" s="4" t="s">
        <v>1067</v>
      </c>
      <c r="C891" s="4" t="n">
        <v>460</v>
      </c>
      <c r="D891" s="4" t="n">
        <v>38</v>
      </c>
      <c r="E891" s="13" t="n">
        <v>45560</v>
      </c>
      <c r="F891" s="4" t="s">
        <v>3202</v>
      </c>
      <c r="G891" s="4" t="str">
        <f aca="false">INDEX(PurchaseOrders!$B$2:$B$3001,MATCH(B891,PurchaseOrders!$A$2:$A$3001,0))</f>
        <v>V033</v>
      </c>
    </row>
    <row r="892" customFormat="false" ht="15" hidden="false" customHeight="true" outlineLevel="0" collapsed="false">
      <c r="A892" s="4" t="s">
        <v>4079</v>
      </c>
      <c r="B892" s="4" t="s">
        <v>1068</v>
      </c>
      <c r="C892" s="4" t="n">
        <v>4081</v>
      </c>
      <c r="D892" s="4" t="n">
        <v>240</v>
      </c>
      <c r="E892" s="13" t="n">
        <v>45623</v>
      </c>
      <c r="F892" s="4" t="s">
        <v>3186</v>
      </c>
      <c r="G892" s="4" t="str">
        <f aca="false">INDEX(PurchaseOrders!$B$2:$B$3001,MATCH(B892,PurchaseOrders!$A$2:$A$3001,0))</f>
        <v>V014</v>
      </c>
    </row>
    <row r="893" customFormat="false" ht="15" hidden="false" customHeight="true" outlineLevel="0" collapsed="false">
      <c r="A893" s="4" t="s">
        <v>4080</v>
      </c>
      <c r="B893" s="4" t="s">
        <v>1069</v>
      </c>
      <c r="C893" s="4" t="n">
        <v>1120</v>
      </c>
      <c r="D893" s="4" t="n">
        <v>11</v>
      </c>
      <c r="E893" s="13" t="n">
        <v>45282</v>
      </c>
      <c r="F893" s="4" t="s">
        <v>3192</v>
      </c>
      <c r="G893" s="4" t="str">
        <f aca="false">INDEX(PurchaseOrders!$B$2:$B$3001,MATCH(B893,PurchaseOrders!$A$2:$A$3001,0))</f>
        <v>V059</v>
      </c>
    </row>
    <row r="894" customFormat="false" ht="15" hidden="false" customHeight="true" outlineLevel="0" collapsed="false">
      <c r="A894" s="4" t="s">
        <v>4081</v>
      </c>
      <c r="B894" s="4" t="s">
        <v>1070</v>
      </c>
      <c r="C894" s="4" t="n">
        <v>128</v>
      </c>
      <c r="D894" s="4" t="n">
        <v>6</v>
      </c>
      <c r="E894" s="13" t="n">
        <v>45211</v>
      </c>
      <c r="F894" s="4" t="s">
        <v>3190</v>
      </c>
      <c r="G894" s="4" t="str">
        <f aca="false">INDEX(PurchaseOrders!$B$2:$B$3001,MATCH(B894,PurchaseOrders!$A$2:$A$3001,0))</f>
        <v>V037</v>
      </c>
    </row>
    <row r="895" customFormat="false" ht="15" hidden="false" customHeight="true" outlineLevel="0" collapsed="false">
      <c r="A895" s="4" t="s">
        <v>4082</v>
      </c>
      <c r="B895" s="4" t="s">
        <v>1071</v>
      </c>
      <c r="C895" s="4" t="n">
        <v>215</v>
      </c>
      <c r="D895" s="4" t="n">
        <v>9</v>
      </c>
      <c r="E895" s="13" t="n">
        <v>45199</v>
      </c>
      <c r="F895" s="4" t="s">
        <v>3190</v>
      </c>
      <c r="G895" s="4" t="str">
        <f aca="false">INDEX(PurchaseOrders!$B$2:$B$3001,MATCH(B895,PurchaseOrders!$A$2:$A$3001,0))</f>
        <v>V051</v>
      </c>
    </row>
    <row r="896" customFormat="false" ht="15" hidden="false" customHeight="true" outlineLevel="0" collapsed="false">
      <c r="A896" s="4" t="s">
        <v>4083</v>
      </c>
      <c r="B896" s="4" t="s">
        <v>1072</v>
      </c>
      <c r="C896" s="4" t="n">
        <v>13</v>
      </c>
      <c r="D896" s="4" t="n">
        <v>1</v>
      </c>
      <c r="E896" s="13" t="n">
        <v>45192</v>
      </c>
      <c r="F896" s="4" t="s">
        <v>3192</v>
      </c>
      <c r="G896" s="4" t="str">
        <f aca="false">INDEX(PurchaseOrders!$B$2:$B$3001,MATCH(B896,PurchaseOrders!$A$2:$A$3001,0))</f>
        <v>V042</v>
      </c>
    </row>
    <row r="897" customFormat="false" ht="15" hidden="false" customHeight="true" outlineLevel="0" collapsed="false">
      <c r="A897" s="4" t="s">
        <v>4084</v>
      </c>
      <c r="B897" s="4" t="s">
        <v>1073</v>
      </c>
      <c r="C897" s="4" t="n">
        <v>254</v>
      </c>
      <c r="D897" s="4" t="n">
        <v>25</v>
      </c>
      <c r="E897" s="13" t="n">
        <v>44961</v>
      </c>
      <c r="F897" s="4" t="s">
        <v>3188</v>
      </c>
      <c r="G897" s="4" t="str">
        <f aca="false">INDEX(PurchaseOrders!$B$2:$B$3001,MATCH(B897,PurchaseOrders!$A$2:$A$3001,0))</f>
        <v>V027</v>
      </c>
    </row>
    <row r="898" customFormat="false" ht="15" hidden="false" customHeight="true" outlineLevel="0" collapsed="false">
      <c r="A898" s="4" t="s">
        <v>4085</v>
      </c>
      <c r="B898" s="4" t="s">
        <v>1074</v>
      </c>
      <c r="C898" s="4" t="n">
        <v>1454</v>
      </c>
      <c r="D898" s="4" t="n">
        <v>30</v>
      </c>
      <c r="E898" s="13" t="n">
        <v>45004</v>
      </c>
      <c r="F898" s="4" t="s">
        <v>3188</v>
      </c>
      <c r="G898" s="4" t="str">
        <f aca="false">INDEX(PurchaseOrders!$B$2:$B$3001,MATCH(B898,PurchaseOrders!$A$2:$A$3001,0))</f>
        <v>V059</v>
      </c>
    </row>
    <row r="899" customFormat="false" ht="15" hidden="false" customHeight="true" outlineLevel="0" collapsed="false">
      <c r="A899" s="4" t="s">
        <v>4086</v>
      </c>
      <c r="B899" s="4" t="s">
        <v>1075</v>
      </c>
      <c r="C899" s="4" t="n">
        <v>2477</v>
      </c>
      <c r="D899" s="4" t="n">
        <v>316</v>
      </c>
      <c r="E899" s="13" t="n">
        <v>45206</v>
      </c>
      <c r="F899" s="4" t="s">
        <v>3192</v>
      </c>
      <c r="G899" s="4" t="str">
        <f aca="false">INDEX(PurchaseOrders!$B$2:$B$3001,MATCH(B899,PurchaseOrders!$A$2:$A$3001,0))</f>
        <v>V028</v>
      </c>
    </row>
    <row r="900" customFormat="false" ht="15" hidden="false" customHeight="true" outlineLevel="0" collapsed="false">
      <c r="A900" s="4" t="s">
        <v>4087</v>
      </c>
      <c r="B900" s="4" t="s">
        <v>1076</v>
      </c>
      <c r="C900" s="4" t="n">
        <v>1553</v>
      </c>
      <c r="D900" s="4" t="n">
        <v>96</v>
      </c>
      <c r="E900" s="13" t="n">
        <v>45395</v>
      </c>
      <c r="F900" s="4" t="s">
        <v>3186</v>
      </c>
      <c r="G900" s="4" t="str">
        <f aca="false">INDEX(PurchaseOrders!$B$2:$B$3001,MATCH(B900,PurchaseOrders!$A$2:$A$3001,0))</f>
        <v>V022</v>
      </c>
    </row>
    <row r="901" customFormat="false" ht="15" hidden="false" customHeight="true" outlineLevel="0" collapsed="false">
      <c r="A901" s="4" t="s">
        <v>4088</v>
      </c>
      <c r="B901" s="4" t="s">
        <v>1077</v>
      </c>
      <c r="C901" s="4" t="n">
        <v>3491</v>
      </c>
      <c r="D901" s="4" t="n">
        <v>14</v>
      </c>
      <c r="E901" s="13" t="n">
        <v>45423</v>
      </c>
      <c r="F901" s="4" t="s">
        <v>3192</v>
      </c>
      <c r="G901" s="4" t="str">
        <f aca="false">INDEX(PurchaseOrders!$B$2:$B$3001,MATCH(B901,PurchaseOrders!$A$2:$A$3001,0))</f>
        <v>V058</v>
      </c>
    </row>
    <row r="902" customFormat="false" ht="15" hidden="false" customHeight="true" outlineLevel="0" collapsed="false">
      <c r="A902" s="4" t="s">
        <v>4089</v>
      </c>
      <c r="B902" s="4" t="s">
        <v>1078</v>
      </c>
      <c r="C902" s="4" t="n">
        <v>321</v>
      </c>
      <c r="D902" s="4" t="n">
        <v>2</v>
      </c>
      <c r="E902" s="13" t="n">
        <v>45459</v>
      </c>
      <c r="F902" s="4" t="s">
        <v>3184</v>
      </c>
      <c r="G902" s="4" t="str">
        <f aca="false">INDEX(PurchaseOrders!$B$2:$B$3001,MATCH(B902,PurchaseOrders!$A$2:$A$3001,0))</f>
        <v>V024</v>
      </c>
    </row>
    <row r="903" customFormat="false" ht="15" hidden="false" customHeight="true" outlineLevel="0" collapsed="false">
      <c r="A903" s="4" t="s">
        <v>4090</v>
      </c>
      <c r="B903" s="4" t="s">
        <v>1079</v>
      </c>
      <c r="C903" s="4" t="n">
        <v>1149</v>
      </c>
      <c r="D903" s="4" t="n">
        <v>99</v>
      </c>
      <c r="E903" s="13" t="n">
        <v>45485</v>
      </c>
      <c r="F903" s="4" t="s">
        <v>3190</v>
      </c>
      <c r="G903" s="4" t="str">
        <f aca="false">INDEX(PurchaseOrders!$B$2:$B$3001,MATCH(B903,PurchaseOrders!$A$2:$A$3001,0))</f>
        <v>V027</v>
      </c>
    </row>
    <row r="904" customFormat="false" ht="15" hidden="false" customHeight="true" outlineLevel="0" collapsed="false">
      <c r="A904" s="4" t="s">
        <v>4091</v>
      </c>
      <c r="B904" s="4" t="s">
        <v>1080</v>
      </c>
      <c r="C904" s="4" t="n">
        <v>122</v>
      </c>
      <c r="D904" s="4" t="n">
        <v>11</v>
      </c>
      <c r="E904" s="13" t="n">
        <v>45118</v>
      </c>
      <c r="F904" s="4" t="s">
        <v>3190</v>
      </c>
      <c r="G904" s="4" t="str">
        <f aca="false">INDEX(PurchaseOrders!$B$2:$B$3001,MATCH(B904,PurchaseOrders!$A$2:$A$3001,0))</f>
        <v>V009</v>
      </c>
    </row>
    <row r="905" customFormat="false" ht="15" hidden="false" customHeight="true" outlineLevel="0" collapsed="false">
      <c r="A905" s="4" t="s">
        <v>4092</v>
      </c>
      <c r="B905" s="4" t="s">
        <v>1081</v>
      </c>
      <c r="C905" s="4" t="n">
        <v>366</v>
      </c>
      <c r="D905" s="4" t="n">
        <v>26</v>
      </c>
      <c r="E905" s="13" t="n">
        <v>45156</v>
      </c>
      <c r="F905" s="4" t="s">
        <v>3184</v>
      </c>
      <c r="G905" s="4" t="str">
        <f aca="false">INDEX(PurchaseOrders!$B$2:$B$3001,MATCH(B905,PurchaseOrders!$A$2:$A$3001,0))</f>
        <v>V055</v>
      </c>
    </row>
    <row r="906" customFormat="false" ht="15" hidden="false" customHeight="true" outlineLevel="0" collapsed="false">
      <c r="A906" s="4" t="s">
        <v>4093</v>
      </c>
      <c r="B906" s="4" t="s">
        <v>1082</v>
      </c>
      <c r="C906" s="4" t="n">
        <v>1647</v>
      </c>
      <c r="D906" s="4" t="n">
        <v>95</v>
      </c>
      <c r="E906" s="13" t="n">
        <v>45053</v>
      </c>
      <c r="F906" s="4" t="s">
        <v>3190</v>
      </c>
      <c r="G906" s="4" t="str">
        <f aca="false">INDEX(PurchaseOrders!$B$2:$B$3001,MATCH(B906,PurchaseOrders!$A$2:$A$3001,0))</f>
        <v>V017</v>
      </c>
    </row>
    <row r="907" customFormat="false" ht="15" hidden="false" customHeight="true" outlineLevel="0" collapsed="false">
      <c r="A907" s="4" t="s">
        <v>4094</v>
      </c>
      <c r="B907" s="4" t="s">
        <v>1083</v>
      </c>
      <c r="C907" s="4" t="n">
        <v>142</v>
      </c>
      <c r="D907" s="4" t="n">
        <v>7</v>
      </c>
      <c r="E907" s="13" t="n">
        <v>45051</v>
      </c>
      <c r="F907" s="4" t="s">
        <v>3184</v>
      </c>
      <c r="G907" s="4" t="str">
        <f aca="false">INDEX(PurchaseOrders!$B$2:$B$3001,MATCH(B907,PurchaseOrders!$A$2:$A$3001,0))</f>
        <v>V004</v>
      </c>
    </row>
    <row r="908" customFormat="false" ht="15" hidden="false" customHeight="true" outlineLevel="0" collapsed="false">
      <c r="A908" s="4" t="s">
        <v>4095</v>
      </c>
      <c r="B908" s="4" t="s">
        <v>1084</v>
      </c>
      <c r="C908" s="4" t="n">
        <v>1654</v>
      </c>
      <c r="D908" s="4" t="n">
        <v>17</v>
      </c>
      <c r="E908" s="13" t="n">
        <v>45093</v>
      </c>
      <c r="F908" s="4" t="s">
        <v>3192</v>
      </c>
      <c r="G908" s="4" t="str">
        <f aca="false">INDEX(PurchaseOrders!$B$2:$B$3001,MATCH(B908,PurchaseOrders!$A$2:$A$3001,0))</f>
        <v>V059</v>
      </c>
    </row>
    <row r="909" customFormat="false" ht="15" hidden="false" customHeight="true" outlineLevel="0" collapsed="false">
      <c r="A909" s="4" t="s">
        <v>4096</v>
      </c>
      <c r="B909" s="4" t="s">
        <v>1085</v>
      </c>
      <c r="C909" s="4" t="n">
        <v>450</v>
      </c>
      <c r="D909" s="4" t="n">
        <v>24</v>
      </c>
      <c r="E909" s="13" t="n">
        <v>45219</v>
      </c>
      <c r="F909" s="4" t="s">
        <v>3192</v>
      </c>
      <c r="G909" s="4" t="str">
        <f aca="false">INDEX(PurchaseOrders!$B$2:$B$3001,MATCH(B909,PurchaseOrders!$A$2:$A$3001,0))</f>
        <v>V055</v>
      </c>
    </row>
    <row r="910" customFormat="false" ht="15" hidden="false" customHeight="true" outlineLevel="0" collapsed="false">
      <c r="A910" s="4" t="s">
        <v>4097</v>
      </c>
      <c r="B910" s="4" t="s">
        <v>1086</v>
      </c>
      <c r="C910" s="4" t="n">
        <v>1797</v>
      </c>
      <c r="D910" s="4" t="n">
        <v>436</v>
      </c>
      <c r="E910" s="13" t="n">
        <v>45379</v>
      </c>
      <c r="F910" s="4" t="s">
        <v>3192</v>
      </c>
      <c r="G910" s="4" t="str">
        <f aca="false">INDEX(PurchaseOrders!$B$2:$B$3001,MATCH(B910,PurchaseOrders!$A$2:$A$3001,0))</f>
        <v>V039</v>
      </c>
    </row>
    <row r="911" customFormat="false" ht="15" hidden="false" customHeight="true" outlineLevel="0" collapsed="false">
      <c r="A911" s="4" t="s">
        <v>4098</v>
      </c>
      <c r="B911" s="4" t="s">
        <v>1087</v>
      </c>
      <c r="C911" s="4" t="n">
        <v>3</v>
      </c>
      <c r="D911" s="4" t="n">
        <v>0</v>
      </c>
      <c r="E911" s="13" t="n">
        <v>45242</v>
      </c>
      <c r="F911" s="4"/>
      <c r="G911" s="4" t="str">
        <f aca="false">INDEX(PurchaseOrders!$B$2:$B$3001,MATCH(B911,PurchaseOrders!$A$2:$A$3001,0))</f>
        <v>V054</v>
      </c>
    </row>
    <row r="912" customFormat="false" ht="15" hidden="false" customHeight="true" outlineLevel="0" collapsed="false">
      <c r="A912" s="4" t="s">
        <v>4099</v>
      </c>
      <c r="B912" s="4" t="s">
        <v>1088</v>
      </c>
      <c r="C912" s="4" t="n">
        <v>1284</v>
      </c>
      <c r="D912" s="4" t="n">
        <v>111</v>
      </c>
      <c r="E912" s="13" t="n">
        <v>45398</v>
      </c>
      <c r="F912" s="4" t="s">
        <v>3192</v>
      </c>
      <c r="G912" s="4" t="str">
        <f aca="false">INDEX(PurchaseOrders!$B$2:$B$3001,MATCH(B912,PurchaseOrders!$A$2:$A$3001,0))</f>
        <v>V044</v>
      </c>
    </row>
    <row r="913" customFormat="false" ht="15" hidden="false" customHeight="true" outlineLevel="0" collapsed="false">
      <c r="A913" s="4" t="s">
        <v>4100</v>
      </c>
      <c r="B913" s="4" t="s">
        <v>1089</v>
      </c>
      <c r="C913" s="4" t="n">
        <v>949</v>
      </c>
      <c r="D913" s="4" t="n">
        <v>31</v>
      </c>
      <c r="E913" s="13" t="n">
        <v>45374</v>
      </c>
      <c r="F913" s="4" t="s">
        <v>3188</v>
      </c>
      <c r="G913" s="4" t="str">
        <f aca="false">INDEX(PurchaseOrders!$B$2:$B$3001,MATCH(B913,PurchaseOrders!$A$2:$A$3001,0))</f>
        <v>V010</v>
      </c>
    </row>
    <row r="914" customFormat="false" ht="15" hidden="false" customHeight="true" outlineLevel="0" collapsed="false">
      <c r="A914" s="4" t="s">
        <v>4101</v>
      </c>
      <c r="B914" s="4" t="s">
        <v>1090</v>
      </c>
      <c r="C914" s="4" t="n">
        <v>256</v>
      </c>
      <c r="D914" s="4" t="n">
        <v>19</v>
      </c>
      <c r="E914" s="13" t="n">
        <v>45564</v>
      </c>
      <c r="F914" s="4" t="s">
        <v>3190</v>
      </c>
      <c r="G914" s="4" t="str">
        <f aca="false">INDEX(PurchaseOrders!$B$2:$B$3001,MATCH(B914,PurchaseOrders!$A$2:$A$3001,0))</f>
        <v>V009</v>
      </c>
    </row>
    <row r="915" customFormat="false" ht="15" hidden="false" customHeight="true" outlineLevel="0" collapsed="false">
      <c r="A915" s="4" t="s">
        <v>4102</v>
      </c>
      <c r="B915" s="4" t="s">
        <v>1091</v>
      </c>
      <c r="C915" s="4" t="n">
        <v>50</v>
      </c>
      <c r="D915" s="4" t="n">
        <v>6</v>
      </c>
      <c r="E915" s="13" t="n">
        <v>45029</v>
      </c>
      <c r="F915" s="4" t="s">
        <v>3202</v>
      </c>
      <c r="G915" s="4" t="str">
        <f aca="false">INDEX(PurchaseOrders!$B$2:$B$3001,MATCH(B915,PurchaseOrders!$A$2:$A$3001,0))</f>
        <v>V049</v>
      </c>
    </row>
    <row r="916" customFormat="false" ht="15" hidden="false" customHeight="true" outlineLevel="0" collapsed="false">
      <c r="A916" s="4" t="s">
        <v>4103</v>
      </c>
      <c r="B916" s="4" t="s">
        <v>1092</v>
      </c>
      <c r="C916" s="4" t="n">
        <v>848</v>
      </c>
      <c r="D916" s="4" t="n">
        <v>0</v>
      </c>
      <c r="E916" s="13" t="n">
        <v>45464</v>
      </c>
      <c r="F916" s="4"/>
      <c r="G916" s="4" t="str">
        <f aca="false">INDEX(PurchaseOrders!$B$2:$B$3001,MATCH(B916,PurchaseOrders!$A$2:$A$3001,0))</f>
        <v>V015</v>
      </c>
    </row>
    <row r="917" customFormat="false" ht="15" hidden="false" customHeight="true" outlineLevel="0" collapsed="false">
      <c r="A917" s="4" t="s">
        <v>4104</v>
      </c>
      <c r="B917" s="4" t="s">
        <v>1093</v>
      </c>
      <c r="C917" s="4" t="n">
        <v>10</v>
      </c>
      <c r="D917" s="4" t="n">
        <v>1</v>
      </c>
      <c r="E917" s="13" t="n">
        <v>45443</v>
      </c>
      <c r="F917" s="4" t="s">
        <v>3186</v>
      </c>
      <c r="G917" s="4" t="str">
        <f aca="false">INDEX(PurchaseOrders!$B$2:$B$3001,MATCH(B917,PurchaseOrders!$A$2:$A$3001,0))</f>
        <v>V054</v>
      </c>
    </row>
    <row r="918" customFormat="false" ht="15" hidden="false" customHeight="true" outlineLevel="0" collapsed="false">
      <c r="A918" s="4" t="s">
        <v>4105</v>
      </c>
      <c r="B918" s="4" t="s">
        <v>1094</v>
      </c>
      <c r="C918" s="4" t="n">
        <v>998</v>
      </c>
      <c r="D918" s="4" t="n">
        <v>25</v>
      </c>
      <c r="E918" s="13" t="n">
        <v>45150</v>
      </c>
      <c r="F918" s="4" t="s">
        <v>3190</v>
      </c>
      <c r="G918" s="4" t="str">
        <f aca="false">INDEX(PurchaseOrders!$B$2:$B$3001,MATCH(B918,PurchaseOrders!$A$2:$A$3001,0))</f>
        <v>V022</v>
      </c>
    </row>
    <row r="919" customFormat="false" ht="15" hidden="false" customHeight="true" outlineLevel="0" collapsed="false">
      <c r="A919" s="4" t="s">
        <v>4106</v>
      </c>
      <c r="B919" s="4" t="s">
        <v>1095</v>
      </c>
      <c r="C919" s="4" t="n">
        <v>1641</v>
      </c>
      <c r="D919" s="4" t="n">
        <v>168</v>
      </c>
      <c r="E919" s="13" t="n">
        <v>45124</v>
      </c>
      <c r="F919" s="4" t="s">
        <v>3192</v>
      </c>
      <c r="G919" s="4" t="str">
        <f aca="false">INDEX(PurchaseOrders!$B$2:$B$3001,MATCH(B919,PurchaseOrders!$A$2:$A$3001,0))</f>
        <v>V027</v>
      </c>
    </row>
    <row r="920" customFormat="false" ht="15" hidden="false" customHeight="true" outlineLevel="0" collapsed="false">
      <c r="A920" s="4" t="s">
        <v>4107</v>
      </c>
      <c r="B920" s="4" t="s">
        <v>1096</v>
      </c>
      <c r="C920" s="4" t="n">
        <v>1002</v>
      </c>
      <c r="D920" s="4" t="n">
        <v>77</v>
      </c>
      <c r="E920" s="13" t="n">
        <v>45381</v>
      </c>
      <c r="F920" s="4" t="s">
        <v>3186</v>
      </c>
      <c r="G920" s="4" t="str">
        <f aca="false">INDEX(PurchaseOrders!$B$2:$B$3001,MATCH(B920,PurchaseOrders!$A$2:$A$3001,0))</f>
        <v>V034</v>
      </c>
    </row>
    <row r="921" customFormat="false" ht="15" hidden="false" customHeight="true" outlineLevel="0" collapsed="false">
      <c r="A921" s="4" t="s">
        <v>4108</v>
      </c>
      <c r="B921" s="4" t="s">
        <v>1097</v>
      </c>
      <c r="C921" s="4" t="n">
        <v>754</v>
      </c>
      <c r="D921" s="4" t="n">
        <v>23</v>
      </c>
      <c r="E921" s="13" t="n">
        <v>45566</v>
      </c>
      <c r="F921" s="4" t="s">
        <v>3188</v>
      </c>
      <c r="G921" s="4" t="str">
        <f aca="false">INDEX(PurchaseOrders!$B$2:$B$3001,MATCH(B921,PurchaseOrders!$A$2:$A$3001,0))</f>
        <v>V021</v>
      </c>
    </row>
    <row r="922" customFormat="false" ht="15" hidden="false" customHeight="true" outlineLevel="0" collapsed="false">
      <c r="A922" s="4" t="s">
        <v>4109</v>
      </c>
      <c r="B922" s="4" t="s">
        <v>1098</v>
      </c>
      <c r="C922" s="4" t="n">
        <v>408</v>
      </c>
      <c r="D922" s="4" t="n">
        <v>45</v>
      </c>
      <c r="E922" s="13" t="n">
        <v>45097</v>
      </c>
      <c r="F922" s="4" t="s">
        <v>3188</v>
      </c>
      <c r="G922" s="4" t="str">
        <f aca="false">INDEX(PurchaseOrders!$B$2:$B$3001,MATCH(B922,PurchaseOrders!$A$2:$A$3001,0))</f>
        <v>V030</v>
      </c>
    </row>
    <row r="923" customFormat="false" ht="15" hidden="false" customHeight="true" outlineLevel="0" collapsed="false">
      <c r="A923" s="4" t="s">
        <v>4110</v>
      </c>
      <c r="B923" s="4" t="s">
        <v>1099</v>
      </c>
      <c r="C923" s="4" t="n">
        <v>244</v>
      </c>
      <c r="D923" s="4" t="n">
        <v>2</v>
      </c>
      <c r="E923" s="13" t="n">
        <v>45554</v>
      </c>
      <c r="F923" s="4" t="s">
        <v>3190</v>
      </c>
      <c r="G923" s="4" t="str">
        <f aca="false">INDEX(PurchaseOrders!$B$2:$B$3001,MATCH(B923,PurchaseOrders!$A$2:$A$3001,0))</f>
        <v>V024</v>
      </c>
    </row>
    <row r="924" customFormat="false" ht="15" hidden="false" customHeight="true" outlineLevel="0" collapsed="false">
      <c r="A924" s="4" t="s">
        <v>4111</v>
      </c>
      <c r="B924" s="4" t="s">
        <v>1100</v>
      </c>
      <c r="C924" s="4" t="n">
        <v>728</v>
      </c>
      <c r="D924" s="4" t="n">
        <v>127</v>
      </c>
      <c r="E924" s="13" t="n">
        <v>45105</v>
      </c>
      <c r="F924" s="4" t="s">
        <v>3188</v>
      </c>
      <c r="G924" s="4" t="str">
        <f aca="false">INDEX(PurchaseOrders!$B$2:$B$3001,MATCH(B924,PurchaseOrders!$A$2:$A$3001,0))</f>
        <v>V026</v>
      </c>
    </row>
    <row r="925" customFormat="false" ht="15" hidden="false" customHeight="true" outlineLevel="0" collapsed="false">
      <c r="A925" s="4" t="s">
        <v>4112</v>
      </c>
      <c r="B925" s="4" t="s">
        <v>1101</v>
      </c>
      <c r="C925" s="4" t="n">
        <v>14</v>
      </c>
      <c r="D925" s="4" t="n">
        <v>1</v>
      </c>
      <c r="E925" s="13" t="n">
        <v>45481</v>
      </c>
      <c r="F925" s="4" t="s">
        <v>3186</v>
      </c>
      <c r="G925" s="4" t="str">
        <f aca="false">INDEX(PurchaseOrders!$B$2:$B$3001,MATCH(B925,PurchaseOrders!$A$2:$A$3001,0))</f>
        <v>V054</v>
      </c>
    </row>
    <row r="926" customFormat="false" ht="15" hidden="false" customHeight="true" outlineLevel="0" collapsed="false">
      <c r="A926" s="4" t="s">
        <v>4113</v>
      </c>
      <c r="B926" s="4" t="s">
        <v>1102</v>
      </c>
      <c r="C926" s="4" t="n">
        <v>1733</v>
      </c>
      <c r="D926" s="4" t="n">
        <v>98</v>
      </c>
      <c r="E926" s="13" t="n">
        <v>45470</v>
      </c>
      <c r="F926" s="4" t="s">
        <v>3192</v>
      </c>
      <c r="G926" s="4" t="str">
        <f aca="false">INDEX(PurchaseOrders!$B$2:$B$3001,MATCH(B926,PurchaseOrders!$A$2:$A$3001,0))</f>
        <v>V014</v>
      </c>
    </row>
    <row r="927" customFormat="false" ht="15" hidden="false" customHeight="true" outlineLevel="0" collapsed="false">
      <c r="A927" s="4" t="s">
        <v>4114</v>
      </c>
      <c r="B927" s="4" t="s">
        <v>1103</v>
      </c>
      <c r="C927" s="4" t="n">
        <v>10</v>
      </c>
      <c r="D927" s="4" t="n">
        <v>1</v>
      </c>
      <c r="E927" s="13" t="n">
        <v>45571</v>
      </c>
      <c r="F927" s="4" t="s">
        <v>3190</v>
      </c>
      <c r="G927" s="4" t="str">
        <f aca="false">INDEX(PurchaseOrders!$B$2:$B$3001,MATCH(B927,PurchaseOrders!$A$2:$A$3001,0))</f>
        <v>V054</v>
      </c>
    </row>
    <row r="928" customFormat="false" ht="15" hidden="false" customHeight="true" outlineLevel="0" collapsed="false">
      <c r="A928" s="4" t="s">
        <v>4115</v>
      </c>
      <c r="B928" s="4" t="s">
        <v>1104</v>
      </c>
      <c r="C928" s="4" t="n">
        <v>2</v>
      </c>
      <c r="D928" s="4" t="n">
        <v>0</v>
      </c>
      <c r="E928" s="13" t="n">
        <v>44953</v>
      </c>
      <c r="F928" s="4"/>
      <c r="G928" s="4" t="str">
        <f aca="false">INDEX(PurchaseOrders!$B$2:$B$3001,MATCH(B928,PurchaseOrders!$A$2:$A$3001,0))</f>
        <v>V041</v>
      </c>
    </row>
    <row r="929" customFormat="false" ht="15" hidden="false" customHeight="true" outlineLevel="0" collapsed="false">
      <c r="A929" s="4" t="s">
        <v>4116</v>
      </c>
      <c r="B929" s="4" t="s">
        <v>1105</v>
      </c>
      <c r="C929" s="4" t="n">
        <v>16</v>
      </c>
      <c r="D929" s="4" t="n">
        <v>0</v>
      </c>
      <c r="E929" s="13" t="n">
        <v>45229</v>
      </c>
      <c r="F929" s="4"/>
      <c r="G929" s="4" t="str">
        <f aca="false">INDEX(PurchaseOrders!$B$2:$B$3001,MATCH(B929,PurchaseOrders!$A$2:$A$3001,0))</f>
        <v>V016</v>
      </c>
    </row>
    <row r="930" customFormat="false" ht="15" hidden="false" customHeight="true" outlineLevel="0" collapsed="false">
      <c r="A930" s="4" t="s">
        <v>4117</v>
      </c>
      <c r="B930" s="4" t="s">
        <v>1106</v>
      </c>
      <c r="C930" s="4" t="n">
        <v>267</v>
      </c>
      <c r="D930" s="4" t="n">
        <v>11</v>
      </c>
      <c r="E930" s="13" t="n">
        <v>45626</v>
      </c>
      <c r="F930" s="4" t="s">
        <v>3202</v>
      </c>
      <c r="G930" s="4" t="str">
        <f aca="false">INDEX(PurchaseOrders!$B$2:$B$3001,MATCH(B930,PurchaseOrders!$A$2:$A$3001,0))</f>
        <v>V031</v>
      </c>
    </row>
    <row r="931" customFormat="false" ht="15" hidden="false" customHeight="true" outlineLevel="0" collapsed="false">
      <c r="A931" s="4" t="s">
        <v>4118</v>
      </c>
      <c r="B931" s="4" t="s">
        <v>1107</v>
      </c>
      <c r="C931" s="4" t="n">
        <v>3178</v>
      </c>
      <c r="D931" s="4" t="n">
        <v>92</v>
      </c>
      <c r="E931" s="13" t="n">
        <v>45620</v>
      </c>
      <c r="F931" s="4" t="s">
        <v>3184</v>
      </c>
      <c r="G931" s="4" t="str">
        <f aca="false">INDEX(PurchaseOrders!$B$2:$B$3001,MATCH(B931,PurchaseOrders!$A$2:$A$3001,0))</f>
        <v>V002</v>
      </c>
    </row>
    <row r="932" customFormat="false" ht="15" hidden="false" customHeight="true" outlineLevel="0" collapsed="false">
      <c r="A932" s="4" t="s">
        <v>4119</v>
      </c>
      <c r="B932" s="4" t="s">
        <v>1108</v>
      </c>
      <c r="C932" s="4" t="n">
        <v>375</v>
      </c>
      <c r="D932" s="4" t="n">
        <v>10</v>
      </c>
      <c r="E932" s="13" t="n">
        <v>45084</v>
      </c>
      <c r="F932" s="4" t="s">
        <v>3184</v>
      </c>
      <c r="G932" s="4" t="str">
        <f aca="false">INDEX(PurchaseOrders!$B$2:$B$3001,MATCH(B932,PurchaseOrders!$A$2:$A$3001,0))</f>
        <v>V004</v>
      </c>
    </row>
    <row r="933" customFormat="false" ht="15" hidden="false" customHeight="true" outlineLevel="0" collapsed="false">
      <c r="A933" s="4" t="s">
        <v>4120</v>
      </c>
      <c r="B933" s="4" t="s">
        <v>1109</v>
      </c>
      <c r="C933" s="4" t="n">
        <v>51</v>
      </c>
      <c r="D933" s="4" t="n">
        <v>3</v>
      </c>
      <c r="E933" s="13" t="n">
        <v>45394</v>
      </c>
      <c r="F933" s="4" t="s">
        <v>3190</v>
      </c>
      <c r="G933" s="4" t="str">
        <f aca="false">INDEX(PurchaseOrders!$B$2:$B$3001,MATCH(B933,PurchaseOrders!$A$2:$A$3001,0))</f>
        <v>V004</v>
      </c>
    </row>
    <row r="934" customFormat="false" ht="15" hidden="false" customHeight="true" outlineLevel="0" collapsed="false">
      <c r="A934" s="4" t="s">
        <v>4121</v>
      </c>
      <c r="B934" s="4" t="s">
        <v>1110</v>
      </c>
      <c r="C934" s="4" t="n">
        <v>906</v>
      </c>
      <c r="D934" s="4" t="n">
        <v>0</v>
      </c>
      <c r="E934" s="13" t="n">
        <v>45534</v>
      </c>
      <c r="F934" s="4"/>
      <c r="G934" s="4" t="str">
        <f aca="false">INDEX(PurchaseOrders!$B$2:$B$3001,MATCH(B934,PurchaseOrders!$A$2:$A$3001,0))</f>
        <v>V035</v>
      </c>
    </row>
    <row r="935" customFormat="false" ht="15" hidden="false" customHeight="true" outlineLevel="0" collapsed="false">
      <c r="A935" s="4" t="s">
        <v>4122</v>
      </c>
      <c r="B935" s="4" t="s">
        <v>1111</v>
      </c>
      <c r="C935" s="4" t="n">
        <v>1665</v>
      </c>
      <c r="D935" s="4" t="n">
        <v>141</v>
      </c>
      <c r="E935" s="13" t="n">
        <v>45009</v>
      </c>
      <c r="F935" s="4" t="s">
        <v>3202</v>
      </c>
      <c r="G935" s="4" t="str">
        <f aca="false">INDEX(PurchaseOrders!$B$2:$B$3001,MATCH(B935,PurchaseOrders!$A$2:$A$3001,0))</f>
        <v>V051</v>
      </c>
    </row>
    <row r="936" customFormat="false" ht="15" hidden="false" customHeight="true" outlineLevel="0" collapsed="false">
      <c r="A936" s="4" t="s">
        <v>4123</v>
      </c>
      <c r="B936" s="4" t="s">
        <v>1112</v>
      </c>
      <c r="C936" s="4" t="n">
        <v>1747</v>
      </c>
      <c r="D936" s="4" t="n">
        <v>110</v>
      </c>
      <c r="E936" s="13" t="n">
        <v>45382</v>
      </c>
      <c r="F936" s="4" t="s">
        <v>3192</v>
      </c>
      <c r="G936" s="4" t="str">
        <f aca="false">INDEX(PurchaseOrders!$B$2:$B$3001,MATCH(B936,PurchaseOrders!$A$2:$A$3001,0))</f>
        <v>V022</v>
      </c>
    </row>
    <row r="937" customFormat="false" ht="15" hidden="false" customHeight="true" outlineLevel="0" collapsed="false">
      <c r="A937" s="4" t="s">
        <v>4124</v>
      </c>
      <c r="B937" s="4" t="s">
        <v>1113</v>
      </c>
      <c r="C937" s="4" t="n">
        <v>1306</v>
      </c>
      <c r="D937" s="4" t="n">
        <v>136</v>
      </c>
      <c r="E937" s="13" t="n">
        <v>45075</v>
      </c>
      <c r="F937" s="4" t="s">
        <v>3202</v>
      </c>
      <c r="G937" s="4" t="str">
        <f aca="false">INDEX(PurchaseOrders!$B$2:$B$3001,MATCH(B937,PurchaseOrders!$A$2:$A$3001,0))</f>
        <v>V027</v>
      </c>
    </row>
    <row r="938" customFormat="false" ht="15" hidden="false" customHeight="true" outlineLevel="0" collapsed="false">
      <c r="A938" s="4" t="s">
        <v>4125</v>
      </c>
      <c r="B938" s="4" t="s">
        <v>1114</v>
      </c>
      <c r="C938" s="4" t="n">
        <v>191</v>
      </c>
      <c r="D938" s="4" t="n">
        <v>0</v>
      </c>
      <c r="E938" s="13" t="n">
        <v>45660</v>
      </c>
      <c r="F938" s="4"/>
      <c r="G938" s="4" t="str">
        <f aca="false">INDEX(PurchaseOrders!$B$2:$B$3001,MATCH(B938,PurchaseOrders!$A$2:$A$3001,0))</f>
        <v>V040</v>
      </c>
    </row>
    <row r="939" customFormat="false" ht="15" hidden="false" customHeight="true" outlineLevel="0" collapsed="false">
      <c r="A939" s="4" t="s">
        <v>4126</v>
      </c>
      <c r="B939" s="4" t="s">
        <v>1115</v>
      </c>
      <c r="C939" s="4" t="n">
        <v>3851</v>
      </c>
      <c r="D939" s="4" t="n">
        <v>555</v>
      </c>
      <c r="E939" s="13" t="n">
        <v>45261</v>
      </c>
      <c r="F939" s="4" t="s">
        <v>3188</v>
      </c>
      <c r="G939" s="4" t="str">
        <f aca="false">INDEX(PurchaseOrders!$B$2:$B$3001,MATCH(B939,PurchaseOrders!$A$2:$A$3001,0))</f>
        <v>V038</v>
      </c>
    </row>
    <row r="940" customFormat="false" ht="15" hidden="false" customHeight="true" outlineLevel="0" collapsed="false">
      <c r="A940" s="4" t="s">
        <v>4127</v>
      </c>
      <c r="B940" s="4" t="s">
        <v>1116</v>
      </c>
      <c r="C940" s="4" t="n">
        <v>4529</v>
      </c>
      <c r="D940" s="4" t="n">
        <v>291</v>
      </c>
      <c r="E940" s="13" t="n">
        <v>44983</v>
      </c>
      <c r="F940" s="4" t="s">
        <v>3190</v>
      </c>
      <c r="G940" s="4" t="str">
        <f aca="false">INDEX(PurchaseOrders!$B$2:$B$3001,MATCH(B940,PurchaseOrders!$A$2:$A$3001,0))</f>
        <v>V028</v>
      </c>
    </row>
    <row r="941" customFormat="false" ht="15" hidden="false" customHeight="true" outlineLevel="0" collapsed="false">
      <c r="A941" s="4" t="s">
        <v>4128</v>
      </c>
      <c r="B941" s="4" t="s">
        <v>1117</v>
      </c>
      <c r="C941" s="4" t="n">
        <v>922</v>
      </c>
      <c r="D941" s="4" t="n">
        <v>67</v>
      </c>
      <c r="E941" s="13" t="n">
        <v>45515</v>
      </c>
      <c r="F941" s="4" t="s">
        <v>3186</v>
      </c>
      <c r="G941" s="4" t="str">
        <f aca="false">INDEX(PurchaseOrders!$B$2:$B$3001,MATCH(B941,PurchaseOrders!$A$2:$A$3001,0))</f>
        <v>V028</v>
      </c>
    </row>
    <row r="942" customFormat="false" ht="15" hidden="false" customHeight="true" outlineLevel="0" collapsed="false">
      <c r="A942" s="4" t="s">
        <v>4129</v>
      </c>
      <c r="B942" s="4" t="s">
        <v>1118</v>
      </c>
      <c r="C942" s="4" t="n">
        <v>2273</v>
      </c>
      <c r="D942" s="4" t="n">
        <v>84</v>
      </c>
      <c r="E942" s="13" t="n">
        <v>45024</v>
      </c>
      <c r="F942" s="4" t="s">
        <v>3192</v>
      </c>
      <c r="G942" s="4" t="str">
        <f aca="false">INDEX(PurchaseOrders!$B$2:$B$3001,MATCH(B942,PurchaseOrders!$A$2:$A$3001,0))</f>
        <v>V014</v>
      </c>
    </row>
    <row r="943" customFormat="false" ht="15" hidden="false" customHeight="true" outlineLevel="0" collapsed="false">
      <c r="A943" s="4" t="s">
        <v>4130</v>
      </c>
      <c r="B943" s="4" t="s">
        <v>1119</v>
      </c>
      <c r="C943" s="4" t="n">
        <v>516</v>
      </c>
      <c r="D943" s="4" t="n">
        <v>32</v>
      </c>
      <c r="E943" s="13" t="n">
        <v>44966</v>
      </c>
      <c r="F943" s="4" t="s">
        <v>3190</v>
      </c>
      <c r="G943" s="4" t="str">
        <f aca="false">INDEX(PurchaseOrders!$B$2:$B$3001,MATCH(B943,PurchaseOrders!$A$2:$A$3001,0))</f>
        <v>V051</v>
      </c>
    </row>
    <row r="944" customFormat="false" ht="15" hidden="false" customHeight="true" outlineLevel="0" collapsed="false">
      <c r="A944" s="4" t="s">
        <v>4131</v>
      </c>
      <c r="B944" s="4" t="s">
        <v>1120</v>
      </c>
      <c r="C944" s="4" t="n">
        <v>1433</v>
      </c>
      <c r="D944" s="4" t="n">
        <v>60</v>
      </c>
      <c r="E944" s="13" t="n">
        <v>45445</v>
      </c>
      <c r="F944" s="4" t="s">
        <v>3184</v>
      </c>
      <c r="G944" s="4" t="str">
        <f aca="false">INDEX(PurchaseOrders!$B$2:$B$3001,MATCH(B944,PurchaseOrders!$A$2:$A$3001,0))</f>
        <v>V011</v>
      </c>
    </row>
    <row r="945" customFormat="false" ht="15" hidden="false" customHeight="true" outlineLevel="0" collapsed="false">
      <c r="A945" s="4" t="s">
        <v>4132</v>
      </c>
      <c r="B945" s="4" t="s">
        <v>1121</v>
      </c>
      <c r="C945" s="4" t="n">
        <v>7</v>
      </c>
      <c r="D945" s="4" t="n">
        <v>0</v>
      </c>
      <c r="E945" s="13" t="n">
        <v>45431</v>
      </c>
      <c r="F945" s="4"/>
      <c r="G945" s="4" t="str">
        <f aca="false">INDEX(PurchaseOrders!$B$2:$B$3001,MATCH(B945,PurchaseOrders!$A$2:$A$3001,0))</f>
        <v>V023</v>
      </c>
    </row>
    <row r="946" customFormat="false" ht="15" hidden="false" customHeight="true" outlineLevel="0" collapsed="false">
      <c r="A946" s="4" t="s">
        <v>4133</v>
      </c>
      <c r="B946" s="4" t="s">
        <v>1122</v>
      </c>
      <c r="C946" s="4" t="n">
        <v>3418</v>
      </c>
      <c r="D946" s="4" t="n">
        <v>306</v>
      </c>
      <c r="E946" s="13" t="n">
        <v>45632</v>
      </c>
      <c r="F946" s="4" t="s">
        <v>3190</v>
      </c>
      <c r="G946" s="4" t="str">
        <f aca="false">INDEX(PurchaseOrders!$B$2:$B$3001,MATCH(B946,PurchaseOrders!$A$2:$A$3001,0))</f>
        <v>V050</v>
      </c>
    </row>
    <row r="947" customFormat="false" ht="15" hidden="false" customHeight="true" outlineLevel="0" collapsed="false">
      <c r="A947" s="4" t="s">
        <v>4134</v>
      </c>
      <c r="B947" s="4" t="s">
        <v>1123</v>
      </c>
      <c r="C947" s="4" t="n">
        <v>1476</v>
      </c>
      <c r="D947" s="4" t="n">
        <v>87</v>
      </c>
      <c r="E947" s="13" t="n">
        <v>45529</v>
      </c>
      <c r="F947" s="4" t="s">
        <v>3190</v>
      </c>
      <c r="G947" s="4" t="str">
        <f aca="false">INDEX(PurchaseOrders!$B$2:$B$3001,MATCH(B947,PurchaseOrders!$A$2:$A$3001,0))</f>
        <v>V017</v>
      </c>
    </row>
    <row r="948" customFormat="false" ht="15" hidden="false" customHeight="true" outlineLevel="0" collapsed="false">
      <c r="A948" s="4" t="s">
        <v>4135</v>
      </c>
      <c r="B948" s="4" t="s">
        <v>1124</v>
      </c>
      <c r="C948" s="4" t="n">
        <v>4545</v>
      </c>
      <c r="D948" s="4" t="n">
        <v>155</v>
      </c>
      <c r="E948" s="13" t="n">
        <v>45284</v>
      </c>
      <c r="F948" s="4" t="s">
        <v>3184</v>
      </c>
      <c r="G948" s="4" t="str">
        <f aca="false">INDEX(PurchaseOrders!$B$2:$B$3001,MATCH(B948,PurchaseOrders!$A$2:$A$3001,0))</f>
        <v>V058</v>
      </c>
    </row>
    <row r="949" customFormat="false" ht="15" hidden="false" customHeight="true" outlineLevel="0" collapsed="false">
      <c r="A949" s="4" t="s">
        <v>4136</v>
      </c>
      <c r="B949" s="4" t="s">
        <v>1125</v>
      </c>
      <c r="C949" s="4" t="n">
        <v>1574</v>
      </c>
      <c r="D949" s="4" t="n">
        <v>156</v>
      </c>
      <c r="E949" s="13" t="n">
        <v>44967</v>
      </c>
      <c r="F949" s="4" t="s">
        <v>3184</v>
      </c>
      <c r="G949" s="4" t="str">
        <f aca="false">INDEX(PurchaseOrders!$B$2:$B$3001,MATCH(B949,PurchaseOrders!$A$2:$A$3001,0))</f>
        <v>V001</v>
      </c>
    </row>
    <row r="950" customFormat="false" ht="15" hidden="false" customHeight="true" outlineLevel="0" collapsed="false">
      <c r="A950" s="4" t="s">
        <v>4137</v>
      </c>
      <c r="B950" s="4" t="s">
        <v>1126</v>
      </c>
      <c r="C950" s="4" t="n">
        <v>3128</v>
      </c>
      <c r="D950" s="4" t="n">
        <v>312</v>
      </c>
      <c r="E950" s="13" t="n">
        <v>45063</v>
      </c>
      <c r="F950" s="4" t="s">
        <v>3186</v>
      </c>
      <c r="G950" s="4" t="str">
        <f aca="false">INDEX(PurchaseOrders!$B$2:$B$3001,MATCH(B950,PurchaseOrders!$A$2:$A$3001,0))</f>
        <v>V032</v>
      </c>
    </row>
    <row r="951" customFormat="false" ht="15" hidden="false" customHeight="true" outlineLevel="0" collapsed="false">
      <c r="A951" s="4" t="s">
        <v>4138</v>
      </c>
      <c r="B951" s="4" t="s">
        <v>1127</v>
      </c>
      <c r="C951" s="4" t="n">
        <v>1835</v>
      </c>
      <c r="D951" s="4" t="n">
        <v>0</v>
      </c>
      <c r="E951" s="13" t="n">
        <v>45058</v>
      </c>
      <c r="F951" s="4"/>
      <c r="G951" s="4" t="str">
        <f aca="false">INDEX(PurchaseOrders!$B$2:$B$3001,MATCH(B951,PurchaseOrders!$A$2:$A$3001,0))</f>
        <v>V020</v>
      </c>
    </row>
    <row r="952" customFormat="false" ht="15" hidden="false" customHeight="true" outlineLevel="0" collapsed="false">
      <c r="A952" s="4" t="s">
        <v>4139</v>
      </c>
      <c r="B952" s="4" t="s">
        <v>1128</v>
      </c>
      <c r="C952" s="4" t="n">
        <v>1593</v>
      </c>
      <c r="D952" s="4" t="n">
        <v>19</v>
      </c>
      <c r="E952" s="13" t="n">
        <v>45443</v>
      </c>
      <c r="F952" s="4" t="s">
        <v>3186</v>
      </c>
      <c r="G952" s="4" t="str">
        <f aca="false">INDEX(PurchaseOrders!$B$2:$B$3001,MATCH(B952,PurchaseOrders!$A$2:$A$3001,0))</f>
        <v>V050</v>
      </c>
    </row>
    <row r="953" customFormat="false" ht="15" hidden="false" customHeight="true" outlineLevel="0" collapsed="false">
      <c r="A953" s="4" t="s">
        <v>4140</v>
      </c>
      <c r="B953" s="4" t="s">
        <v>1129</v>
      </c>
      <c r="C953" s="4" t="n">
        <v>421</v>
      </c>
      <c r="D953" s="4" t="n">
        <v>3</v>
      </c>
      <c r="E953" s="13" t="n">
        <v>44979</v>
      </c>
      <c r="F953" s="4" t="s">
        <v>3188</v>
      </c>
      <c r="G953" s="4" t="str">
        <f aca="false">INDEX(PurchaseOrders!$B$2:$B$3001,MATCH(B953,PurchaseOrders!$A$2:$A$3001,0))</f>
        <v>V047</v>
      </c>
    </row>
    <row r="954" customFormat="false" ht="15" hidden="false" customHeight="true" outlineLevel="0" collapsed="false">
      <c r="A954" s="4" t="s">
        <v>4141</v>
      </c>
      <c r="B954" s="4" t="s">
        <v>1130</v>
      </c>
      <c r="C954" s="4" t="n">
        <v>336</v>
      </c>
      <c r="D954" s="4" t="n">
        <v>28</v>
      </c>
      <c r="E954" s="13" t="n">
        <v>45245</v>
      </c>
      <c r="F954" s="4" t="s">
        <v>3190</v>
      </c>
      <c r="G954" s="4" t="str">
        <f aca="false">INDEX(PurchaseOrders!$B$2:$B$3001,MATCH(B954,PurchaseOrders!$A$2:$A$3001,0))</f>
        <v>V048</v>
      </c>
    </row>
    <row r="955" customFormat="false" ht="15" hidden="false" customHeight="true" outlineLevel="0" collapsed="false">
      <c r="A955" s="4" t="s">
        <v>4142</v>
      </c>
      <c r="B955" s="4" t="s">
        <v>1131</v>
      </c>
      <c r="C955" s="4" t="n">
        <v>183</v>
      </c>
      <c r="D955" s="4" t="n">
        <v>6</v>
      </c>
      <c r="E955" s="13" t="n">
        <v>45519</v>
      </c>
      <c r="F955" s="4" t="s">
        <v>3202</v>
      </c>
      <c r="G955" s="4" t="str">
        <f aca="false">INDEX(PurchaseOrders!$B$2:$B$3001,MATCH(B955,PurchaseOrders!$A$2:$A$3001,0))</f>
        <v>V060</v>
      </c>
    </row>
    <row r="956" customFormat="false" ht="15" hidden="false" customHeight="true" outlineLevel="0" collapsed="false">
      <c r="A956" s="4" t="s">
        <v>4143</v>
      </c>
      <c r="B956" s="4" t="s">
        <v>1132</v>
      </c>
      <c r="C956" s="4" t="n">
        <v>231</v>
      </c>
      <c r="D956" s="4" t="n">
        <v>9</v>
      </c>
      <c r="E956" s="13" t="n">
        <v>45351</v>
      </c>
      <c r="F956" s="4" t="s">
        <v>3192</v>
      </c>
      <c r="G956" s="4" t="str">
        <f aca="false">INDEX(PurchaseOrders!$B$2:$B$3001,MATCH(B956,PurchaseOrders!$A$2:$A$3001,0))</f>
        <v>V024</v>
      </c>
    </row>
    <row r="957" customFormat="false" ht="15" hidden="false" customHeight="true" outlineLevel="0" collapsed="false">
      <c r="A957" s="4" t="s">
        <v>4144</v>
      </c>
      <c r="B957" s="4" t="s">
        <v>1133</v>
      </c>
      <c r="C957" s="4" t="n">
        <v>1347</v>
      </c>
      <c r="D957" s="4" t="n">
        <v>50</v>
      </c>
      <c r="E957" s="13" t="n">
        <v>45652</v>
      </c>
      <c r="F957" s="4" t="s">
        <v>3202</v>
      </c>
      <c r="G957" s="4" t="str">
        <f aca="false">INDEX(PurchaseOrders!$B$2:$B$3001,MATCH(B957,PurchaseOrders!$A$2:$A$3001,0))</f>
        <v>V010</v>
      </c>
    </row>
    <row r="958" customFormat="false" ht="15" hidden="false" customHeight="true" outlineLevel="0" collapsed="false">
      <c r="A958" s="4" t="s">
        <v>4145</v>
      </c>
      <c r="B958" s="4" t="s">
        <v>1134</v>
      </c>
      <c r="C958" s="4" t="n">
        <v>1</v>
      </c>
      <c r="D958" s="4" t="n">
        <v>0</v>
      </c>
      <c r="E958" s="13" t="n">
        <v>45017</v>
      </c>
      <c r="F958" s="4"/>
      <c r="G958" s="4" t="str">
        <f aca="false">INDEX(PurchaseOrders!$B$2:$B$3001,MATCH(B958,PurchaseOrders!$A$2:$A$3001,0))</f>
        <v>V053</v>
      </c>
    </row>
    <row r="959" customFormat="false" ht="15" hidden="false" customHeight="true" outlineLevel="0" collapsed="false">
      <c r="A959" s="4" t="s">
        <v>4146</v>
      </c>
      <c r="B959" s="4" t="s">
        <v>1135</v>
      </c>
      <c r="C959" s="4" t="n">
        <v>1549</v>
      </c>
      <c r="D959" s="4" t="n">
        <v>67</v>
      </c>
      <c r="E959" s="13" t="n">
        <v>45234</v>
      </c>
      <c r="F959" s="4" t="s">
        <v>3186</v>
      </c>
      <c r="G959" s="4" t="str">
        <f aca="false">INDEX(PurchaseOrders!$B$2:$B$3001,MATCH(B959,PurchaseOrders!$A$2:$A$3001,0))</f>
        <v>V035</v>
      </c>
    </row>
    <row r="960" customFormat="false" ht="15" hidden="false" customHeight="true" outlineLevel="0" collapsed="false">
      <c r="A960" s="4" t="s">
        <v>4147</v>
      </c>
      <c r="B960" s="4" t="s">
        <v>1136</v>
      </c>
      <c r="C960" s="4" t="n">
        <v>3470</v>
      </c>
      <c r="D960" s="4" t="n">
        <v>146</v>
      </c>
      <c r="E960" s="13" t="n">
        <v>45301</v>
      </c>
      <c r="F960" s="4" t="s">
        <v>3190</v>
      </c>
      <c r="G960" s="4" t="str">
        <f aca="false">INDEX(PurchaseOrders!$B$2:$B$3001,MATCH(B960,PurchaseOrders!$A$2:$A$3001,0))</f>
        <v>V050</v>
      </c>
    </row>
    <row r="961" customFormat="false" ht="15" hidden="false" customHeight="true" outlineLevel="0" collapsed="false">
      <c r="A961" s="4" t="s">
        <v>4148</v>
      </c>
      <c r="B961" s="4" t="s">
        <v>1137</v>
      </c>
      <c r="C961" s="4" t="n">
        <v>178</v>
      </c>
      <c r="D961" s="4" t="n">
        <v>20</v>
      </c>
      <c r="E961" s="13" t="n">
        <v>45025</v>
      </c>
      <c r="F961" s="4" t="s">
        <v>3186</v>
      </c>
      <c r="G961" s="4" t="str">
        <f aca="false">INDEX(PurchaseOrders!$B$2:$B$3001,MATCH(B961,PurchaseOrders!$A$2:$A$3001,0))</f>
        <v>V009</v>
      </c>
    </row>
    <row r="962" customFormat="false" ht="15" hidden="false" customHeight="true" outlineLevel="0" collapsed="false">
      <c r="A962" s="4" t="s">
        <v>4149</v>
      </c>
      <c r="B962" s="4" t="s">
        <v>1138</v>
      </c>
      <c r="C962" s="4" t="n">
        <v>348</v>
      </c>
      <c r="D962" s="4" t="n">
        <v>10</v>
      </c>
      <c r="E962" s="13" t="n">
        <v>45584</v>
      </c>
      <c r="F962" s="4" t="s">
        <v>3184</v>
      </c>
      <c r="G962" s="4" t="str">
        <f aca="false">INDEX(PurchaseOrders!$B$2:$B$3001,MATCH(B962,PurchaseOrders!$A$2:$A$3001,0))</f>
        <v>V006</v>
      </c>
    </row>
    <row r="963" customFormat="false" ht="15" hidden="false" customHeight="true" outlineLevel="0" collapsed="false">
      <c r="A963" s="4" t="s">
        <v>4150</v>
      </c>
      <c r="B963" s="4" t="s">
        <v>1139</v>
      </c>
      <c r="C963" s="4" t="n">
        <v>2125</v>
      </c>
      <c r="D963" s="4" t="n">
        <v>166</v>
      </c>
      <c r="E963" s="13" t="n">
        <v>45455</v>
      </c>
      <c r="F963" s="4" t="s">
        <v>3184</v>
      </c>
      <c r="G963" s="4" t="str">
        <f aca="false">INDEX(PurchaseOrders!$B$2:$B$3001,MATCH(B963,PurchaseOrders!$A$2:$A$3001,0))</f>
        <v>V017</v>
      </c>
    </row>
    <row r="964" customFormat="false" ht="15" hidden="false" customHeight="true" outlineLevel="0" collapsed="false">
      <c r="A964" s="4" t="s">
        <v>4151</v>
      </c>
      <c r="B964" s="4" t="s">
        <v>1140</v>
      </c>
      <c r="C964" s="4" t="n">
        <v>202</v>
      </c>
      <c r="D964" s="4" t="n">
        <v>4</v>
      </c>
      <c r="E964" s="13" t="n">
        <v>45148</v>
      </c>
      <c r="F964" s="4" t="s">
        <v>3184</v>
      </c>
      <c r="G964" s="4" t="str">
        <f aca="false">INDEX(PurchaseOrders!$B$2:$B$3001,MATCH(B964,PurchaseOrders!$A$2:$A$3001,0))</f>
        <v>V024</v>
      </c>
    </row>
    <row r="965" customFormat="false" ht="15" hidden="false" customHeight="true" outlineLevel="0" collapsed="false">
      <c r="A965" s="4" t="s">
        <v>4152</v>
      </c>
      <c r="B965" s="4" t="s">
        <v>1141</v>
      </c>
      <c r="C965" s="4" t="n">
        <v>1346</v>
      </c>
      <c r="D965" s="4" t="n">
        <v>10</v>
      </c>
      <c r="E965" s="13" t="n">
        <v>45290</v>
      </c>
      <c r="F965" s="4" t="s">
        <v>3202</v>
      </c>
      <c r="G965" s="4" t="str">
        <f aca="false">INDEX(PurchaseOrders!$B$2:$B$3001,MATCH(B965,PurchaseOrders!$A$2:$A$3001,0))</f>
        <v>V022</v>
      </c>
    </row>
    <row r="966" customFormat="false" ht="15" hidden="false" customHeight="true" outlineLevel="0" collapsed="false">
      <c r="A966" s="4" t="s">
        <v>4153</v>
      </c>
      <c r="B966" s="4" t="s">
        <v>1142</v>
      </c>
      <c r="C966" s="4" t="n">
        <v>316</v>
      </c>
      <c r="D966" s="4" t="n">
        <v>7</v>
      </c>
      <c r="E966" s="13" t="n">
        <v>45338</v>
      </c>
      <c r="F966" s="4" t="s">
        <v>3190</v>
      </c>
      <c r="G966" s="4" t="str">
        <f aca="false">INDEX(PurchaseOrders!$B$2:$B$3001,MATCH(B966,PurchaseOrders!$A$2:$A$3001,0))</f>
        <v>V011</v>
      </c>
    </row>
    <row r="967" customFormat="false" ht="15" hidden="false" customHeight="true" outlineLevel="0" collapsed="false">
      <c r="A967" s="4" t="s">
        <v>4154</v>
      </c>
      <c r="B967" s="4" t="s">
        <v>1143</v>
      </c>
      <c r="C967" s="4" t="n">
        <v>1259</v>
      </c>
      <c r="D967" s="4" t="n">
        <v>72</v>
      </c>
      <c r="E967" s="13" t="n">
        <v>45295</v>
      </c>
      <c r="F967" s="4" t="s">
        <v>3188</v>
      </c>
      <c r="G967" s="4" t="str">
        <f aca="false">INDEX(PurchaseOrders!$B$2:$B$3001,MATCH(B967,PurchaseOrders!$A$2:$A$3001,0))</f>
        <v>V048</v>
      </c>
    </row>
    <row r="968" customFormat="false" ht="15" hidden="false" customHeight="true" outlineLevel="0" collapsed="false">
      <c r="A968" s="4" t="s">
        <v>4155</v>
      </c>
      <c r="B968" s="4" t="s">
        <v>1144</v>
      </c>
      <c r="C968" s="4" t="n">
        <v>1691</v>
      </c>
      <c r="D968" s="4" t="n">
        <v>64</v>
      </c>
      <c r="E968" s="13" t="n">
        <v>45070</v>
      </c>
      <c r="F968" s="4" t="s">
        <v>3184</v>
      </c>
      <c r="G968" s="4" t="str">
        <f aca="false">INDEX(PurchaseOrders!$B$2:$B$3001,MATCH(B968,PurchaseOrders!$A$2:$A$3001,0))</f>
        <v>V011</v>
      </c>
    </row>
    <row r="969" customFormat="false" ht="15" hidden="false" customHeight="true" outlineLevel="0" collapsed="false">
      <c r="A969" s="4" t="s">
        <v>4156</v>
      </c>
      <c r="B969" s="4" t="s">
        <v>1145</v>
      </c>
      <c r="C969" s="4" t="n">
        <v>7</v>
      </c>
      <c r="D969" s="4" t="n">
        <v>0</v>
      </c>
      <c r="E969" s="13" t="n">
        <v>45622</v>
      </c>
      <c r="F969" s="4"/>
      <c r="G969" s="4" t="str">
        <f aca="false">INDEX(PurchaseOrders!$B$2:$B$3001,MATCH(B969,PurchaseOrders!$A$2:$A$3001,0))</f>
        <v>V054</v>
      </c>
    </row>
    <row r="970" customFormat="false" ht="15" hidden="false" customHeight="true" outlineLevel="0" collapsed="false">
      <c r="A970" s="4" t="s">
        <v>4157</v>
      </c>
      <c r="B970" s="4" t="s">
        <v>1146</v>
      </c>
      <c r="C970" s="4" t="n">
        <v>242</v>
      </c>
      <c r="D970" s="4" t="n">
        <v>47</v>
      </c>
      <c r="E970" s="13" t="n">
        <v>45182</v>
      </c>
      <c r="F970" s="4" t="s">
        <v>3202</v>
      </c>
      <c r="G970" s="4" t="str">
        <f aca="false">INDEX(PurchaseOrders!$B$2:$B$3001,MATCH(B970,PurchaseOrders!$A$2:$A$3001,0))</f>
        <v>V039</v>
      </c>
    </row>
    <row r="971" customFormat="false" ht="15" hidden="false" customHeight="true" outlineLevel="0" collapsed="false">
      <c r="A971" s="4" t="s">
        <v>4158</v>
      </c>
      <c r="B971" s="4" t="s">
        <v>1147</v>
      </c>
      <c r="C971" s="4" t="n">
        <v>128</v>
      </c>
      <c r="D971" s="4" t="n">
        <v>3</v>
      </c>
      <c r="E971" s="13" t="n">
        <v>44955</v>
      </c>
      <c r="F971" s="4" t="s">
        <v>3190</v>
      </c>
      <c r="G971" s="4" t="str">
        <f aca="false">INDEX(PurchaseOrders!$B$2:$B$3001,MATCH(B971,PurchaseOrders!$A$2:$A$3001,0))</f>
        <v>V040</v>
      </c>
    </row>
    <row r="972" customFormat="false" ht="15" hidden="false" customHeight="true" outlineLevel="0" collapsed="false">
      <c r="A972" s="4" t="s">
        <v>4159</v>
      </c>
      <c r="B972" s="4" t="s">
        <v>1148</v>
      </c>
      <c r="C972" s="4" t="n">
        <v>1228</v>
      </c>
      <c r="D972" s="4" t="n">
        <v>61</v>
      </c>
      <c r="E972" s="13" t="n">
        <v>45000</v>
      </c>
      <c r="F972" s="4" t="s">
        <v>3190</v>
      </c>
      <c r="G972" s="4" t="str">
        <f aca="false">INDEX(PurchaseOrders!$B$2:$B$3001,MATCH(B972,PurchaseOrders!$A$2:$A$3001,0))</f>
        <v>V056</v>
      </c>
    </row>
    <row r="973" customFormat="false" ht="15" hidden="false" customHeight="true" outlineLevel="0" collapsed="false">
      <c r="A973" s="4" t="s">
        <v>4160</v>
      </c>
      <c r="B973" s="4" t="s">
        <v>1149</v>
      </c>
      <c r="C973" s="4" t="n">
        <v>1104</v>
      </c>
      <c r="D973" s="4" t="n">
        <v>22</v>
      </c>
      <c r="E973" s="13" t="n">
        <v>45451</v>
      </c>
      <c r="F973" s="4" t="s">
        <v>3188</v>
      </c>
      <c r="G973" s="4" t="str">
        <f aca="false">INDEX(PurchaseOrders!$B$2:$B$3001,MATCH(B973,PurchaseOrders!$A$2:$A$3001,0))</f>
        <v>V011</v>
      </c>
    </row>
    <row r="974" customFormat="false" ht="15" hidden="false" customHeight="true" outlineLevel="0" collapsed="false">
      <c r="A974" s="4" t="s">
        <v>4161</v>
      </c>
      <c r="B974" s="4" t="s">
        <v>1150</v>
      </c>
      <c r="C974" s="4" t="n">
        <v>390</v>
      </c>
      <c r="D974" s="4" t="n">
        <v>4</v>
      </c>
      <c r="E974" s="13" t="n">
        <v>45426</v>
      </c>
      <c r="F974" s="4" t="s">
        <v>3190</v>
      </c>
      <c r="G974" s="4" t="str">
        <f aca="false">INDEX(PurchaseOrders!$B$2:$B$3001,MATCH(B974,PurchaseOrders!$A$2:$A$3001,0))</f>
        <v>V008</v>
      </c>
    </row>
    <row r="975" customFormat="false" ht="15" hidden="false" customHeight="true" outlineLevel="0" collapsed="false">
      <c r="A975" s="4" t="s">
        <v>4162</v>
      </c>
      <c r="B975" s="4" t="s">
        <v>1151</v>
      </c>
      <c r="C975" s="4" t="n">
        <v>1400</v>
      </c>
      <c r="D975" s="4" t="n">
        <v>320</v>
      </c>
      <c r="E975" s="13" t="n">
        <v>45027</v>
      </c>
      <c r="F975" s="4" t="s">
        <v>3184</v>
      </c>
      <c r="G975" s="4" t="str">
        <f aca="false">INDEX(PurchaseOrders!$B$2:$B$3001,MATCH(B975,PurchaseOrders!$A$2:$A$3001,0))</f>
        <v>V039</v>
      </c>
    </row>
    <row r="976" customFormat="false" ht="15" hidden="false" customHeight="true" outlineLevel="0" collapsed="false">
      <c r="A976" s="4" t="s">
        <v>4163</v>
      </c>
      <c r="B976" s="4" t="s">
        <v>1152</v>
      </c>
      <c r="C976" s="4" t="n">
        <v>898</v>
      </c>
      <c r="D976" s="4" t="n">
        <v>73</v>
      </c>
      <c r="E976" s="13" t="n">
        <v>45611</v>
      </c>
      <c r="F976" s="4" t="s">
        <v>3202</v>
      </c>
      <c r="G976" s="4" t="str">
        <f aca="false">INDEX(PurchaseOrders!$B$2:$B$3001,MATCH(B976,PurchaseOrders!$A$2:$A$3001,0))</f>
        <v>V057</v>
      </c>
    </row>
    <row r="977" customFormat="false" ht="15" hidden="false" customHeight="true" outlineLevel="0" collapsed="false">
      <c r="A977" s="4" t="s">
        <v>4164</v>
      </c>
      <c r="B977" s="4" t="s">
        <v>1153</v>
      </c>
      <c r="C977" s="4" t="n">
        <v>437</v>
      </c>
      <c r="D977" s="4" t="n">
        <v>59</v>
      </c>
      <c r="E977" s="13" t="n">
        <v>45188</v>
      </c>
      <c r="F977" s="4" t="s">
        <v>3190</v>
      </c>
      <c r="G977" s="4" t="str">
        <f aca="false">INDEX(PurchaseOrders!$B$2:$B$3001,MATCH(B977,PurchaseOrders!$A$2:$A$3001,0))</f>
        <v>V049</v>
      </c>
    </row>
    <row r="978" customFormat="false" ht="15" hidden="false" customHeight="true" outlineLevel="0" collapsed="false">
      <c r="A978" s="4" t="s">
        <v>4165</v>
      </c>
      <c r="B978" s="4" t="s">
        <v>1154</v>
      </c>
      <c r="C978" s="4" t="n">
        <v>2042</v>
      </c>
      <c r="D978" s="4" t="n">
        <v>120</v>
      </c>
      <c r="E978" s="13" t="n">
        <v>45177</v>
      </c>
      <c r="F978" s="4" t="s">
        <v>3188</v>
      </c>
      <c r="G978" s="4" t="str">
        <f aca="false">INDEX(PurchaseOrders!$B$2:$B$3001,MATCH(B978,PurchaseOrders!$A$2:$A$3001,0))</f>
        <v>V014</v>
      </c>
    </row>
    <row r="979" customFormat="false" ht="15" hidden="false" customHeight="true" outlineLevel="0" collapsed="false">
      <c r="A979" s="4" t="s">
        <v>4166</v>
      </c>
      <c r="B979" s="4" t="s">
        <v>1155</v>
      </c>
      <c r="C979" s="4" t="n">
        <v>242</v>
      </c>
      <c r="D979" s="4" t="n">
        <v>14</v>
      </c>
      <c r="E979" s="13" t="n">
        <v>45021</v>
      </c>
      <c r="F979" s="4" t="s">
        <v>3192</v>
      </c>
      <c r="G979" s="4" t="str">
        <f aca="false">INDEX(PurchaseOrders!$B$2:$B$3001,MATCH(B979,PurchaseOrders!$A$2:$A$3001,0))</f>
        <v>V047</v>
      </c>
    </row>
    <row r="980" customFormat="false" ht="15" hidden="false" customHeight="true" outlineLevel="0" collapsed="false">
      <c r="A980" s="4" t="s">
        <v>4167</v>
      </c>
      <c r="B980" s="4" t="s">
        <v>1156</v>
      </c>
      <c r="C980" s="4" t="n">
        <v>16</v>
      </c>
      <c r="D980" s="4" t="n">
        <v>2</v>
      </c>
      <c r="E980" s="13" t="n">
        <v>44939</v>
      </c>
      <c r="F980" s="4" t="s">
        <v>3184</v>
      </c>
      <c r="G980" s="4" t="str">
        <f aca="false">INDEX(PurchaseOrders!$B$2:$B$3001,MATCH(B980,PurchaseOrders!$A$2:$A$3001,0))</f>
        <v>V054</v>
      </c>
    </row>
    <row r="981" customFormat="false" ht="15" hidden="false" customHeight="true" outlineLevel="0" collapsed="false">
      <c r="A981" s="4" t="s">
        <v>4168</v>
      </c>
      <c r="B981" s="4" t="s">
        <v>1157</v>
      </c>
      <c r="C981" s="4" t="n">
        <v>1042</v>
      </c>
      <c r="D981" s="4" t="n">
        <v>106</v>
      </c>
      <c r="E981" s="13" t="n">
        <v>45429</v>
      </c>
      <c r="F981" s="4" t="s">
        <v>3186</v>
      </c>
      <c r="G981" s="4" t="str">
        <f aca="false">INDEX(PurchaseOrders!$B$2:$B$3001,MATCH(B981,PurchaseOrders!$A$2:$A$3001,0))</f>
        <v>V044</v>
      </c>
    </row>
    <row r="982" customFormat="false" ht="15" hidden="false" customHeight="true" outlineLevel="0" collapsed="false">
      <c r="A982" s="4" t="s">
        <v>4169</v>
      </c>
      <c r="B982" s="4" t="s">
        <v>1158</v>
      </c>
      <c r="C982" s="4" t="n">
        <v>3730</v>
      </c>
      <c r="D982" s="4" t="n">
        <v>648</v>
      </c>
      <c r="E982" s="13" t="n">
        <v>45171</v>
      </c>
      <c r="F982" s="4" t="s">
        <v>3188</v>
      </c>
      <c r="G982" s="4" t="str">
        <f aca="false">INDEX(PurchaseOrders!$B$2:$B$3001,MATCH(B982,PurchaseOrders!$A$2:$A$3001,0))</f>
        <v>V026</v>
      </c>
    </row>
    <row r="983" customFormat="false" ht="15" hidden="false" customHeight="true" outlineLevel="0" collapsed="false">
      <c r="A983" s="4" t="s">
        <v>4170</v>
      </c>
      <c r="B983" s="4" t="s">
        <v>1159</v>
      </c>
      <c r="C983" s="4" t="n">
        <v>4196</v>
      </c>
      <c r="D983" s="4" t="n">
        <v>270</v>
      </c>
      <c r="E983" s="13" t="n">
        <v>45544</v>
      </c>
      <c r="F983" s="4" t="s">
        <v>3184</v>
      </c>
      <c r="G983" s="4" t="str">
        <f aca="false">INDEX(PurchaseOrders!$B$2:$B$3001,MATCH(B983,PurchaseOrders!$A$2:$A$3001,0))</f>
        <v>V028</v>
      </c>
    </row>
    <row r="984" customFormat="false" ht="15" hidden="false" customHeight="true" outlineLevel="0" collapsed="false">
      <c r="A984" s="4" t="s">
        <v>4171</v>
      </c>
      <c r="B984" s="4" t="s">
        <v>1160</v>
      </c>
      <c r="C984" s="4" t="n">
        <v>316</v>
      </c>
      <c r="D984" s="4" t="n">
        <v>8</v>
      </c>
      <c r="E984" s="13" t="n">
        <v>45326</v>
      </c>
      <c r="F984" s="4" t="s">
        <v>3186</v>
      </c>
      <c r="G984" s="4" t="str">
        <f aca="false">INDEX(PurchaseOrders!$B$2:$B$3001,MATCH(B984,PurchaseOrders!$A$2:$A$3001,0))</f>
        <v>V006</v>
      </c>
    </row>
    <row r="985" customFormat="false" ht="15" hidden="false" customHeight="true" outlineLevel="0" collapsed="false">
      <c r="A985" s="4" t="s">
        <v>4172</v>
      </c>
      <c r="B985" s="4" t="s">
        <v>1161</v>
      </c>
      <c r="C985" s="4" t="n">
        <v>196</v>
      </c>
      <c r="D985" s="4" t="n">
        <v>0</v>
      </c>
      <c r="E985" s="13" t="n">
        <v>45456</v>
      </c>
      <c r="F985" s="4"/>
      <c r="G985" s="4" t="str">
        <f aca="false">INDEX(PurchaseOrders!$B$2:$B$3001,MATCH(B985,PurchaseOrders!$A$2:$A$3001,0))</f>
        <v>V006</v>
      </c>
    </row>
    <row r="986" customFormat="false" ht="15" hidden="false" customHeight="true" outlineLevel="0" collapsed="false">
      <c r="A986" s="4" t="s">
        <v>4173</v>
      </c>
      <c r="B986" s="4" t="s">
        <v>1162</v>
      </c>
      <c r="C986" s="4" t="n">
        <v>2197</v>
      </c>
      <c r="D986" s="4" t="n">
        <v>128</v>
      </c>
      <c r="E986" s="13" t="n">
        <v>45199</v>
      </c>
      <c r="F986" s="4" t="s">
        <v>3184</v>
      </c>
      <c r="G986" s="4" t="str">
        <f aca="false">INDEX(PurchaseOrders!$B$2:$B$3001,MATCH(B986,PurchaseOrders!$A$2:$A$3001,0))</f>
        <v>V001</v>
      </c>
    </row>
    <row r="987" customFormat="false" ht="15" hidden="false" customHeight="true" outlineLevel="0" collapsed="false">
      <c r="A987" s="4" t="s">
        <v>4174</v>
      </c>
      <c r="B987" s="4" t="s">
        <v>1163</v>
      </c>
      <c r="C987" s="4" t="n">
        <v>1171</v>
      </c>
      <c r="D987" s="4" t="n">
        <v>258</v>
      </c>
      <c r="E987" s="13" t="n">
        <v>45452</v>
      </c>
      <c r="F987" s="4" t="s">
        <v>3192</v>
      </c>
      <c r="G987" s="4" t="str">
        <f aca="false">INDEX(PurchaseOrders!$B$2:$B$3001,MATCH(B987,PurchaseOrders!$A$2:$A$3001,0))</f>
        <v>V039</v>
      </c>
    </row>
    <row r="988" customFormat="false" ht="15" hidden="false" customHeight="true" outlineLevel="0" collapsed="false">
      <c r="A988" s="4" t="s">
        <v>4175</v>
      </c>
      <c r="B988" s="4" t="s">
        <v>1164</v>
      </c>
      <c r="C988" s="4" t="n">
        <v>259</v>
      </c>
      <c r="D988" s="4" t="n">
        <v>15</v>
      </c>
      <c r="E988" s="13" t="n">
        <v>45077</v>
      </c>
      <c r="F988" s="4" t="s">
        <v>3190</v>
      </c>
      <c r="G988" s="4" t="str">
        <f aca="false">INDEX(PurchaseOrders!$B$2:$B$3001,MATCH(B988,PurchaseOrders!$A$2:$A$3001,0))</f>
        <v>V034</v>
      </c>
    </row>
    <row r="989" customFormat="false" ht="15" hidden="false" customHeight="true" outlineLevel="0" collapsed="false">
      <c r="A989" s="4" t="s">
        <v>4176</v>
      </c>
      <c r="B989" s="4" t="s">
        <v>1165</v>
      </c>
      <c r="C989" s="4" t="n">
        <v>3636</v>
      </c>
      <c r="D989" s="4" t="n">
        <v>220</v>
      </c>
      <c r="E989" s="13" t="n">
        <v>45459</v>
      </c>
      <c r="F989" s="4" t="s">
        <v>3184</v>
      </c>
      <c r="G989" s="4" t="str">
        <f aca="false">INDEX(PurchaseOrders!$B$2:$B$3001,MATCH(B989,PurchaseOrders!$A$2:$A$3001,0))</f>
        <v>V050</v>
      </c>
    </row>
    <row r="990" customFormat="false" ht="15" hidden="false" customHeight="true" outlineLevel="0" collapsed="false">
      <c r="A990" s="4" t="s">
        <v>4177</v>
      </c>
      <c r="B990" s="4" t="s">
        <v>1166</v>
      </c>
      <c r="C990" s="4" t="n">
        <v>1392</v>
      </c>
      <c r="D990" s="4" t="n">
        <v>70</v>
      </c>
      <c r="E990" s="13" t="n">
        <v>45463</v>
      </c>
      <c r="F990" s="4" t="s">
        <v>3192</v>
      </c>
      <c r="G990" s="4" t="str">
        <f aca="false">INDEX(PurchaseOrders!$B$2:$B$3001,MATCH(B990,PurchaseOrders!$A$2:$A$3001,0))</f>
        <v>V021</v>
      </c>
    </row>
    <row r="991" customFormat="false" ht="15" hidden="false" customHeight="true" outlineLevel="0" collapsed="false">
      <c r="A991" s="4" t="s">
        <v>4178</v>
      </c>
      <c r="B991" s="4" t="s">
        <v>1167</v>
      </c>
      <c r="C991" s="4" t="n">
        <v>1943</v>
      </c>
      <c r="D991" s="4" t="n">
        <v>46</v>
      </c>
      <c r="E991" s="13" t="n">
        <v>45107</v>
      </c>
      <c r="F991" s="4" t="s">
        <v>3186</v>
      </c>
      <c r="G991" s="4" t="str">
        <f aca="false">INDEX(PurchaseOrders!$B$2:$B$3001,MATCH(B991,PurchaseOrders!$A$2:$A$3001,0))</f>
        <v>V015</v>
      </c>
    </row>
    <row r="992" customFormat="false" ht="15" hidden="false" customHeight="true" outlineLevel="0" collapsed="false">
      <c r="A992" s="4" t="s">
        <v>4179</v>
      </c>
      <c r="B992" s="4" t="s">
        <v>1168</v>
      </c>
      <c r="C992" s="4" t="n">
        <v>1609</v>
      </c>
      <c r="D992" s="4" t="n">
        <v>92</v>
      </c>
      <c r="E992" s="13" t="n">
        <v>45664</v>
      </c>
      <c r="F992" s="4" t="s">
        <v>3190</v>
      </c>
      <c r="G992" s="4" t="str">
        <f aca="false">INDEX(PurchaseOrders!$B$2:$B$3001,MATCH(B992,PurchaseOrders!$A$2:$A$3001,0))</f>
        <v>V007</v>
      </c>
    </row>
    <row r="993" customFormat="false" ht="15" hidden="false" customHeight="true" outlineLevel="0" collapsed="false">
      <c r="A993" s="4" t="s">
        <v>4180</v>
      </c>
      <c r="B993" s="4" t="s">
        <v>1169</v>
      </c>
      <c r="C993" s="4" t="n">
        <v>230</v>
      </c>
      <c r="D993" s="4" t="n">
        <v>14</v>
      </c>
      <c r="E993" s="13" t="n">
        <v>45021</v>
      </c>
      <c r="F993" s="4" t="s">
        <v>3190</v>
      </c>
      <c r="G993" s="4" t="str">
        <f aca="false">INDEX(PurchaseOrders!$B$2:$B$3001,MATCH(B993,PurchaseOrders!$A$2:$A$3001,0))</f>
        <v>V051</v>
      </c>
    </row>
    <row r="994" customFormat="false" ht="15" hidden="false" customHeight="true" outlineLevel="0" collapsed="false">
      <c r="A994" s="4" t="s">
        <v>4181</v>
      </c>
      <c r="B994" s="4" t="s">
        <v>1170</v>
      </c>
      <c r="C994" s="4" t="n">
        <v>3999</v>
      </c>
      <c r="D994" s="4" t="n">
        <v>368</v>
      </c>
      <c r="E994" s="13" t="n">
        <v>45459</v>
      </c>
      <c r="F994" s="4" t="s">
        <v>3184</v>
      </c>
      <c r="G994" s="4" t="str">
        <f aca="false">INDEX(PurchaseOrders!$B$2:$B$3001,MATCH(B994,PurchaseOrders!$A$2:$A$3001,0))</f>
        <v>V014</v>
      </c>
    </row>
    <row r="995" customFormat="false" ht="15" hidden="false" customHeight="true" outlineLevel="0" collapsed="false">
      <c r="A995" s="4" t="s">
        <v>4182</v>
      </c>
      <c r="B995" s="4" t="s">
        <v>1171</v>
      </c>
      <c r="C995" s="4" t="n">
        <v>1511</v>
      </c>
      <c r="D995" s="4" t="n">
        <v>67</v>
      </c>
      <c r="E995" s="13" t="n">
        <v>45542</v>
      </c>
      <c r="F995" s="4" t="s">
        <v>3202</v>
      </c>
      <c r="G995" s="4" t="str">
        <f aca="false">INDEX(PurchaseOrders!$B$2:$B$3001,MATCH(B995,PurchaseOrders!$A$2:$A$3001,0))</f>
        <v>V003</v>
      </c>
    </row>
    <row r="996" customFormat="false" ht="15" hidden="false" customHeight="true" outlineLevel="0" collapsed="false">
      <c r="A996" s="4" t="s">
        <v>4183</v>
      </c>
      <c r="B996" s="4" t="s">
        <v>1172</v>
      </c>
      <c r="C996" s="4" t="n">
        <v>4</v>
      </c>
      <c r="D996" s="4" t="n">
        <v>0</v>
      </c>
      <c r="E996" s="13" t="n">
        <v>45146</v>
      </c>
      <c r="F996" s="4"/>
      <c r="G996" s="4" t="str">
        <f aca="false">INDEX(PurchaseOrders!$B$2:$B$3001,MATCH(B996,PurchaseOrders!$A$2:$A$3001,0))</f>
        <v>V054</v>
      </c>
    </row>
    <row r="997" customFormat="false" ht="15" hidden="false" customHeight="true" outlineLevel="0" collapsed="false">
      <c r="A997" s="4" t="s">
        <v>4184</v>
      </c>
      <c r="B997" s="4" t="s">
        <v>1173</v>
      </c>
      <c r="C997" s="4" t="n">
        <v>1658</v>
      </c>
      <c r="D997" s="4" t="n">
        <v>25</v>
      </c>
      <c r="E997" s="13" t="n">
        <v>45568</v>
      </c>
      <c r="F997" s="4" t="s">
        <v>3190</v>
      </c>
      <c r="G997" s="4" t="str">
        <f aca="false">INDEX(PurchaseOrders!$B$2:$B$3001,MATCH(B997,PurchaseOrders!$A$2:$A$3001,0))</f>
        <v>V045</v>
      </c>
    </row>
    <row r="998" customFormat="false" ht="15" hidden="false" customHeight="true" outlineLevel="0" collapsed="false">
      <c r="A998" s="4" t="s">
        <v>4185</v>
      </c>
      <c r="B998" s="4" t="s">
        <v>1174</v>
      </c>
      <c r="C998" s="4" t="n">
        <v>3618</v>
      </c>
      <c r="D998" s="4" t="n">
        <v>693</v>
      </c>
      <c r="E998" s="13" t="n">
        <v>45026</v>
      </c>
      <c r="F998" s="4" t="s">
        <v>3184</v>
      </c>
      <c r="G998" s="4" t="str">
        <f aca="false">INDEX(PurchaseOrders!$B$2:$B$3001,MATCH(B998,PurchaseOrders!$A$2:$A$3001,0))</f>
        <v>V026</v>
      </c>
    </row>
    <row r="999" customFormat="false" ht="15" hidden="false" customHeight="true" outlineLevel="0" collapsed="false">
      <c r="A999" s="4" t="s">
        <v>4186</v>
      </c>
      <c r="B999" s="4" t="s">
        <v>1175</v>
      </c>
      <c r="C999" s="4" t="n">
        <v>478</v>
      </c>
      <c r="D999" s="4" t="n">
        <v>29</v>
      </c>
      <c r="E999" s="13" t="n">
        <v>45035</v>
      </c>
      <c r="F999" s="4" t="s">
        <v>3190</v>
      </c>
      <c r="G999" s="4" t="str">
        <f aca="false">INDEX(PurchaseOrders!$B$2:$B$3001,MATCH(B999,PurchaseOrders!$A$2:$A$3001,0))</f>
        <v>V021</v>
      </c>
    </row>
    <row r="1000" customFormat="false" ht="15" hidden="false" customHeight="true" outlineLevel="0" collapsed="false">
      <c r="A1000" s="4" t="s">
        <v>4187</v>
      </c>
      <c r="B1000" s="4" t="s">
        <v>1176</v>
      </c>
      <c r="C1000" s="4" t="n">
        <v>2350</v>
      </c>
      <c r="D1000" s="4" t="n">
        <v>157</v>
      </c>
      <c r="E1000" s="13" t="n">
        <v>45454</v>
      </c>
      <c r="F1000" s="4" t="s">
        <v>3184</v>
      </c>
      <c r="G1000" s="4" t="str">
        <f aca="false">INDEX(PurchaseOrders!$B$2:$B$3001,MATCH(B1000,PurchaseOrders!$A$2:$A$3001,0))</f>
        <v>V001</v>
      </c>
    </row>
    <row r="1001" customFormat="false" ht="15" hidden="false" customHeight="true" outlineLevel="0" collapsed="false">
      <c r="A1001" s="4" t="s">
        <v>4188</v>
      </c>
      <c r="B1001" s="4" t="s">
        <v>1177</v>
      </c>
      <c r="C1001" s="4" t="n">
        <v>350</v>
      </c>
      <c r="D1001" s="4" t="n">
        <v>27</v>
      </c>
      <c r="E1001" s="13" t="n">
        <v>45433</v>
      </c>
      <c r="F1001" s="4" t="s">
        <v>3188</v>
      </c>
      <c r="G1001" s="4" t="str">
        <f aca="false">INDEX(PurchaseOrders!$B$2:$B$3001,MATCH(B1001,PurchaseOrders!$A$2:$A$3001,0))</f>
        <v>V012</v>
      </c>
    </row>
    <row r="1002" customFormat="false" ht="15" hidden="false" customHeight="true" outlineLevel="0" collapsed="false">
      <c r="A1002" s="4" t="s">
        <v>4189</v>
      </c>
      <c r="B1002" s="4" t="s">
        <v>1178</v>
      </c>
      <c r="C1002" s="4" t="n">
        <v>4209</v>
      </c>
      <c r="D1002" s="4" t="n">
        <v>136</v>
      </c>
      <c r="E1002" s="13" t="n">
        <v>45222</v>
      </c>
      <c r="F1002" s="4" t="s">
        <v>3190</v>
      </c>
      <c r="G1002" s="4" t="str">
        <f aca="false">INDEX(PurchaseOrders!$B$2:$B$3001,MATCH(B1002,PurchaseOrders!$A$2:$A$3001,0))</f>
        <v>V003</v>
      </c>
    </row>
    <row r="1003" customFormat="false" ht="15" hidden="false" customHeight="true" outlineLevel="0" collapsed="false">
      <c r="A1003" s="4" t="s">
        <v>4190</v>
      </c>
      <c r="B1003" s="4" t="s">
        <v>1179</v>
      </c>
      <c r="C1003" s="4" t="n">
        <v>144</v>
      </c>
      <c r="D1003" s="4" t="n">
        <v>1</v>
      </c>
      <c r="E1003" s="13" t="n">
        <v>45485</v>
      </c>
      <c r="F1003" s="4" t="s">
        <v>3188</v>
      </c>
      <c r="G1003" s="4" t="str">
        <f aca="false">INDEX(PurchaseOrders!$B$2:$B$3001,MATCH(B1003,PurchaseOrders!$A$2:$A$3001,0))</f>
        <v>V052</v>
      </c>
    </row>
    <row r="1004" customFormat="false" ht="15" hidden="false" customHeight="true" outlineLevel="0" collapsed="false">
      <c r="A1004" s="4" t="s">
        <v>4191</v>
      </c>
      <c r="B1004" s="4" t="s">
        <v>1180</v>
      </c>
      <c r="C1004" s="4" t="n">
        <v>394</v>
      </c>
      <c r="D1004" s="4" t="n">
        <v>32</v>
      </c>
      <c r="E1004" s="13" t="n">
        <v>45514</v>
      </c>
      <c r="F1004" s="4" t="s">
        <v>3186</v>
      </c>
      <c r="G1004" s="4" t="str">
        <f aca="false">INDEX(PurchaseOrders!$B$2:$B$3001,MATCH(B1004,PurchaseOrders!$A$2:$A$3001,0))</f>
        <v>V012</v>
      </c>
    </row>
    <row r="1005" customFormat="false" ht="15" hidden="false" customHeight="true" outlineLevel="0" collapsed="false">
      <c r="A1005" s="4" t="s">
        <v>4192</v>
      </c>
      <c r="B1005" s="4" t="s">
        <v>1181</v>
      </c>
      <c r="C1005" s="4" t="n">
        <v>1794</v>
      </c>
      <c r="D1005" s="4" t="n">
        <v>67</v>
      </c>
      <c r="E1005" s="13" t="n">
        <v>45335</v>
      </c>
      <c r="F1005" s="4" t="s">
        <v>3184</v>
      </c>
      <c r="G1005" s="4" t="str">
        <f aca="false">INDEX(PurchaseOrders!$B$2:$B$3001,MATCH(B1005,PurchaseOrders!$A$2:$A$3001,0))</f>
        <v>V002</v>
      </c>
    </row>
    <row r="1006" customFormat="false" ht="15" hidden="false" customHeight="true" outlineLevel="0" collapsed="false">
      <c r="A1006" s="4" t="s">
        <v>4193</v>
      </c>
      <c r="B1006" s="4" t="s">
        <v>1182</v>
      </c>
      <c r="C1006" s="4" t="n">
        <v>15</v>
      </c>
      <c r="D1006" s="4" t="n">
        <v>1</v>
      </c>
      <c r="E1006" s="13" t="n">
        <v>45302</v>
      </c>
      <c r="F1006" s="4" t="s">
        <v>3202</v>
      </c>
      <c r="G1006" s="4" t="str">
        <f aca="false">INDEX(PurchaseOrders!$B$2:$B$3001,MATCH(B1006,PurchaseOrders!$A$2:$A$3001,0))</f>
        <v>V041</v>
      </c>
    </row>
    <row r="1007" customFormat="false" ht="15" hidden="false" customHeight="true" outlineLevel="0" collapsed="false">
      <c r="A1007" s="4" t="s">
        <v>4194</v>
      </c>
      <c r="B1007" s="4" t="s">
        <v>1183</v>
      </c>
      <c r="C1007" s="4" t="n">
        <v>4597</v>
      </c>
      <c r="D1007" s="4" t="n">
        <v>448</v>
      </c>
      <c r="E1007" s="13" t="n">
        <v>45440</v>
      </c>
      <c r="F1007" s="4" t="s">
        <v>3186</v>
      </c>
      <c r="G1007" s="4" t="str">
        <f aca="false">INDEX(PurchaseOrders!$B$2:$B$3001,MATCH(B1007,PurchaseOrders!$A$2:$A$3001,0))</f>
        <v>V032</v>
      </c>
    </row>
    <row r="1008" customFormat="false" ht="15" hidden="false" customHeight="true" outlineLevel="0" collapsed="false">
      <c r="A1008" s="4" t="s">
        <v>4195</v>
      </c>
      <c r="B1008" s="4" t="s">
        <v>1184</v>
      </c>
      <c r="C1008" s="4" t="n">
        <v>337</v>
      </c>
      <c r="D1008" s="4" t="n">
        <v>29</v>
      </c>
      <c r="E1008" s="13" t="n">
        <v>45373</v>
      </c>
      <c r="F1008" s="4" t="s">
        <v>3188</v>
      </c>
      <c r="G1008" s="4" t="str">
        <f aca="false">INDEX(PurchaseOrders!$B$2:$B$3001,MATCH(B1008,PurchaseOrders!$A$2:$A$3001,0))</f>
        <v>V049</v>
      </c>
    </row>
    <row r="1009" customFormat="false" ht="15" hidden="false" customHeight="true" outlineLevel="0" collapsed="false">
      <c r="A1009" s="4" t="s">
        <v>4196</v>
      </c>
      <c r="B1009" s="4" t="s">
        <v>1185</v>
      </c>
      <c r="C1009" s="4" t="n">
        <v>1431</v>
      </c>
      <c r="D1009" s="4" t="n">
        <v>346</v>
      </c>
      <c r="E1009" s="13" t="n">
        <v>45290</v>
      </c>
      <c r="F1009" s="4" t="s">
        <v>3186</v>
      </c>
      <c r="G1009" s="4" t="str">
        <f aca="false">INDEX(PurchaseOrders!$B$2:$B$3001,MATCH(B1009,PurchaseOrders!$A$2:$A$3001,0))</f>
        <v>V039</v>
      </c>
    </row>
    <row r="1010" customFormat="false" ht="15" hidden="false" customHeight="true" outlineLevel="0" collapsed="false">
      <c r="A1010" s="4" t="s">
        <v>4197</v>
      </c>
      <c r="B1010" s="4" t="s">
        <v>1186</v>
      </c>
      <c r="C1010" s="4" t="n">
        <v>486</v>
      </c>
      <c r="D1010" s="4" t="n">
        <v>17</v>
      </c>
      <c r="E1010" s="13" t="n">
        <v>45635</v>
      </c>
      <c r="F1010" s="4" t="s">
        <v>3184</v>
      </c>
      <c r="G1010" s="4" t="str">
        <f aca="false">INDEX(PurchaseOrders!$B$2:$B$3001,MATCH(B1010,PurchaseOrders!$A$2:$A$3001,0))</f>
        <v>V006</v>
      </c>
    </row>
    <row r="1011" customFormat="false" ht="15" hidden="false" customHeight="true" outlineLevel="0" collapsed="false">
      <c r="A1011" s="4" t="s">
        <v>4198</v>
      </c>
      <c r="B1011" s="4" t="s">
        <v>1187</v>
      </c>
      <c r="C1011" s="4" t="n">
        <v>1569</v>
      </c>
      <c r="D1011" s="4" t="n">
        <v>94</v>
      </c>
      <c r="E1011" s="13" t="n">
        <v>45392</v>
      </c>
      <c r="F1011" s="4" t="s">
        <v>3188</v>
      </c>
      <c r="G1011" s="4" t="str">
        <f aca="false">INDEX(PurchaseOrders!$B$2:$B$3001,MATCH(B1011,PurchaseOrders!$A$2:$A$3001,0))</f>
        <v>V007</v>
      </c>
    </row>
    <row r="1012" customFormat="false" ht="15" hidden="false" customHeight="true" outlineLevel="0" collapsed="false">
      <c r="A1012" s="4" t="s">
        <v>4199</v>
      </c>
      <c r="B1012" s="4" t="s">
        <v>1188</v>
      </c>
      <c r="C1012" s="4" t="n">
        <v>4145</v>
      </c>
      <c r="D1012" s="4" t="n">
        <v>339</v>
      </c>
      <c r="E1012" s="13" t="n">
        <v>45108</v>
      </c>
      <c r="F1012" s="4" t="s">
        <v>3186</v>
      </c>
      <c r="G1012" s="4" t="str">
        <f aca="false">INDEX(PurchaseOrders!$B$2:$B$3001,MATCH(B1012,PurchaseOrders!$A$2:$A$3001,0))</f>
        <v>V014</v>
      </c>
    </row>
    <row r="1013" customFormat="false" ht="15" hidden="false" customHeight="true" outlineLevel="0" collapsed="false">
      <c r="A1013" s="4" t="s">
        <v>4200</v>
      </c>
      <c r="B1013" s="4" t="s">
        <v>1189</v>
      </c>
      <c r="C1013" s="4" t="n">
        <v>1527</v>
      </c>
      <c r="D1013" s="4" t="n">
        <v>34</v>
      </c>
      <c r="E1013" s="13" t="n">
        <v>45448</v>
      </c>
      <c r="F1013" s="4" t="s">
        <v>3184</v>
      </c>
      <c r="G1013" s="4" t="str">
        <f aca="false">INDEX(PurchaseOrders!$B$2:$B$3001,MATCH(B1013,PurchaseOrders!$A$2:$A$3001,0))</f>
        <v>V003</v>
      </c>
    </row>
    <row r="1014" customFormat="false" ht="15" hidden="false" customHeight="true" outlineLevel="0" collapsed="false">
      <c r="A1014" s="4" t="s">
        <v>4201</v>
      </c>
      <c r="B1014" s="4" t="s">
        <v>1190</v>
      </c>
      <c r="C1014" s="4" t="n">
        <v>1126</v>
      </c>
      <c r="D1014" s="4" t="n">
        <v>101</v>
      </c>
      <c r="E1014" s="13" t="n">
        <v>45514</v>
      </c>
      <c r="F1014" s="4" t="s">
        <v>3186</v>
      </c>
      <c r="G1014" s="4" t="str">
        <f aca="false">INDEX(PurchaseOrders!$B$2:$B$3001,MATCH(B1014,PurchaseOrders!$A$2:$A$3001,0))</f>
        <v>V034</v>
      </c>
    </row>
    <row r="1015" customFormat="false" ht="15" hidden="false" customHeight="true" outlineLevel="0" collapsed="false">
      <c r="A1015" s="4" t="s">
        <v>4202</v>
      </c>
      <c r="B1015" s="4" t="s">
        <v>1191</v>
      </c>
      <c r="C1015" s="4" t="n">
        <v>18</v>
      </c>
      <c r="D1015" s="4" t="n">
        <v>1</v>
      </c>
      <c r="E1015" s="13" t="n">
        <v>45303</v>
      </c>
      <c r="F1015" s="4" t="s">
        <v>3186</v>
      </c>
      <c r="G1015" s="4" t="str">
        <f aca="false">INDEX(PurchaseOrders!$B$2:$B$3001,MATCH(B1015,PurchaseOrders!$A$2:$A$3001,0))</f>
        <v>V016</v>
      </c>
    </row>
    <row r="1016" customFormat="false" ht="15" hidden="false" customHeight="true" outlineLevel="0" collapsed="false">
      <c r="A1016" s="4" t="s">
        <v>4203</v>
      </c>
      <c r="B1016" s="4" t="s">
        <v>1192</v>
      </c>
      <c r="C1016" s="4" t="n">
        <v>1017</v>
      </c>
      <c r="D1016" s="4" t="n">
        <v>60</v>
      </c>
      <c r="E1016" s="13" t="n">
        <v>45146</v>
      </c>
      <c r="F1016" s="4" t="s">
        <v>3186</v>
      </c>
      <c r="G1016" s="4" t="str">
        <f aca="false">INDEX(PurchaseOrders!$B$2:$B$3001,MATCH(B1016,PurchaseOrders!$A$2:$A$3001,0))</f>
        <v>V051</v>
      </c>
    </row>
    <row r="1017" customFormat="false" ht="15" hidden="false" customHeight="true" outlineLevel="0" collapsed="false">
      <c r="A1017" s="4" t="s">
        <v>4204</v>
      </c>
      <c r="B1017" s="4" t="s">
        <v>1193</v>
      </c>
      <c r="C1017" s="4" t="n">
        <v>633</v>
      </c>
      <c r="D1017" s="4" t="n">
        <v>30</v>
      </c>
      <c r="E1017" s="13" t="n">
        <v>45413</v>
      </c>
      <c r="F1017" s="4" t="s">
        <v>3184</v>
      </c>
      <c r="G1017" s="4" t="str">
        <f aca="false">INDEX(PurchaseOrders!$B$2:$B$3001,MATCH(B1017,PurchaseOrders!$A$2:$A$3001,0))</f>
        <v>V051</v>
      </c>
    </row>
    <row r="1018" customFormat="false" ht="15" hidden="false" customHeight="true" outlineLevel="0" collapsed="false">
      <c r="A1018" s="4" t="s">
        <v>4205</v>
      </c>
      <c r="B1018" s="4" t="s">
        <v>1194</v>
      </c>
      <c r="C1018" s="4" t="n">
        <v>228</v>
      </c>
      <c r="D1018" s="4" t="n">
        <v>22</v>
      </c>
      <c r="E1018" s="13" t="n">
        <v>45645</v>
      </c>
      <c r="F1018" s="4" t="s">
        <v>3186</v>
      </c>
      <c r="G1018" s="4" t="str">
        <f aca="false">INDEX(PurchaseOrders!$B$2:$B$3001,MATCH(B1018,PurchaseOrders!$A$2:$A$3001,0))</f>
        <v>V018</v>
      </c>
    </row>
    <row r="1019" customFormat="false" ht="15" hidden="false" customHeight="true" outlineLevel="0" collapsed="false">
      <c r="A1019" s="4" t="s">
        <v>4206</v>
      </c>
      <c r="B1019" s="4" t="s">
        <v>1195</v>
      </c>
      <c r="C1019" s="4" t="n">
        <v>416</v>
      </c>
      <c r="D1019" s="4" t="n">
        <v>27</v>
      </c>
      <c r="E1019" s="13" t="n">
        <v>45607</v>
      </c>
      <c r="F1019" s="4" t="s">
        <v>3192</v>
      </c>
      <c r="G1019" s="4" t="str">
        <f aca="false">INDEX(PurchaseOrders!$B$2:$B$3001,MATCH(B1019,PurchaseOrders!$A$2:$A$3001,0))</f>
        <v>V004</v>
      </c>
    </row>
    <row r="1020" customFormat="false" ht="15" hidden="false" customHeight="true" outlineLevel="0" collapsed="false">
      <c r="A1020" s="4" t="s">
        <v>4207</v>
      </c>
      <c r="B1020" s="4" t="s">
        <v>1196</v>
      </c>
      <c r="C1020" s="4" t="n">
        <v>91</v>
      </c>
      <c r="D1020" s="4" t="n">
        <v>7</v>
      </c>
      <c r="E1020" s="13" t="n">
        <v>45254</v>
      </c>
      <c r="F1020" s="4" t="s">
        <v>3188</v>
      </c>
      <c r="G1020" s="4" t="str">
        <f aca="false">INDEX(PurchaseOrders!$B$2:$B$3001,MATCH(B1020,PurchaseOrders!$A$2:$A$3001,0))</f>
        <v>V033</v>
      </c>
    </row>
    <row r="1021" customFormat="false" ht="15" hidden="false" customHeight="true" outlineLevel="0" collapsed="false">
      <c r="A1021" s="4" t="s">
        <v>4208</v>
      </c>
      <c r="B1021" s="4" t="s">
        <v>1197</v>
      </c>
      <c r="C1021" s="4" t="n">
        <v>364</v>
      </c>
      <c r="D1021" s="4" t="n">
        <v>29</v>
      </c>
      <c r="E1021" s="13" t="n">
        <v>45612</v>
      </c>
      <c r="F1021" s="4" t="s">
        <v>3186</v>
      </c>
      <c r="G1021" s="4" t="str">
        <f aca="false">INDEX(PurchaseOrders!$B$2:$B$3001,MATCH(B1021,PurchaseOrders!$A$2:$A$3001,0))</f>
        <v>V018</v>
      </c>
    </row>
    <row r="1022" customFormat="false" ht="15" hidden="false" customHeight="true" outlineLevel="0" collapsed="false">
      <c r="A1022" s="4" t="s">
        <v>4209</v>
      </c>
      <c r="B1022" s="4" t="s">
        <v>1198</v>
      </c>
      <c r="C1022" s="4" t="n">
        <v>409</v>
      </c>
      <c r="D1022" s="4" t="n">
        <v>10</v>
      </c>
      <c r="E1022" s="13" t="n">
        <v>45046</v>
      </c>
      <c r="F1022" s="4" t="s">
        <v>3190</v>
      </c>
      <c r="G1022" s="4" t="str">
        <f aca="false">INDEX(PurchaseOrders!$B$2:$B$3001,MATCH(B1022,PurchaseOrders!$A$2:$A$3001,0))</f>
        <v>V031</v>
      </c>
    </row>
    <row r="1023" customFormat="false" ht="15" hidden="false" customHeight="true" outlineLevel="0" collapsed="false">
      <c r="A1023" s="4" t="s">
        <v>4210</v>
      </c>
      <c r="B1023" s="4" t="s">
        <v>1199</v>
      </c>
      <c r="C1023" s="4" t="n">
        <v>1860</v>
      </c>
      <c r="D1023" s="4" t="n">
        <v>256</v>
      </c>
      <c r="E1023" s="13" t="n">
        <v>45637</v>
      </c>
      <c r="F1023" s="4" t="s">
        <v>3184</v>
      </c>
      <c r="G1023" s="4" t="str">
        <f aca="false">INDEX(PurchaseOrders!$B$2:$B$3001,MATCH(B1023,PurchaseOrders!$A$2:$A$3001,0))</f>
        <v>V025</v>
      </c>
    </row>
    <row r="1024" customFormat="false" ht="15" hidden="false" customHeight="true" outlineLevel="0" collapsed="false">
      <c r="A1024" s="4" t="s">
        <v>4211</v>
      </c>
      <c r="B1024" s="4" t="s">
        <v>1200</v>
      </c>
      <c r="C1024" s="4" t="n">
        <v>1151</v>
      </c>
      <c r="D1024" s="4" t="n">
        <v>23</v>
      </c>
      <c r="E1024" s="13" t="n">
        <v>45351</v>
      </c>
      <c r="F1024" s="4" t="s">
        <v>3190</v>
      </c>
      <c r="G1024" s="4" t="str">
        <f aca="false">INDEX(PurchaseOrders!$B$2:$B$3001,MATCH(B1024,PurchaseOrders!$A$2:$A$3001,0))</f>
        <v>V010</v>
      </c>
    </row>
    <row r="1025" customFormat="false" ht="15" hidden="false" customHeight="true" outlineLevel="0" collapsed="false">
      <c r="A1025" s="4" t="s">
        <v>4212</v>
      </c>
      <c r="B1025" s="4" t="s">
        <v>1201</v>
      </c>
      <c r="C1025" s="4" t="n">
        <v>992</v>
      </c>
      <c r="D1025" s="4" t="n">
        <v>71</v>
      </c>
      <c r="E1025" s="13" t="n">
        <v>45608</v>
      </c>
      <c r="F1025" s="4" t="s">
        <v>3188</v>
      </c>
      <c r="G1025" s="4" t="str">
        <f aca="false">INDEX(PurchaseOrders!$B$2:$B$3001,MATCH(B1025,PurchaseOrders!$A$2:$A$3001,0))</f>
        <v>V005</v>
      </c>
    </row>
    <row r="1026" customFormat="false" ht="15" hidden="false" customHeight="true" outlineLevel="0" collapsed="false">
      <c r="A1026" s="4" t="s">
        <v>4213</v>
      </c>
      <c r="B1026" s="4" t="s">
        <v>1202</v>
      </c>
      <c r="C1026" s="4" t="n">
        <v>610</v>
      </c>
      <c r="D1026" s="4" t="n">
        <v>22</v>
      </c>
      <c r="E1026" s="13" t="n">
        <v>45483</v>
      </c>
      <c r="F1026" s="4" t="s">
        <v>3186</v>
      </c>
      <c r="G1026" s="4" t="str">
        <f aca="false">INDEX(PurchaseOrders!$B$2:$B$3001,MATCH(B1026,PurchaseOrders!$A$2:$A$3001,0))</f>
        <v>V011</v>
      </c>
    </row>
    <row r="1027" customFormat="false" ht="15" hidden="false" customHeight="true" outlineLevel="0" collapsed="false">
      <c r="A1027" s="4" t="s">
        <v>4214</v>
      </c>
      <c r="B1027" s="4" t="s">
        <v>1203</v>
      </c>
      <c r="C1027" s="4" t="n">
        <v>950</v>
      </c>
      <c r="D1027" s="4" t="n">
        <v>173</v>
      </c>
      <c r="E1027" s="13" t="n">
        <v>45508</v>
      </c>
      <c r="F1027" s="4" t="s">
        <v>3202</v>
      </c>
      <c r="G1027" s="4" t="str">
        <f aca="false">INDEX(PurchaseOrders!$B$2:$B$3001,MATCH(B1027,PurchaseOrders!$A$2:$A$3001,0))</f>
        <v>V025</v>
      </c>
    </row>
    <row r="1028" customFormat="false" ht="15" hidden="false" customHeight="true" outlineLevel="0" collapsed="false">
      <c r="A1028" s="4" t="s">
        <v>4215</v>
      </c>
      <c r="B1028" s="4" t="s">
        <v>1204</v>
      </c>
      <c r="C1028" s="4" t="n">
        <v>13</v>
      </c>
      <c r="D1028" s="4" t="n">
        <v>1</v>
      </c>
      <c r="E1028" s="13" t="n">
        <v>45040</v>
      </c>
      <c r="F1028" s="4" t="s">
        <v>3184</v>
      </c>
      <c r="G1028" s="4" t="str">
        <f aca="false">INDEX(PurchaseOrders!$B$2:$B$3001,MATCH(B1028,PurchaseOrders!$A$2:$A$3001,0))</f>
        <v>V042</v>
      </c>
    </row>
    <row r="1029" customFormat="false" ht="15" hidden="false" customHeight="true" outlineLevel="0" collapsed="false">
      <c r="A1029" s="4" t="s">
        <v>4216</v>
      </c>
      <c r="B1029" s="4" t="s">
        <v>1205</v>
      </c>
      <c r="C1029" s="4" t="n">
        <v>186</v>
      </c>
      <c r="D1029" s="4" t="n">
        <v>24</v>
      </c>
      <c r="E1029" s="13" t="n">
        <v>44995</v>
      </c>
      <c r="F1029" s="4" t="s">
        <v>3186</v>
      </c>
      <c r="G1029" s="4" t="str">
        <f aca="false">INDEX(PurchaseOrders!$B$2:$B$3001,MATCH(B1029,PurchaseOrders!$A$2:$A$3001,0))</f>
        <v>V049</v>
      </c>
    </row>
    <row r="1030" customFormat="false" ht="15" hidden="false" customHeight="true" outlineLevel="0" collapsed="false">
      <c r="A1030" s="4" t="s">
        <v>4217</v>
      </c>
      <c r="B1030" s="4" t="s">
        <v>1206</v>
      </c>
      <c r="C1030" s="4" t="n">
        <v>381</v>
      </c>
      <c r="D1030" s="4" t="n">
        <v>1</v>
      </c>
      <c r="E1030" s="13" t="n">
        <v>45307</v>
      </c>
      <c r="F1030" s="4" t="s">
        <v>3190</v>
      </c>
      <c r="G1030" s="4" t="str">
        <f aca="false">INDEX(PurchaseOrders!$B$2:$B$3001,MATCH(B1030,PurchaseOrders!$A$2:$A$3001,0))</f>
        <v>V008</v>
      </c>
    </row>
    <row r="1031" customFormat="false" ht="15" hidden="false" customHeight="true" outlineLevel="0" collapsed="false">
      <c r="A1031" s="4" t="s">
        <v>4218</v>
      </c>
      <c r="B1031" s="4" t="s">
        <v>1207</v>
      </c>
      <c r="C1031" s="4" t="n">
        <v>67</v>
      </c>
      <c r="D1031" s="4" t="n">
        <v>8</v>
      </c>
      <c r="E1031" s="13" t="n">
        <v>44982</v>
      </c>
      <c r="F1031" s="4" t="s">
        <v>3190</v>
      </c>
      <c r="G1031" s="4" t="str">
        <f aca="false">INDEX(PurchaseOrders!$B$2:$B$3001,MATCH(B1031,PurchaseOrders!$A$2:$A$3001,0))</f>
        <v>V036</v>
      </c>
    </row>
    <row r="1032" customFormat="false" ht="15" hidden="false" customHeight="true" outlineLevel="0" collapsed="false">
      <c r="A1032" s="4" t="s">
        <v>4219</v>
      </c>
      <c r="B1032" s="4" t="s">
        <v>1208</v>
      </c>
      <c r="C1032" s="4" t="n">
        <v>353</v>
      </c>
      <c r="D1032" s="4" t="n">
        <v>0</v>
      </c>
      <c r="E1032" s="13" t="n">
        <v>45305</v>
      </c>
      <c r="F1032" s="4"/>
      <c r="G1032" s="4" t="str">
        <f aca="false">INDEX(PurchaseOrders!$B$2:$B$3001,MATCH(B1032,PurchaseOrders!$A$2:$A$3001,0))</f>
        <v>V060</v>
      </c>
    </row>
    <row r="1033" customFormat="false" ht="15" hidden="false" customHeight="true" outlineLevel="0" collapsed="false">
      <c r="A1033" s="4" t="s">
        <v>4220</v>
      </c>
      <c r="B1033" s="4" t="s">
        <v>1209</v>
      </c>
      <c r="C1033" s="4" t="n">
        <v>238</v>
      </c>
      <c r="D1033" s="4" t="n">
        <v>4</v>
      </c>
      <c r="E1033" s="13" t="n">
        <v>45125</v>
      </c>
      <c r="F1033" s="4" t="s">
        <v>3188</v>
      </c>
      <c r="G1033" s="4" t="str">
        <f aca="false">INDEX(PurchaseOrders!$B$2:$B$3001,MATCH(B1033,PurchaseOrders!$A$2:$A$3001,0))</f>
        <v>V060</v>
      </c>
    </row>
    <row r="1034" customFormat="false" ht="15" hidden="false" customHeight="true" outlineLevel="0" collapsed="false">
      <c r="A1034" s="4" t="s">
        <v>4221</v>
      </c>
      <c r="B1034" s="4" t="s">
        <v>1210</v>
      </c>
      <c r="C1034" s="4" t="n">
        <v>18</v>
      </c>
      <c r="D1034" s="4" t="n">
        <v>1</v>
      </c>
      <c r="E1034" s="13" t="n">
        <v>45511</v>
      </c>
      <c r="F1034" s="4" t="s">
        <v>3202</v>
      </c>
      <c r="G1034" s="4" t="str">
        <f aca="false">INDEX(PurchaseOrders!$B$2:$B$3001,MATCH(B1034,PurchaseOrders!$A$2:$A$3001,0))</f>
        <v>V053</v>
      </c>
    </row>
    <row r="1035" customFormat="false" ht="15" hidden="false" customHeight="true" outlineLevel="0" collapsed="false">
      <c r="A1035" s="4" t="s">
        <v>4222</v>
      </c>
      <c r="B1035" s="4" t="s">
        <v>1211</v>
      </c>
      <c r="C1035" s="4" t="n">
        <v>1279</v>
      </c>
      <c r="D1035" s="4" t="n">
        <v>152</v>
      </c>
      <c r="E1035" s="13" t="n">
        <v>45108</v>
      </c>
      <c r="F1035" s="4" t="s">
        <v>3192</v>
      </c>
      <c r="G1035" s="4" t="str">
        <f aca="false">INDEX(PurchaseOrders!$B$2:$B$3001,MATCH(B1035,PurchaseOrders!$A$2:$A$3001,0))</f>
        <v>V027</v>
      </c>
    </row>
    <row r="1036" customFormat="false" ht="15" hidden="false" customHeight="true" outlineLevel="0" collapsed="false">
      <c r="A1036" s="4" t="s">
        <v>4223</v>
      </c>
      <c r="B1036" s="4" t="s">
        <v>1212</v>
      </c>
      <c r="C1036" s="4" t="n">
        <v>1986</v>
      </c>
      <c r="D1036" s="4" t="n">
        <v>108</v>
      </c>
      <c r="E1036" s="13" t="n">
        <v>45454</v>
      </c>
      <c r="F1036" s="4" t="s">
        <v>3186</v>
      </c>
      <c r="G1036" s="4" t="str">
        <f aca="false">INDEX(PurchaseOrders!$B$2:$B$3001,MATCH(B1036,PurchaseOrders!$A$2:$A$3001,0))</f>
        <v>V021</v>
      </c>
    </row>
    <row r="1037" customFormat="false" ht="15" hidden="false" customHeight="true" outlineLevel="0" collapsed="false">
      <c r="A1037" s="4" t="s">
        <v>4224</v>
      </c>
      <c r="B1037" s="4" t="s">
        <v>1213</v>
      </c>
      <c r="C1037" s="4" t="n">
        <v>82</v>
      </c>
      <c r="D1037" s="4" t="n">
        <v>8</v>
      </c>
      <c r="E1037" s="13" t="n">
        <v>45441</v>
      </c>
      <c r="F1037" s="4" t="s">
        <v>3184</v>
      </c>
      <c r="G1037" s="4" t="str">
        <f aca="false">INDEX(PurchaseOrders!$B$2:$B$3001,MATCH(B1037,PurchaseOrders!$A$2:$A$3001,0))</f>
        <v>V012</v>
      </c>
    </row>
    <row r="1038" customFormat="false" ht="15" hidden="false" customHeight="true" outlineLevel="0" collapsed="false">
      <c r="A1038" s="4" t="s">
        <v>4225</v>
      </c>
      <c r="B1038" s="4" t="s">
        <v>1214</v>
      </c>
      <c r="C1038" s="4" t="n">
        <v>2835</v>
      </c>
      <c r="D1038" s="4" t="n">
        <v>554</v>
      </c>
      <c r="E1038" s="13" t="n">
        <v>45427</v>
      </c>
      <c r="F1038" s="4" t="s">
        <v>3186</v>
      </c>
      <c r="G1038" s="4" t="str">
        <f aca="false">INDEX(PurchaseOrders!$B$2:$B$3001,MATCH(B1038,PurchaseOrders!$A$2:$A$3001,0))</f>
        <v>V026</v>
      </c>
    </row>
    <row r="1039" customFormat="false" ht="15" hidden="false" customHeight="true" outlineLevel="0" collapsed="false">
      <c r="A1039" s="4" t="s">
        <v>4226</v>
      </c>
      <c r="B1039" s="4" t="s">
        <v>1215</v>
      </c>
      <c r="C1039" s="4" t="n">
        <v>355</v>
      </c>
      <c r="D1039" s="4" t="n">
        <v>5</v>
      </c>
      <c r="E1039" s="13" t="n">
        <v>45164</v>
      </c>
      <c r="F1039" s="4" t="s">
        <v>3188</v>
      </c>
      <c r="G1039" s="4" t="str">
        <f aca="false">INDEX(PurchaseOrders!$B$2:$B$3001,MATCH(B1039,PurchaseOrders!$A$2:$A$3001,0))</f>
        <v>V029</v>
      </c>
    </row>
    <row r="1040" customFormat="false" ht="15" hidden="false" customHeight="true" outlineLevel="0" collapsed="false">
      <c r="A1040" s="4" t="s">
        <v>4227</v>
      </c>
      <c r="B1040" s="4" t="s">
        <v>1216</v>
      </c>
      <c r="C1040" s="4" t="n">
        <v>2132</v>
      </c>
      <c r="D1040" s="4" t="n">
        <v>196</v>
      </c>
      <c r="E1040" s="13" t="n">
        <v>45495</v>
      </c>
      <c r="F1040" s="4" t="s">
        <v>3190</v>
      </c>
      <c r="G1040" s="4" t="str">
        <f aca="false">INDEX(PurchaseOrders!$B$2:$B$3001,MATCH(B1040,PurchaseOrders!$A$2:$A$3001,0))</f>
        <v>V001</v>
      </c>
    </row>
    <row r="1041" customFormat="false" ht="15" hidden="false" customHeight="true" outlineLevel="0" collapsed="false">
      <c r="A1041" s="4" t="s">
        <v>4228</v>
      </c>
      <c r="B1041" s="4" t="s">
        <v>1217</v>
      </c>
      <c r="C1041" s="4" t="n">
        <v>3711</v>
      </c>
      <c r="D1041" s="4" t="n">
        <v>280</v>
      </c>
      <c r="E1041" s="13" t="n">
        <v>45435</v>
      </c>
      <c r="F1041" s="4" t="s">
        <v>3192</v>
      </c>
      <c r="G1041" s="4" t="str">
        <f aca="false">INDEX(PurchaseOrders!$B$2:$B$3001,MATCH(B1041,PurchaseOrders!$A$2:$A$3001,0))</f>
        <v>V028</v>
      </c>
    </row>
    <row r="1042" customFormat="false" ht="15" hidden="false" customHeight="true" outlineLevel="0" collapsed="false">
      <c r="A1042" s="4" t="s">
        <v>4229</v>
      </c>
      <c r="B1042" s="4" t="s">
        <v>1218</v>
      </c>
      <c r="C1042" s="4" t="n">
        <v>2385</v>
      </c>
      <c r="D1042" s="4" t="n">
        <v>52</v>
      </c>
      <c r="E1042" s="13" t="n">
        <v>45221</v>
      </c>
      <c r="F1042" s="4" t="s">
        <v>3190</v>
      </c>
      <c r="G1042" s="4" t="str">
        <f aca="false">INDEX(PurchaseOrders!$B$2:$B$3001,MATCH(B1042,PurchaseOrders!$A$2:$A$3001,0))</f>
        <v>V002</v>
      </c>
    </row>
    <row r="1043" customFormat="false" ht="15" hidden="false" customHeight="true" outlineLevel="0" collapsed="false">
      <c r="A1043" s="4" t="s">
        <v>4230</v>
      </c>
      <c r="B1043" s="4" t="s">
        <v>1219</v>
      </c>
      <c r="C1043" s="4" t="n">
        <v>1813</v>
      </c>
      <c r="D1043" s="4" t="n">
        <v>70</v>
      </c>
      <c r="E1043" s="13" t="n">
        <v>45508</v>
      </c>
      <c r="F1043" s="4" t="s">
        <v>3188</v>
      </c>
      <c r="G1043" s="4" t="str">
        <f aca="false">INDEX(PurchaseOrders!$B$2:$B$3001,MATCH(B1043,PurchaseOrders!$A$2:$A$3001,0))</f>
        <v>V020</v>
      </c>
    </row>
    <row r="1044" customFormat="false" ht="15" hidden="false" customHeight="true" outlineLevel="0" collapsed="false">
      <c r="A1044" s="4" t="s">
        <v>4231</v>
      </c>
      <c r="B1044" s="4" t="s">
        <v>1220</v>
      </c>
      <c r="C1044" s="4" t="n">
        <v>327</v>
      </c>
      <c r="D1044" s="4" t="n">
        <v>8</v>
      </c>
      <c r="E1044" s="13" t="n">
        <v>44969</v>
      </c>
      <c r="F1044" s="4" t="s">
        <v>3184</v>
      </c>
      <c r="G1044" s="4" t="str">
        <f aca="false">INDEX(PurchaseOrders!$B$2:$B$3001,MATCH(B1044,PurchaseOrders!$A$2:$A$3001,0))</f>
        <v>V024</v>
      </c>
    </row>
    <row r="1045" customFormat="false" ht="15" hidden="false" customHeight="true" outlineLevel="0" collapsed="false">
      <c r="A1045" s="4" t="s">
        <v>4232</v>
      </c>
      <c r="B1045" s="4" t="s">
        <v>1221</v>
      </c>
      <c r="C1045" s="4" t="n">
        <v>964</v>
      </c>
      <c r="D1045" s="4" t="n">
        <v>32</v>
      </c>
      <c r="E1045" s="13" t="n">
        <v>45554</v>
      </c>
      <c r="F1045" s="4" t="s">
        <v>3190</v>
      </c>
      <c r="G1045" s="4" t="str">
        <f aca="false">INDEX(PurchaseOrders!$B$2:$B$3001,MATCH(B1045,PurchaseOrders!$A$2:$A$3001,0))</f>
        <v>V020</v>
      </c>
    </row>
    <row r="1046" customFormat="false" ht="15" hidden="false" customHeight="true" outlineLevel="0" collapsed="false">
      <c r="A1046" s="4" t="s">
        <v>4233</v>
      </c>
      <c r="B1046" s="4" t="s">
        <v>1222</v>
      </c>
      <c r="C1046" s="4" t="n">
        <v>735</v>
      </c>
      <c r="D1046" s="4" t="n">
        <v>37</v>
      </c>
      <c r="E1046" s="13" t="n">
        <v>45464</v>
      </c>
      <c r="F1046" s="4" t="s">
        <v>3202</v>
      </c>
      <c r="G1046" s="4" t="str">
        <f aca="false">INDEX(PurchaseOrders!$B$2:$B$3001,MATCH(B1046,PurchaseOrders!$A$2:$A$3001,0))</f>
        <v>V051</v>
      </c>
    </row>
    <row r="1047" customFormat="false" ht="15" hidden="false" customHeight="true" outlineLevel="0" collapsed="false">
      <c r="A1047" s="4" t="s">
        <v>4234</v>
      </c>
      <c r="B1047" s="4" t="s">
        <v>1223</v>
      </c>
      <c r="C1047" s="4" t="n">
        <v>939</v>
      </c>
      <c r="D1047" s="4" t="n">
        <v>5</v>
      </c>
      <c r="E1047" s="13" t="n">
        <v>45126</v>
      </c>
      <c r="F1047" s="4" t="s">
        <v>3192</v>
      </c>
      <c r="G1047" s="4" t="str">
        <f aca="false">INDEX(PurchaseOrders!$B$2:$B$3001,MATCH(B1047,PurchaseOrders!$A$2:$A$3001,0))</f>
        <v>V035</v>
      </c>
    </row>
    <row r="1048" customFormat="false" ht="15" hidden="false" customHeight="true" outlineLevel="0" collapsed="false">
      <c r="A1048" s="4" t="s">
        <v>4235</v>
      </c>
      <c r="B1048" s="4" t="s">
        <v>1224</v>
      </c>
      <c r="C1048" s="4" t="n">
        <v>879</v>
      </c>
      <c r="D1048" s="4" t="n">
        <v>55</v>
      </c>
      <c r="E1048" s="13" t="n">
        <v>45508</v>
      </c>
      <c r="F1048" s="4" t="s">
        <v>3186</v>
      </c>
      <c r="G1048" s="4" t="str">
        <f aca="false">INDEX(PurchaseOrders!$B$2:$B$3001,MATCH(B1048,PurchaseOrders!$A$2:$A$3001,0))</f>
        <v>V021</v>
      </c>
    </row>
    <row r="1049" customFormat="false" ht="15" hidden="false" customHeight="true" outlineLevel="0" collapsed="false">
      <c r="A1049" s="4" t="s">
        <v>4236</v>
      </c>
      <c r="B1049" s="4" t="s">
        <v>1225</v>
      </c>
      <c r="C1049" s="4" t="n">
        <v>249</v>
      </c>
      <c r="D1049" s="4" t="n">
        <v>19</v>
      </c>
      <c r="E1049" s="13" t="n">
        <v>45035</v>
      </c>
      <c r="F1049" s="4" t="s">
        <v>3190</v>
      </c>
      <c r="G1049" s="4" t="str">
        <f aca="false">INDEX(PurchaseOrders!$B$2:$B$3001,MATCH(B1049,PurchaseOrders!$A$2:$A$3001,0))</f>
        <v>V005</v>
      </c>
    </row>
    <row r="1050" customFormat="false" ht="15" hidden="false" customHeight="true" outlineLevel="0" collapsed="false">
      <c r="A1050" s="4" t="s">
        <v>4237</v>
      </c>
      <c r="B1050" s="4" t="s">
        <v>1226</v>
      </c>
      <c r="C1050" s="4" t="n">
        <v>688</v>
      </c>
      <c r="D1050" s="4" t="n">
        <v>48</v>
      </c>
      <c r="E1050" s="13" t="n">
        <v>45068</v>
      </c>
      <c r="F1050" s="4" t="s">
        <v>3190</v>
      </c>
      <c r="G1050" s="4" t="str">
        <f aca="false">INDEX(PurchaseOrders!$B$2:$B$3001,MATCH(B1050,PurchaseOrders!$A$2:$A$3001,0))</f>
        <v>V048</v>
      </c>
    </row>
    <row r="1051" customFormat="false" ht="15" hidden="false" customHeight="true" outlineLevel="0" collapsed="false">
      <c r="A1051" s="4" t="s">
        <v>4238</v>
      </c>
      <c r="B1051" s="4" t="s">
        <v>1227</v>
      </c>
      <c r="C1051" s="4" t="n">
        <v>1764</v>
      </c>
      <c r="D1051" s="4" t="n">
        <v>156</v>
      </c>
      <c r="E1051" s="13" t="n">
        <v>45358</v>
      </c>
      <c r="F1051" s="4" t="s">
        <v>3186</v>
      </c>
      <c r="G1051" s="4" t="str">
        <f aca="false">INDEX(PurchaseOrders!$B$2:$B$3001,MATCH(B1051,PurchaseOrders!$A$2:$A$3001,0))</f>
        <v>V032</v>
      </c>
    </row>
    <row r="1052" customFormat="false" ht="15" hidden="false" customHeight="true" outlineLevel="0" collapsed="false">
      <c r="A1052" s="4" t="s">
        <v>4239</v>
      </c>
      <c r="B1052" s="4" t="s">
        <v>1228</v>
      </c>
      <c r="C1052" s="4" t="n">
        <v>40</v>
      </c>
      <c r="D1052" s="4" t="n">
        <v>1</v>
      </c>
      <c r="E1052" s="13" t="n">
        <v>45011</v>
      </c>
      <c r="F1052" s="4" t="s">
        <v>3202</v>
      </c>
      <c r="G1052" s="4" t="str">
        <f aca="false">INDEX(PurchaseOrders!$B$2:$B$3001,MATCH(B1052,PurchaseOrders!$A$2:$A$3001,0))</f>
        <v>V040</v>
      </c>
    </row>
    <row r="1053" customFormat="false" ht="15" hidden="false" customHeight="true" outlineLevel="0" collapsed="false">
      <c r="A1053" s="4" t="s">
        <v>4240</v>
      </c>
      <c r="B1053" s="4" t="s">
        <v>1229</v>
      </c>
      <c r="C1053" s="4" t="n">
        <v>95</v>
      </c>
      <c r="D1053" s="4" t="n">
        <v>10</v>
      </c>
      <c r="E1053" s="13" t="n">
        <v>45263</v>
      </c>
      <c r="F1053" s="4" t="s">
        <v>3192</v>
      </c>
      <c r="G1053" s="4" t="str">
        <f aca="false">INDEX(PurchaseOrders!$B$2:$B$3001,MATCH(B1053,PurchaseOrders!$A$2:$A$3001,0))</f>
        <v>V036</v>
      </c>
    </row>
    <row r="1054" customFormat="false" ht="15" hidden="false" customHeight="true" outlineLevel="0" collapsed="false">
      <c r="A1054" s="4" t="s">
        <v>4241</v>
      </c>
      <c r="B1054" s="4" t="s">
        <v>1230</v>
      </c>
      <c r="C1054" s="4" t="n">
        <v>2</v>
      </c>
      <c r="D1054" s="4" t="n">
        <v>0</v>
      </c>
      <c r="E1054" s="13" t="n">
        <v>45075</v>
      </c>
      <c r="F1054" s="4"/>
      <c r="G1054" s="4" t="str">
        <f aca="false">INDEX(PurchaseOrders!$B$2:$B$3001,MATCH(B1054,PurchaseOrders!$A$2:$A$3001,0))</f>
        <v>V019</v>
      </c>
    </row>
    <row r="1055" customFormat="false" ht="15" hidden="false" customHeight="true" outlineLevel="0" collapsed="false">
      <c r="A1055" s="4" t="s">
        <v>4242</v>
      </c>
      <c r="B1055" s="4" t="s">
        <v>1231</v>
      </c>
      <c r="C1055" s="4" t="n">
        <v>198</v>
      </c>
      <c r="D1055" s="4" t="n">
        <v>43</v>
      </c>
      <c r="E1055" s="13" t="n">
        <v>45030</v>
      </c>
      <c r="F1055" s="4" t="s">
        <v>3184</v>
      </c>
      <c r="G1055" s="4" t="str">
        <f aca="false">INDEX(PurchaseOrders!$B$2:$B$3001,MATCH(B1055,PurchaseOrders!$A$2:$A$3001,0))</f>
        <v>V039</v>
      </c>
    </row>
    <row r="1056" customFormat="false" ht="15" hidden="false" customHeight="true" outlineLevel="0" collapsed="false">
      <c r="A1056" s="4" t="s">
        <v>4243</v>
      </c>
      <c r="B1056" s="4" t="s">
        <v>1232</v>
      </c>
      <c r="C1056" s="4" t="n">
        <v>3143</v>
      </c>
      <c r="D1056" s="4" t="n">
        <v>115</v>
      </c>
      <c r="E1056" s="13" t="n">
        <v>45243</v>
      </c>
      <c r="F1056" s="4" t="s">
        <v>3190</v>
      </c>
      <c r="G1056" s="4" t="str">
        <f aca="false">INDEX(PurchaseOrders!$B$2:$B$3001,MATCH(B1056,PurchaseOrders!$A$2:$A$3001,0))</f>
        <v>V015</v>
      </c>
    </row>
    <row r="1057" customFormat="false" ht="15" hidden="false" customHeight="true" outlineLevel="0" collapsed="false">
      <c r="A1057" s="4" t="s">
        <v>4244</v>
      </c>
      <c r="B1057" s="4" t="s">
        <v>1233</v>
      </c>
      <c r="C1057" s="4" t="n">
        <v>188</v>
      </c>
      <c r="D1057" s="4" t="n">
        <v>0</v>
      </c>
      <c r="E1057" s="13" t="n">
        <v>45288</v>
      </c>
      <c r="F1057" s="4"/>
      <c r="G1057" s="4" t="str">
        <f aca="false">INDEX(PurchaseOrders!$B$2:$B$3001,MATCH(B1057,PurchaseOrders!$A$2:$A$3001,0))</f>
        <v>V024</v>
      </c>
    </row>
    <row r="1058" customFormat="false" ht="15" hidden="false" customHeight="true" outlineLevel="0" collapsed="false">
      <c r="A1058" s="4" t="s">
        <v>4245</v>
      </c>
      <c r="B1058" s="4" t="s">
        <v>1234</v>
      </c>
      <c r="C1058" s="4" t="n">
        <v>235</v>
      </c>
      <c r="D1058" s="4" t="n">
        <v>0</v>
      </c>
      <c r="E1058" s="13" t="n">
        <v>45660</v>
      </c>
      <c r="F1058" s="4"/>
      <c r="G1058" s="4" t="str">
        <f aca="false">INDEX(PurchaseOrders!$B$2:$B$3001,MATCH(B1058,PurchaseOrders!$A$2:$A$3001,0))</f>
        <v>V047</v>
      </c>
    </row>
    <row r="1059" customFormat="false" ht="15" hidden="false" customHeight="true" outlineLevel="0" collapsed="false">
      <c r="A1059" s="4" t="s">
        <v>4246</v>
      </c>
      <c r="B1059" s="4" t="s">
        <v>1235</v>
      </c>
      <c r="C1059" s="4" t="n">
        <v>462</v>
      </c>
      <c r="D1059" s="4" t="n">
        <v>73</v>
      </c>
      <c r="E1059" s="13" t="n">
        <v>45093</v>
      </c>
      <c r="F1059" s="4" t="s">
        <v>3184</v>
      </c>
      <c r="G1059" s="4" t="str">
        <f aca="false">INDEX(PurchaseOrders!$B$2:$B$3001,MATCH(B1059,PurchaseOrders!$A$2:$A$3001,0))</f>
        <v>V030</v>
      </c>
    </row>
    <row r="1060" customFormat="false" ht="15" hidden="false" customHeight="true" outlineLevel="0" collapsed="false">
      <c r="A1060" s="4" t="s">
        <v>4247</v>
      </c>
      <c r="B1060" s="4" t="s">
        <v>1236</v>
      </c>
      <c r="C1060" s="4" t="n">
        <v>162</v>
      </c>
      <c r="D1060" s="4" t="n">
        <v>1</v>
      </c>
      <c r="E1060" s="13" t="n">
        <v>44997</v>
      </c>
      <c r="F1060" s="4" t="s">
        <v>3184</v>
      </c>
      <c r="G1060" s="4" t="str">
        <f aca="false">INDEX(PurchaseOrders!$B$2:$B$3001,MATCH(B1060,PurchaseOrders!$A$2:$A$3001,0))</f>
        <v>V047</v>
      </c>
    </row>
    <row r="1061" customFormat="false" ht="15" hidden="false" customHeight="true" outlineLevel="0" collapsed="false">
      <c r="A1061" s="4" t="s">
        <v>4248</v>
      </c>
      <c r="B1061" s="4" t="s">
        <v>1237</v>
      </c>
      <c r="C1061" s="4" t="n">
        <v>2895</v>
      </c>
      <c r="D1061" s="4" t="n">
        <v>73</v>
      </c>
      <c r="E1061" s="13" t="n">
        <v>45628</v>
      </c>
      <c r="F1061" s="4" t="s">
        <v>3192</v>
      </c>
      <c r="G1061" s="4" t="str">
        <f aca="false">INDEX(PurchaseOrders!$B$2:$B$3001,MATCH(B1061,PurchaseOrders!$A$2:$A$3001,0))</f>
        <v>V002</v>
      </c>
    </row>
    <row r="1062" customFormat="false" ht="15" hidden="false" customHeight="true" outlineLevel="0" collapsed="false">
      <c r="A1062" s="4" t="s">
        <v>4249</v>
      </c>
      <c r="B1062" s="4" t="s">
        <v>1238</v>
      </c>
      <c r="C1062" s="4" t="n">
        <v>1595</v>
      </c>
      <c r="D1062" s="4" t="n">
        <v>124</v>
      </c>
      <c r="E1062" s="13" t="n">
        <v>45538</v>
      </c>
      <c r="F1062" s="4" t="s">
        <v>3190</v>
      </c>
      <c r="G1062" s="4" t="str">
        <f aca="false">INDEX(PurchaseOrders!$B$2:$B$3001,MATCH(B1062,PurchaseOrders!$A$2:$A$3001,0))</f>
        <v>V048</v>
      </c>
    </row>
    <row r="1063" customFormat="false" ht="15" hidden="false" customHeight="true" outlineLevel="0" collapsed="false">
      <c r="A1063" s="4" t="s">
        <v>4250</v>
      </c>
      <c r="B1063" s="4" t="s">
        <v>1239</v>
      </c>
      <c r="C1063" s="4" t="n">
        <v>1609</v>
      </c>
      <c r="D1063" s="4" t="n">
        <v>204</v>
      </c>
      <c r="E1063" s="13" t="n">
        <v>45514</v>
      </c>
      <c r="F1063" s="4" t="s">
        <v>3190</v>
      </c>
      <c r="G1063" s="4" t="str">
        <f aca="false">INDEX(PurchaseOrders!$B$2:$B$3001,MATCH(B1063,PurchaseOrders!$A$2:$A$3001,0))</f>
        <v>V038</v>
      </c>
    </row>
    <row r="1064" customFormat="false" ht="15" hidden="false" customHeight="true" outlineLevel="0" collapsed="false">
      <c r="A1064" s="4" t="s">
        <v>4251</v>
      </c>
      <c r="B1064" s="4" t="s">
        <v>1240</v>
      </c>
      <c r="C1064" s="4" t="n">
        <v>4480</v>
      </c>
      <c r="D1064" s="4" t="n">
        <v>576</v>
      </c>
      <c r="E1064" s="13" t="n">
        <v>45608</v>
      </c>
      <c r="F1064" s="4" t="s">
        <v>3192</v>
      </c>
      <c r="G1064" s="4" t="str">
        <f aca="false">INDEX(PurchaseOrders!$B$2:$B$3001,MATCH(B1064,PurchaseOrders!$A$2:$A$3001,0))</f>
        <v>V038</v>
      </c>
    </row>
    <row r="1065" customFormat="false" ht="15" hidden="false" customHeight="true" outlineLevel="0" collapsed="false">
      <c r="A1065" s="4" t="s">
        <v>4252</v>
      </c>
      <c r="B1065" s="4" t="s">
        <v>1241</v>
      </c>
      <c r="C1065" s="4" t="n">
        <v>1278</v>
      </c>
      <c r="D1065" s="4" t="n">
        <v>0</v>
      </c>
      <c r="E1065" s="13" t="n">
        <v>45518</v>
      </c>
      <c r="F1065" s="4"/>
      <c r="G1065" s="4" t="str">
        <f aca="false">INDEX(PurchaseOrders!$B$2:$B$3001,MATCH(B1065,PurchaseOrders!$A$2:$A$3001,0))</f>
        <v>V059</v>
      </c>
    </row>
    <row r="1066" customFormat="false" ht="15" hidden="false" customHeight="true" outlineLevel="0" collapsed="false">
      <c r="A1066" s="4" t="s">
        <v>4253</v>
      </c>
      <c r="B1066" s="4" t="s">
        <v>1242</v>
      </c>
      <c r="C1066" s="4" t="n">
        <v>456</v>
      </c>
      <c r="D1066" s="4" t="n">
        <v>26</v>
      </c>
      <c r="E1066" s="13" t="n">
        <v>45649</v>
      </c>
      <c r="F1066" s="4" t="s">
        <v>3192</v>
      </c>
      <c r="G1066" s="4" t="str">
        <f aca="false">INDEX(PurchaseOrders!$B$2:$B$3001,MATCH(B1066,PurchaseOrders!$A$2:$A$3001,0))</f>
        <v>V018</v>
      </c>
    </row>
    <row r="1067" customFormat="false" ht="15" hidden="false" customHeight="true" outlineLevel="0" collapsed="false">
      <c r="A1067" s="4" t="s">
        <v>4254</v>
      </c>
      <c r="B1067" s="4" t="s">
        <v>1243</v>
      </c>
      <c r="C1067" s="4" t="n">
        <v>3233</v>
      </c>
      <c r="D1067" s="4" t="n">
        <v>38</v>
      </c>
      <c r="E1067" s="13" t="n">
        <v>45569</v>
      </c>
      <c r="F1067" s="4" t="s">
        <v>3202</v>
      </c>
      <c r="G1067" s="4" t="str">
        <f aca="false">INDEX(PurchaseOrders!$B$2:$B$3001,MATCH(B1067,PurchaseOrders!$A$2:$A$3001,0))</f>
        <v>V056</v>
      </c>
    </row>
    <row r="1068" customFormat="false" ht="15" hidden="false" customHeight="true" outlineLevel="0" collapsed="false">
      <c r="A1068" s="4" t="s">
        <v>4255</v>
      </c>
      <c r="B1068" s="4" t="s">
        <v>1244</v>
      </c>
      <c r="C1068" s="4" t="n">
        <v>10</v>
      </c>
      <c r="D1068" s="4" t="n">
        <v>1</v>
      </c>
      <c r="E1068" s="13" t="n">
        <v>45522</v>
      </c>
      <c r="F1068" s="4" t="s">
        <v>3188</v>
      </c>
      <c r="G1068" s="4" t="str">
        <f aca="false">INDEX(PurchaseOrders!$B$2:$B$3001,MATCH(B1068,PurchaseOrders!$A$2:$A$3001,0))</f>
        <v>V042</v>
      </c>
    </row>
    <row r="1069" customFormat="false" ht="15" hidden="false" customHeight="true" outlineLevel="0" collapsed="false">
      <c r="A1069" s="4" t="s">
        <v>4256</v>
      </c>
      <c r="B1069" s="4" t="s">
        <v>1245</v>
      </c>
      <c r="C1069" s="4" t="n">
        <v>311</v>
      </c>
      <c r="D1069" s="4" t="n">
        <v>0</v>
      </c>
      <c r="E1069" s="13" t="n">
        <v>45241</v>
      </c>
      <c r="F1069" s="4"/>
      <c r="G1069" s="4" t="str">
        <f aca="false">INDEX(PurchaseOrders!$B$2:$B$3001,MATCH(B1069,PurchaseOrders!$A$2:$A$3001,0))</f>
        <v>V060</v>
      </c>
    </row>
    <row r="1070" customFormat="false" ht="15" hidden="false" customHeight="true" outlineLevel="0" collapsed="false">
      <c r="A1070" s="4" t="s">
        <v>4257</v>
      </c>
      <c r="B1070" s="4" t="s">
        <v>1246</v>
      </c>
      <c r="C1070" s="4" t="n">
        <v>441</v>
      </c>
      <c r="D1070" s="4" t="n">
        <v>14</v>
      </c>
      <c r="E1070" s="13" t="n">
        <v>45049</v>
      </c>
      <c r="F1070" s="4" t="s">
        <v>3190</v>
      </c>
      <c r="G1070" s="4" t="str">
        <f aca="false">INDEX(PurchaseOrders!$B$2:$B$3001,MATCH(B1070,PurchaseOrders!$A$2:$A$3001,0))</f>
        <v>V021</v>
      </c>
    </row>
    <row r="1071" customFormat="false" ht="15" hidden="false" customHeight="true" outlineLevel="0" collapsed="false">
      <c r="A1071" s="4" t="s">
        <v>4258</v>
      </c>
      <c r="B1071" s="4" t="s">
        <v>1247</v>
      </c>
      <c r="C1071" s="4" t="n">
        <v>284</v>
      </c>
      <c r="D1071" s="4" t="n">
        <v>0</v>
      </c>
      <c r="E1071" s="13" t="n">
        <v>45469</v>
      </c>
      <c r="F1071" s="4"/>
      <c r="G1071" s="4" t="str">
        <f aca="false">INDEX(PurchaseOrders!$B$2:$B$3001,MATCH(B1071,PurchaseOrders!$A$2:$A$3001,0))</f>
        <v>V047</v>
      </c>
    </row>
    <row r="1072" customFormat="false" ht="15" hidden="false" customHeight="true" outlineLevel="0" collapsed="false">
      <c r="A1072" s="4" t="s">
        <v>4259</v>
      </c>
      <c r="B1072" s="4" t="s">
        <v>1248</v>
      </c>
      <c r="C1072" s="4" t="n">
        <v>353</v>
      </c>
      <c r="D1072" s="4" t="n">
        <v>31</v>
      </c>
      <c r="E1072" s="13" t="n">
        <v>45087</v>
      </c>
      <c r="F1072" s="4" t="s">
        <v>3184</v>
      </c>
      <c r="G1072" s="4" t="str">
        <f aca="false">INDEX(PurchaseOrders!$B$2:$B$3001,MATCH(B1072,PurchaseOrders!$A$2:$A$3001,0))</f>
        <v>V055</v>
      </c>
    </row>
    <row r="1073" customFormat="false" ht="15" hidden="false" customHeight="true" outlineLevel="0" collapsed="false">
      <c r="A1073" s="4" t="s">
        <v>4260</v>
      </c>
      <c r="B1073" s="4" t="s">
        <v>1249</v>
      </c>
      <c r="C1073" s="4" t="n">
        <v>3045</v>
      </c>
      <c r="D1073" s="4" t="n">
        <v>176</v>
      </c>
      <c r="E1073" s="13" t="n">
        <v>45586</v>
      </c>
      <c r="F1073" s="4" t="s">
        <v>3202</v>
      </c>
      <c r="G1073" s="4" t="str">
        <f aca="false">INDEX(PurchaseOrders!$B$2:$B$3001,MATCH(B1073,PurchaseOrders!$A$2:$A$3001,0))</f>
        <v>V003</v>
      </c>
    </row>
    <row r="1074" customFormat="false" ht="15" hidden="false" customHeight="true" outlineLevel="0" collapsed="false">
      <c r="A1074" s="4" t="s">
        <v>4261</v>
      </c>
      <c r="B1074" s="4" t="s">
        <v>1250</v>
      </c>
      <c r="C1074" s="4" t="n">
        <v>133</v>
      </c>
      <c r="D1074" s="4" t="n">
        <v>13</v>
      </c>
      <c r="E1074" s="13" t="n">
        <v>45559</v>
      </c>
      <c r="F1074" s="4" t="s">
        <v>3188</v>
      </c>
      <c r="G1074" s="4" t="str">
        <f aca="false">INDEX(PurchaseOrders!$B$2:$B$3001,MATCH(B1074,PurchaseOrders!$A$2:$A$3001,0))</f>
        <v>V009</v>
      </c>
    </row>
    <row r="1075" customFormat="false" ht="15" hidden="false" customHeight="true" outlineLevel="0" collapsed="false">
      <c r="A1075" s="4" t="s">
        <v>4262</v>
      </c>
      <c r="B1075" s="4" t="s">
        <v>1251</v>
      </c>
      <c r="C1075" s="4" t="n">
        <v>1439</v>
      </c>
      <c r="D1075" s="4" t="n">
        <v>99</v>
      </c>
      <c r="E1075" s="13" t="n">
        <v>45209</v>
      </c>
      <c r="F1075" s="4" t="s">
        <v>3190</v>
      </c>
      <c r="G1075" s="4" t="str">
        <f aca="false">INDEX(PurchaseOrders!$B$2:$B$3001,MATCH(B1075,PurchaseOrders!$A$2:$A$3001,0))</f>
        <v>V050</v>
      </c>
    </row>
    <row r="1076" customFormat="false" ht="15" hidden="false" customHeight="true" outlineLevel="0" collapsed="false">
      <c r="A1076" s="4" t="s">
        <v>4263</v>
      </c>
      <c r="B1076" s="4" t="s">
        <v>1252</v>
      </c>
      <c r="C1076" s="4" t="n">
        <v>1195</v>
      </c>
      <c r="D1076" s="4" t="n">
        <v>105</v>
      </c>
      <c r="E1076" s="13" t="n">
        <v>45275</v>
      </c>
      <c r="F1076" s="4" t="s">
        <v>3186</v>
      </c>
      <c r="G1076" s="4" t="str">
        <f aca="false">INDEX(PurchaseOrders!$B$2:$B$3001,MATCH(B1076,PurchaseOrders!$A$2:$A$3001,0))</f>
        <v>V027</v>
      </c>
    </row>
    <row r="1077" customFormat="false" ht="15" hidden="false" customHeight="true" outlineLevel="0" collapsed="false">
      <c r="A1077" s="4" t="s">
        <v>4264</v>
      </c>
      <c r="B1077" s="4" t="s">
        <v>1253</v>
      </c>
      <c r="C1077" s="4" t="n">
        <v>14</v>
      </c>
      <c r="D1077" s="4" t="n">
        <v>1</v>
      </c>
      <c r="E1077" s="13" t="n">
        <v>45419</v>
      </c>
      <c r="F1077" s="4" t="s">
        <v>3188</v>
      </c>
      <c r="G1077" s="4" t="str">
        <f aca="false">INDEX(PurchaseOrders!$B$2:$B$3001,MATCH(B1077,PurchaseOrders!$A$2:$A$3001,0))</f>
        <v>V054</v>
      </c>
    </row>
    <row r="1078" customFormat="false" ht="15" hidden="false" customHeight="true" outlineLevel="0" collapsed="false">
      <c r="A1078" s="4" t="s">
        <v>4265</v>
      </c>
      <c r="B1078" s="4" t="s">
        <v>1254</v>
      </c>
      <c r="C1078" s="4" t="n">
        <v>1325</v>
      </c>
      <c r="D1078" s="4" t="n">
        <v>40</v>
      </c>
      <c r="E1078" s="13" t="n">
        <v>45056</v>
      </c>
      <c r="F1078" s="4" t="s">
        <v>3202</v>
      </c>
      <c r="G1078" s="4" t="str">
        <f aca="false">INDEX(PurchaseOrders!$B$2:$B$3001,MATCH(B1078,PurchaseOrders!$A$2:$A$3001,0))</f>
        <v>V045</v>
      </c>
    </row>
    <row r="1079" customFormat="false" ht="15" hidden="false" customHeight="true" outlineLevel="0" collapsed="false">
      <c r="A1079" s="4" t="s">
        <v>4266</v>
      </c>
      <c r="B1079" s="4" t="s">
        <v>1255</v>
      </c>
      <c r="C1079" s="4" t="n">
        <v>443</v>
      </c>
      <c r="D1079" s="4" t="n">
        <v>16</v>
      </c>
      <c r="E1079" s="13" t="n">
        <v>45202</v>
      </c>
      <c r="F1079" s="4" t="s">
        <v>3190</v>
      </c>
      <c r="G1079" s="4" t="str">
        <f aca="false">INDEX(PurchaseOrders!$B$2:$B$3001,MATCH(B1079,PurchaseOrders!$A$2:$A$3001,0))</f>
        <v>V004</v>
      </c>
    </row>
    <row r="1080" customFormat="false" ht="15" hidden="false" customHeight="true" outlineLevel="0" collapsed="false">
      <c r="A1080" s="4" t="s">
        <v>4267</v>
      </c>
      <c r="B1080" s="4" t="s">
        <v>1256</v>
      </c>
      <c r="C1080" s="4" t="n">
        <v>4105</v>
      </c>
      <c r="D1080" s="4" t="n">
        <v>75</v>
      </c>
      <c r="E1080" s="13" t="n">
        <v>45247</v>
      </c>
      <c r="F1080" s="4" t="s">
        <v>3186</v>
      </c>
      <c r="G1080" s="4" t="str">
        <f aca="false">INDEX(PurchaseOrders!$B$2:$B$3001,MATCH(B1080,PurchaseOrders!$A$2:$A$3001,0))</f>
        <v>V058</v>
      </c>
    </row>
    <row r="1081" customFormat="false" ht="15" hidden="false" customHeight="true" outlineLevel="0" collapsed="false">
      <c r="A1081" s="4" t="s">
        <v>4268</v>
      </c>
      <c r="B1081" s="4" t="s">
        <v>1257</v>
      </c>
      <c r="C1081" s="4" t="n">
        <v>1721</v>
      </c>
      <c r="D1081" s="4" t="n">
        <v>110</v>
      </c>
      <c r="E1081" s="13" t="n">
        <v>45174</v>
      </c>
      <c r="F1081" s="4" t="s">
        <v>3188</v>
      </c>
      <c r="G1081" s="4" t="str">
        <f aca="false">INDEX(PurchaseOrders!$B$2:$B$3001,MATCH(B1081,PurchaseOrders!$A$2:$A$3001,0))</f>
        <v>V007</v>
      </c>
    </row>
    <row r="1082" customFormat="false" ht="15" hidden="false" customHeight="true" outlineLevel="0" collapsed="false">
      <c r="A1082" s="4" t="s">
        <v>4269</v>
      </c>
      <c r="B1082" s="4" t="s">
        <v>1258</v>
      </c>
      <c r="C1082" s="4" t="n">
        <v>6</v>
      </c>
      <c r="D1082" s="4" t="n">
        <v>0</v>
      </c>
      <c r="E1082" s="13" t="n">
        <v>45287</v>
      </c>
      <c r="F1082" s="4"/>
      <c r="G1082" s="4" t="str">
        <f aca="false">INDEX(PurchaseOrders!$B$2:$B$3001,MATCH(B1082,PurchaseOrders!$A$2:$A$3001,0))</f>
        <v>V023</v>
      </c>
    </row>
    <row r="1083" customFormat="false" ht="15" hidden="false" customHeight="true" outlineLevel="0" collapsed="false">
      <c r="A1083" s="4" t="s">
        <v>4270</v>
      </c>
      <c r="B1083" s="4" t="s">
        <v>1259</v>
      </c>
      <c r="C1083" s="4" t="n">
        <v>4</v>
      </c>
      <c r="D1083" s="4" t="n">
        <v>0</v>
      </c>
      <c r="E1083" s="13" t="n">
        <v>45587</v>
      </c>
      <c r="F1083" s="4"/>
      <c r="G1083" s="4" t="str">
        <f aca="false">INDEX(PurchaseOrders!$B$2:$B$3001,MATCH(B1083,PurchaseOrders!$A$2:$A$3001,0))</f>
        <v>V041</v>
      </c>
    </row>
    <row r="1084" customFormat="false" ht="15" hidden="false" customHeight="true" outlineLevel="0" collapsed="false">
      <c r="A1084" s="4" t="s">
        <v>4271</v>
      </c>
      <c r="B1084" s="4" t="s">
        <v>1260</v>
      </c>
      <c r="C1084" s="4" t="n">
        <v>371</v>
      </c>
      <c r="D1084" s="4" t="n">
        <v>14</v>
      </c>
      <c r="E1084" s="13" t="n">
        <v>45325</v>
      </c>
      <c r="F1084" s="4" t="s">
        <v>3192</v>
      </c>
      <c r="G1084" s="4" t="str">
        <f aca="false">INDEX(PurchaseOrders!$B$2:$B$3001,MATCH(B1084,PurchaseOrders!$A$2:$A$3001,0))</f>
        <v>V045</v>
      </c>
    </row>
    <row r="1085" customFormat="false" ht="15" hidden="false" customHeight="true" outlineLevel="0" collapsed="false">
      <c r="A1085" s="4" t="s">
        <v>4272</v>
      </c>
      <c r="B1085" s="4" t="s">
        <v>1261</v>
      </c>
      <c r="C1085" s="4" t="n">
        <v>463</v>
      </c>
      <c r="D1085" s="4" t="n">
        <v>18</v>
      </c>
      <c r="E1085" s="13" t="n">
        <v>45186</v>
      </c>
      <c r="F1085" s="4" t="s">
        <v>3202</v>
      </c>
      <c r="G1085" s="4" t="str">
        <f aca="false">INDEX(PurchaseOrders!$B$2:$B$3001,MATCH(B1085,PurchaseOrders!$A$2:$A$3001,0))</f>
        <v>V034</v>
      </c>
    </row>
    <row r="1086" customFormat="false" ht="15" hidden="false" customHeight="true" outlineLevel="0" collapsed="false">
      <c r="A1086" s="4" t="s">
        <v>4273</v>
      </c>
      <c r="B1086" s="4" t="s">
        <v>1262</v>
      </c>
      <c r="C1086" s="4" t="n">
        <v>127</v>
      </c>
      <c r="D1086" s="4" t="n">
        <v>4</v>
      </c>
      <c r="E1086" s="13" t="n">
        <v>45151</v>
      </c>
      <c r="F1086" s="4" t="s">
        <v>3202</v>
      </c>
      <c r="G1086" s="4" t="str">
        <f aca="false">INDEX(PurchaseOrders!$B$2:$B$3001,MATCH(B1086,PurchaseOrders!$A$2:$A$3001,0))</f>
        <v>V018</v>
      </c>
    </row>
    <row r="1087" customFormat="false" ht="15" hidden="false" customHeight="true" outlineLevel="0" collapsed="false">
      <c r="A1087" s="4" t="s">
        <v>4274</v>
      </c>
      <c r="B1087" s="4" t="s">
        <v>1263</v>
      </c>
      <c r="C1087" s="4" t="n">
        <v>166</v>
      </c>
      <c r="D1087" s="4" t="n">
        <v>0</v>
      </c>
      <c r="E1087" s="13" t="n">
        <v>45179</v>
      </c>
      <c r="F1087" s="4"/>
      <c r="G1087" s="4" t="str">
        <f aca="false">INDEX(PurchaseOrders!$B$2:$B$3001,MATCH(B1087,PurchaseOrders!$A$2:$A$3001,0))</f>
        <v>V047</v>
      </c>
    </row>
    <row r="1088" customFormat="false" ht="15" hidden="false" customHeight="true" outlineLevel="0" collapsed="false">
      <c r="A1088" s="4" t="s">
        <v>4275</v>
      </c>
      <c r="B1088" s="4" t="s">
        <v>1264</v>
      </c>
      <c r="C1088" s="4" t="n">
        <v>661</v>
      </c>
      <c r="D1088" s="4" t="n">
        <v>42</v>
      </c>
      <c r="E1088" s="13" t="n">
        <v>45319</v>
      </c>
      <c r="F1088" s="4" t="s">
        <v>3188</v>
      </c>
      <c r="G1088" s="4" t="str">
        <f aca="false">INDEX(PurchaseOrders!$B$2:$B$3001,MATCH(B1088,PurchaseOrders!$A$2:$A$3001,0))</f>
        <v>V007</v>
      </c>
    </row>
    <row r="1089" customFormat="false" ht="15" hidden="false" customHeight="true" outlineLevel="0" collapsed="false">
      <c r="A1089" s="4" t="s">
        <v>4276</v>
      </c>
      <c r="B1089" s="4" t="s">
        <v>1265</v>
      </c>
      <c r="C1089" s="4" t="n">
        <v>1694</v>
      </c>
      <c r="D1089" s="4" t="n">
        <v>171</v>
      </c>
      <c r="E1089" s="13" t="n">
        <v>45076</v>
      </c>
      <c r="F1089" s="4" t="s">
        <v>3192</v>
      </c>
      <c r="G1089" s="4" t="str">
        <f aca="false">INDEX(PurchaseOrders!$B$2:$B$3001,MATCH(B1089,PurchaseOrders!$A$2:$A$3001,0))</f>
        <v>V032</v>
      </c>
    </row>
    <row r="1090" customFormat="false" ht="15" hidden="false" customHeight="true" outlineLevel="0" collapsed="false">
      <c r="A1090" s="4" t="s">
        <v>4277</v>
      </c>
      <c r="B1090" s="4" t="s">
        <v>1266</v>
      </c>
      <c r="C1090" s="4" t="n">
        <v>12</v>
      </c>
      <c r="D1090" s="4" t="n">
        <v>1</v>
      </c>
      <c r="E1090" s="13" t="n">
        <v>45040</v>
      </c>
      <c r="F1090" s="4" t="s">
        <v>3184</v>
      </c>
      <c r="G1090" s="4" t="str">
        <f aca="false">INDEX(PurchaseOrders!$B$2:$B$3001,MATCH(B1090,PurchaseOrders!$A$2:$A$3001,0))</f>
        <v>V054</v>
      </c>
    </row>
    <row r="1091" customFormat="false" ht="15" hidden="false" customHeight="true" outlineLevel="0" collapsed="false">
      <c r="A1091" s="4" t="s">
        <v>4278</v>
      </c>
      <c r="B1091" s="4" t="s">
        <v>1267</v>
      </c>
      <c r="C1091" s="4" t="n">
        <v>4336</v>
      </c>
      <c r="D1091" s="4" t="n">
        <v>284</v>
      </c>
      <c r="E1091" s="13" t="n">
        <v>45459</v>
      </c>
      <c r="F1091" s="4" t="s">
        <v>3202</v>
      </c>
      <c r="G1091" s="4" t="str">
        <f aca="false">INDEX(PurchaseOrders!$B$2:$B$3001,MATCH(B1091,PurchaseOrders!$A$2:$A$3001,0))</f>
        <v>V050</v>
      </c>
    </row>
    <row r="1092" customFormat="false" ht="15" hidden="false" customHeight="true" outlineLevel="0" collapsed="false">
      <c r="A1092" s="4" t="s">
        <v>4279</v>
      </c>
      <c r="B1092" s="4" t="s">
        <v>1268</v>
      </c>
      <c r="C1092" s="4" t="n">
        <v>514</v>
      </c>
      <c r="D1092" s="4" t="n">
        <v>45</v>
      </c>
      <c r="E1092" s="13" t="n">
        <v>45201</v>
      </c>
      <c r="F1092" s="4" t="s">
        <v>3192</v>
      </c>
      <c r="G1092" s="4" t="str">
        <f aca="false">INDEX(PurchaseOrders!$B$2:$B$3001,MATCH(B1092,PurchaseOrders!$A$2:$A$3001,0))</f>
        <v>V057</v>
      </c>
    </row>
    <row r="1093" customFormat="false" ht="15" hidden="false" customHeight="true" outlineLevel="0" collapsed="false">
      <c r="A1093" s="4" t="s">
        <v>4280</v>
      </c>
      <c r="B1093" s="4" t="s">
        <v>1269</v>
      </c>
      <c r="C1093" s="4" t="n">
        <v>4</v>
      </c>
      <c r="D1093" s="4" t="n">
        <v>0</v>
      </c>
      <c r="E1093" s="13" t="n">
        <v>45065</v>
      </c>
      <c r="F1093" s="4"/>
      <c r="G1093" s="4" t="str">
        <f aca="false">INDEX(PurchaseOrders!$B$2:$B$3001,MATCH(B1093,PurchaseOrders!$A$2:$A$3001,0))</f>
        <v>V016</v>
      </c>
    </row>
    <row r="1094" customFormat="false" ht="15" hidden="false" customHeight="true" outlineLevel="0" collapsed="false">
      <c r="A1094" s="4" t="s">
        <v>4281</v>
      </c>
      <c r="B1094" s="4" t="s">
        <v>1270</v>
      </c>
      <c r="C1094" s="4" t="n">
        <v>3070</v>
      </c>
      <c r="D1094" s="4" t="n">
        <v>270</v>
      </c>
      <c r="E1094" s="13" t="n">
        <v>45304</v>
      </c>
      <c r="F1094" s="4" t="s">
        <v>3192</v>
      </c>
      <c r="G1094" s="4" t="str">
        <f aca="false">INDEX(PurchaseOrders!$B$2:$B$3001,MATCH(B1094,PurchaseOrders!$A$2:$A$3001,0))</f>
        <v>V001</v>
      </c>
    </row>
    <row r="1095" customFormat="false" ht="15" hidden="false" customHeight="true" outlineLevel="0" collapsed="false">
      <c r="A1095" s="4" t="s">
        <v>4282</v>
      </c>
      <c r="B1095" s="4" t="s">
        <v>1271</v>
      </c>
      <c r="C1095" s="4" t="n">
        <v>4287</v>
      </c>
      <c r="D1095" s="4" t="n">
        <v>667</v>
      </c>
      <c r="E1095" s="13" t="n">
        <v>45002</v>
      </c>
      <c r="F1095" s="4" t="s">
        <v>3192</v>
      </c>
      <c r="G1095" s="4" t="str">
        <f aca="false">INDEX(PurchaseOrders!$B$2:$B$3001,MATCH(B1095,PurchaseOrders!$A$2:$A$3001,0))</f>
        <v>V057</v>
      </c>
    </row>
    <row r="1096" customFormat="false" ht="15" hidden="false" customHeight="true" outlineLevel="0" collapsed="false">
      <c r="A1096" s="4" t="s">
        <v>4283</v>
      </c>
      <c r="B1096" s="4" t="s">
        <v>1272</v>
      </c>
      <c r="C1096" s="4" t="n">
        <v>425</v>
      </c>
      <c r="D1096" s="4" t="n">
        <v>21</v>
      </c>
      <c r="E1096" s="13" t="n">
        <v>45192</v>
      </c>
      <c r="F1096" s="4" t="s">
        <v>3188</v>
      </c>
      <c r="G1096" s="4" t="str">
        <f aca="false">INDEX(PurchaseOrders!$B$2:$B$3001,MATCH(B1096,PurchaseOrders!$A$2:$A$3001,0))</f>
        <v>V006</v>
      </c>
    </row>
    <row r="1097" customFormat="false" ht="15" hidden="false" customHeight="true" outlineLevel="0" collapsed="false">
      <c r="A1097" s="4" t="s">
        <v>4284</v>
      </c>
      <c r="B1097" s="4" t="s">
        <v>1273</v>
      </c>
      <c r="C1097" s="4" t="n">
        <v>4323</v>
      </c>
      <c r="D1097" s="4" t="n">
        <v>242</v>
      </c>
      <c r="E1097" s="13" t="n">
        <v>45348</v>
      </c>
      <c r="F1097" s="4" t="s">
        <v>3190</v>
      </c>
      <c r="G1097" s="4" t="str">
        <f aca="false">INDEX(PurchaseOrders!$B$2:$B$3001,MATCH(B1097,PurchaseOrders!$A$2:$A$3001,0))</f>
        <v>V050</v>
      </c>
    </row>
    <row r="1098" customFormat="false" ht="15" hidden="false" customHeight="true" outlineLevel="0" collapsed="false">
      <c r="A1098" s="4" t="s">
        <v>4285</v>
      </c>
      <c r="B1098" s="4" t="s">
        <v>1274</v>
      </c>
      <c r="C1098" s="4" t="n">
        <v>228</v>
      </c>
      <c r="D1098" s="4" t="n">
        <v>29</v>
      </c>
      <c r="E1098" s="13" t="n">
        <v>45557</v>
      </c>
      <c r="F1098" s="4" t="s">
        <v>3186</v>
      </c>
      <c r="G1098" s="4" t="str">
        <f aca="false">INDEX(PurchaseOrders!$B$2:$B$3001,MATCH(B1098,PurchaseOrders!$A$2:$A$3001,0))</f>
        <v>V055</v>
      </c>
    </row>
    <row r="1099" customFormat="false" ht="15" hidden="false" customHeight="true" outlineLevel="0" collapsed="false">
      <c r="A1099" s="4" t="s">
        <v>4286</v>
      </c>
      <c r="B1099" s="4" t="s">
        <v>1275</v>
      </c>
      <c r="C1099" s="4" t="n">
        <v>385</v>
      </c>
      <c r="D1099" s="4" t="n">
        <v>28</v>
      </c>
      <c r="E1099" s="13" t="n">
        <v>45446</v>
      </c>
      <c r="F1099" s="4" t="s">
        <v>3184</v>
      </c>
      <c r="G1099" s="4" t="str">
        <f aca="false">INDEX(PurchaseOrders!$B$2:$B$3001,MATCH(B1099,PurchaseOrders!$A$2:$A$3001,0))</f>
        <v>V012</v>
      </c>
    </row>
    <row r="1100" customFormat="false" ht="15" hidden="false" customHeight="true" outlineLevel="0" collapsed="false">
      <c r="A1100" s="4" t="s">
        <v>4287</v>
      </c>
      <c r="B1100" s="4" t="s">
        <v>1276</v>
      </c>
      <c r="C1100" s="4" t="n">
        <v>211</v>
      </c>
      <c r="D1100" s="4" t="n">
        <v>13</v>
      </c>
      <c r="E1100" s="13" t="n">
        <v>44993</v>
      </c>
      <c r="F1100" s="4" t="s">
        <v>3202</v>
      </c>
      <c r="G1100" s="4" t="str">
        <f aca="false">INDEX(PurchaseOrders!$B$2:$B$3001,MATCH(B1100,PurchaseOrders!$A$2:$A$3001,0))</f>
        <v>V033</v>
      </c>
    </row>
    <row r="1101" customFormat="false" ht="15" hidden="false" customHeight="true" outlineLevel="0" collapsed="false">
      <c r="A1101" s="4" t="s">
        <v>4288</v>
      </c>
      <c r="B1101" s="4" t="s">
        <v>1277</v>
      </c>
      <c r="C1101" s="4" t="n">
        <v>539</v>
      </c>
      <c r="D1101" s="4" t="n">
        <v>26</v>
      </c>
      <c r="E1101" s="13" t="n">
        <v>45640</v>
      </c>
      <c r="F1101" s="4" t="s">
        <v>3202</v>
      </c>
      <c r="G1101" s="4" t="str">
        <f aca="false">INDEX(PurchaseOrders!$B$2:$B$3001,MATCH(B1101,PurchaseOrders!$A$2:$A$3001,0))</f>
        <v>V010</v>
      </c>
    </row>
    <row r="1102" customFormat="false" ht="15" hidden="false" customHeight="true" outlineLevel="0" collapsed="false">
      <c r="A1102" s="4" t="s">
        <v>4289</v>
      </c>
      <c r="B1102" s="4" t="s">
        <v>1278</v>
      </c>
      <c r="C1102" s="4" t="n">
        <v>198</v>
      </c>
      <c r="D1102" s="4" t="n">
        <v>15</v>
      </c>
      <c r="E1102" s="13" t="n">
        <v>45284</v>
      </c>
      <c r="F1102" s="4" t="s">
        <v>3188</v>
      </c>
      <c r="G1102" s="4" t="str">
        <f aca="false">INDEX(PurchaseOrders!$B$2:$B$3001,MATCH(B1102,PurchaseOrders!$A$2:$A$3001,0))</f>
        <v>V037</v>
      </c>
    </row>
    <row r="1103" customFormat="false" ht="15" hidden="false" customHeight="true" outlineLevel="0" collapsed="false">
      <c r="A1103" s="4" t="s">
        <v>4290</v>
      </c>
      <c r="B1103" s="4" t="s">
        <v>1279</v>
      </c>
      <c r="C1103" s="4" t="n">
        <v>1167</v>
      </c>
      <c r="D1103" s="4" t="n">
        <v>48</v>
      </c>
      <c r="E1103" s="13" t="n">
        <v>45216</v>
      </c>
      <c r="F1103" s="4" t="s">
        <v>3202</v>
      </c>
      <c r="G1103" s="4" t="str">
        <f aca="false">INDEX(PurchaseOrders!$B$2:$B$3001,MATCH(B1103,PurchaseOrders!$A$2:$A$3001,0))</f>
        <v>V017</v>
      </c>
    </row>
    <row r="1104" customFormat="false" ht="15" hidden="false" customHeight="true" outlineLevel="0" collapsed="false">
      <c r="A1104" s="4" t="s">
        <v>4291</v>
      </c>
      <c r="B1104" s="4" t="s">
        <v>1280</v>
      </c>
      <c r="C1104" s="4" t="n">
        <v>396</v>
      </c>
      <c r="D1104" s="4" t="n">
        <v>14</v>
      </c>
      <c r="E1104" s="13" t="n">
        <v>45274</v>
      </c>
      <c r="F1104" s="4" t="s">
        <v>3202</v>
      </c>
      <c r="G1104" s="4" t="str">
        <f aca="false">INDEX(PurchaseOrders!$B$2:$B$3001,MATCH(B1104,PurchaseOrders!$A$2:$A$3001,0))</f>
        <v>V031</v>
      </c>
    </row>
    <row r="1105" customFormat="false" ht="15" hidden="false" customHeight="true" outlineLevel="0" collapsed="false">
      <c r="A1105" s="4" t="s">
        <v>4292</v>
      </c>
      <c r="B1105" s="4" t="s">
        <v>1281</v>
      </c>
      <c r="C1105" s="4" t="n">
        <v>1237</v>
      </c>
      <c r="D1105" s="4" t="n">
        <v>33</v>
      </c>
      <c r="E1105" s="13" t="n">
        <v>45232</v>
      </c>
      <c r="F1105" s="4" t="s">
        <v>3186</v>
      </c>
      <c r="G1105" s="4" t="str">
        <f aca="false">INDEX(PurchaseOrders!$B$2:$B$3001,MATCH(B1105,PurchaseOrders!$A$2:$A$3001,0))</f>
        <v>V059</v>
      </c>
    </row>
    <row r="1106" customFormat="false" ht="15" hidden="false" customHeight="true" outlineLevel="0" collapsed="false">
      <c r="A1106" s="4" t="s">
        <v>4293</v>
      </c>
      <c r="B1106" s="4" t="s">
        <v>1282</v>
      </c>
      <c r="C1106" s="4" t="n">
        <v>4137</v>
      </c>
      <c r="D1106" s="4" t="n">
        <v>0</v>
      </c>
      <c r="E1106" s="13" t="n">
        <v>45407</v>
      </c>
      <c r="F1106" s="4"/>
      <c r="G1106" s="4" t="str">
        <f aca="false">INDEX(PurchaseOrders!$B$2:$B$3001,MATCH(B1106,PurchaseOrders!$A$2:$A$3001,0))</f>
        <v>V015</v>
      </c>
    </row>
    <row r="1107" customFormat="false" ht="15" hidden="false" customHeight="true" outlineLevel="0" collapsed="false">
      <c r="A1107" s="4" t="s">
        <v>4294</v>
      </c>
      <c r="B1107" s="4" t="s">
        <v>1283</v>
      </c>
      <c r="C1107" s="4" t="n">
        <v>4425</v>
      </c>
      <c r="D1107" s="4" t="n">
        <v>0</v>
      </c>
      <c r="E1107" s="13" t="n">
        <v>45616</v>
      </c>
      <c r="F1107" s="4"/>
      <c r="G1107" s="4" t="str">
        <f aca="false">INDEX(PurchaseOrders!$B$2:$B$3001,MATCH(B1107,PurchaseOrders!$A$2:$A$3001,0))</f>
        <v>V050</v>
      </c>
    </row>
    <row r="1108" customFormat="false" ht="15" hidden="false" customHeight="true" outlineLevel="0" collapsed="false">
      <c r="A1108" s="4" t="s">
        <v>4295</v>
      </c>
      <c r="B1108" s="4" t="s">
        <v>1284</v>
      </c>
      <c r="C1108" s="4" t="n">
        <v>250</v>
      </c>
      <c r="D1108" s="4" t="n">
        <v>5</v>
      </c>
      <c r="E1108" s="13" t="n">
        <v>45322</v>
      </c>
      <c r="F1108" s="4" t="s">
        <v>3186</v>
      </c>
      <c r="G1108" s="4" t="str">
        <f aca="false">INDEX(PurchaseOrders!$B$2:$B$3001,MATCH(B1108,PurchaseOrders!$A$2:$A$3001,0))</f>
        <v>V029</v>
      </c>
    </row>
    <row r="1109" customFormat="false" ht="15" hidden="false" customHeight="true" outlineLevel="0" collapsed="false">
      <c r="A1109" s="4" t="s">
        <v>4296</v>
      </c>
      <c r="B1109" s="4" t="s">
        <v>1285</v>
      </c>
      <c r="C1109" s="4" t="n">
        <v>959</v>
      </c>
      <c r="D1109" s="4" t="n">
        <v>14</v>
      </c>
      <c r="E1109" s="13" t="n">
        <v>44991</v>
      </c>
      <c r="F1109" s="4" t="s">
        <v>3188</v>
      </c>
      <c r="G1109" s="4" t="str">
        <f aca="false">INDEX(PurchaseOrders!$B$2:$B$3001,MATCH(B1109,PurchaseOrders!$A$2:$A$3001,0))</f>
        <v>V010</v>
      </c>
    </row>
    <row r="1110" customFormat="false" ht="15" hidden="false" customHeight="true" outlineLevel="0" collapsed="false">
      <c r="A1110" s="4" t="s">
        <v>4297</v>
      </c>
      <c r="B1110" s="4" t="s">
        <v>1286</v>
      </c>
      <c r="C1110" s="4" t="n">
        <v>3890</v>
      </c>
      <c r="D1110" s="4" t="n">
        <v>389</v>
      </c>
      <c r="E1110" s="13" t="n">
        <v>45295</v>
      </c>
      <c r="F1110" s="4" t="s">
        <v>3188</v>
      </c>
      <c r="G1110" s="4" t="str">
        <f aca="false">INDEX(PurchaseOrders!$B$2:$B$3001,MATCH(B1110,PurchaseOrders!$A$2:$A$3001,0))</f>
        <v>V032</v>
      </c>
    </row>
    <row r="1111" customFormat="false" ht="15" hidden="false" customHeight="true" outlineLevel="0" collapsed="false">
      <c r="A1111" s="4" t="s">
        <v>4298</v>
      </c>
      <c r="B1111" s="4" t="s">
        <v>1287</v>
      </c>
      <c r="C1111" s="4" t="n">
        <v>402</v>
      </c>
      <c r="D1111" s="4" t="n">
        <v>32</v>
      </c>
      <c r="E1111" s="13" t="n">
        <v>45075</v>
      </c>
      <c r="F1111" s="4" t="s">
        <v>3186</v>
      </c>
      <c r="G1111" s="4" t="str">
        <f aca="false">INDEX(PurchaseOrders!$B$2:$B$3001,MATCH(B1111,PurchaseOrders!$A$2:$A$3001,0))</f>
        <v>V030</v>
      </c>
    </row>
    <row r="1112" customFormat="false" ht="15" hidden="false" customHeight="true" outlineLevel="0" collapsed="false">
      <c r="A1112" s="4" t="s">
        <v>4299</v>
      </c>
      <c r="B1112" s="4" t="s">
        <v>1288</v>
      </c>
      <c r="C1112" s="4" t="n">
        <v>107</v>
      </c>
      <c r="D1112" s="4" t="n">
        <v>5</v>
      </c>
      <c r="E1112" s="13" t="n">
        <v>45038</v>
      </c>
      <c r="F1112" s="4" t="s">
        <v>3184</v>
      </c>
      <c r="G1112" s="4" t="str">
        <f aca="false">INDEX(PurchaseOrders!$B$2:$B$3001,MATCH(B1112,PurchaseOrders!$A$2:$A$3001,0))</f>
        <v>V004</v>
      </c>
    </row>
    <row r="1113" customFormat="false" ht="15" hidden="false" customHeight="true" outlineLevel="0" collapsed="false">
      <c r="A1113" s="4" t="s">
        <v>4300</v>
      </c>
      <c r="B1113" s="4" t="s">
        <v>1289</v>
      </c>
      <c r="C1113" s="4" t="n">
        <v>405</v>
      </c>
      <c r="D1113" s="4" t="n">
        <v>11</v>
      </c>
      <c r="E1113" s="13" t="n">
        <v>45124</v>
      </c>
      <c r="F1113" s="4" t="s">
        <v>3184</v>
      </c>
      <c r="G1113" s="4" t="str">
        <f aca="false">INDEX(PurchaseOrders!$B$2:$B$3001,MATCH(B1113,PurchaseOrders!$A$2:$A$3001,0))</f>
        <v>V048</v>
      </c>
    </row>
    <row r="1114" customFormat="false" ht="15" hidden="false" customHeight="true" outlineLevel="0" collapsed="false">
      <c r="A1114" s="4" t="s">
        <v>4301</v>
      </c>
      <c r="B1114" s="4" t="s">
        <v>1290</v>
      </c>
      <c r="C1114" s="4" t="n">
        <v>3441</v>
      </c>
      <c r="D1114" s="4" t="n">
        <v>191</v>
      </c>
      <c r="E1114" s="13" t="n">
        <v>45590</v>
      </c>
      <c r="F1114" s="4" t="s">
        <v>3202</v>
      </c>
      <c r="G1114" s="4" t="str">
        <f aca="false">INDEX(PurchaseOrders!$B$2:$B$3001,MATCH(B1114,PurchaseOrders!$A$2:$A$3001,0))</f>
        <v>V050</v>
      </c>
    </row>
    <row r="1115" customFormat="false" ht="15" hidden="false" customHeight="true" outlineLevel="0" collapsed="false">
      <c r="A1115" s="4" t="s">
        <v>4302</v>
      </c>
      <c r="B1115" s="4" t="s">
        <v>1291</v>
      </c>
      <c r="C1115" s="4" t="n">
        <v>881</v>
      </c>
      <c r="D1115" s="4" t="n">
        <v>2</v>
      </c>
      <c r="E1115" s="13" t="n">
        <v>45628</v>
      </c>
      <c r="F1115" s="4" t="s">
        <v>3186</v>
      </c>
      <c r="G1115" s="4" t="str">
        <f aca="false">INDEX(PurchaseOrders!$B$2:$B$3001,MATCH(B1115,PurchaseOrders!$A$2:$A$3001,0))</f>
        <v>V011</v>
      </c>
    </row>
    <row r="1116" customFormat="false" ht="15" hidden="false" customHeight="true" outlineLevel="0" collapsed="false">
      <c r="A1116" s="4" t="s">
        <v>4303</v>
      </c>
      <c r="B1116" s="4" t="s">
        <v>1292</v>
      </c>
      <c r="C1116" s="4" t="n">
        <v>1754</v>
      </c>
      <c r="D1116" s="4" t="n">
        <v>31</v>
      </c>
      <c r="E1116" s="13" t="n">
        <v>45343</v>
      </c>
      <c r="F1116" s="4" t="s">
        <v>3188</v>
      </c>
      <c r="G1116" s="4" t="str">
        <f aca="false">INDEX(PurchaseOrders!$B$2:$B$3001,MATCH(B1116,PurchaseOrders!$A$2:$A$3001,0))</f>
        <v>V011</v>
      </c>
    </row>
    <row r="1117" customFormat="false" ht="15" hidden="false" customHeight="true" outlineLevel="0" collapsed="false">
      <c r="A1117" s="4" t="s">
        <v>4304</v>
      </c>
      <c r="B1117" s="4" t="s">
        <v>1293</v>
      </c>
      <c r="C1117" s="4" t="n">
        <v>172</v>
      </c>
      <c r="D1117" s="4" t="n">
        <v>0</v>
      </c>
      <c r="E1117" s="13" t="n">
        <v>45536</v>
      </c>
      <c r="F1117" s="4"/>
      <c r="G1117" s="4" t="str">
        <f aca="false">INDEX(PurchaseOrders!$B$2:$B$3001,MATCH(B1117,PurchaseOrders!$A$2:$A$3001,0))</f>
        <v>V008</v>
      </c>
    </row>
    <row r="1118" customFormat="false" ht="15" hidden="false" customHeight="true" outlineLevel="0" collapsed="false">
      <c r="A1118" s="4" t="s">
        <v>4305</v>
      </c>
      <c r="B1118" s="4" t="s">
        <v>1294</v>
      </c>
      <c r="C1118" s="4" t="n">
        <v>1401</v>
      </c>
      <c r="D1118" s="4" t="n">
        <v>208</v>
      </c>
      <c r="E1118" s="13" t="n">
        <v>45051</v>
      </c>
      <c r="F1118" s="4" t="s">
        <v>3192</v>
      </c>
      <c r="G1118" s="4" t="str">
        <f aca="false">INDEX(PurchaseOrders!$B$2:$B$3001,MATCH(B1118,PurchaseOrders!$A$2:$A$3001,0))</f>
        <v>V044</v>
      </c>
    </row>
    <row r="1119" customFormat="false" ht="15" hidden="false" customHeight="true" outlineLevel="0" collapsed="false">
      <c r="A1119" s="4" t="s">
        <v>4306</v>
      </c>
      <c r="B1119" s="4" t="s">
        <v>1295</v>
      </c>
      <c r="C1119" s="4" t="n">
        <v>2353</v>
      </c>
      <c r="D1119" s="4" t="n">
        <v>75</v>
      </c>
      <c r="E1119" s="13" t="n">
        <v>45372</v>
      </c>
      <c r="F1119" s="4" t="s">
        <v>3188</v>
      </c>
      <c r="G1119" s="4" t="str">
        <f aca="false">INDEX(PurchaseOrders!$B$2:$B$3001,MATCH(B1119,PurchaseOrders!$A$2:$A$3001,0))</f>
        <v>V017</v>
      </c>
    </row>
    <row r="1120" customFormat="false" ht="15" hidden="false" customHeight="true" outlineLevel="0" collapsed="false">
      <c r="A1120" s="4" t="s">
        <v>4307</v>
      </c>
      <c r="B1120" s="4" t="s">
        <v>1296</v>
      </c>
      <c r="C1120" s="4" t="n">
        <v>2152</v>
      </c>
      <c r="D1120" s="4" t="n">
        <v>267</v>
      </c>
      <c r="E1120" s="13" t="n">
        <v>45639</v>
      </c>
      <c r="F1120" s="4" t="s">
        <v>3186</v>
      </c>
      <c r="G1120" s="4" t="str">
        <f aca="false">INDEX(PurchaseOrders!$B$2:$B$3001,MATCH(B1120,PurchaseOrders!$A$2:$A$3001,0))</f>
        <v>V038</v>
      </c>
    </row>
    <row r="1121" customFormat="false" ht="15" hidden="false" customHeight="true" outlineLevel="0" collapsed="false">
      <c r="A1121" s="4" t="s">
        <v>4308</v>
      </c>
      <c r="B1121" s="4" t="s">
        <v>1297</v>
      </c>
      <c r="C1121" s="4" t="n">
        <v>3470</v>
      </c>
      <c r="D1121" s="4" t="n">
        <v>563</v>
      </c>
      <c r="E1121" s="13" t="n">
        <v>45575</v>
      </c>
      <c r="F1121" s="4" t="s">
        <v>3202</v>
      </c>
      <c r="G1121" s="4" t="str">
        <f aca="false">INDEX(PurchaseOrders!$B$2:$B$3001,MATCH(B1121,PurchaseOrders!$A$2:$A$3001,0))</f>
        <v>V026</v>
      </c>
    </row>
    <row r="1122" customFormat="false" ht="15" hidden="false" customHeight="true" outlineLevel="0" collapsed="false">
      <c r="A1122" s="4" t="s">
        <v>4309</v>
      </c>
      <c r="B1122" s="4" t="s">
        <v>1298</v>
      </c>
      <c r="C1122" s="4" t="n">
        <v>53</v>
      </c>
      <c r="D1122" s="4" t="n">
        <v>1</v>
      </c>
      <c r="E1122" s="13" t="n">
        <v>45453</v>
      </c>
      <c r="F1122" s="4" t="s">
        <v>3188</v>
      </c>
      <c r="G1122" s="4" t="str">
        <f aca="false">INDEX(PurchaseOrders!$B$2:$B$3001,MATCH(B1122,PurchaseOrders!$A$2:$A$3001,0))</f>
        <v>V024</v>
      </c>
    </row>
    <row r="1123" customFormat="false" ht="15" hidden="false" customHeight="true" outlineLevel="0" collapsed="false">
      <c r="A1123" s="4" t="s">
        <v>4310</v>
      </c>
      <c r="B1123" s="4" t="s">
        <v>1299</v>
      </c>
      <c r="C1123" s="4" t="n">
        <v>1310</v>
      </c>
      <c r="D1123" s="4" t="n">
        <v>14</v>
      </c>
      <c r="E1123" s="13" t="n">
        <v>45403</v>
      </c>
      <c r="F1123" s="4" t="s">
        <v>3192</v>
      </c>
      <c r="G1123" s="4" t="str">
        <f aca="false">INDEX(PurchaseOrders!$B$2:$B$3001,MATCH(B1123,PurchaseOrders!$A$2:$A$3001,0))</f>
        <v>V034</v>
      </c>
    </row>
    <row r="1124" customFormat="false" ht="15" hidden="false" customHeight="true" outlineLevel="0" collapsed="false">
      <c r="A1124" s="4" t="s">
        <v>4311</v>
      </c>
      <c r="B1124" s="4" t="s">
        <v>1300</v>
      </c>
      <c r="C1124" s="4" t="n">
        <v>1500</v>
      </c>
      <c r="D1124" s="4" t="n">
        <v>0</v>
      </c>
      <c r="E1124" s="13" t="n">
        <v>45592</v>
      </c>
      <c r="F1124" s="4"/>
      <c r="G1124" s="4" t="str">
        <f aca="false">INDEX(PurchaseOrders!$B$2:$B$3001,MATCH(B1124,PurchaseOrders!$A$2:$A$3001,0))</f>
        <v>V045</v>
      </c>
    </row>
    <row r="1125" customFormat="false" ht="15" hidden="false" customHeight="true" outlineLevel="0" collapsed="false">
      <c r="A1125" s="4" t="s">
        <v>4312</v>
      </c>
      <c r="B1125" s="4" t="s">
        <v>1301</v>
      </c>
      <c r="C1125" s="4" t="n">
        <v>371</v>
      </c>
      <c r="D1125" s="4" t="n">
        <v>10</v>
      </c>
      <c r="E1125" s="13" t="n">
        <v>45270</v>
      </c>
      <c r="F1125" s="4" t="s">
        <v>3184</v>
      </c>
      <c r="G1125" s="4" t="str">
        <f aca="false">INDEX(PurchaseOrders!$B$2:$B$3001,MATCH(B1125,PurchaseOrders!$A$2:$A$3001,0))</f>
        <v>V033</v>
      </c>
    </row>
    <row r="1126" customFormat="false" ht="15" hidden="false" customHeight="true" outlineLevel="0" collapsed="false">
      <c r="A1126" s="4" t="s">
        <v>4313</v>
      </c>
      <c r="B1126" s="4" t="s">
        <v>1302</v>
      </c>
      <c r="C1126" s="4" t="n">
        <v>3993</v>
      </c>
      <c r="D1126" s="4" t="n">
        <v>196</v>
      </c>
      <c r="E1126" s="13" t="n">
        <v>45592</v>
      </c>
      <c r="F1126" s="4" t="s">
        <v>3188</v>
      </c>
      <c r="G1126" s="4" t="str">
        <f aca="false">INDEX(PurchaseOrders!$B$2:$B$3001,MATCH(B1126,PurchaseOrders!$A$2:$A$3001,0))</f>
        <v>V001</v>
      </c>
    </row>
    <row r="1127" customFormat="false" ht="15" hidden="false" customHeight="true" outlineLevel="0" collapsed="false">
      <c r="A1127" s="4" t="s">
        <v>4314</v>
      </c>
      <c r="B1127" s="4" t="s">
        <v>1303</v>
      </c>
      <c r="C1127" s="4" t="n">
        <v>78</v>
      </c>
      <c r="D1127" s="4" t="n">
        <v>10</v>
      </c>
      <c r="E1127" s="13" t="n">
        <v>45267</v>
      </c>
      <c r="F1127" s="4" t="s">
        <v>3188</v>
      </c>
      <c r="G1127" s="4" t="str">
        <f aca="false">INDEX(PurchaseOrders!$B$2:$B$3001,MATCH(B1127,PurchaseOrders!$A$2:$A$3001,0))</f>
        <v>V036</v>
      </c>
    </row>
    <row r="1128" customFormat="false" ht="15" hidden="false" customHeight="true" outlineLevel="0" collapsed="false">
      <c r="A1128" s="4" t="s">
        <v>4315</v>
      </c>
      <c r="B1128" s="4" t="s">
        <v>1304</v>
      </c>
      <c r="C1128" s="4" t="n">
        <v>1134</v>
      </c>
      <c r="D1128" s="4" t="n">
        <v>38</v>
      </c>
      <c r="E1128" s="13" t="n">
        <v>45110</v>
      </c>
      <c r="F1128" s="4" t="s">
        <v>3184</v>
      </c>
      <c r="G1128" s="4" t="str">
        <f aca="false">INDEX(PurchaseOrders!$B$2:$B$3001,MATCH(B1128,PurchaseOrders!$A$2:$A$3001,0))</f>
        <v>V005</v>
      </c>
    </row>
    <row r="1129" customFormat="false" ht="15" hidden="false" customHeight="true" outlineLevel="0" collapsed="false">
      <c r="A1129" s="4" t="s">
        <v>4316</v>
      </c>
      <c r="B1129" s="4" t="s">
        <v>1305</v>
      </c>
      <c r="C1129" s="4" t="n">
        <v>1518</v>
      </c>
      <c r="D1129" s="4" t="n">
        <v>98</v>
      </c>
      <c r="E1129" s="13" t="n">
        <v>45061</v>
      </c>
      <c r="F1129" s="4" t="s">
        <v>3186</v>
      </c>
      <c r="G1129" s="4" t="str">
        <f aca="false">INDEX(PurchaseOrders!$B$2:$B$3001,MATCH(B1129,PurchaseOrders!$A$2:$A$3001,0))</f>
        <v>V022</v>
      </c>
    </row>
    <row r="1130" customFormat="false" ht="15" hidden="false" customHeight="true" outlineLevel="0" collapsed="false">
      <c r="A1130" s="4" t="s">
        <v>4317</v>
      </c>
      <c r="B1130" s="4" t="s">
        <v>1306</v>
      </c>
      <c r="C1130" s="4" t="n">
        <v>740</v>
      </c>
      <c r="D1130" s="4" t="n">
        <v>27</v>
      </c>
      <c r="E1130" s="13" t="n">
        <v>45372</v>
      </c>
      <c r="F1130" s="4" t="s">
        <v>3186</v>
      </c>
      <c r="G1130" s="4" t="str">
        <f aca="false">INDEX(PurchaseOrders!$B$2:$B$3001,MATCH(B1130,PurchaseOrders!$A$2:$A$3001,0))</f>
        <v>V048</v>
      </c>
    </row>
    <row r="1131" customFormat="false" ht="15" hidden="false" customHeight="true" outlineLevel="0" collapsed="false">
      <c r="A1131" s="4" t="s">
        <v>4318</v>
      </c>
      <c r="B1131" s="4" t="s">
        <v>1307</v>
      </c>
      <c r="C1131" s="4" t="n">
        <v>497</v>
      </c>
      <c r="D1131" s="4" t="n">
        <v>123</v>
      </c>
      <c r="E1131" s="13" t="n">
        <v>45249</v>
      </c>
      <c r="F1131" s="4" t="s">
        <v>3202</v>
      </c>
      <c r="G1131" s="4" t="str">
        <f aca="false">INDEX(PurchaseOrders!$B$2:$B$3001,MATCH(B1131,PurchaseOrders!$A$2:$A$3001,0))</f>
        <v>V039</v>
      </c>
    </row>
    <row r="1132" customFormat="false" ht="15" hidden="false" customHeight="true" outlineLevel="0" collapsed="false">
      <c r="A1132" s="4" t="s">
        <v>4319</v>
      </c>
      <c r="B1132" s="4" t="s">
        <v>1308</v>
      </c>
      <c r="C1132" s="4" t="n">
        <v>937</v>
      </c>
      <c r="D1132" s="4" t="n">
        <v>105</v>
      </c>
      <c r="E1132" s="13" t="n">
        <v>45052</v>
      </c>
      <c r="F1132" s="4" t="s">
        <v>3202</v>
      </c>
      <c r="G1132" s="4" t="str">
        <f aca="false">INDEX(PurchaseOrders!$B$2:$B$3001,MATCH(B1132,PurchaseOrders!$A$2:$A$3001,0))</f>
        <v>V025</v>
      </c>
    </row>
    <row r="1133" customFormat="false" ht="15" hidden="false" customHeight="true" outlineLevel="0" collapsed="false">
      <c r="A1133" s="4" t="s">
        <v>4320</v>
      </c>
      <c r="B1133" s="4" t="s">
        <v>1309</v>
      </c>
      <c r="C1133" s="4" t="n">
        <v>412</v>
      </c>
      <c r="D1133" s="4" t="n">
        <v>24</v>
      </c>
      <c r="E1133" s="13" t="n">
        <v>45606</v>
      </c>
      <c r="F1133" s="4" t="s">
        <v>3186</v>
      </c>
      <c r="G1133" s="4" t="str">
        <f aca="false">INDEX(PurchaseOrders!$B$2:$B$3001,MATCH(B1133,PurchaseOrders!$A$2:$A$3001,0))</f>
        <v>V012</v>
      </c>
    </row>
    <row r="1134" customFormat="false" ht="15" hidden="false" customHeight="true" outlineLevel="0" collapsed="false">
      <c r="A1134" s="4" t="s">
        <v>4321</v>
      </c>
      <c r="B1134" s="4" t="s">
        <v>1310</v>
      </c>
      <c r="C1134" s="4" t="n">
        <v>222</v>
      </c>
      <c r="D1134" s="4" t="n">
        <v>0</v>
      </c>
      <c r="E1134" s="13" t="n">
        <v>45185</v>
      </c>
      <c r="F1134" s="4"/>
      <c r="G1134" s="4" t="str">
        <f aca="false">INDEX(PurchaseOrders!$B$2:$B$3001,MATCH(B1134,PurchaseOrders!$A$2:$A$3001,0))</f>
        <v>V060</v>
      </c>
    </row>
    <row r="1135" customFormat="false" ht="15" hidden="false" customHeight="true" outlineLevel="0" collapsed="false">
      <c r="A1135" s="4" t="s">
        <v>4322</v>
      </c>
      <c r="B1135" s="4" t="s">
        <v>1311</v>
      </c>
      <c r="C1135" s="4" t="n">
        <v>3962</v>
      </c>
      <c r="D1135" s="4" t="n">
        <v>695</v>
      </c>
      <c r="E1135" s="13" t="n">
        <v>45110</v>
      </c>
      <c r="F1135" s="4" t="s">
        <v>3192</v>
      </c>
      <c r="G1135" s="4" t="str">
        <f aca="false">INDEX(PurchaseOrders!$B$2:$B$3001,MATCH(B1135,PurchaseOrders!$A$2:$A$3001,0))</f>
        <v>V026</v>
      </c>
    </row>
    <row r="1136" customFormat="false" ht="15" hidden="false" customHeight="true" outlineLevel="0" collapsed="false">
      <c r="A1136" s="4" t="s">
        <v>4323</v>
      </c>
      <c r="B1136" s="4" t="s">
        <v>1312</v>
      </c>
      <c r="C1136" s="4" t="n">
        <v>429</v>
      </c>
      <c r="D1136" s="4" t="n">
        <v>3</v>
      </c>
      <c r="E1136" s="13" t="n">
        <v>45567</v>
      </c>
      <c r="F1136" s="4" t="s">
        <v>3184</v>
      </c>
      <c r="G1136" s="4" t="str">
        <f aca="false">INDEX(PurchaseOrders!$B$2:$B$3001,MATCH(B1136,PurchaseOrders!$A$2:$A$3001,0))</f>
        <v>V010</v>
      </c>
    </row>
    <row r="1137" customFormat="false" ht="15" hidden="false" customHeight="true" outlineLevel="0" collapsed="false">
      <c r="A1137" s="4" t="s">
        <v>4324</v>
      </c>
      <c r="B1137" s="4" t="s">
        <v>1313</v>
      </c>
      <c r="C1137" s="4" t="n">
        <v>1314</v>
      </c>
      <c r="D1137" s="4" t="n">
        <v>80</v>
      </c>
      <c r="E1137" s="13" t="n">
        <v>45415</v>
      </c>
      <c r="F1137" s="4" t="s">
        <v>3188</v>
      </c>
      <c r="G1137" s="4" t="str">
        <f aca="false">INDEX(PurchaseOrders!$B$2:$B$3001,MATCH(B1137,PurchaseOrders!$A$2:$A$3001,0))</f>
        <v>V001</v>
      </c>
    </row>
    <row r="1138" customFormat="false" ht="15" hidden="false" customHeight="true" outlineLevel="0" collapsed="false">
      <c r="A1138" s="4" t="s">
        <v>4325</v>
      </c>
      <c r="B1138" s="4" t="s">
        <v>1314</v>
      </c>
      <c r="C1138" s="4" t="n">
        <v>271</v>
      </c>
      <c r="D1138" s="4" t="n">
        <v>8</v>
      </c>
      <c r="E1138" s="13" t="n">
        <v>45381</v>
      </c>
      <c r="F1138" s="4" t="s">
        <v>3188</v>
      </c>
      <c r="G1138" s="4" t="str">
        <f aca="false">INDEX(PurchaseOrders!$B$2:$B$3001,MATCH(B1138,PurchaseOrders!$A$2:$A$3001,0))</f>
        <v>V018</v>
      </c>
    </row>
    <row r="1139" customFormat="false" ht="15" hidden="false" customHeight="true" outlineLevel="0" collapsed="false">
      <c r="A1139" s="4" t="s">
        <v>4326</v>
      </c>
      <c r="B1139" s="4" t="s">
        <v>1315</v>
      </c>
      <c r="C1139" s="4" t="n">
        <v>1382</v>
      </c>
      <c r="D1139" s="4" t="n">
        <v>21</v>
      </c>
      <c r="E1139" s="13" t="n">
        <v>45177</v>
      </c>
      <c r="F1139" s="4" t="s">
        <v>3184</v>
      </c>
      <c r="G1139" s="4" t="str">
        <f aca="false">INDEX(PurchaseOrders!$B$2:$B$3001,MATCH(B1139,PurchaseOrders!$A$2:$A$3001,0))</f>
        <v>V010</v>
      </c>
    </row>
    <row r="1140" customFormat="false" ht="15" hidden="false" customHeight="true" outlineLevel="0" collapsed="false">
      <c r="A1140" s="4" t="s">
        <v>4327</v>
      </c>
      <c r="B1140" s="4" t="s">
        <v>1316</v>
      </c>
      <c r="C1140" s="4" t="n">
        <v>210</v>
      </c>
      <c r="D1140" s="4" t="n">
        <v>23</v>
      </c>
      <c r="E1140" s="13" t="n">
        <v>45097</v>
      </c>
      <c r="F1140" s="4" t="s">
        <v>3184</v>
      </c>
      <c r="G1140" s="4" t="str">
        <f aca="false">INDEX(PurchaseOrders!$B$2:$B$3001,MATCH(B1140,PurchaseOrders!$A$2:$A$3001,0))</f>
        <v>V043</v>
      </c>
    </row>
    <row r="1141" customFormat="false" ht="15" hidden="false" customHeight="true" outlineLevel="0" collapsed="false">
      <c r="A1141" s="4" t="s">
        <v>4328</v>
      </c>
      <c r="B1141" s="4" t="s">
        <v>1317</v>
      </c>
      <c r="C1141" s="4" t="n">
        <v>900</v>
      </c>
      <c r="D1141" s="4" t="n">
        <v>36</v>
      </c>
      <c r="E1141" s="13" t="n">
        <v>45229</v>
      </c>
      <c r="F1141" s="4" t="s">
        <v>3202</v>
      </c>
      <c r="G1141" s="4" t="str">
        <f aca="false">INDEX(PurchaseOrders!$B$2:$B$3001,MATCH(B1141,PurchaseOrders!$A$2:$A$3001,0))</f>
        <v>V035</v>
      </c>
    </row>
    <row r="1142" customFormat="false" ht="15" hidden="false" customHeight="true" outlineLevel="0" collapsed="false">
      <c r="A1142" s="4" t="s">
        <v>4329</v>
      </c>
      <c r="B1142" s="4" t="s">
        <v>1318</v>
      </c>
      <c r="C1142" s="4" t="n">
        <v>198</v>
      </c>
      <c r="D1142" s="4" t="n">
        <v>21</v>
      </c>
      <c r="E1142" s="13" t="n">
        <v>45589</v>
      </c>
      <c r="F1142" s="4" t="s">
        <v>3186</v>
      </c>
      <c r="G1142" s="4" t="str">
        <f aca="false">INDEX(PurchaseOrders!$B$2:$B$3001,MATCH(B1142,PurchaseOrders!$A$2:$A$3001,0))</f>
        <v>V036</v>
      </c>
    </row>
    <row r="1143" customFormat="false" ht="15" hidden="false" customHeight="true" outlineLevel="0" collapsed="false">
      <c r="A1143" s="4" t="s">
        <v>4330</v>
      </c>
      <c r="B1143" s="4" t="s">
        <v>1319</v>
      </c>
      <c r="C1143" s="4" t="n">
        <v>216</v>
      </c>
      <c r="D1143" s="4" t="n">
        <v>4</v>
      </c>
      <c r="E1143" s="13" t="n">
        <v>45424</v>
      </c>
      <c r="F1143" s="4" t="s">
        <v>3184</v>
      </c>
      <c r="G1143" s="4" t="str">
        <f aca="false">INDEX(PurchaseOrders!$B$2:$B$3001,MATCH(B1143,PurchaseOrders!$A$2:$A$3001,0))</f>
        <v>V046</v>
      </c>
    </row>
    <row r="1144" customFormat="false" ht="15" hidden="false" customHeight="true" outlineLevel="0" collapsed="false">
      <c r="A1144" s="4" t="s">
        <v>4331</v>
      </c>
      <c r="B1144" s="4" t="s">
        <v>1320</v>
      </c>
      <c r="C1144" s="4" t="n">
        <v>1126</v>
      </c>
      <c r="D1144" s="4" t="n">
        <v>54</v>
      </c>
      <c r="E1144" s="13" t="n">
        <v>45301</v>
      </c>
      <c r="F1144" s="4" t="s">
        <v>3188</v>
      </c>
      <c r="G1144" s="4" t="str">
        <f aca="false">INDEX(PurchaseOrders!$B$2:$B$3001,MATCH(B1144,PurchaseOrders!$A$2:$A$3001,0))</f>
        <v>V001</v>
      </c>
    </row>
    <row r="1145" customFormat="false" ht="15" hidden="false" customHeight="true" outlineLevel="0" collapsed="false">
      <c r="A1145" s="4" t="s">
        <v>4332</v>
      </c>
      <c r="B1145" s="4" t="s">
        <v>1321</v>
      </c>
      <c r="C1145" s="4" t="n">
        <v>4798</v>
      </c>
      <c r="D1145" s="4" t="n">
        <v>291</v>
      </c>
      <c r="E1145" s="13" t="n">
        <v>45023</v>
      </c>
      <c r="F1145" s="4" t="s">
        <v>3202</v>
      </c>
      <c r="G1145" s="4" t="str">
        <f aca="false">INDEX(PurchaseOrders!$B$2:$B$3001,MATCH(B1145,PurchaseOrders!$A$2:$A$3001,0))</f>
        <v>V058</v>
      </c>
    </row>
    <row r="1146" customFormat="false" ht="15" hidden="false" customHeight="true" outlineLevel="0" collapsed="false">
      <c r="A1146" s="4" t="s">
        <v>4333</v>
      </c>
      <c r="B1146" s="4" t="s">
        <v>1322</v>
      </c>
      <c r="C1146" s="4" t="n">
        <v>281</v>
      </c>
      <c r="D1146" s="4" t="n">
        <v>22</v>
      </c>
      <c r="E1146" s="13" t="n">
        <v>45387</v>
      </c>
      <c r="F1146" s="4" t="s">
        <v>3190</v>
      </c>
      <c r="G1146" s="4" t="str">
        <f aca="false">INDEX(PurchaseOrders!$B$2:$B$3001,MATCH(B1146,PurchaseOrders!$A$2:$A$3001,0))</f>
        <v>V012</v>
      </c>
    </row>
    <row r="1147" customFormat="false" ht="15" hidden="false" customHeight="true" outlineLevel="0" collapsed="false">
      <c r="A1147" s="4" t="s">
        <v>4334</v>
      </c>
      <c r="B1147" s="4" t="s">
        <v>1323</v>
      </c>
      <c r="C1147" s="4" t="n">
        <v>61</v>
      </c>
      <c r="D1147" s="4" t="n">
        <v>1</v>
      </c>
      <c r="E1147" s="13" t="n">
        <v>45516</v>
      </c>
      <c r="F1147" s="4" t="s">
        <v>3192</v>
      </c>
      <c r="G1147" s="4" t="str">
        <f aca="false">INDEX(PurchaseOrders!$B$2:$B$3001,MATCH(B1147,PurchaseOrders!$A$2:$A$3001,0))</f>
        <v>V047</v>
      </c>
    </row>
    <row r="1148" customFormat="false" ht="15" hidden="false" customHeight="true" outlineLevel="0" collapsed="false">
      <c r="A1148" s="4" t="s">
        <v>4335</v>
      </c>
      <c r="B1148" s="4" t="s">
        <v>1324</v>
      </c>
      <c r="C1148" s="4" t="n">
        <v>179</v>
      </c>
      <c r="D1148" s="4" t="n">
        <v>7</v>
      </c>
      <c r="E1148" s="13" t="n">
        <v>45609</v>
      </c>
      <c r="F1148" s="4" t="s">
        <v>3188</v>
      </c>
      <c r="G1148" s="4" t="str">
        <f aca="false">INDEX(PurchaseOrders!$B$2:$B$3001,MATCH(B1148,PurchaseOrders!$A$2:$A$3001,0))</f>
        <v>V037</v>
      </c>
    </row>
    <row r="1149" customFormat="false" ht="15" hidden="false" customHeight="true" outlineLevel="0" collapsed="false">
      <c r="A1149" s="4" t="s">
        <v>4336</v>
      </c>
      <c r="B1149" s="4" t="s">
        <v>1325</v>
      </c>
      <c r="C1149" s="4" t="n">
        <v>2887</v>
      </c>
      <c r="D1149" s="4" t="n">
        <v>168</v>
      </c>
      <c r="E1149" s="13" t="n">
        <v>45002</v>
      </c>
      <c r="F1149" s="4" t="s">
        <v>3186</v>
      </c>
      <c r="G1149" s="4" t="str">
        <f aca="false">INDEX(PurchaseOrders!$B$2:$B$3001,MATCH(B1149,PurchaseOrders!$A$2:$A$3001,0))</f>
        <v>V003</v>
      </c>
    </row>
    <row r="1150" customFormat="false" ht="15" hidden="false" customHeight="true" outlineLevel="0" collapsed="false">
      <c r="A1150" s="4" t="s">
        <v>4337</v>
      </c>
      <c r="B1150" s="4" t="s">
        <v>1326</v>
      </c>
      <c r="C1150" s="4" t="n">
        <v>429</v>
      </c>
      <c r="D1150" s="4" t="n">
        <v>0</v>
      </c>
      <c r="E1150" s="13" t="n">
        <v>45077</v>
      </c>
      <c r="F1150" s="4"/>
      <c r="G1150" s="4" t="str">
        <f aca="false">INDEX(PurchaseOrders!$B$2:$B$3001,MATCH(B1150,PurchaseOrders!$A$2:$A$3001,0))</f>
        <v>V008</v>
      </c>
    </row>
    <row r="1151" customFormat="false" ht="15" hidden="false" customHeight="true" outlineLevel="0" collapsed="false">
      <c r="A1151" s="4" t="s">
        <v>4338</v>
      </c>
      <c r="B1151" s="4" t="s">
        <v>1327</v>
      </c>
      <c r="C1151" s="4" t="n">
        <v>80</v>
      </c>
      <c r="D1151" s="4" t="n">
        <v>9</v>
      </c>
      <c r="E1151" s="13" t="n">
        <v>45589</v>
      </c>
      <c r="F1151" s="4" t="s">
        <v>3188</v>
      </c>
      <c r="G1151" s="4" t="str">
        <f aca="false">INDEX(PurchaseOrders!$B$2:$B$3001,MATCH(B1151,PurchaseOrders!$A$2:$A$3001,0))</f>
        <v>V049</v>
      </c>
    </row>
    <row r="1152" customFormat="false" ht="15" hidden="false" customHeight="true" outlineLevel="0" collapsed="false">
      <c r="A1152" s="4" t="s">
        <v>4339</v>
      </c>
      <c r="B1152" s="4" t="s">
        <v>1328</v>
      </c>
      <c r="C1152" s="4" t="n">
        <v>299</v>
      </c>
      <c r="D1152" s="4" t="n">
        <v>12</v>
      </c>
      <c r="E1152" s="13" t="n">
        <v>45067</v>
      </c>
      <c r="F1152" s="4" t="s">
        <v>3186</v>
      </c>
      <c r="G1152" s="4" t="str">
        <f aca="false">INDEX(PurchaseOrders!$B$2:$B$3001,MATCH(B1152,PurchaseOrders!$A$2:$A$3001,0))</f>
        <v>V018</v>
      </c>
    </row>
    <row r="1153" customFormat="false" ht="15" hidden="false" customHeight="true" outlineLevel="0" collapsed="false">
      <c r="A1153" s="4" t="s">
        <v>4340</v>
      </c>
      <c r="B1153" s="4" t="s">
        <v>1329</v>
      </c>
      <c r="C1153" s="4" t="n">
        <v>6</v>
      </c>
      <c r="D1153" s="4" t="n">
        <v>0</v>
      </c>
      <c r="E1153" s="13" t="n">
        <v>45635</v>
      </c>
      <c r="F1153" s="4"/>
      <c r="G1153" s="4" t="str">
        <f aca="false">INDEX(PurchaseOrders!$B$2:$B$3001,MATCH(B1153,PurchaseOrders!$A$2:$A$3001,0))</f>
        <v>V023</v>
      </c>
    </row>
    <row r="1154" customFormat="false" ht="15" hidden="false" customHeight="true" outlineLevel="0" collapsed="false">
      <c r="A1154" s="4" t="s">
        <v>4341</v>
      </c>
      <c r="B1154" s="4" t="s">
        <v>1330</v>
      </c>
      <c r="C1154" s="4" t="n">
        <v>3142</v>
      </c>
      <c r="D1154" s="4" t="n">
        <v>307</v>
      </c>
      <c r="E1154" s="13" t="n">
        <v>44986</v>
      </c>
      <c r="F1154" s="4" t="s">
        <v>3184</v>
      </c>
      <c r="G1154" s="4" t="str">
        <f aca="false">INDEX(PurchaseOrders!$B$2:$B$3001,MATCH(B1154,PurchaseOrders!$A$2:$A$3001,0))</f>
        <v>V032</v>
      </c>
    </row>
    <row r="1155" customFormat="false" ht="15" hidden="false" customHeight="true" outlineLevel="0" collapsed="false">
      <c r="A1155" s="4" t="s">
        <v>4342</v>
      </c>
      <c r="B1155" s="4" t="s">
        <v>1331</v>
      </c>
      <c r="C1155" s="4" t="n">
        <v>3285</v>
      </c>
      <c r="D1155" s="4" t="n">
        <v>287</v>
      </c>
      <c r="E1155" s="13" t="n">
        <v>45351</v>
      </c>
      <c r="F1155" s="4" t="s">
        <v>3186</v>
      </c>
      <c r="G1155" s="4" t="str">
        <f aca="false">INDEX(PurchaseOrders!$B$2:$B$3001,MATCH(B1155,PurchaseOrders!$A$2:$A$3001,0))</f>
        <v>V014</v>
      </c>
    </row>
    <row r="1156" customFormat="false" ht="15" hidden="false" customHeight="true" outlineLevel="0" collapsed="false">
      <c r="A1156" s="4" t="s">
        <v>4343</v>
      </c>
      <c r="B1156" s="4" t="s">
        <v>1332</v>
      </c>
      <c r="C1156" s="4" t="n">
        <v>536</v>
      </c>
      <c r="D1156" s="4" t="n">
        <v>82</v>
      </c>
      <c r="E1156" s="13" t="n">
        <v>45404</v>
      </c>
      <c r="F1156" s="4" t="s">
        <v>3188</v>
      </c>
      <c r="G1156" s="4" t="str">
        <f aca="false">INDEX(PurchaseOrders!$B$2:$B$3001,MATCH(B1156,PurchaseOrders!$A$2:$A$3001,0))</f>
        <v>V026</v>
      </c>
    </row>
    <row r="1157" customFormat="false" ht="15" hidden="false" customHeight="true" outlineLevel="0" collapsed="false">
      <c r="A1157" s="4" t="s">
        <v>4344</v>
      </c>
      <c r="B1157" s="4" t="s">
        <v>1333</v>
      </c>
      <c r="C1157" s="4" t="n">
        <v>734</v>
      </c>
      <c r="D1157" s="4" t="n">
        <v>20</v>
      </c>
      <c r="E1157" s="13" t="n">
        <v>44994</v>
      </c>
      <c r="F1157" s="4" t="s">
        <v>3186</v>
      </c>
      <c r="G1157" s="4" t="str">
        <f aca="false">INDEX(PurchaseOrders!$B$2:$B$3001,MATCH(B1157,PurchaseOrders!$A$2:$A$3001,0))</f>
        <v>V011</v>
      </c>
    </row>
    <row r="1158" customFormat="false" ht="15" hidden="false" customHeight="true" outlineLevel="0" collapsed="false">
      <c r="A1158" s="4" t="s">
        <v>4345</v>
      </c>
      <c r="B1158" s="4" t="s">
        <v>1334</v>
      </c>
      <c r="C1158" s="4" t="n">
        <v>3299</v>
      </c>
      <c r="D1158" s="4" t="n">
        <v>278</v>
      </c>
      <c r="E1158" s="13" t="n">
        <v>45475</v>
      </c>
      <c r="F1158" s="4" t="s">
        <v>3184</v>
      </c>
      <c r="G1158" s="4" t="str">
        <f aca="false">INDEX(PurchaseOrders!$B$2:$B$3001,MATCH(B1158,PurchaseOrders!$A$2:$A$3001,0))</f>
        <v>V056</v>
      </c>
    </row>
    <row r="1159" customFormat="false" ht="15" hidden="false" customHeight="true" outlineLevel="0" collapsed="false">
      <c r="A1159" s="4" t="s">
        <v>4346</v>
      </c>
      <c r="B1159" s="4" t="s">
        <v>1335</v>
      </c>
      <c r="C1159" s="4" t="n">
        <v>19</v>
      </c>
      <c r="D1159" s="4" t="n">
        <v>2</v>
      </c>
      <c r="E1159" s="13" t="n">
        <v>45617</v>
      </c>
      <c r="F1159" s="4" t="s">
        <v>3192</v>
      </c>
      <c r="G1159" s="4" t="str">
        <f aca="false">INDEX(PurchaseOrders!$B$2:$B$3001,MATCH(B1159,PurchaseOrders!$A$2:$A$3001,0))</f>
        <v>V054</v>
      </c>
    </row>
    <row r="1160" customFormat="false" ht="15" hidden="false" customHeight="true" outlineLevel="0" collapsed="false">
      <c r="A1160" s="4" t="s">
        <v>4347</v>
      </c>
      <c r="B1160" s="4" t="s">
        <v>1336</v>
      </c>
      <c r="C1160" s="4" t="n">
        <v>329</v>
      </c>
      <c r="D1160" s="4" t="n">
        <v>1</v>
      </c>
      <c r="E1160" s="13" t="n">
        <v>45118</v>
      </c>
      <c r="F1160" s="4" t="s">
        <v>3192</v>
      </c>
      <c r="G1160" s="4" t="str">
        <f aca="false">INDEX(PurchaseOrders!$B$2:$B$3001,MATCH(B1160,PurchaseOrders!$A$2:$A$3001,0))</f>
        <v>V020</v>
      </c>
    </row>
    <row r="1161" customFormat="false" ht="15" hidden="false" customHeight="true" outlineLevel="0" collapsed="false">
      <c r="A1161" s="4" t="s">
        <v>4348</v>
      </c>
      <c r="B1161" s="4" t="s">
        <v>1337</v>
      </c>
      <c r="C1161" s="4" t="n">
        <v>2990</v>
      </c>
      <c r="D1161" s="4" t="n">
        <v>374</v>
      </c>
      <c r="E1161" s="13" t="n">
        <v>45096</v>
      </c>
      <c r="F1161" s="4" t="s">
        <v>3190</v>
      </c>
      <c r="G1161" s="4" t="str">
        <f aca="false">INDEX(PurchaseOrders!$B$2:$B$3001,MATCH(B1161,PurchaseOrders!$A$2:$A$3001,0))</f>
        <v>V057</v>
      </c>
    </row>
    <row r="1162" customFormat="false" ht="15" hidden="false" customHeight="true" outlineLevel="0" collapsed="false">
      <c r="A1162" s="4" t="s">
        <v>4349</v>
      </c>
      <c r="B1162" s="4" t="s">
        <v>1338</v>
      </c>
      <c r="C1162" s="4" t="n">
        <v>314</v>
      </c>
      <c r="D1162" s="4" t="n">
        <v>33</v>
      </c>
      <c r="E1162" s="13" t="n">
        <v>45148</v>
      </c>
      <c r="F1162" s="4" t="s">
        <v>3192</v>
      </c>
      <c r="G1162" s="4" t="str">
        <f aca="false">INDEX(PurchaseOrders!$B$2:$B$3001,MATCH(B1162,PurchaseOrders!$A$2:$A$3001,0))</f>
        <v>V055</v>
      </c>
    </row>
    <row r="1163" customFormat="false" ht="15" hidden="false" customHeight="true" outlineLevel="0" collapsed="false">
      <c r="A1163" s="4" t="s">
        <v>4350</v>
      </c>
      <c r="B1163" s="4" t="s">
        <v>1339</v>
      </c>
      <c r="C1163" s="4" t="n">
        <v>88</v>
      </c>
      <c r="D1163" s="4" t="n">
        <v>2</v>
      </c>
      <c r="E1163" s="13" t="n">
        <v>45033</v>
      </c>
      <c r="F1163" s="4" t="s">
        <v>3190</v>
      </c>
      <c r="G1163" s="4" t="str">
        <f aca="false">INDEX(PurchaseOrders!$B$2:$B$3001,MATCH(B1163,PurchaseOrders!$A$2:$A$3001,0))</f>
        <v>V052</v>
      </c>
    </row>
    <row r="1164" customFormat="false" ht="15" hidden="false" customHeight="true" outlineLevel="0" collapsed="false">
      <c r="A1164" s="4" t="s">
        <v>4351</v>
      </c>
      <c r="B1164" s="4" t="s">
        <v>1340</v>
      </c>
      <c r="C1164" s="4" t="n">
        <v>1658</v>
      </c>
      <c r="D1164" s="4" t="n">
        <v>60</v>
      </c>
      <c r="E1164" s="13" t="n">
        <v>45341</v>
      </c>
      <c r="F1164" s="4" t="s">
        <v>3188</v>
      </c>
      <c r="G1164" s="4" t="str">
        <f aca="false">INDEX(PurchaseOrders!$B$2:$B$3001,MATCH(B1164,PurchaseOrders!$A$2:$A$3001,0))</f>
        <v>V048</v>
      </c>
    </row>
    <row r="1165" customFormat="false" ht="15" hidden="false" customHeight="true" outlineLevel="0" collapsed="false">
      <c r="A1165" s="4" t="s">
        <v>4352</v>
      </c>
      <c r="B1165" s="4" t="s">
        <v>1341</v>
      </c>
      <c r="C1165" s="4" t="n">
        <v>2306</v>
      </c>
      <c r="D1165" s="4" t="n">
        <v>79</v>
      </c>
      <c r="E1165" s="13" t="n">
        <v>45102</v>
      </c>
      <c r="F1165" s="4" t="s">
        <v>3190</v>
      </c>
      <c r="G1165" s="4" t="str">
        <f aca="false">INDEX(PurchaseOrders!$B$2:$B$3001,MATCH(B1165,PurchaseOrders!$A$2:$A$3001,0))</f>
        <v>V003</v>
      </c>
    </row>
    <row r="1166" customFormat="false" ht="15" hidden="false" customHeight="true" outlineLevel="0" collapsed="false">
      <c r="A1166" s="4" t="s">
        <v>4353</v>
      </c>
      <c r="B1166" s="4" t="s">
        <v>1342</v>
      </c>
      <c r="C1166" s="4" t="n">
        <v>3878</v>
      </c>
      <c r="D1166" s="4" t="n">
        <v>345</v>
      </c>
      <c r="E1166" s="13" t="n">
        <v>45373</v>
      </c>
      <c r="F1166" s="4" t="s">
        <v>3192</v>
      </c>
      <c r="G1166" s="4" t="str">
        <f aca="false">INDEX(PurchaseOrders!$B$2:$B$3001,MATCH(B1166,PurchaseOrders!$A$2:$A$3001,0))</f>
        <v>V028</v>
      </c>
    </row>
    <row r="1167" customFormat="false" ht="15" hidden="false" customHeight="true" outlineLevel="0" collapsed="false">
      <c r="A1167" s="4" t="s">
        <v>4354</v>
      </c>
      <c r="B1167" s="4" t="s">
        <v>1343</v>
      </c>
      <c r="C1167" s="4" t="n">
        <v>1812</v>
      </c>
      <c r="D1167" s="4" t="n">
        <v>121</v>
      </c>
      <c r="E1167" s="13" t="n">
        <v>45124</v>
      </c>
      <c r="F1167" s="4" t="s">
        <v>3188</v>
      </c>
      <c r="G1167" s="4" t="str">
        <f aca="false">INDEX(PurchaseOrders!$B$2:$B$3001,MATCH(B1167,PurchaseOrders!$A$2:$A$3001,0))</f>
        <v>V001</v>
      </c>
    </row>
    <row r="1168" customFormat="false" ht="15" hidden="false" customHeight="true" outlineLevel="0" collapsed="false">
      <c r="A1168" s="4" t="s">
        <v>4355</v>
      </c>
      <c r="B1168" s="4" t="s">
        <v>1344</v>
      </c>
      <c r="C1168" s="4" t="n">
        <v>13</v>
      </c>
      <c r="D1168" s="4" t="n">
        <v>0</v>
      </c>
      <c r="E1168" s="13" t="n">
        <v>45540</v>
      </c>
      <c r="F1168" s="4"/>
      <c r="G1168" s="4" t="str">
        <f aca="false">INDEX(PurchaseOrders!$B$2:$B$3001,MATCH(B1168,PurchaseOrders!$A$2:$A$3001,0))</f>
        <v>V023</v>
      </c>
    </row>
    <row r="1169" customFormat="false" ht="15" hidden="false" customHeight="true" outlineLevel="0" collapsed="false">
      <c r="A1169" s="4" t="s">
        <v>4356</v>
      </c>
      <c r="B1169" s="4" t="s">
        <v>1345</v>
      </c>
      <c r="C1169" s="4" t="n">
        <v>189</v>
      </c>
      <c r="D1169" s="4" t="n">
        <v>23</v>
      </c>
      <c r="E1169" s="13" t="n">
        <v>44967</v>
      </c>
      <c r="F1169" s="4" t="s">
        <v>3190</v>
      </c>
      <c r="G1169" s="4" t="str">
        <f aca="false">INDEX(PurchaseOrders!$B$2:$B$3001,MATCH(B1169,PurchaseOrders!$A$2:$A$3001,0))</f>
        <v>V049</v>
      </c>
    </row>
    <row r="1170" customFormat="false" ht="15" hidden="false" customHeight="true" outlineLevel="0" collapsed="false">
      <c r="A1170" s="4" t="s">
        <v>4357</v>
      </c>
      <c r="B1170" s="4" t="s">
        <v>1346</v>
      </c>
      <c r="C1170" s="4" t="n">
        <v>1172</v>
      </c>
      <c r="D1170" s="4" t="n">
        <v>40</v>
      </c>
      <c r="E1170" s="13" t="n">
        <v>45406</v>
      </c>
      <c r="F1170" s="4" t="s">
        <v>3184</v>
      </c>
      <c r="G1170" s="4" t="str">
        <f aca="false">INDEX(PurchaseOrders!$B$2:$B$3001,MATCH(B1170,PurchaseOrders!$A$2:$A$3001,0))</f>
        <v>V048</v>
      </c>
    </row>
    <row r="1171" customFormat="false" ht="15" hidden="false" customHeight="true" outlineLevel="0" collapsed="false">
      <c r="A1171" s="4" t="s">
        <v>4358</v>
      </c>
      <c r="B1171" s="4" t="s">
        <v>1347</v>
      </c>
      <c r="C1171" s="4" t="n">
        <v>1389</v>
      </c>
      <c r="D1171" s="4" t="n">
        <v>87</v>
      </c>
      <c r="E1171" s="13" t="n">
        <v>45228</v>
      </c>
      <c r="F1171" s="4" t="s">
        <v>3184</v>
      </c>
      <c r="G1171" s="4" t="str">
        <f aca="false">INDEX(PurchaseOrders!$B$2:$B$3001,MATCH(B1171,PurchaseOrders!$A$2:$A$3001,0))</f>
        <v>V048</v>
      </c>
    </row>
    <row r="1172" customFormat="false" ht="15" hidden="false" customHeight="true" outlineLevel="0" collapsed="false">
      <c r="A1172" s="4" t="s">
        <v>4359</v>
      </c>
      <c r="B1172" s="4" t="s">
        <v>1348</v>
      </c>
      <c r="C1172" s="4" t="n">
        <v>536</v>
      </c>
      <c r="D1172" s="4" t="n">
        <v>119</v>
      </c>
      <c r="E1172" s="13" t="n">
        <v>45064</v>
      </c>
      <c r="F1172" s="4" t="s">
        <v>3184</v>
      </c>
      <c r="G1172" s="4" t="str">
        <f aca="false">INDEX(PurchaseOrders!$B$2:$B$3001,MATCH(B1172,PurchaseOrders!$A$2:$A$3001,0))</f>
        <v>V039</v>
      </c>
    </row>
    <row r="1173" customFormat="false" ht="15" hidden="false" customHeight="true" outlineLevel="0" collapsed="false">
      <c r="A1173" s="4" t="s">
        <v>4360</v>
      </c>
      <c r="B1173" s="4" t="s">
        <v>1349</v>
      </c>
      <c r="C1173" s="4" t="n">
        <v>156</v>
      </c>
      <c r="D1173" s="4" t="n">
        <v>13</v>
      </c>
      <c r="E1173" s="13" t="n">
        <v>45526</v>
      </c>
      <c r="F1173" s="4" t="s">
        <v>3186</v>
      </c>
      <c r="G1173" s="4" t="str">
        <f aca="false">INDEX(PurchaseOrders!$B$2:$B$3001,MATCH(B1173,PurchaseOrders!$A$2:$A$3001,0))</f>
        <v>V009</v>
      </c>
    </row>
    <row r="1174" customFormat="false" ht="15" hidden="false" customHeight="true" outlineLevel="0" collapsed="false">
      <c r="A1174" s="4" t="s">
        <v>4361</v>
      </c>
      <c r="B1174" s="4" t="s">
        <v>1350</v>
      </c>
      <c r="C1174" s="4" t="n">
        <v>74</v>
      </c>
      <c r="D1174" s="4" t="n">
        <v>0</v>
      </c>
      <c r="E1174" s="13" t="n">
        <v>45356</v>
      </c>
      <c r="F1174" s="4"/>
      <c r="G1174" s="4" t="str">
        <f aca="false">INDEX(PurchaseOrders!$B$2:$B$3001,MATCH(B1174,PurchaseOrders!$A$2:$A$3001,0))</f>
        <v>V040</v>
      </c>
    </row>
    <row r="1175" customFormat="false" ht="15" hidden="false" customHeight="true" outlineLevel="0" collapsed="false">
      <c r="A1175" s="4" t="s">
        <v>4362</v>
      </c>
      <c r="B1175" s="4" t="s">
        <v>1351</v>
      </c>
      <c r="C1175" s="4" t="n">
        <v>99</v>
      </c>
      <c r="D1175" s="4" t="n">
        <v>12</v>
      </c>
      <c r="E1175" s="13" t="n">
        <v>45132</v>
      </c>
      <c r="F1175" s="4" t="s">
        <v>3188</v>
      </c>
      <c r="G1175" s="4" t="str">
        <f aca="false">INDEX(PurchaseOrders!$B$2:$B$3001,MATCH(B1175,PurchaseOrders!$A$2:$A$3001,0))</f>
        <v>V030</v>
      </c>
    </row>
    <row r="1176" customFormat="false" ht="15" hidden="false" customHeight="true" outlineLevel="0" collapsed="false">
      <c r="A1176" s="4" t="s">
        <v>4363</v>
      </c>
      <c r="B1176" s="4" t="s">
        <v>1352</v>
      </c>
      <c r="C1176" s="4" t="n">
        <v>967</v>
      </c>
      <c r="D1176" s="4" t="n">
        <v>40</v>
      </c>
      <c r="E1176" s="13" t="n">
        <v>45167</v>
      </c>
      <c r="F1176" s="4" t="s">
        <v>3202</v>
      </c>
      <c r="G1176" s="4" t="str">
        <f aca="false">INDEX(PurchaseOrders!$B$2:$B$3001,MATCH(B1176,PurchaseOrders!$A$2:$A$3001,0))</f>
        <v>V003</v>
      </c>
    </row>
    <row r="1177" customFormat="false" ht="15" hidden="false" customHeight="true" outlineLevel="0" collapsed="false">
      <c r="A1177" s="4" t="s">
        <v>4364</v>
      </c>
      <c r="B1177" s="4" t="s">
        <v>1353</v>
      </c>
      <c r="C1177" s="4" t="n">
        <v>68</v>
      </c>
      <c r="D1177" s="4" t="n">
        <v>7</v>
      </c>
      <c r="E1177" s="13" t="n">
        <v>45278</v>
      </c>
      <c r="F1177" s="4" t="s">
        <v>3186</v>
      </c>
      <c r="G1177" s="4" t="str">
        <f aca="false">INDEX(PurchaseOrders!$B$2:$B$3001,MATCH(B1177,PurchaseOrders!$A$2:$A$3001,0))</f>
        <v>V036</v>
      </c>
    </row>
    <row r="1178" customFormat="false" ht="15" hidden="false" customHeight="true" outlineLevel="0" collapsed="false">
      <c r="A1178" s="4" t="s">
        <v>4365</v>
      </c>
      <c r="B1178" s="4" t="s">
        <v>1354</v>
      </c>
      <c r="C1178" s="4" t="n">
        <v>4</v>
      </c>
      <c r="D1178" s="4" t="n">
        <v>0</v>
      </c>
      <c r="E1178" s="13" t="n">
        <v>45309</v>
      </c>
      <c r="F1178" s="4"/>
      <c r="G1178" s="4" t="str">
        <f aca="false">INDEX(PurchaseOrders!$B$2:$B$3001,MATCH(B1178,PurchaseOrders!$A$2:$A$3001,0))</f>
        <v>V016</v>
      </c>
    </row>
    <row r="1179" customFormat="false" ht="15" hidden="false" customHeight="true" outlineLevel="0" collapsed="false">
      <c r="A1179" s="4" t="s">
        <v>4366</v>
      </c>
      <c r="B1179" s="4" t="s">
        <v>1355</v>
      </c>
      <c r="C1179" s="4" t="n">
        <v>1743</v>
      </c>
      <c r="D1179" s="4" t="n">
        <v>171</v>
      </c>
      <c r="E1179" s="13" t="n">
        <v>45386</v>
      </c>
      <c r="F1179" s="4" t="s">
        <v>3192</v>
      </c>
      <c r="G1179" s="4" t="str">
        <f aca="false">INDEX(PurchaseOrders!$B$2:$B$3001,MATCH(B1179,PurchaseOrders!$A$2:$A$3001,0))</f>
        <v>V032</v>
      </c>
    </row>
    <row r="1180" customFormat="false" ht="15" hidden="false" customHeight="true" outlineLevel="0" collapsed="false">
      <c r="A1180" s="4" t="s">
        <v>4367</v>
      </c>
      <c r="B1180" s="4" t="s">
        <v>1356</v>
      </c>
      <c r="C1180" s="4" t="n">
        <v>3645</v>
      </c>
      <c r="D1180" s="4" t="n">
        <v>348</v>
      </c>
      <c r="E1180" s="13" t="n">
        <v>45428</v>
      </c>
      <c r="F1180" s="4" t="s">
        <v>3190</v>
      </c>
      <c r="G1180" s="4" t="str">
        <f aca="false">INDEX(PurchaseOrders!$B$2:$B$3001,MATCH(B1180,PurchaseOrders!$A$2:$A$3001,0))</f>
        <v>V028</v>
      </c>
    </row>
    <row r="1181" customFormat="false" ht="15" hidden="false" customHeight="true" outlineLevel="0" collapsed="false">
      <c r="A1181" s="4" t="s">
        <v>4368</v>
      </c>
      <c r="B1181" s="4" t="s">
        <v>1357</v>
      </c>
      <c r="C1181" s="4" t="n">
        <v>1641</v>
      </c>
      <c r="D1181" s="4" t="n">
        <v>151</v>
      </c>
      <c r="E1181" s="13" t="n">
        <v>45105</v>
      </c>
      <c r="F1181" s="4" t="s">
        <v>3190</v>
      </c>
      <c r="G1181" s="4" t="str">
        <f aca="false">INDEX(PurchaseOrders!$B$2:$B$3001,MATCH(B1181,PurchaseOrders!$A$2:$A$3001,0))</f>
        <v>V057</v>
      </c>
    </row>
    <row r="1182" customFormat="false" ht="15" hidden="false" customHeight="true" outlineLevel="0" collapsed="false">
      <c r="A1182" s="4" t="s">
        <v>4369</v>
      </c>
      <c r="B1182" s="4" t="s">
        <v>1358</v>
      </c>
      <c r="C1182" s="4" t="n">
        <v>902</v>
      </c>
      <c r="D1182" s="4" t="n">
        <v>29</v>
      </c>
      <c r="E1182" s="13" t="n">
        <v>45650</v>
      </c>
      <c r="F1182" s="4" t="s">
        <v>3202</v>
      </c>
      <c r="G1182" s="4" t="str">
        <f aca="false">INDEX(PurchaseOrders!$B$2:$B$3001,MATCH(B1182,PurchaseOrders!$A$2:$A$3001,0))</f>
        <v>V021</v>
      </c>
    </row>
    <row r="1183" customFormat="false" ht="15" hidden="false" customHeight="true" outlineLevel="0" collapsed="false">
      <c r="A1183" s="4" t="s">
        <v>4370</v>
      </c>
      <c r="B1183" s="4" t="s">
        <v>1359</v>
      </c>
      <c r="C1183" s="4" t="n">
        <v>1978</v>
      </c>
      <c r="D1183" s="4" t="n">
        <v>171</v>
      </c>
      <c r="E1183" s="13" t="n">
        <v>45453</v>
      </c>
      <c r="F1183" s="4" t="s">
        <v>3190</v>
      </c>
      <c r="G1183" s="4" t="str">
        <f aca="false">INDEX(PurchaseOrders!$B$2:$B$3001,MATCH(B1183,PurchaseOrders!$A$2:$A$3001,0))</f>
        <v>V032</v>
      </c>
    </row>
    <row r="1184" customFormat="false" ht="15" hidden="false" customHeight="true" outlineLevel="0" collapsed="false">
      <c r="A1184" s="4" t="s">
        <v>4371</v>
      </c>
      <c r="B1184" s="4" t="s">
        <v>1360</v>
      </c>
      <c r="C1184" s="4" t="n">
        <v>1112</v>
      </c>
      <c r="D1184" s="4" t="n">
        <v>20</v>
      </c>
      <c r="E1184" s="13" t="n">
        <v>45222</v>
      </c>
      <c r="F1184" s="4" t="s">
        <v>3202</v>
      </c>
      <c r="G1184" s="4" t="str">
        <f aca="false">INDEX(PurchaseOrders!$B$2:$B$3001,MATCH(B1184,PurchaseOrders!$A$2:$A$3001,0))</f>
        <v>V045</v>
      </c>
    </row>
    <row r="1185" customFormat="false" ht="15" hidden="false" customHeight="true" outlineLevel="0" collapsed="false">
      <c r="A1185" s="4" t="s">
        <v>4372</v>
      </c>
      <c r="B1185" s="4" t="s">
        <v>1361</v>
      </c>
      <c r="C1185" s="4" t="n">
        <v>965</v>
      </c>
      <c r="D1185" s="4" t="n">
        <v>34</v>
      </c>
      <c r="E1185" s="13" t="n">
        <v>45500</v>
      </c>
      <c r="F1185" s="4" t="s">
        <v>3184</v>
      </c>
      <c r="G1185" s="4" t="str">
        <f aca="false">INDEX(PurchaseOrders!$B$2:$B$3001,MATCH(B1185,PurchaseOrders!$A$2:$A$3001,0))</f>
        <v>V022</v>
      </c>
    </row>
    <row r="1186" customFormat="false" ht="15" hidden="false" customHeight="true" outlineLevel="0" collapsed="false">
      <c r="A1186" s="4" t="s">
        <v>4373</v>
      </c>
      <c r="B1186" s="4" t="s">
        <v>1362</v>
      </c>
      <c r="C1186" s="4" t="n">
        <v>1861</v>
      </c>
      <c r="D1186" s="4" t="n">
        <v>75</v>
      </c>
      <c r="E1186" s="13" t="n">
        <v>45067</v>
      </c>
      <c r="F1186" s="4" t="s">
        <v>3188</v>
      </c>
      <c r="G1186" s="4" t="str">
        <f aca="false">INDEX(PurchaseOrders!$B$2:$B$3001,MATCH(B1186,PurchaseOrders!$A$2:$A$3001,0))</f>
        <v>V034</v>
      </c>
    </row>
    <row r="1187" customFormat="false" ht="15" hidden="false" customHeight="true" outlineLevel="0" collapsed="false">
      <c r="A1187" s="4" t="s">
        <v>4374</v>
      </c>
      <c r="B1187" s="4" t="s">
        <v>1363</v>
      </c>
      <c r="C1187" s="4" t="n">
        <v>130</v>
      </c>
      <c r="D1187" s="4" t="n">
        <v>0</v>
      </c>
      <c r="E1187" s="13" t="n">
        <v>45387</v>
      </c>
      <c r="F1187" s="4"/>
      <c r="G1187" s="4" t="str">
        <f aca="false">INDEX(PurchaseOrders!$B$2:$B$3001,MATCH(B1187,PurchaseOrders!$A$2:$A$3001,0))</f>
        <v>V060</v>
      </c>
    </row>
    <row r="1188" customFormat="false" ht="15" hidden="false" customHeight="true" outlineLevel="0" collapsed="false">
      <c r="A1188" s="4" t="s">
        <v>4375</v>
      </c>
      <c r="B1188" s="4" t="s">
        <v>1364</v>
      </c>
      <c r="C1188" s="4" t="n">
        <v>14</v>
      </c>
      <c r="D1188" s="4" t="n">
        <v>1</v>
      </c>
      <c r="E1188" s="13" t="n">
        <v>45060</v>
      </c>
      <c r="F1188" s="4" t="s">
        <v>3184</v>
      </c>
      <c r="G1188" s="4" t="str">
        <f aca="false">INDEX(PurchaseOrders!$B$2:$B$3001,MATCH(B1188,PurchaseOrders!$A$2:$A$3001,0))</f>
        <v>V054</v>
      </c>
    </row>
    <row r="1189" customFormat="false" ht="15" hidden="false" customHeight="true" outlineLevel="0" collapsed="false">
      <c r="A1189" s="4" t="s">
        <v>4376</v>
      </c>
      <c r="B1189" s="4" t="s">
        <v>1365</v>
      </c>
      <c r="C1189" s="4" t="n">
        <v>850</v>
      </c>
      <c r="D1189" s="4" t="n">
        <v>18</v>
      </c>
      <c r="E1189" s="13" t="n">
        <v>45300</v>
      </c>
      <c r="F1189" s="4" t="s">
        <v>3184</v>
      </c>
      <c r="G1189" s="4" t="str">
        <f aca="false">INDEX(PurchaseOrders!$B$2:$B$3001,MATCH(B1189,PurchaseOrders!$A$2:$A$3001,0))</f>
        <v>V022</v>
      </c>
    </row>
    <row r="1190" customFormat="false" ht="15" hidden="false" customHeight="true" outlineLevel="0" collapsed="false">
      <c r="A1190" s="4" t="s">
        <v>4377</v>
      </c>
      <c r="B1190" s="4" t="s">
        <v>1366</v>
      </c>
      <c r="C1190" s="4" t="n">
        <v>1295</v>
      </c>
      <c r="D1190" s="4" t="n">
        <v>225</v>
      </c>
      <c r="E1190" s="13" t="n">
        <v>45378</v>
      </c>
      <c r="F1190" s="4" t="s">
        <v>3186</v>
      </c>
      <c r="G1190" s="4" t="str">
        <f aca="false">INDEX(PurchaseOrders!$B$2:$B$3001,MATCH(B1190,PurchaseOrders!$A$2:$A$3001,0))</f>
        <v>V025</v>
      </c>
    </row>
    <row r="1191" customFormat="false" ht="15" hidden="false" customHeight="true" outlineLevel="0" collapsed="false">
      <c r="A1191" s="4" t="s">
        <v>4378</v>
      </c>
      <c r="B1191" s="4" t="s">
        <v>1367</v>
      </c>
      <c r="C1191" s="4" t="n">
        <v>1873</v>
      </c>
      <c r="D1191" s="4" t="n">
        <v>55</v>
      </c>
      <c r="E1191" s="13" t="n">
        <v>45155</v>
      </c>
      <c r="F1191" s="4" t="s">
        <v>3186</v>
      </c>
      <c r="G1191" s="4" t="str">
        <f aca="false">INDEX(PurchaseOrders!$B$2:$B$3001,MATCH(B1191,PurchaseOrders!$A$2:$A$3001,0))</f>
        <v>V045</v>
      </c>
    </row>
    <row r="1192" customFormat="false" ht="15" hidden="false" customHeight="true" outlineLevel="0" collapsed="false">
      <c r="A1192" s="4" t="s">
        <v>4379</v>
      </c>
      <c r="B1192" s="4" t="s">
        <v>1368</v>
      </c>
      <c r="C1192" s="4" t="n">
        <v>443</v>
      </c>
      <c r="D1192" s="4" t="n">
        <v>27</v>
      </c>
      <c r="E1192" s="13" t="n">
        <v>45096</v>
      </c>
      <c r="F1192" s="4" t="s">
        <v>3192</v>
      </c>
      <c r="G1192" s="4" t="str">
        <f aca="false">INDEX(PurchaseOrders!$B$2:$B$3001,MATCH(B1192,PurchaseOrders!$A$2:$A$3001,0))</f>
        <v>V018</v>
      </c>
    </row>
    <row r="1193" customFormat="false" ht="15" hidden="false" customHeight="true" outlineLevel="0" collapsed="false">
      <c r="A1193" s="4" t="s">
        <v>4380</v>
      </c>
      <c r="B1193" s="4" t="s">
        <v>1369</v>
      </c>
      <c r="C1193" s="4" t="n">
        <v>519</v>
      </c>
      <c r="D1193" s="4" t="n">
        <v>12</v>
      </c>
      <c r="E1193" s="13" t="n">
        <v>45299</v>
      </c>
      <c r="F1193" s="4" t="s">
        <v>3184</v>
      </c>
      <c r="G1193" s="4" t="str">
        <f aca="false">INDEX(PurchaseOrders!$B$2:$B$3001,MATCH(B1193,PurchaseOrders!$A$2:$A$3001,0))</f>
        <v>V011</v>
      </c>
    </row>
    <row r="1194" customFormat="false" ht="15" hidden="false" customHeight="true" outlineLevel="0" collapsed="false">
      <c r="A1194" s="4" t="s">
        <v>4381</v>
      </c>
      <c r="B1194" s="4" t="s">
        <v>1370</v>
      </c>
      <c r="C1194" s="4" t="n">
        <v>1724</v>
      </c>
      <c r="D1194" s="4" t="n">
        <v>18</v>
      </c>
      <c r="E1194" s="13" t="n">
        <v>45411</v>
      </c>
      <c r="F1194" s="4" t="s">
        <v>3190</v>
      </c>
      <c r="G1194" s="4" t="str">
        <f aca="false">INDEX(PurchaseOrders!$B$2:$B$3001,MATCH(B1194,PurchaseOrders!$A$2:$A$3001,0))</f>
        <v>V035</v>
      </c>
    </row>
    <row r="1195" customFormat="false" ht="15" hidden="false" customHeight="true" outlineLevel="0" collapsed="false">
      <c r="A1195" s="4" t="s">
        <v>4382</v>
      </c>
      <c r="B1195" s="4" t="s">
        <v>1371</v>
      </c>
      <c r="C1195" s="4" t="n">
        <v>2424</v>
      </c>
      <c r="D1195" s="4" t="n">
        <v>39</v>
      </c>
      <c r="E1195" s="13" t="n">
        <v>45264</v>
      </c>
      <c r="F1195" s="4" t="s">
        <v>3188</v>
      </c>
      <c r="G1195" s="4" t="str">
        <f aca="false">INDEX(PurchaseOrders!$B$2:$B$3001,MATCH(B1195,PurchaseOrders!$A$2:$A$3001,0))</f>
        <v>V003</v>
      </c>
    </row>
    <row r="1196" customFormat="false" ht="15" hidden="false" customHeight="true" outlineLevel="0" collapsed="false">
      <c r="A1196" s="4" t="s">
        <v>4383</v>
      </c>
      <c r="B1196" s="4" t="s">
        <v>1372</v>
      </c>
      <c r="C1196" s="4" t="n">
        <v>3328</v>
      </c>
      <c r="D1196" s="4" t="n">
        <v>181</v>
      </c>
      <c r="E1196" s="13" t="n">
        <v>44952</v>
      </c>
      <c r="F1196" s="4" t="s">
        <v>3202</v>
      </c>
      <c r="G1196" s="4" t="str">
        <f aca="false">INDEX(PurchaseOrders!$B$2:$B$3001,MATCH(B1196,PurchaseOrders!$A$2:$A$3001,0))</f>
        <v>V002</v>
      </c>
    </row>
    <row r="1197" customFormat="false" ht="15" hidden="false" customHeight="true" outlineLevel="0" collapsed="false">
      <c r="A1197" s="4" t="s">
        <v>4384</v>
      </c>
      <c r="B1197" s="4" t="s">
        <v>1373</v>
      </c>
      <c r="C1197" s="4" t="n">
        <v>1133</v>
      </c>
      <c r="D1197" s="4" t="n">
        <v>6</v>
      </c>
      <c r="E1197" s="13" t="n">
        <v>45390</v>
      </c>
      <c r="F1197" s="4" t="s">
        <v>3186</v>
      </c>
      <c r="G1197" s="4" t="str">
        <f aca="false">INDEX(PurchaseOrders!$B$2:$B$3001,MATCH(B1197,PurchaseOrders!$A$2:$A$3001,0))</f>
        <v>V020</v>
      </c>
    </row>
    <row r="1198" customFormat="false" ht="15" hidden="false" customHeight="true" outlineLevel="0" collapsed="false">
      <c r="A1198" s="4" t="s">
        <v>4385</v>
      </c>
      <c r="B1198" s="4" t="s">
        <v>1374</v>
      </c>
      <c r="C1198" s="4" t="n">
        <v>381</v>
      </c>
      <c r="D1198" s="4" t="n">
        <v>3</v>
      </c>
      <c r="E1198" s="13" t="n">
        <v>45341</v>
      </c>
      <c r="F1198" s="4" t="s">
        <v>3202</v>
      </c>
      <c r="G1198" s="4" t="str">
        <f aca="false">INDEX(PurchaseOrders!$B$2:$B$3001,MATCH(B1198,PurchaseOrders!$A$2:$A$3001,0))</f>
        <v>V020</v>
      </c>
    </row>
    <row r="1199" customFormat="false" ht="15" hidden="false" customHeight="true" outlineLevel="0" collapsed="false">
      <c r="A1199" s="4" t="s">
        <v>4386</v>
      </c>
      <c r="B1199" s="4" t="s">
        <v>1375</v>
      </c>
      <c r="C1199" s="4" t="n">
        <v>51</v>
      </c>
      <c r="D1199" s="4" t="n">
        <v>4</v>
      </c>
      <c r="E1199" s="13" t="n">
        <v>45048</v>
      </c>
      <c r="F1199" s="4" t="s">
        <v>3192</v>
      </c>
      <c r="G1199" s="4" t="str">
        <f aca="false">INDEX(PurchaseOrders!$B$2:$B$3001,MATCH(B1199,PurchaseOrders!$A$2:$A$3001,0))</f>
        <v>V009</v>
      </c>
    </row>
    <row r="1200" customFormat="false" ht="15" hidden="false" customHeight="true" outlineLevel="0" collapsed="false">
      <c r="A1200" s="4" t="s">
        <v>4387</v>
      </c>
      <c r="B1200" s="4" t="s">
        <v>1376</v>
      </c>
      <c r="C1200" s="4" t="n">
        <v>10</v>
      </c>
      <c r="D1200" s="4" t="n">
        <v>1</v>
      </c>
      <c r="E1200" s="13" t="n">
        <v>45129</v>
      </c>
      <c r="F1200" s="4" t="s">
        <v>3192</v>
      </c>
      <c r="G1200" s="4" t="str">
        <f aca="false">INDEX(PurchaseOrders!$B$2:$B$3001,MATCH(B1200,PurchaseOrders!$A$2:$A$3001,0))</f>
        <v>V041</v>
      </c>
    </row>
    <row r="1201" customFormat="false" ht="15" hidden="false" customHeight="true" outlineLevel="0" collapsed="false">
      <c r="A1201" s="4" t="s">
        <v>4388</v>
      </c>
      <c r="B1201" s="4" t="s">
        <v>1377</v>
      </c>
      <c r="C1201" s="4" t="n">
        <v>1471</v>
      </c>
      <c r="D1201" s="4" t="n">
        <v>225</v>
      </c>
      <c r="E1201" s="13" t="n">
        <v>44950</v>
      </c>
      <c r="F1201" s="4" t="s">
        <v>3184</v>
      </c>
      <c r="G1201" s="4" t="str">
        <f aca="false">INDEX(PurchaseOrders!$B$2:$B$3001,MATCH(B1201,PurchaseOrders!$A$2:$A$3001,0))</f>
        <v>V025</v>
      </c>
    </row>
    <row r="1202" customFormat="false" ht="15" hidden="false" customHeight="true" outlineLevel="0" collapsed="false">
      <c r="A1202" s="4" t="s">
        <v>4389</v>
      </c>
      <c r="B1202" s="4" t="s">
        <v>1378</v>
      </c>
      <c r="C1202" s="4" t="n">
        <v>483</v>
      </c>
      <c r="D1202" s="4" t="n">
        <v>52</v>
      </c>
      <c r="E1202" s="13" t="n">
        <v>45198</v>
      </c>
      <c r="F1202" s="4" t="s">
        <v>3202</v>
      </c>
      <c r="G1202" s="4" t="str">
        <f aca="false">INDEX(PurchaseOrders!$B$2:$B$3001,MATCH(B1202,PurchaseOrders!$A$2:$A$3001,0))</f>
        <v>V030</v>
      </c>
    </row>
    <row r="1203" customFormat="false" ht="15" hidden="false" customHeight="true" outlineLevel="0" collapsed="false">
      <c r="A1203" s="4" t="s">
        <v>4390</v>
      </c>
      <c r="B1203" s="4" t="s">
        <v>1379</v>
      </c>
      <c r="C1203" s="4" t="n">
        <v>259</v>
      </c>
      <c r="D1203" s="4" t="n">
        <v>6</v>
      </c>
      <c r="E1203" s="13" t="n">
        <v>44958</v>
      </c>
      <c r="F1203" s="4" t="s">
        <v>3186</v>
      </c>
      <c r="G1203" s="4" t="str">
        <f aca="false">INDEX(PurchaseOrders!$B$2:$B$3001,MATCH(B1203,PurchaseOrders!$A$2:$A$3001,0))</f>
        <v>V029</v>
      </c>
    </row>
    <row r="1204" customFormat="false" ht="15" hidden="false" customHeight="true" outlineLevel="0" collapsed="false">
      <c r="A1204" s="4" t="s">
        <v>4391</v>
      </c>
      <c r="B1204" s="4" t="s">
        <v>1380</v>
      </c>
      <c r="C1204" s="4" t="n">
        <v>436</v>
      </c>
      <c r="D1204" s="4" t="n">
        <v>35</v>
      </c>
      <c r="E1204" s="13" t="n">
        <v>45211</v>
      </c>
      <c r="F1204" s="4" t="s">
        <v>3188</v>
      </c>
      <c r="G1204" s="4" t="str">
        <f aca="false">INDEX(PurchaseOrders!$B$2:$B$3001,MATCH(B1204,PurchaseOrders!$A$2:$A$3001,0))</f>
        <v>V055</v>
      </c>
    </row>
    <row r="1205" customFormat="false" ht="15" hidden="false" customHeight="true" outlineLevel="0" collapsed="false">
      <c r="A1205" s="4" t="s">
        <v>4392</v>
      </c>
      <c r="B1205" s="4" t="s">
        <v>1381</v>
      </c>
      <c r="C1205" s="4" t="n">
        <v>1045</v>
      </c>
      <c r="D1205" s="4" t="n">
        <v>35</v>
      </c>
      <c r="E1205" s="13" t="n">
        <v>45347</v>
      </c>
      <c r="F1205" s="4" t="s">
        <v>3192</v>
      </c>
      <c r="G1205" s="4" t="str">
        <f aca="false">INDEX(PurchaseOrders!$B$2:$B$3001,MATCH(B1205,PurchaseOrders!$A$2:$A$3001,0))</f>
        <v>V022</v>
      </c>
    </row>
    <row r="1206" customFormat="false" ht="15" hidden="false" customHeight="true" outlineLevel="0" collapsed="false">
      <c r="A1206" s="4" t="s">
        <v>4393</v>
      </c>
      <c r="B1206" s="4" t="s">
        <v>1382</v>
      </c>
      <c r="C1206" s="4" t="n">
        <v>4186</v>
      </c>
      <c r="D1206" s="4" t="n">
        <v>107</v>
      </c>
      <c r="E1206" s="13" t="n">
        <v>44979</v>
      </c>
      <c r="F1206" s="4" t="s">
        <v>3184</v>
      </c>
      <c r="G1206" s="4" t="str">
        <f aca="false">INDEX(PurchaseOrders!$B$2:$B$3001,MATCH(B1206,PurchaseOrders!$A$2:$A$3001,0))</f>
        <v>V014</v>
      </c>
    </row>
    <row r="1207" customFormat="false" ht="15" hidden="false" customHeight="true" outlineLevel="0" collapsed="false">
      <c r="A1207" s="4" t="s">
        <v>4394</v>
      </c>
      <c r="B1207" s="4" t="s">
        <v>1383</v>
      </c>
      <c r="C1207" s="4" t="n">
        <v>121</v>
      </c>
      <c r="D1207" s="4" t="n">
        <v>7</v>
      </c>
      <c r="E1207" s="13" t="n">
        <v>45230</v>
      </c>
      <c r="F1207" s="4" t="s">
        <v>3188</v>
      </c>
      <c r="G1207" s="4" t="str">
        <f aca="false">INDEX(PurchaseOrders!$B$2:$B$3001,MATCH(B1207,PurchaseOrders!$A$2:$A$3001,0))</f>
        <v>V013</v>
      </c>
    </row>
    <row r="1208" customFormat="false" ht="15" hidden="false" customHeight="true" outlineLevel="0" collapsed="false">
      <c r="A1208" s="4" t="s">
        <v>4395</v>
      </c>
      <c r="B1208" s="4" t="s">
        <v>1384</v>
      </c>
      <c r="C1208" s="4" t="n">
        <v>2286</v>
      </c>
      <c r="D1208" s="4" t="n">
        <v>137</v>
      </c>
      <c r="E1208" s="13" t="n">
        <v>45057</v>
      </c>
      <c r="F1208" s="4" t="s">
        <v>3188</v>
      </c>
      <c r="G1208" s="4" t="str">
        <f aca="false">INDEX(PurchaseOrders!$B$2:$B$3001,MATCH(B1208,PurchaseOrders!$A$2:$A$3001,0))</f>
        <v>V017</v>
      </c>
    </row>
    <row r="1209" customFormat="false" ht="15" hidden="false" customHeight="true" outlineLevel="0" collapsed="false">
      <c r="A1209" s="4" t="s">
        <v>4396</v>
      </c>
      <c r="B1209" s="4" t="s">
        <v>1385</v>
      </c>
      <c r="C1209" s="4" t="n">
        <v>5</v>
      </c>
      <c r="D1209" s="4" t="n">
        <v>0</v>
      </c>
      <c r="E1209" s="13" t="n">
        <v>45637</v>
      </c>
      <c r="F1209" s="4"/>
      <c r="G1209" s="4" t="str">
        <f aca="false">INDEX(PurchaseOrders!$B$2:$B$3001,MATCH(B1209,PurchaseOrders!$A$2:$A$3001,0))</f>
        <v>V041</v>
      </c>
    </row>
    <row r="1210" customFormat="false" ht="15" hidden="false" customHeight="true" outlineLevel="0" collapsed="false">
      <c r="A1210" s="4" t="s">
        <v>4397</v>
      </c>
      <c r="B1210" s="4" t="s">
        <v>1386</v>
      </c>
      <c r="C1210" s="4" t="n">
        <v>147</v>
      </c>
      <c r="D1210" s="4" t="n">
        <v>1</v>
      </c>
      <c r="E1210" s="13" t="n">
        <v>45469</v>
      </c>
      <c r="F1210" s="4" t="s">
        <v>3192</v>
      </c>
      <c r="G1210" s="4" t="str">
        <f aca="false">INDEX(PurchaseOrders!$B$2:$B$3001,MATCH(B1210,PurchaseOrders!$A$2:$A$3001,0))</f>
        <v>V006</v>
      </c>
    </row>
    <row r="1211" customFormat="false" ht="15" hidden="false" customHeight="true" outlineLevel="0" collapsed="false">
      <c r="A1211" s="4" t="s">
        <v>4398</v>
      </c>
      <c r="B1211" s="4" t="s">
        <v>1387</v>
      </c>
      <c r="C1211" s="4" t="n">
        <v>254</v>
      </c>
      <c r="D1211" s="4" t="n">
        <v>19</v>
      </c>
      <c r="E1211" s="13" t="n">
        <v>45062</v>
      </c>
      <c r="F1211" s="4" t="s">
        <v>3190</v>
      </c>
      <c r="G1211" s="4" t="str">
        <f aca="false">INDEX(PurchaseOrders!$B$2:$B$3001,MATCH(B1211,PurchaseOrders!$A$2:$A$3001,0))</f>
        <v>V033</v>
      </c>
    </row>
    <row r="1212" customFormat="false" ht="15" hidden="false" customHeight="true" outlineLevel="0" collapsed="false">
      <c r="A1212" s="4" t="s">
        <v>4399</v>
      </c>
      <c r="B1212" s="4" t="s">
        <v>1388</v>
      </c>
      <c r="C1212" s="4" t="n">
        <v>1732</v>
      </c>
      <c r="D1212" s="4" t="n">
        <v>405</v>
      </c>
      <c r="E1212" s="13" t="n">
        <v>45206</v>
      </c>
      <c r="F1212" s="4" t="s">
        <v>3190</v>
      </c>
      <c r="G1212" s="4" t="str">
        <f aca="false">INDEX(PurchaseOrders!$B$2:$B$3001,MATCH(B1212,PurchaseOrders!$A$2:$A$3001,0))</f>
        <v>V039</v>
      </c>
    </row>
    <row r="1213" customFormat="false" ht="15" hidden="false" customHeight="true" outlineLevel="0" collapsed="false">
      <c r="A1213" s="4" t="s">
        <v>4400</v>
      </c>
      <c r="B1213" s="4" t="s">
        <v>1389</v>
      </c>
      <c r="C1213" s="4" t="n">
        <v>24</v>
      </c>
      <c r="D1213" s="4" t="n">
        <v>0</v>
      </c>
      <c r="E1213" s="13" t="n">
        <v>45313</v>
      </c>
      <c r="F1213" s="4"/>
      <c r="G1213" s="4" t="str">
        <f aca="false">INDEX(PurchaseOrders!$B$2:$B$3001,MATCH(B1213,PurchaseOrders!$A$2:$A$3001,0))</f>
        <v>V052</v>
      </c>
    </row>
    <row r="1214" customFormat="false" ht="15" hidden="false" customHeight="true" outlineLevel="0" collapsed="false">
      <c r="A1214" s="4" t="s">
        <v>4401</v>
      </c>
      <c r="B1214" s="4" t="s">
        <v>1390</v>
      </c>
      <c r="C1214" s="4" t="n">
        <v>1632</v>
      </c>
      <c r="D1214" s="4" t="n">
        <v>58</v>
      </c>
      <c r="E1214" s="13" t="n">
        <v>45479</v>
      </c>
      <c r="F1214" s="4" t="s">
        <v>3190</v>
      </c>
      <c r="G1214" s="4" t="str">
        <f aca="false">INDEX(PurchaseOrders!$B$2:$B$3001,MATCH(B1214,PurchaseOrders!$A$2:$A$3001,0))</f>
        <v>V014</v>
      </c>
    </row>
    <row r="1215" customFormat="false" ht="15" hidden="false" customHeight="true" outlineLevel="0" collapsed="false">
      <c r="A1215" s="4" t="s">
        <v>4402</v>
      </c>
      <c r="B1215" s="4" t="s">
        <v>1391</v>
      </c>
      <c r="C1215" s="4" t="n">
        <v>322</v>
      </c>
      <c r="D1215" s="4" t="n">
        <v>28</v>
      </c>
      <c r="E1215" s="13" t="n">
        <v>45471</v>
      </c>
      <c r="F1215" s="4" t="s">
        <v>3188</v>
      </c>
      <c r="G1215" s="4" t="str">
        <f aca="false">INDEX(PurchaseOrders!$B$2:$B$3001,MATCH(B1215,PurchaseOrders!$A$2:$A$3001,0))</f>
        <v>V043</v>
      </c>
    </row>
    <row r="1216" customFormat="false" ht="15" hidden="false" customHeight="true" outlineLevel="0" collapsed="false">
      <c r="A1216" s="4" t="s">
        <v>4403</v>
      </c>
      <c r="B1216" s="4" t="s">
        <v>1392</v>
      </c>
      <c r="C1216" s="4" t="n">
        <v>441</v>
      </c>
      <c r="D1216" s="4" t="n">
        <v>22</v>
      </c>
      <c r="E1216" s="13" t="n">
        <v>45121</v>
      </c>
      <c r="F1216" s="4" t="s">
        <v>3188</v>
      </c>
      <c r="G1216" s="4" t="str">
        <f aca="false">INDEX(PurchaseOrders!$B$2:$B$3001,MATCH(B1216,PurchaseOrders!$A$2:$A$3001,0))</f>
        <v>V060</v>
      </c>
    </row>
    <row r="1217" customFormat="false" ht="15" hidden="false" customHeight="true" outlineLevel="0" collapsed="false">
      <c r="A1217" s="4" t="s">
        <v>4404</v>
      </c>
      <c r="B1217" s="4" t="s">
        <v>1393</v>
      </c>
      <c r="C1217" s="4" t="n">
        <v>1799</v>
      </c>
      <c r="D1217" s="4" t="n">
        <v>66</v>
      </c>
      <c r="E1217" s="13" t="n">
        <v>45157</v>
      </c>
      <c r="F1217" s="4" t="s">
        <v>3186</v>
      </c>
      <c r="G1217" s="4" t="str">
        <f aca="false">INDEX(PurchaseOrders!$B$2:$B$3001,MATCH(B1217,PurchaseOrders!$A$2:$A$3001,0))</f>
        <v>V056</v>
      </c>
    </row>
    <row r="1218" customFormat="false" ht="15" hidden="false" customHeight="true" outlineLevel="0" collapsed="false">
      <c r="A1218" s="4" t="s">
        <v>4405</v>
      </c>
      <c r="B1218" s="4" t="s">
        <v>1394</v>
      </c>
      <c r="C1218" s="4" t="n">
        <v>156</v>
      </c>
      <c r="D1218" s="4" t="n">
        <v>11</v>
      </c>
      <c r="E1218" s="13" t="n">
        <v>45098</v>
      </c>
      <c r="F1218" s="4" t="s">
        <v>3202</v>
      </c>
      <c r="G1218" s="4" t="str">
        <f aca="false">INDEX(PurchaseOrders!$B$2:$B$3001,MATCH(B1218,PurchaseOrders!$A$2:$A$3001,0))</f>
        <v>V013</v>
      </c>
    </row>
    <row r="1219" customFormat="false" ht="15" hidden="false" customHeight="true" outlineLevel="0" collapsed="false">
      <c r="A1219" s="4" t="s">
        <v>4406</v>
      </c>
      <c r="B1219" s="4" t="s">
        <v>1395</v>
      </c>
      <c r="C1219" s="4" t="n">
        <v>1175</v>
      </c>
      <c r="D1219" s="4" t="n">
        <v>74</v>
      </c>
      <c r="E1219" s="13" t="n">
        <v>45343</v>
      </c>
      <c r="F1219" s="4" t="s">
        <v>3190</v>
      </c>
      <c r="G1219" s="4" t="str">
        <f aca="false">INDEX(PurchaseOrders!$B$2:$B$3001,MATCH(B1219,PurchaseOrders!$A$2:$A$3001,0))</f>
        <v>V005</v>
      </c>
    </row>
    <row r="1220" customFormat="false" ht="15" hidden="false" customHeight="true" outlineLevel="0" collapsed="false">
      <c r="A1220" s="4" t="s">
        <v>4407</v>
      </c>
      <c r="B1220" s="4" t="s">
        <v>1396</v>
      </c>
      <c r="C1220" s="4" t="n">
        <v>13</v>
      </c>
      <c r="D1220" s="4" t="n">
        <v>1</v>
      </c>
      <c r="E1220" s="13" t="n">
        <v>45201</v>
      </c>
      <c r="F1220" s="4" t="s">
        <v>3192</v>
      </c>
      <c r="G1220" s="4" t="str">
        <f aca="false">INDEX(PurchaseOrders!$B$2:$B$3001,MATCH(B1220,PurchaseOrders!$A$2:$A$3001,0))</f>
        <v>V023</v>
      </c>
    </row>
    <row r="1221" customFormat="false" ht="15" hidden="false" customHeight="true" outlineLevel="0" collapsed="false">
      <c r="A1221" s="4" t="s">
        <v>4408</v>
      </c>
      <c r="B1221" s="4" t="s">
        <v>1397</v>
      </c>
      <c r="C1221" s="4" t="n">
        <v>146</v>
      </c>
      <c r="D1221" s="4" t="n">
        <v>8</v>
      </c>
      <c r="E1221" s="13" t="n">
        <v>45224</v>
      </c>
      <c r="F1221" s="4" t="s">
        <v>3188</v>
      </c>
      <c r="G1221" s="4" t="str">
        <f aca="false">INDEX(PurchaseOrders!$B$2:$B$3001,MATCH(B1221,PurchaseOrders!$A$2:$A$3001,0))</f>
        <v>V012</v>
      </c>
    </row>
    <row r="1222" customFormat="false" ht="15" hidden="false" customHeight="true" outlineLevel="0" collapsed="false">
      <c r="A1222" s="4" t="s">
        <v>4409</v>
      </c>
      <c r="B1222" s="4" t="s">
        <v>1398</v>
      </c>
      <c r="C1222" s="4" t="n">
        <v>1856</v>
      </c>
      <c r="D1222" s="4" t="n">
        <v>213</v>
      </c>
      <c r="E1222" s="13" t="n">
        <v>45335</v>
      </c>
      <c r="F1222" s="4" t="s">
        <v>3192</v>
      </c>
      <c r="G1222" s="4" t="str">
        <f aca="false">INDEX(PurchaseOrders!$B$2:$B$3001,MATCH(B1222,PurchaseOrders!$A$2:$A$3001,0))</f>
        <v>V044</v>
      </c>
    </row>
    <row r="1223" customFormat="false" ht="15" hidden="false" customHeight="true" outlineLevel="0" collapsed="false">
      <c r="A1223" s="4" t="s">
        <v>4410</v>
      </c>
      <c r="B1223" s="4" t="s">
        <v>1399</v>
      </c>
      <c r="C1223" s="4" t="n">
        <v>4411</v>
      </c>
      <c r="D1223" s="4" t="n">
        <v>555</v>
      </c>
      <c r="E1223" s="13" t="n">
        <v>45622</v>
      </c>
      <c r="F1223" s="4" t="s">
        <v>3192</v>
      </c>
      <c r="G1223" s="4" t="str">
        <f aca="false">INDEX(PurchaseOrders!$B$2:$B$3001,MATCH(B1223,PurchaseOrders!$A$2:$A$3001,0))</f>
        <v>V038</v>
      </c>
    </row>
    <row r="1224" customFormat="false" ht="15" hidden="false" customHeight="true" outlineLevel="0" collapsed="false">
      <c r="A1224" s="4" t="s">
        <v>4411</v>
      </c>
      <c r="B1224" s="4" t="s">
        <v>1400</v>
      </c>
      <c r="C1224" s="4" t="n">
        <v>250</v>
      </c>
      <c r="D1224" s="4" t="n">
        <v>7</v>
      </c>
      <c r="E1224" s="13" t="n">
        <v>45121</v>
      </c>
      <c r="F1224" s="4" t="s">
        <v>3192</v>
      </c>
      <c r="G1224" s="4" t="str">
        <f aca="false">INDEX(PurchaseOrders!$B$2:$B$3001,MATCH(B1224,PurchaseOrders!$A$2:$A$3001,0))</f>
        <v>V059</v>
      </c>
    </row>
    <row r="1225" customFormat="false" ht="15" hidden="false" customHeight="true" outlineLevel="0" collapsed="false">
      <c r="A1225" s="4" t="s">
        <v>4412</v>
      </c>
      <c r="B1225" s="4" t="s">
        <v>1401</v>
      </c>
      <c r="C1225" s="4" t="n">
        <v>1880</v>
      </c>
      <c r="D1225" s="4" t="n">
        <v>17</v>
      </c>
      <c r="E1225" s="13" t="n">
        <v>45650</v>
      </c>
      <c r="F1225" s="4" t="s">
        <v>3184</v>
      </c>
      <c r="G1225" s="4" t="str">
        <f aca="false">INDEX(PurchaseOrders!$B$2:$B$3001,MATCH(B1225,PurchaseOrders!$A$2:$A$3001,0))</f>
        <v>V059</v>
      </c>
    </row>
    <row r="1226" customFormat="false" ht="15" hidden="false" customHeight="true" outlineLevel="0" collapsed="false">
      <c r="A1226" s="4" t="s">
        <v>4413</v>
      </c>
      <c r="B1226" s="4" t="s">
        <v>1402</v>
      </c>
      <c r="C1226" s="4" t="n">
        <v>963</v>
      </c>
      <c r="D1226" s="4" t="n">
        <v>45</v>
      </c>
      <c r="E1226" s="13" t="n">
        <v>45104</v>
      </c>
      <c r="F1226" s="4" t="s">
        <v>3190</v>
      </c>
      <c r="G1226" s="4" t="str">
        <f aca="false">INDEX(PurchaseOrders!$B$2:$B$3001,MATCH(B1226,PurchaseOrders!$A$2:$A$3001,0))</f>
        <v>V048</v>
      </c>
    </row>
    <row r="1227" customFormat="false" ht="15" hidden="false" customHeight="true" outlineLevel="0" collapsed="false">
      <c r="A1227" s="4" t="s">
        <v>4414</v>
      </c>
      <c r="B1227" s="4" t="s">
        <v>1403</v>
      </c>
      <c r="C1227" s="4" t="n">
        <v>18</v>
      </c>
      <c r="D1227" s="4" t="n">
        <v>1</v>
      </c>
      <c r="E1227" s="13" t="n">
        <v>45243</v>
      </c>
      <c r="F1227" s="4" t="s">
        <v>3192</v>
      </c>
      <c r="G1227" s="4" t="str">
        <f aca="false">INDEX(PurchaseOrders!$B$2:$B$3001,MATCH(B1227,PurchaseOrders!$A$2:$A$3001,0))</f>
        <v>V042</v>
      </c>
    </row>
    <row r="1228" customFormat="false" ht="15" hidden="false" customHeight="true" outlineLevel="0" collapsed="false">
      <c r="A1228" s="4" t="s">
        <v>4415</v>
      </c>
      <c r="B1228" s="4" t="s">
        <v>1404</v>
      </c>
      <c r="C1228" s="4" t="n">
        <v>17</v>
      </c>
      <c r="D1228" s="4" t="n">
        <v>0</v>
      </c>
      <c r="E1228" s="13" t="n">
        <v>44994</v>
      </c>
      <c r="F1228" s="4"/>
      <c r="G1228" s="4" t="str">
        <f aca="false">INDEX(PurchaseOrders!$B$2:$B$3001,MATCH(B1228,PurchaseOrders!$A$2:$A$3001,0))</f>
        <v>V053</v>
      </c>
    </row>
    <row r="1229" customFormat="false" ht="15" hidden="false" customHeight="true" outlineLevel="0" collapsed="false">
      <c r="A1229" s="4" t="s">
        <v>4416</v>
      </c>
      <c r="B1229" s="4" t="s">
        <v>1405</v>
      </c>
      <c r="C1229" s="4" t="n">
        <v>62</v>
      </c>
      <c r="D1229" s="4" t="n">
        <v>7</v>
      </c>
      <c r="E1229" s="13" t="n">
        <v>45113</v>
      </c>
      <c r="F1229" s="4" t="s">
        <v>3188</v>
      </c>
      <c r="G1229" s="4" t="str">
        <f aca="false">INDEX(PurchaseOrders!$B$2:$B$3001,MATCH(B1229,PurchaseOrders!$A$2:$A$3001,0))</f>
        <v>V043</v>
      </c>
    </row>
    <row r="1230" customFormat="false" ht="15" hidden="false" customHeight="true" outlineLevel="0" collapsed="false">
      <c r="A1230" s="4" t="s">
        <v>4417</v>
      </c>
      <c r="B1230" s="4" t="s">
        <v>1406</v>
      </c>
      <c r="C1230" s="4" t="n">
        <v>1366</v>
      </c>
      <c r="D1230" s="4" t="n">
        <v>260</v>
      </c>
      <c r="E1230" s="13" t="n">
        <v>45543</v>
      </c>
      <c r="F1230" s="4" t="s">
        <v>3192</v>
      </c>
      <c r="G1230" s="4" t="str">
        <f aca="false">INDEX(PurchaseOrders!$B$2:$B$3001,MATCH(B1230,PurchaseOrders!$A$2:$A$3001,0))</f>
        <v>V039</v>
      </c>
    </row>
    <row r="1231" customFormat="false" ht="15" hidden="false" customHeight="true" outlineLevel="0" collapsed="false">
      <c r="A1231" s="4" t="s">
        <v>4418</v>
      </c>
      <c r="B1231" s="4" t="s">
        <v>1407</v>
      </c>
      <c r="C1231" s="4" t="n">
        <v>1071</v>
      </c>
      <c r="D1231" s="4" t="n">
        <v>0</v>
      </c>
      <c r="E1231" s="13" t="n">
        <v>45127</v>
      </c>
      <c r="F1231" s="4"/>
      <c r="G1231" s="4" t="str">
        <f aca="false">INDEX(PurchaseOrders!$B$2:$B$3001,MATCH(B1231,PurchaseOrders!$A$2:$A$3001,0))</f>
        <v>V059</v>
      </c>
    </row>
    <row r="1232" customFormat="false" ht="15" hidden="false" customHeight="true" outlineLevel="0" collapsed="false">
      <c r="A1232" s="4" t="s">
        <v>4419</v>
      </c>
      <c r="B1232" s="4" t="s">
        <v>1408</v>
      </c>
      <c r="C1232" s="4" t="n">
        <v>79</v>
      </c>
      <c r="D1232" s="4" t="n">
        <v>7</v>
      </c>
      <c r="E1232" s="13" t="n">
        <v>45487</v>
      </c>
      <c r="F1232" s="4" t="s">
        <v>3202</v>
      </c>
      <c r="G1232" s="4" t="str">
        <f aca="false">INDEX(PurchaseOrders!$B$2:$B$3001,MATCH(B1232,PurchaseOrders!$A$2:$A$3001,0))</f>
        <v>V055</v>
      </c>
    </row>
    <row r="1233" customFormat="false" ht="15" hidden="false" customHeight="true" outlineLevel="0" collapsed="false">
      <c r="A1233" s="4" t="s">
        <v>4420</v>
      </c>
      <c r="B1233" s="4" t="s">
        <v>1409</v>
      </c>
      <c r="C1233" s="4" t="n">
        <v>9</v>
      </c>
      <c r="D1233" s="4" t="n">
        <v>1</v>
      </c>
      <c r="E1233" s="13" t="n">
        <v>45628</v>
      </c>
      <c r="F1233" s="4" t="s">
        <v>3192</v>
      </c>
      <c r="G1233" s="4" t="str">
        <f aca="false">INDEX(PurchaseOrders!$B$2:$B$3001,MATCH(B1233,PurchaseOrders!$A$2:$A$3001,0))</f>
        <v>V041</v>
      </c>
    </row>
    <row r="1234" customFormat="false" ht="15" hidden="false" customHeight="true" outlineLevel="0" collapsed="false">
      <c r="A1234" s="4" t="s">
        <v>4421</v>
      </c>
      <c r="B1234" s="4" t="s">
        <v>1410</v>
      </c>
      <c r="C1234" s="4" t="n">
        <v>2062</v>
      </c>
      <c r="D1234" s="4" t="n">
        <v>132</v>
      </c>
      <c r="E1234" s="13" t="n">
        <v>45091</v>
      </c>
      <c r="F1234" s="4" t="s">
        <v>3186</v>
      </c>
      <c r="G1234" s="4" t="str">
        <f aca="false">INDEX(PurchaseOrders!$B$2:$B$3001,MATCH(B1234,PurchaseOrders!$A$2:$A$3001,0))</f>
        <v>V014</v>
      </c>
    </row>
    <row r="1235" customFormat="false" ht="15" hidden="false" customHeight="true" outlineLevel="0" collapsed="false">
      <c r="A1235" s="4" t="s">
        <v>4422</v>
      </c>
      <c r="B1235" s="4" t="s">
        <v>1411</v>
      </c>
      <c r="C1235" s="4" t="n">
        <v>175</v>
      </c>
      <c r="D1235" s="4" t="n">
        <v>0</v>
      </c>
      <c r="E1235" s="13" t="n">
        <v>45465</v>
      </c>
      <c r="F1235" s="4"/>
      <c r="G1235" s="4" t="str">
        <f aca="false">INDEX(PurchaseOrders!$B$2:$B$3001,MATCH(B1235,PurchaseOrders!$A$2:$A$3001,0))</f>
        <v>V040</v>
      </c>
    </row>
    <row r="1236" customFormat="false" ht="15" hidden="false" customHeight="true" outlineLevel="0" collapsed="false">
      <c r="A1236" s="4" t="s">
        <v>4423</v>
      </c>
      <c r="B1236" s="4" t="s">
        <v>1412</v>
      </c>
      <c r="C1236" s="4" t="n">
        <v>407</v>
      </c>
      <c r="D1236" s="4" t="n">
        <v>0</v>
      </c>
      <c r="E1236" s="13" t="n">
        <v>45338</v>
      </c>
      <c r="F1236" s="4"/>
      <c r="G1236" s="4" t="str">
        <f aca="false">INDEX(PurchaseOrders!$B$2:$B$3001,MATCH(B1236,PurchaseOrders!$A$2:$A$3001,0))</f>
        <v>V008</v>
      </c>
    </row>
    <row r="1237" customFormat="false" ht="15" hidden="false" customHeight="true" outlineLevel="0" collapsed="false">
      <c r="A1237" s="4" t="s">
        <v>4424</v>
      </c>
      <c r="B1237" s="4" t="s">
        <v>1413</v>
      </c>
      <c r="C1237" s="4" t="n">
        <v>132</v>
      </c>
      <c r="D1237" s="4" t="n">
        <v>1</v>
      </c>
      <c r="E1237" s="13" t="n">
        <v>45271</v>
      </c>
      <c r="F1237" s="4" t="s">
        <v>3188</v>
      </c>
      <c r="G1237" s="4" t="str">
        <f aca="false">INDEX(PurchaseOrders!$B$2:$B$3001,MATCH(B1237,PurchaseOrders!$A$2:$A$3001,0))</f>
        <v>V046</v>
      </c>
    </row>
    <row r="1238" customFormat="false" ht="15" hidden="false" customHeight="true" outlineLevel="0" collapsed="false">
      <c r="A1238" s="4" t="s">
        <v>4425</v>
      </c>
      <c r="B1238" s="4" t="s">
        <v>1414</v>
      </c>
      <c r="C1238" s="4" t="n">
        <v>828</v>
      </c>
      <c r="D1238" s="4" t="n">
        <v>15</v>
      </c>
      <c r="E1238" s="13" t="n">
        <v>45231</v>
      </c>
      <c r="F1238" s="4" t="s">
        <v>3188</v>
      </c>
      <c r="G1238" s="4" t="str">
        <f aca="false">INDEX(PurchaseOrders!$B$2:$B$3001,MATCH(B1238,PurchaseOrders!$A$2:$A$3001,0))</f>
        <v>V056</v>
      </c>
    </row>
    <row r="1239" customFormat="false" ht="15" hidden="false" customHeight="true" outlineLevel="0" collapsed="false">
      <c r="A1239" s="4" t="s">
        <v>4426</v>
      </c>
      <c r="B1239" s="4" t="s">
        <v>1415</v>
      </c>
      <c r="C1239" s="4" t="n">
        <v>74</v>
      </c>
      <c r="D1239" s="4" t="n">
        <v>1</v>
      </c>
      <c r="E1239" s="13" t="n">
        <v>45198</v>
      </c>
      <c r="F1239" s="4" t="s">
        <v>3190</v>
      </c>
      <c r="G1239" s="4" t="str">
        <f aca="false">INDEX(PurchaseOrders!$B$2:$B$3001,MATCH(B1239,PurchaseOrders!$A$2:$A$3001,0))</f>
        <v>V040</v>
      </c>
    </row>
    <row r="1240" customFormat="false" ht="15" hidden="false" customHeight="true" outlineLevel="0" collapsed="false">
      <c r="A1240" s="4" t="s">
        <v>4427</v>
      </c>
      <c r="B1240" s="4" t="s">
        <v>1416</v>
      </c>
      <c r="C1240" s="4" t="n">
        <v>1121</v>
      </c>
      <c r="D1240" s="4" t="n">
        <v>94</v>
      </c>
      <c r="E1240" s="13" t="n">
        <v>45130</v>
      </c>
      <c r="F1240" s="4" t="s">
        <v>3192</v>
      </c>
      <c r="G1240" s="4" t="str">
        <f aca="false">INDEX(PurchaseOrders!$B$2:$B$3001,MATCH(B1240,PurchaseOrders!$A$2:$A$3001,0))</f>
        <v>V007</v>
      </c>
    </row>
    <row r="1241" customFormat="false" ht="15" hidden="false" customHeight="true" outlineLevel="0" collapsed="false">
      <c r="A1241" s="4" t="s">
        <v>4428</v>
      </c>
      <c r="B1241" s="4" t="s">
        <v>1417</v>
      </c>
      <c r="C1241" s="4" t="n">
        <v>43</v>
      </c>
      <c r="D1241" s="4" t="n">
        <v>2</v>
      </c>
      <c r="E1241" s="13" t="n">
        <v>45167</v>
      </c>
      <c r="F1241" s="4" t="s">
        <v>3188</v>
      </c>
      <c r="G1241" s="4" t="str">
        <f aca="false">INDEX(PurchaseOrders!$B$2:$B$3001,MATCH(B1241,PurchaseOrders!$A$2:$A$3001,0))</f>
        <v>V037</v>
      </c>
    </row>
    <row r="1242" customFormat="false" ht="15" hidden="false" customHeight="true" outlineLevel="0" collapsed="false">
      <c r="A1242" s="4" t="s">
        <v>4429</v>
      </c>
      <c r="B1242" s="4" t="s">
        <v>1418</v>
      </c>
      <c r="C1242" s="4" t="n">
        <v>824</v>
      </c>
      <c r="D1242" s="4" t="n">
        <v>29</v>
      </c>
      <c r="E1242" s="13" t="n">
        <v>45515</v>
      </c>
      <c r="F1242" s="4" t="s">
        <v>3188</v>
      </c>
      <c r="G1242" s="4" t="str">
        <f aca="false">INDEX(PurchaseOrders!$B$2:$B$3001,MATCH(B1242,PurchaseOrders!$A$2:$A$3001,0))</f>
        <v>V020</v>
      </c>
    </row>
    <row r="1243" customFormat="false" ht="15" hidden="false" customHeight="true" outlineLevel="0" collapsed="false">
      <c r="A1243" s="4" t="s">
        <v>4430</v>
      </c>
      <c r="B1243" s="4" t="s">
        <v>1419</v>
      </c>
      <c r="C1243" s="4" t="n">
        <v>48</v>
      </c>
      <c r="D1243" s="4" t="n">
        <v>6</v>
      </c>
      <c r="E1243" s="13" t="n">
        <v>45060</v>
      </c>
      <c r="F1243" s="4" t="s">
        <v>3186</v>
      </c>
      <c r="G1243" s="4" t="str">
        <f aca="false">INDEX(PurchaseOrders!$B$2:$B$3001,MATCH(B1243,PurchaseOrders!$A$2:$A$3001,0))</f>
        <v>V055</v>
      </c>
    </row>
    <row r="1244" customFormat="false" ht="15" hidden="false" customHeight="true" outlineLevel="0" collapsed="false">
      <c r="A1244" s="4" t="s">
        <v>4431</v>
      </c>
      <c r="B1244" s="4" t="s">
        <v>1420</v>
      </c>
      <c r="C1244" s="4" t="n">
        <v>1027</v>
      </c>
      <c r="D1244" s="4" t="n">
        <v>61</v>
      </c>
      <c r="E1244" s="13" t="n">
        <v>45080</v>
      </c>
      <c r="F1244" s="4" t="s">
        <v>3188</v>
      </c>
      <c r="G1244" s="4" t="str">
        <f aca="false">INDEX(PurchaseOrders!$B$2:$B$3001,MATCH(B1244,PurchaseOrders!$A$2:$A$3001,0))</f>
        <v>V056</v>
      </c>
    </row>
    <row r="1245" customFormat="false" ht="15" hidden="false" customHeight="true" outlineLevel="0" collapsed="false">
      <c r="A1245" s="4" t="s">
        <v>4432</v>
      </c>
      <c r="B1245" s="4" t="s">
        <v>1421</v>
      </c>
      <c r="C1245" s="4" t="n">
        <v>221</v>
      </c>
      <c r="D1245" s="4" t="n">
        <v>9</v>
      </c>
      <c r="E1245" s="13" t="n">
        <v>45475</v>
      </c>
      <c r="F1245" s="4" t="s">
        <v>3192</v>
      </c>
      <c r="G1245" s="4" t="str">
        <f aca="false">INDEX(PurchaseOrders!$B$2:$B$3001,MATCH(B1245,PurchaseOrders!$A$2:$A$3001,0))</f>
        <v>V037</v>
      </c>
    </row>
    <row r="1246" customFormat="false" ht="15" hidden="false" customHeight="true" outlineLevel="0" collapsed="false">
      <c r="A1246" s="4" t="s">
        <v>4433</v>
      </c>
      <c r="B1246" s="4" t="s">
        <v>1422</v>
      </c>
      <c r="C1246" s="4" t="n">
        <v>1581</v>
      </c>
      <c r="D1246" s="4" t="n">
        <v>70</v>
      </c>
      <c r="E1246" s="13" t="n">
        <v>45460</v>
      </c>
      <c r="F1246" s="4" t="s">
        <v>3190</v>
      </c>
      <c r="G1246" s="4" t="str">
        <f aca="false">INDEX(PurchaseOrders!$B$2:$B$3001,MATCH(B1246,PurchaseOrders!$A$2:$A$3001,0))</f>
        <v>V045</v>
      </c>
    </row>
    <row r="1247" customFormat="false" ht="15" hidden="false" customHeight="true" outlineLevel="0" collapsed="false">
      <c r="A1247" s="4" t="s">
        <v>4434</v>
      </c>
      <c r="B1247" s="4" t="s">
        <v>1423</v>
      </c>
      <c r="C1247" s="4" t="n">
        <v>2844</v>
      </c>
      <c r="D1247" s="4" t="n">
        <v>194</v>
      </c>
      <c r="E1247" s="13" t="n">
        <v>45294</v>
      </c>
      <c r="F1247" s="4" t="s">
        <v>3202</v>
      </c>
      <c r="G1247" s="4" t="str">
        <f aca="false">INDEX(PurchaseOrders!$B$2:$B$3001,MATCH(B1247,PurchaseOrders!$A$2:$A$3001,0))</f>
        <v>V001</v>
      </c>
    </row>
    <row r="1248" customFormat="false" ht="15" hidden="false" customHeight="true" outlineLevel="0" collapsed="false">
      <c r="A1248" s="4" t="s">
        <v>4435</v>
      </c>
      <c r="B1248" s="4" t="s">
        <v>1424</v>
      </c>
      <c r="C1248" s="4" t="n">
        <v>2405</v>
      </c>
      <c r="D1248" s="4" t="n">
        <v>139</v>
      </c>
      <c r="E1248" s="13" t="n">
        <v>45077</v>
      </c>
      <c r="F1248" s="4" t="s">
        <v>3202</v>
      </c>
      <c r="G1248" s="4" t="str">
        <f aca="false">INDEX(PurchaseOrders!$B$2:$B$3001,MATCH(B1248,PurchaseOrders!$A$2:$A$3001,0))</f>
        <v>V003</v>
      </c>
    </row>
    <row r="1249" customFormat="false" ht="15" hidden="false" customHeight="true" outlineLevel="0" collapsed="false">
      <c r="A1249" s="4" t="s">
        <v>4436</v>
      </c>
      <c r="B1249" s="4" t="s">
        <v>1425</v>
      </c>
      <c r="C1249" s="4" t="n">
        <v>1678</v>
      </c>
      <c r="D1249" s="4" t="n">
        <v>145</v>
      </c>
      <c r="E1249" s="13" t="n">
        <v>45481</v>
      </c>
      <c r="F1249" s="4" t="s">
        <v>3202</v>
      </c>
      <c r="G1249" s="4" t="str">
        <f aca="false">INDEX(PurchaseOrders!$B$2:$B$3001,MATCH(B1249,PurchaseOrders!$A$2:$A$3001,0))</f>
        <v>V007</v>
      </c>
    </row>
    <row r="1250" customFormat="false" ht="15" hidden="false" customHeight="true" outlineLevel="0" collapsed="false">
      <c r="A1250" s="4" t="s">
        <v>4437</v>
      </c>
      <c r="B1250" s="4" t="s">
        <v>1426</v>
      </c>
      <c r="C1250" s="4" t="n">
        <v>811</v>
      </c>
      <c r="D1250" s="4" t="n">
        <v>57</v>
      </c>
      <c r="E1250" s="13" t="n">
        <v>45374</v>
      </c>
      <c r="F1250" s="4" t="s">
        <v>3192</v>
      </c>
      <c r="G1250" s="4" t="str">
        <f aca="false">INDEX(PurchaseOrders!$B$2:$B$3001,MATCH(B1250,PurchaseOrders!$A$2:$A$3001,0))</f>
        <v>V005</v>
      </c>
    </row>
    <row r="1251" customFormat="false" ht="15" hidden="false" customHeight="true" outlineLevel="0" collapsed="false">
      <c r="A1251" s="4" t="s">
        <v>4438</v>
      </c>
      <c r="B1251" s="4" t="s">
        <v>1427</v>
      </c>
      <c r="C1251" s="4" t="n">
        <v>1579</v>
      </c>
      <c r="D1251" s="4" t="n">
        <v>23</v>
      </c>
      <c r="E1251" s="13" t="n">
        <v>45247</v>
      </c>
      <c r="F1251" s="4" t="s">
        <v>3192</v>
      </c>
      <c r="G1251" s="4" t="str">
        <f aca="false">INDEX(PurchaseOrders!$B$2:$B$3001,MATCH(B1251,PurchaseOrders!$A$2:$A$3001,0))</f>
        <v>V011</v>
      </c>
    </row>
    <row r="1252" customFormat="false" ht="15" hidden="false" customHeight="true" outlineLevel="0" collapsed="false">
      <c r="A1252" s="4" t="s">
        <v>4439</v>
      </c>
      <c r="B1252" s="4" t="s">
        <v>1428</v>
      </c>
      <c r="C1252" s="4" t="n">
        <v>370</v>
      </c>
      <c r="D1252" s="4" t="n">
        <v>0</v>
      </c>
      <c r="E1252" s="13" t="n">
        <v>45283</v>
      </c>
      <c r="F1252" s="4"/>
      <c r="G1252" s="4" t="str">
        <f aca="false">INDEX(PurchaseOrders!$B$2:$B$3001,MATCH(B1252,PurchaseOrders!$A$2:$A$3001,0))</f>
        <v>V008</v>
      </c>
    </row>
    <row r="1253" customFormat="false" ht="15" hidden="false" customHeight="true" outlineLevel="0" collapsed="false">
      <c r="A1253" s="4" t="s">
        <v>4440</v>
      </c>
      <c r="B1253" s="4" t="s">
        <v>1429</v>
      </c>
      <c r="C1253" s="4" t="n">
        <v>191</v>
      </c>
      <c r="D1253" s="4" t="n">
        <v>8</v>
      </c>
      <c r="E1253" s="13" t="n">
        <v>45456</v>
      </c>
      <c r="F1253" s="4" t="s">
        <v>3186</v>
      </c>
      <c r="G1253" s="4" t="str">
        <f aca="false">INDEX(PurchaseOrders!$B$2:$B$3001,MATCH(B1253,PurchaseOrders!$A$2:$A$3001,0))</f>
        <v>V018</v>
      </c>
    </row>
    <row r="1254" customFormat="false" ht="15" hidden="false" customHeight="true" outlineLevel="0" collapsed="false">
      <c r="A1254" s="4" t="s">
        <v>4441</v>
      </c>
      <c r="B1254" s="4" t="s">
        <v>1430</v>
      </c>
      <c r="C1254" s="4" t="n">
        <v>4228</v>
      </c>
      <c r="D1254" s="4" t="n">
        <v>500</v>
      </c>
      <c r="E1254" s="13" t="n">
        <v>45210</v>
      </c>
      <c r="F1254" s="4" t="s">
        <v>3190</v>
      </c>
      <c r="G1254" s="4" t="str">
        <f aca="false">INDEX(PurchaseOrders!$B$2:$B$3001,MATCH(B1254,PurchaseOrders!$A$2:$A$3001,0))</f>
        <v>V026</v>
      </c>
    </row>
    <row r="1255" customFormat="false" ht="15" hidden="false" customHeight="true" outlineLevel="0" collapsed="false">
      <c r="A1255" s="4" t="s">
        <v>4442</v>
      </c>
      <c r="B1255" s="4" t="s">
        <v>1431</v>
      </c>
      <c r="C1255" s="4" t="n">
        <v>464</v>
      </c>
      <c r="D1255" s="4" t="n">
        <v>68</v>
      </c>
      <c r="E1255" s="13" t="n">
        <v>45316</v>
      </c>
      <c r="F1255" s="4" t="s">
        <v>3186</v>
      </c>
      <c r="G1255" s="4" t="str">
        <f aca="false">INDEX(PurchaseOrders!$B$2:$B$3001,MATCH(B1255,PurchaseOrders!$A$2:$A$3001,0))</f>
        <v>V025</v>
      </c>
    </row>
    <row r="1256" customFormat="false" ht="15" hidden="false" customHeight="true" outlineLevel="0" collapsed="false">
      <c r="A1256" s="4" t="s">
        <v>4443</v>
      </c>
      <c r="B1256" s="4" t="s">
        <v>1432</v>
      </c>
      <c r="C1256" s="4" t="n">
        <v>4499</v>
      </c>
      <c r="D1256" s="4" t="n">
        <v>96</v>
      </c>
      <c r="E1256" s="13" t="n">
        <v>45524</v>
      </c>
      <c r="F1256" s="4" t="s">
        <v>3190</v>
      </c>
      <c r="G1256" s="4" t="str">
        <f aca="false">INDEX(PurchaseOrders!$B$2:$B$3001,MATCH(B1256,PurchaseOrders!$A$2:$A$3001,0))</f>
        <v>V002</v>
      </c>
    </row>
    <row r="1257" customFormat="false" ht="15" hidden="false" customHeight="true" outlineLevel="0" collapsed="false">
      <c r="A1257" s="4" t="s">
        <v>4444</v>
      </c>
      <c r="B1257" s="4" t="s">
        <v>1433</v>
      </c>
      <c r="C1257" s="4" t="n">
        <v>64</v>
      </c>
      <c r="D1257" s="4" t="n">
        <v>1</v>
      </c>
      <c r="E1257" s="13" t="n">
        <v>45228</v>
      </c>
      <c r="F1257" s="4" t="s">
        <v>3186</v>
      </c>
      <c r="G1257" s="4" t="str">
        <f aca="false">INDEX(PurchaseOrders!$B$2:$B$3001,MATCH(B1257,PurchaseOrders!$A$2:$A$3001,0))</f>
        <v>V006</v>
      </c>
    </row>
    <row r="1258" customFormat="false" ht="15" hidden="false" customHeight="true" outlineLevel="0" collapsed="false">
      <c r="A1258" s="4" t="s">
        <v>4445</v>
      </c>
      <c r="B1258" s="4" t="s">
        <v>1434</v>
      </c>
      <c r="C1258" s="4" t="n">
        <v>12</v>
      </c>
      <c r="D1258" s="4" t="n">
        <v>0</v>
      </c>
      <c r="E1258" s="13" t="n">
        <v>45572</v>
      </c>
      <c r="F1258" s="4"/>
      <c r="G1258" s="4" t="str">
        <f aca="false">INDEX(PurchaseOrders!$B$2:$B$3001,MATCH(B1258,PurchaseOrders!$A$2:$A$3001,0))</f>
        <v>V053</v>
      </c>
    </row>
    <row r="1259" customFormat="false" ht="15" hidden="false" customHeight="true" outlineLevel="0" collapsed="false">
      <c r="A1259" s="4" t="s">
        <v>4446</v>
      </c>
      <c r="B1259" s="4" t="s">
        <v>1435</v>
      </c>
      <c r="C1259" s="4" t="n">
        <v>1840</v>
      </c>
      <c r="D1259" s="4" t="n">
        <v>66</v>
      </c>
      <c r="E1259" s="13" t="n">
        <v>45194</v>
      </c>
      <c r="F1259" s="4" t="s">
        <v>3190</v>
      </c>
      <c r="G1259" s="4" t="str">
        <f aca="false">INDEX(PurchaseOrders!$B$2:$B$3001,MATCH(B1259,PurchaseOrders!$A$2:$A$3001,0))</f>
        <v>V010</v>
      </c>
    </row>
    <row r="1260" customFormat="false" ht="15" hidden="false" customHeight="true" outlineLevel="0" collapsed="false">
      <c r="A1260" s="4" t="s">
        <v>4447</v>
      </c>
      <c r="B1260" s="4" t="s">
        <v>1436</v>
      </c>
      <c r="C1260" s="4" t="n">
        <v>10</v>
      </c>
      <c r="D1260" s="4" t="n">
        <v>1</v>
      </c>
      <c r="E1260" s="13" t="n">
        <v>45378</v>
      </c>
      <c r="F1260" s="4" t="s">
        <v>3190</v>
      </c>
      <c r="G1260" s="4" t="str">
        <f aca="false">INDEX(PurchaseOrders!$B$2:$B$3001,MATCH(B1260,PurchaseOrders!$A$2:$A$3001,0))</f>
        <v>V023</v>
      </c>
    </row>
    <row r="1261" customFormat="false" ht="15" hidden="false" customHeight="true" outlineLevel="0" collapsed="false">
      <c r="A1261" s="4" t="s">
        <v>4448</v>
      </c>
      <c r="B1261" s="4" t="s">
        <v>1437</v>
      </c>
      <c r="C1261" s="4" t="n">
        <v>1200</v>
      </c>
      <c r="D1261" s="4" t="n">
        <v>0</v>
      </c>
      <c r="E1261" s="13" t="n">
        <v>45155</v>
      </c>
      <c r="F1261" s="4"/>
      <c r="G1261" s="4" t="str">
        <f aca="false">INDEX(PurchaseOrders!$B$2:$B$3001,MATCH(B1261,PurchaseOrders!$A$2:$A$3001,0))</f>
        <v>V020</v>
      </c>
    </row>
    <row r="1262" customFormat="false" ht="15" hidden="false" customHeight="true" outlineLevel="0" collapsed="false">
      <c r="A1262" s="4" t="s">
        <v>4449</v>
      </c>
      <c r="B1262" s="4" t="s">
        <v>1438</v>
      </c>
      <c r="C1262" s="4" t="n">
        <v>1294</v>
      </c>
      <c r="D1262" s="4" t="n">
        <v>69</v>
      </c>
      <c r="E1262" s="13" t="n">
        <v>45190</v>
      </c>
      <c r="F1262" s="4" t="s">
        <v>3184</v>
      </c>
      <c r="G1262" s="4" t="str">
        <f aca="false">INDEX(PurchaseOrders!$B$2:$B$3001,MATCH(B1262,PurchaseOrders!$A$2:$A$3001,0))</f>
        <v>V020</v>
      </c>
    </row>
    <row r="1263" customFormat="false" ht="15" hidden="false" customHeight="true" outlineLevel="0" collapsed="false">
      <c r="A1263" s="4" t="s">
        <v>4450</v>
      </c>
      <c r="B1263" s="4" t="s">
        <v>1439</v>
      </c>
      <c r="C1263" s="4" t="n">
        <v>397</v>
      </c>
      <c r="D1263" s="4" t="n">
        <v>38</v>
      </c>
      <c r="E1263" s="13" t="n">
        <v>45469</v>
      </c>
      <c r="F1263" s="4" t="s">
        <v>3202</v>
      </c>
      <c r="G1263" s="4" t="str">
        <f aca="false">INDEX(PurchaseOrders!$B$2:$B$3001,MATCH(B1263,PurchaseOrders!$A$2:$A$3001,0))</f>
        <v>V030</v>
      </c>
    </row>
    <row r="1264" customFormat="false" ht="15" hidden="false" customHeight="true" outlineLevel="0" collapsed="false">
      <c r="A1264" s="4" t="s">
        <v>4451</v>
      </c>
      <c r="B1264" s="4" t="s">
        <v>1440</v>
      </c>
      <c r="C1264" s="4" t="n">
        <v>4371</v>
      </c>
      <c r="D1264" s="4" t="n">
        <v>166</v>
      </c>
      <c r="E1264" s="13" t="n">
        <v>45412</v>
      </c>
      <c r="F1264" s="4" t="s">
        <v>3190</v>
      </c>
      <c r="G1264" s="4" t="str">
        <f aca="false">INDEX(PurchaseOrders!$B$2:$B$3001,MATCH(B1264,PurchaseOrders!$A$2:$A$3001,0))</f>
        <v>V017</v>
      </c>
    </row>
    <row r="1265" customFormat="false" ht="15" hidden="false" customHeight="true" outlineLevel="0" collapsed="false">
      <c r="A1265" s="4" t="s">
        <v>4452</v>
      </c>
      <c r="B1265" s="4" t="s">
        <v>1441</v>
      </c>
      <c r="C1265" s="4" t="n">
        <v>564</v>
      </c>
      <c r="D1265" s="4" t="n">
        <v>130</v>
      </c>
      <c r="E1265" s="13" t="n">
        <v>44993</v>
      </c>
      <c r="F1265" s="4" t="s">
        <v>3202</v>
      </c>
      <c r="G1265" s="4" t="str">
        <f aca="false">INDEX(PurchaseOrders!$B$2:$B$3001,MATCH(B1265,PurchaseOrders!$A$2:$A$3001,0))</f>
        <v>V039</v>
      </c>
    </row>
    <row r="1266" customFormat="false" ht="15" hidden="false" customHeight="true" outlineLevel="0" collapsed="false">
      <c r="A1266" s="4" t="s">
        <v>4453</v>
      </c>
      <c r="B1266" s="4" t="s">
        <v>1442</v>
      </c>
      <c r="C1266" s="4" t="n">
        <v>8</v>
      </c>
      <c r="D1266" s="4" t="n">
        <v>0</v>
      </c>
      <c r="E1266" s="13" t="n">
        <v>45091</v>
      </c>
      <c r="F1266" s="4"/>
      <c r="G1266" s="4" t="str">
        <f aca="false">INDEX(PurchaseOrders!$B$2:$B$3001,MATCH(B1266,PurchaseOrders!$A$2:$A$3001,0))</f>
        <v>V053</v>
      </c>
    </row>
    <row r="1267" customFormat="false" ht="15" hidden="false" customHeight="true" outlineLevel="0" collapsed="false">
      <c r="A1267" s="4" t="s">
        <v>4454</v>
      </c>
      <c r="B1267" s="4" t="s">
        <v>1443</v>
      </c>
      <c r="C1267" s="4" t="n">
        <v>1225</v>
      </c>
      <c r="D1267" s="4" t="n">
        <v>281</v>
      </c>
      <c r="E1267" s="13" t="n">
        <v>45412</v>
      </c>
      <c r="F1267" s="4" t="s">
        <v>3192</v>
      </c>
      <c r="G1267" s="4" t="str">
        <f aca="false">INDEX(PurchaseOrders!$B$2:$B$3001,MATCH(B1267,PurchaseOrders!$A$2:$A$3001,0))</f>
        <v>V039</v>
      </c>
    </row>
    <row r="1268" customFormat="false" ht="15" hidden="false" customHeight="true" outlineLevel="0" collapsed="false">
      <c r="A1268" s="4" t="s">
        <v>4455</v>
      </c>
      <c r="B1268" s="4" t="s">
        <v>1444</v>
      </c>
      <c r="C1268" s="4" t="n">
        <v>3320</v>
      </c>
      <c r="D1268" s="4" t="n">
        <v>267</v>
      </c>
      <c r="E1268" s="13" t="n">
        <v>45144</v>
      </c>
      <c r="F1268" s="4" t="s">
        <v>3184</v>
      </c>
      <c r="G1268" s="4" t="str">
        <f aca="false">INDEX(PurchaseOrders!$B$2:$B$3001,MATCH(B1268,PurchaseOrders!$A$2:$A$3001,0))</f>
        <v>V003</v>
      </c>
    </row>
    <row r="1269" customFormat="false" ht="15" hidden="false" customHeight="true" outlineLevel="0" collapsed="false">
      <c r="A1269" s="4" t="s">
        <v>4456</v>
      </c>
      <c r="B1269" s="4" t="s">
        <v>1445</v>
      </c>
      <c r="C1269" s="4" t="n">
        <v>146</v>
      </c>
      <c r="D1269" s="4" t="n">
        <v>7</v>
      </c>
      <c r="E1269" s="13" t="n">
        <v>45628</v>
      </c>
      <c r="F1269" s="4" t="s">
        <v>3202</v>
      </c>
      <c r="G1269" s="4" t="str">
        <f aca="false">INDEX(PurchaseOrders!$B$2:$B$3001,MATCH(B1269,PurchaseOrders!$A$2:$A$3001,0))</f>
        <v>V031</v>
      </c>
    </row>
    <row r="1270" customFormat="false" ht="15" hidden="false" customHeight="true" outlineLevel="0" collapsed="false">
      <c r="A1270" s="4" t="s">
        <v>4457</v>
      </c>
      <c r="B1270" s="4" t="s">
        <v>1446</v>
      </c>
      <c r="C1270" s="4" t="n">
        <v>638</v>
      </c>
      <c r="D1270" s="4" t="n">
        <v>8</v>
      </c>
      <c r="E1270" s="13" t="n">
        <v>45664</v>
      </c>
      <c r="F1270" s="4" t="s">
        <v>3202</v>
      </c>
      <c r="G1270" s="4" t="str">
        <f aca="false">INDEX(PurchaseOrders!$B$2:$B$3001,MATCH(B1270,PurchaseOrders!$A$2:$A$3001,0))</f>
        <v>V059</v>
      </c>
    </row>
    <row r="1271" customFormat="false" ht="15" hidden="false" customHeight="true" outlineLevel="0" collapsed="false">
      <c r="A1271" s="4" t="s">
        <v>4458</v>
      </c>
      <c r="B1271" s="4" t="s">
        <v>1447</v>
      </c>
      <c r="C1271" s="4" t="n">
        <v>324</v>
      </c>
      <c r="D1271" s="4" t="n">
        <v>25</v>
      </c>
      <c r="E1271" s="13" t="n">
        <v>45061</v>
      </c>
      <c r="F1271" s="4" t="s">
        <v>3192</v>
      </c>
      <c r="G1271" s="4" t="str">
        <f aca="false">INDEX(PurchaseOrders!$B$2:$B$3001,MATCH(B1271,PurchaseOrders!$A$2:$A$3001,0))</f>
        <v>V012</v>
      </c>
    </row>
    <row r="1272" customFormat="false" ht="15" hidden="false" customHeight="true" outlineLevel="0" collapsed="false">
      <c r="A1272" s="4" t="s">
        <v>4459</v>
      </c>
      <c r="B1272" s="4" t="s">
        <v>1448</v>
      </c>
      <c r="C1272" s="4" t="n">
        <v>1521</v>
      </c>
      <c r="D1272" s="4" t="n">
        <v>90</v>
      </c>
      <c r="E1272" s="13" t="n">
        <v>44965</v>
      </c>
      <c r="F1272" s="4" t="s">
        <v>3184</v>
      </c>
      <c r="G1272" s="4" t="str">
        <f aca="false">INDEX(PurchaseOrders!$B$2:$B$3001,MATCH(B1272,PurchaseOrders!$A$2:$A$3001,0))</f>
        <v>V045</v>
      </c>
    </row>
    <row r="1273" customFormat="false" ht="15" hidden="false" customHeight="true" outlineLevel="0" collapsed="false">
      <c r="A1273" s="4" t="s">
        <v>4460</v>
      </c>
      <c r="B1273" s="4" t="s">
        <v>1449</v>
      </c>
      <c r="C1273" s="4" t="n">
        <v>11</v>
      </c>
      <c r="D1273" s="4" t="n">
        <v>1</v>
      </c>
      <c r="E1273" s="13" t="n">
        <v>45166</v>
      </c>
      <c r="F1273" s="4" t="s">
        <v>3186</v>
      </c>
      <c r="G1273" s="4" t="str">
        <f aca="false">INDEX(PurchaseOrders!$B$2:$B$3001,MATCH(B1273,PurchaseOrders!$A$2:$A$3001,0))</f>
        <v>V042</v>
      </c>
    </row>
    <row r="1274" customFormat="false" ht="15" hidden="false" customHeight="true" outlineLevel="0" collapsed="false">
      <c r="A1274" s="4" t="s">
        <v>4461</v>
      </c>
      <c r="B1274" s="4" t="s">
        <v>1450</v>
      </c>
      <c r="C1274" s="4" t="n">
        <v>168</v>
      </c>
      <c r="D1274" s="4" t="n">
        <v>8</v>
      </c>
      <c r="E1274" s="13" t="n">
        <v>45547</v>
      </c>
      <c r="F1274" s="4" t="s">
        <v>3186</v>
      </c>
      <c r="G1274" s="4" t="str">
        <f aca="false">INDEX(PurchaseOrders!$B$2:$B$3001,MATCH(B1274,PurchaseOrders!$A$2:$A$3001,0))</f>
        <v>V029</v>
      </c>
    </row>
    <row r="1275" customFormat="false" ht="15" hidden="false" customHeight="true" outlineLevel="0" collapsed="false">
      <c r="A1275" s="4" t="s">
        <v>4462</v>
      </c>
      <c r="B1275" s="4" t="s">
        <v>1451</v>
      </c>
      <c r="C1275" s="4" t="n">
        <v>476</v>
      </c>
      <c r="D1275" s="4" t="n">
        <v>47</v>
      </c>
      <c r="E1275" s="13" t="n">
        <v>45521</v>
      </c>
      <c r="F1275" s="4" t="s">
        <v>3202</v>
      </c>
      <c r="G1275" s="4" t="str">
        <f aca="false">INDEX(PurchaseOrders!$B$2:$B$3001,MATCH(B1275,PurchaseOrders!$A$2:$A$3001,0))</f>
        <v>V030</v>
      </c>
    </row>
    <row r="1276" customFormat="false" ht="15" hidden="false" customHeight="true" outlineLevel="0" collapsed="false">
      <c r="A1276" s="4" t="s">
        <v>4463</v>
      </c>
      <c r="B1276" s="4" t="s">
        <v>1452</v>
      </c>
      <c r="C1276" s="4" t="n">
        <v>137</v>
      </c>
      <c r="D1276" s="4" t="n">
        <v>7</v>
      </c>
      <c r="E1276" s="13" t="n">
        <v>45666</v>
      </c>
      <c r="F1276" s="4" t="s">
        <v>3188</v>
      </c>
      <c r="G1276" s="4" t="str">
        <f aca="false">INDEX(PurchaseOrders!$B$2:$B$3001,MATCH(B1276,PurchaseOrders!$A$2:$A$3001,0))</f>
        <v>V018</v>
      </c>
    </row>
    <row r="1277" customFormat="false" ht="15" hidden="false" customHeight="true" outlineLevel="0" collapsed="false">
      <c r="A1277" s="4" t="s">
        <v>4464</v>
      </c>
      <c r="B1277" s="4" t="s">
        <v>1453</v>
      </c>
      <c r="C1277" s="4" t="n">
        <v>132</v>
      </c>
      <c r="D1277" s="4" t="n">
        <v>6</v>
      </c>
      <c r="E1277" s="13" t="n">
        <v>45076</v>
      </c>
      <c r="F1277" s="4" t="s">
        <v>3190</v>
      </c>
      <c r="G1277" s="4" t="str">
        <f aca="false">INDEX(PurchaseOrders!$B$2:$B$3001,MATCH(B1277,PurchaseOrders!$A$2:$A$3001,0))</f>
        <v>V031</v>
      </c>
    </row>
    <row r="1278" customFormat="false" ht="15" hidden="false" customHeight="true" outlineLevel="0" collapsed="false">
      <c r="A1278" s="4" t="s">
        <v>4465</v>
      </c>
      <c r="B1278" s="4" t="s">
        <v>1454</v>
      </c>
      <c r="C1278" s="4" t="n">
        <v>246</v>
      </c>
      <c r="D1278" s="4" t="n">
        <v>5</v>
      </c>
      <c r="E1278" s="13" t="n">
        <v>45365</v>
      </c>
      <c r="F1278" s="4" t="s">
        <v>3184</v>
      </c>
      <c r="G1278" s="4" t="str">
        <f aca="false">INDEX(PurchaseOrders!$B$2:$B$3001,MATCH(B1278,PurchaseOrders!$A$2:$A$3001,0))</f>
        <v>V024</v>
      </c>
    </row>
    <row r="1279" customFormat="false" ht="15" hidden="false" customHeight="true" outlineLevel="0" collapsed="false">
      <c r="A1279" s="4" t="s">
        <v>4466</v>
      </c>
      <c r="B1279" s="4" t="s">
        <v>1455</v>
      </c>
      <c r="C1279" s="4" t="n">
        <v>9</v>
      </c>
      <c r="D1279" s="4" t="n">
        <v>0</v>
      </c>
      <c r="E1279" s="13" t="n">
        <v>45422</v>
      </c>
      <c r="F1279" s="4"/>
      <c r="G1279" s="4" t="str">
        <f aca="false">INDEX(PurchaseOrders!$B$2:$B$3001,MATCH(B1279,PurchaseOrders!$A$2:$A$3001,0))</f>
        <v>V016</v>
      </c>
    </row>
    <row r="1280" customFormat="false" ht="15" hidden="false" customHeight="true" outlineLevel="0" collapsed="false">
      <c r="A1280" s="4" t="s">
        <v>4467</v>
      </c>
      <c r="B1280" s="4" t="s">
        <v>1456</v>
      </c>
      <c r="C1280" s="4" t="n">
        <v>8</v>
      </c>
      <c r="D1280" s="4" t="n">
        <v>0</v>
      </c>
      <c r="E1280" s="13" t="n">
        <v>45256</v>
      </c>
      <c r="F1280" s="4"/>
      <c r="G1280" s="4" t="str">
        <f aca="false">INDEX(PurchaseOrders!$B$2:$B$3001,MATCH(B1280,PurchaseOrders!$A$2:$A$3001,0))</f>
        <v>V016</v>
      </c>
    </row>
    <row r="1281" customFormat="false" ht="15" hidden="false" customHeight="true" outlineLevel="0" collapsed="false">
      <c r="A1281" s="4" t="s">
        <v>4468</v>
      </c>
      <c r="B1281" s="4" t="s">
        <v>1457</v>
      </c>
      <c r="C1281" s="4" t="n">
        <v>18</v>
      </c>
      <c r="D1281" s="4" t="n">
        <v>1</v>
      </c>
      <c r="E1281" s="13" t="n">
        <v>45231</v>
      </c>
      <c r="F1281" s="4" t="s">
        <v>3186</v>
      </c>
      <c r="G1281" s="4" t="str">
        <f aca="false">INDEX(PurchaseOrders!$B$2:$B$3001,MATCH(B1281,PurchaseOrders!$A$2:$A$3001,0))</f>
        <v>V023</v>
      </c>
    </row>
    <row r="1282" customFormat="false" ht="15" hidden="false" customHeight="true" outlineLevel="0" collapsed="false">
      <c r="A1282" s="4" t="s">
        <v>4469</v>
      </c>
      <c r="B1282" s="4" t="s">
        <v>1458</v>
      </c>
      <c r="C1282" s="4" t="n">
        <v>4</v>
      </c>
      <c r="D1282" s="4" t="n">
        <v>0</v>
      </c>
      <c r="E1282" s="13" t="n">
        <v>45362</v>
      </c>
      <c r="F1282" s="4"/>
      <c r="G1282" s="4" t="str">
        <f aca="false">INDEX(PurchaseOrders!$B$2:$B$3001,MATCH(B1282,PurchaseOrders!$A$2:$A$3001,0))</f>
        <v>V053</v>
      </c>
    </row>
    <row r="1283" customFormat="false" ht="15" hidden="false" customHeight="true" outlineLevel="0" collapsed="false">
      <c r="A1283" s="4" t="s">
        <v>4470</v>
      </c>
      <c r="B1283" s="4" t="s">
        <v>1459</v>
      </c>
      <c r="C1283" s="4" t="n">
        <v>4187</v>
      </c>
      <c r="D1283" s="4" t="n">
        <v>100</v>
      </c>
      <c r="E1283" s="13" t="n">
        <v>45564</v>
      </c>
      <c r="F1283" s="4" t="s">
        <v>3188</v>
      </c>
      <c r="G1283" s="4" t="str">
        <f aca="false">INDEX(PurchaseOrders!$B$2:$B$3001,MATCH(B1283,PurchaseOrders!$A$2:$A$3001,0))</f>
        <v>V003</v>
      </c>
    </row>
    <row r="1284" customFormat="false" ht="15" hidden="false" customHeight="true" outlineLevel="0" collapsed="false">
      <c r="A1284" s="4" t="s">
        <v>4471</v>
      </c>
      <c r="B1284" s="4" t="s">
        <v>1460</v>
      </c>
      <c r="C1284" s="4" t="n">
        <v>391</v>
      </c>
      <c r="D1284" s="4" t="n">
        <v>9</v>
      </c>
      <c r="E1284" s="13" t="n">
        <v>45190</v>
      </c>
      <c r="F1284" s="4" t="s">
        <v>3192</v>
      </c>
      <c r="G1284" s="4" t="str">
        <f aca="false">INDEX(PurchaseOrders!$B$2:$B$3001,MATCH(B1284,PurchaseOrders!$A$2:$A$3001,0))</f>
        <v>V024</v>
      </c>
    </row>
    <row r="1285" customFormat="false" ht="15" hidden="false" customHeight="true" outlineLevel="0" collapsed="false">
      <c r="A1285" s="4" t="s">
        <v>4472</v>
      </c>
      <c r="B1285" s="4" t="s">
        <v>1461</v>
      </c>
      <c r="C1285" s="4" t="n">
        <v>435</v>
      </c>
      <c r="D1285" s="4" t="n">
        <v>25</v>
      </c>
      <c r="E1285" s="13" t="n">
        <v>45070</v>
      </c>
      <c r="F1285" s="4" t="s">
        <v>3188</v>
      </c>
      <c r="G1285" s="4" t="str">
        <f aca="false">INDEX(PurchaseOrders!$B$2:$B$3001,MATCH(B1285,PurchaseOrders!$A$2:$A$3001,0))</f>
        <v>V012</v>
      </c>
    </row>
    <row r="1286" customFormat="false" ht="15" hidden="false" customHeight="true" outlineLevel="0" collapsed="false">
      <c r="A1286" s="4" t="s">
        <v>4473</v>
      </c>
      <c r="B1286" s="4" t="s">
        <v>1462</v>
      </c>
      <c r="C1286" s="4" t="n">
        <v>1499</v>
      </c>
      <c r="D1286" s="4" t="n">
        <v>136</v>
      </c>
      <c r="E1286" s="13" t="n">
        <v>45168</v>
      </c>
      <c r="F1286" s="4" t="s">
        <v>3188</v>
      </c>
      <c r="G1286" s="4" t="str">
        <f aca="false">INDEX(PurchaseOrders!$B$2:$B$3001,MATCH(B1286,PurchaseOrders!$A$2:$A$3001,0))</f>
        <v>V048</v>
      </c>
    </row>
    <row r="1287" customFormat="false" ht="15" hidden="false" customHeight="true" outlineLevel="0" collapsed="false">
      <c r="A1287" s="4" t="s">
        <v>4474</v>
      </c>
      <c r="B1287" s="4" t="s">
        <v>1463</v>
      </c>
      <c r="C1287" s="4" t="n">
        <v>617</v>
      </c>
      <c r="D1287" s="4" t="n">
        <v>0</v>
      </c>
      <c r="E1287" s="13" t="n">
        <v>45135</v>
      </c>
      <c r="F1287" s="4"/>
      <c r="G1287" s="4" t="str">
        <f aca="false">INDEX(PurchaseOrders!$B$2:$B$3001,MATCH(B1287,PurchaseOrders!$A$2:$A$3001,0))</f>
        <v>V020</v>
      </c>
    </row>
    <row r="1288" customFormat="false" ht="15" hidden="false" customHeight="true" outlineLevel="0" collapsed="false">
      <c r="A1288" s="4" t="s">
        <v>4475</v>
      </c>
      <c r="B1288" s="4" t="s">
        <v>1464</v>
      </c>
      <c r="C1288" s="4" t="n">
        <v>955</v>
      </c>
      <c r="D1288" s="4" t="n">
        <v>57</v>
      </c>
      <c r="E1288" s="13" t="n">
        <v>45395</v>
      </c>
      <c r="F1288" s="4" t="s">
        <v>3202</v>
      </c>
      <c r="G1288" s="4" t="str">
        <f aca="false">INDEX(PurchaseOrders!$B$2:$B$3001,MATCH(B1288,PurchaseOrders!$A$2:$A$3001,0))</f>
        <v>V050</v>
      </c>
    </row>
    <row r="1289" customFormat="false" ht="15" hidden="false" customHeight="true" outlineLevel="0" collapsed="false">
      <c r="A1289" s="4" t="s">
        <v>4476</v>
      </c>
      <c r="B1289" s="4" t="s">
        <v>1465</v>
      </c>
      <c r="C1289" s="4" t="n">
        <v>1285</v>
      </c>
      <c r="D1289" s="4" t="n">
        <v>0</v>
      </c>
      <c r="E1289" s="13" t="n">
        <v>45463</v>
      </c>
      <c r="F1289" s="4"/>
      <c r="G1289" s="4" t="str">
        <f aca="false">INDEX(PurchaseOrders!$B$2:$B$3001,MATCH(B1289,PurchaseOrders!$A$2:$A$3001,0))</f>
        <v>V022</v>
      </c>
    </row>
    <row r="1290" customFormat="false" ht="15" hidden="false" customHeight="true" outlineLevel="0" collapsed="false">
      <c r="A1290" s="4" t="s">
        <v>4477</v>
      </c>
      <c r="B1290" s="4" t="s">
        <v>1466</v>
      </c>
      <c r="C1290" s="4" t="n">
        <v>1696</v>
      </c>
      <c r="D1290" s="4" t="n">
        <v>67</v>
      </c>
      <c r="E1290" s="13" t="n">
        <v>45314</v>
      </c>
      <c r="F1290" s="4" t="s">
        <v>3192</v>
      </c>
      <c r="G1290" s="4" t="str">
        <f aca="false">INDEX(PurchaseOrders!$B$2:$B$3001,MATCH(B1290,PurchaseOrders!$A$2:$A$3001,0))</f>
        <v>V059</v>
      </c>
    </row>
    <row r="1291" customFormat="false" ht="15" hidden="false" customHeight="true" outlineLevel="0" collapsed="false">
      <c r="A1291" s="4" t="s">
        <v>4478</v>
      </c>
      <c r="B1291" s="4" t="s">
        <v>1467</v>
      </c>
      <c r="C1291" s="4" t="n">
        <v>407</v>
      </c>
      <c r="D1291" s="4" t="n">
        <v>20</v>
      </c>
      <c r="E1291" s="13" t="n">
        <v>45058</v>
      </c>
      <c r="F1291" s="4" t="s">
        <v>3192</v>
      </c>
      <c r="G1291" s="4" t="str">
        <f aca="false">INDEX(PurchaseOrders!$B$2:$B$3001,MATCH(B1291,PurchaseOrders!$A$2:$A$3001,0))</f>
        <v>V004</v>
      </c>
    </row>
    <row r="1292" customFormat="false" ht="15" hidden="false" customHeight="true" outlineLevel="0" collapsed="false">
      <c r="A1292" s="4" t="s">
        <v>4479</v>
      </c>
      <c r="B1292" s="4" t="s">
        <v>1468</v>
      </c>
      <c r="C1292" s="4" t="n">
        <v>661</v>
      </c>
      <c r="D1292" s="4" t="n">
        <v>23</v>
      </c>
      <c r="E1292" s="13" t="n">
        <v>45138</v>
      </c>
      <c r="F1292" s="4" t="s">
        <v>3192</v>
      </c>
      <c r="G1292" s="4" t="str">
        <f aca="false">INDEX(PurchaseOrders!$B$2:$B$3001,MATCH(B1292,PurchaseOrders!$A$2:$A$3001,0))</f>
        <v>V034</v>
      </c>
    </row>
    <row r="1293" customFormat="false" ht="15" hidden="false" customHeight="true" outlineLevel="0" collapsed="false">
      <c r="A1293" s="4" t="s">
        <v>4480</v>
      </c>
      <c r="B1293" s="4" t="s">
        <v>1469</v>
      </c>
      <c r="C1293" s="4" t="n">
        <v>1271</v>
      </c>
      <c r="D1293" s="4" t="n">
        <v>20</v>
      </c>
      <c r="E1293" s="13" t="n">
        <v>45403</v>
      </c>
      <c r="F1293" s="4" t="s">
        <v>3188</v>
      </c>
      <c r="G1293" s="4" t="str">
        <f aca="false">INDEX(PurchaseOrders!$B$2:$B$3001,MATCH(B1293,PurchaseOrders!$A$2:$A$3001,0))</f>
        <v>V011</v>
      </c>
    </row>
    <row r="1294" customFormat="false" ht="15" hidden="false" customHeight="true" outlineLevel="0" collapsed="false">
      <c r="A1294" s="4" t="s">
        <v>4481</v>
      </c>
      <c r="B1294" s="4" t="s">
        <v>1470</v>
      </c>
      <c r="C1294" s="4" t="n">
        <v>921</v>
      </c>
      <c r="D1294" s="4" t="n">
        <v>127</v>
      </c>
      <c r="E1294" s="13" t="n">
        <v>45610</v>
      </c>
      <c r="F1294" s="4" t="s">
        <v>3192</v>
      </c>
      <c r="G1294" s="4" t="str">
        <f aca="false">INDEX(PurchaseOrders!$B$2:$B$3001,MATCH(B1294,PurchaseOrders!$A$2:$A$3001,0))</f>
        <v>V044</v>
      </c>
    </row>
    <row r="1295" customFormat="false" ht="15" hidden="false" customHeight="true" outlineLevel="0" collapsed="false">
      <c r="A1295" s="4" t="s">
        <v>4482</v>
      </c>
      <c r="B1295" s="4" t="s">
        <v>1471</v>
      </c>
      <c r="C1295" s="4" t="n">
        <v>292</v>
      </c>
      <c r="D1295" s="4" t="n">
        <v>0</v>
      </c>
      <c r="E1295" s="13" t="n">
        <v>45504</v>
      </c>
      <c r="F1295" s="4"/>
      <c r="G1295" s="4" t="str">
        <f aca="false">INDEX(PurchaseOrders!$B$2:$B$3001,MATCH(B1295,PurchaseOrders!$A$2:$A$3001,0))</f>
        <v>V008</v>
      </c>
    </row>
    <row r="1296" customFormat="false" ht="15" hidden="false" customHeight="true" outlineLevel="0" collapsed="false">
      <c r="A1296" s="4" t="s">
        <v>4483</v>
      </c>
      <c r="B1296" s="4" t="s">
        <v>1472</v>
      </c>
      <c r="C1296" s="4" t="n">
        <v>67</v>
      </c>
      <c r="D1296" s="4" t="n">
        <v>4</v>
      </c>
      <c r="E1296" s="13" t="n">
        <v>44983</v>
      </c>
      <c r="F1296" s="4" t="s">
        <v>3184</v>
      </c>
      <c r="G1296" s="4" t="str">
        <f aca="false">INDEX(PurchaseOrders!$B$2:$B$3001,MATCH(B1296,PurchaseOrders!$A$2:$A$3001,0))</f>
        <v>V009</v>
      </c>
    </row>
    <row r="1297" customFormat="false" ht="15" hidden="false" customHeight="true" outlineLevel="0" collapsed="false">
      <c r="A1297" s="4" t="s">
        <v>4484</v>
      </c>
      <c r="B1297" s="4" t="s">
        <v>1473</v>
      </c>
      <c r="C1297" s="4" t="n">
        <v>426</v>
      </c>
      <c r="D1297" s="4" t="n">
        <v>24</v>
      </c>
      <c r="E1297" s="13" t="n">
        <v>45492</v>
      </c>
      <c r="F1297" s="4" t="s">
        <v>3190</v>
      </c>
      <c r="G1297" s="4" t="str">
        <f aca="false">INDEX(PurchaseOrders!$B$2:$B$3001,MATCH(B1297,PurchaseOrders!$A$2:$A$3001,0))</f>
        <v>V031</v>
      </c>
    </row>
    <row r="1298" customFormat="false" ht="15" hidden="false" customHeight="true" outlineLevel="0" collapsed="false">
      <c r="A1298" s="4" t="s">
        <v>4485</v>
      </c>
      <c r="B1298" s="4" t="s">
        <v>1474</v>
      </c>
      <c r="C1298" s="4" t="n">
        <v>358</v>
      </c>
      <c r="D1298" s="4" t="n">
        <v>26</v>
      </c>
      <c r="E1298" s="13" t="n">
        <v>45307</v>
      </c>
      <c r="F1298" s="4" t="s">
        <v>3188</v>
      </c>
      <c r="G1298" s="4" t="str">
        <f aca="false">INDEX(PurchaseOrders!$B$2:$B$3001,MATCH(B1298,PurchaseOrders!$A$2:$A$3001,0))</f>
        <v>V007</v>
      </c>
    </row>
    <row r="1299" customFormat="false" ht="15" hidden="false" customHeight="true" outlineLevel="0" collapsed="false">
      <c r="A1299" s="4" t="s">
        <v>4486</v>
      </c>
      <c r="B1299" s="4" t="s">
        <v>1475</v>
      </c>
      <c r="C1299" s="4" t="n">
        <v>1312</v>
      </c>
      <c r="D1299" s="4" t="n">
        <v>29</v>
      </c>
      <c r="E1299" s="13" t="n">
        <v>45627</v>
      </c>
      <c r="F1299" s="4" t="s">
        <v>3188</v>
      </c>
      <c r="G1299" s="4" t="str">
        <f aca="false">INDEX(PurchaseOrders!$B$2:$B$3001,MATCH(B1299,PurchaseOrders!$A$2:$A$3001,0))</f>
        <v>V050</v>
      </c>
    </row>
    <row r="1300" customFormat="false" ht="15" hidden="false" customHeight="true" outlineLevel="0" collapsed="false">
      <c r="A1300" s="4" t="s">
        <v>4487</v>
      </c>
      <c r="B1300" s="4" t="s">
        <v>1476</v>
      </c>
      <c r="C1300" s="4" t="n">
        <v>68</v>
      </c>
      <c r="D1300" s="4" t="n">
        <v>2</v>
      </c>
      <c r="E1300" s="13" t="n">
        <v>45082</v>
      </c>
      <c r="F1300" s="4" t="s">
        <v>3202</v>
      </c>
      <c r="G1300" s="4" t="str">
        <f aca="false">INDEX(PurchaseOrders!$B$2:$B$3001,MATCH(B1300,PurchaseOrders!$A$2:$A$3001,0))</f>
        <v>V031</v>
      </c>
    </row>
    <row r="1301" customFormat="false" ht="15" hidden="false" customHeight="true" outlineLevel="0" collapsed="false">
      <c r="A1301" s="4" t="s">
        <v>4488</v>
      </c>
      <c r="B1301" s="4" t="s">
        <v>1477</v>
      </c>
      <c r="C1301" s="4" t="n">
        <v>8</v>
      </c>
      <c r="D1301" s="4" t="n">
        <v>1</v>
      </c>
      <c r="E1301" s="13" t="n">
        <v>45488</v>
      </c>
      <c r="F1301" s="4" t="s">
        <v>3184</v>
      </c>
      <c r="G1301" s="4" t="str">
        <f aca="false">INDEX(PurchaseOrders!$B$2:$B$3001,MATCH(B1301,PurchaseOrders!$A$2:$A$3001,0))</f>
        <v>V042</v>
      </c>
    </row>
    <row r="1302" customFormat="false" ht="15" hidden="false" customHeight="true" outlineLevel="0" collapsed="false">
      <c r="A1302" s="4" t="s">
        <v>4489</v>
      </c>
      <c r="B1302" s="4" t="s">
        <v>1478</v>
      </c>
      <c r="C1302" s="4" t="n">
        <v>229</v>
      </c>
      <c r="D1302" s="4" t="n">
        <v>8</v>
      </c>
      <c r="E1302" s="13" t="n">
        <v>45118</v>
      </c>
      <c r="F1302" s="4" t="s">
        <v>3202</v>
      </c>
      <c r="G1302" s="4" t="str">
        <f aca="false">INDEX(PurchaseOrders!$B$2:$B$3001,MATCH(B1302,PurchaseOrders!$A$2:$A$3001,0))</f>
        <v>V024</v>
      </c>
    </row>
    <row r="1303" customFormat="false" ht="15" hidden="false" customHeight="true" outlineLevel="0" collapsed="false">
      <c r="A1303" s="4" t="s">
        <v>4490</v>
      </c>
      <c r="B1303" s="4" t="s">
        <v>1479</v>
      </c>
      <c r="C1303" s="4" t="n">
        <v>115</v>
      </c>
      <c r="D1303" s="4" t="n">
        <v>0</v>
      </c>
      <c r="E1303" s="13" t="n">
        <v>45551</v>
      </c>
      <c r="F1303" s="4"/>
      <c r="G1303" s="4" t="str">
        <f aca="false">INDEX(PurchaseOrders!$B$2:$B$3001,MATCH(B1303,PurchaseOrders!$A$2:$A$3001,0))</f>
        <v>V024</v>
      </c>
    </row>
    <row r="1304" customFormat="false" ht="15" hidden="false" customHeight="true" outlineLevel="0" collapsed="false">
      <c r="A1304" s="4" t="s">
        <v>4491</v>
      </c>
      <c r="B1304" s="4" t="s">
        <v>1480</v>
      </c>
      <c r="C1304" s="4" t="n">
        <v>111</v>
      </c>
      <c r="D1304" s="4" t="n">
        <v>4</v>
      </c>
      <c r="E1304" s="13" t="n">
        <v>44997</v>
      </c>
      <c r="F1304" s="4" t="s">
        <v>3188</v>
      </c>
      <c r="G1304" s="4" t="str">
        <f aca="false">INDEX(PurchaseOrders!$B$2:$B$3001,MATCH(B1304,PurchaseOrders!$A$2:$A$3001,0))</f>
        <v>V060</v>
      </c>
    </row>
    <row r="1305" customFormat="false" ht="15" hidden="false" customHeight="true" outlineLevel="0" collapsed="false">
      <c r="A1305" s="4" t="s">
        <v>4492</v>
      </c>
      <c r="B1305" s="4" t="s">
        <v>1481</v>
      </c>
      <c r="C1305" s="4" t="n">
        <v>1663</v>
      </c>
      <c r="D1305" s="4" t="n">
        <v>418</v>
      </c>
      <c r="E1305" s="13" t="n">
        <v>45275</v>
      </c>
      <c r="F1305" s="4" t="s">
        <v>3192</v>
      </c>
      <c r="G1305" s="4" t="str">
        <f aca="false">INDEX(PurchaseOrders!$B$2:$B$3001,MATCH(B1305,PurchaseOrders!$A$2:$A$3001,0))</f>
        <v>V039</v>
      </c>
    </row>
    <row r="1306" customFormat="false" ht="15" hidden="false" customHeight="true" outlineLevel="0" collapsed="false">
      <c r="A1306" s="4" t="s">
        <v>4493</v>
      </c>
      <c r="B1306" s="4" t="s">
        <v>1482</v>
      </c>
      <c r="C1306" s="4" t="n">
        <v>699</v>
      </c>
      <c r="D1306" s="4" t="n">
        <v>104</v>
      </c>
      <c r="E1306" s="13" t="n">
        <v>45488</v>
      </c>
      <c r="F1306" s="4" t="s">
        <v>3188</v>
      </c>
      <c r="G1306" s="4" t="str">
        <f aca="false">INDEX(PurchaseOrders!$B$2:$B$3001,MATCH(B1306,PurchaseOrders!$A$2:$A$3001,0))</f>
        <v>V044</v>
      </c>
    </row>
    <row r="1307" customFormat="false" ht="15" hidden="false" customHeight="true" outlineLevel="0" collapsed="false">
      <c r="A1307" s="4" t="s">
        <v>4494</v>
      </c>
      <c r="B1307" s="4" t="s">
        <v>1483</v>
      </c>
      <c r="C1307" s="4" t="n">
        <v>929</v>
      </c>
      <c r="D1307" s="4" t="n">
        <v>84</v>
      </c>
      <c r="E1307" s="13" t="n">
        <v>44948</v>
      </c>
      <c r="F1307" s="4" t="s">
        <v>3190</v>
      </c>
      <c r="G1307" s="4" t="str">
        <f aca="false">INDEX(PurchaseOrders!$B$2:$B$3001,MATCH(B1307,PurchaseOrders!$A$2:$A$3001,0))</f>
        <v>V027</v>
      </c>
    </row>
    <row r="1308" customFormat="false" ht="15" hidden="false" customHeight="true" outlineLevel="0" collapsed="false">
      <c r="A1308" s="4" t="s">
        <v>4495</v>
      </c>
      <c r="B1308" s="4" t="s">
        <v>1484</v>
      </c>
      <c r="C1308" s="4" t="n">
        <v>2</v>
      </c>
      <c r="D1308" s="4" t="n">
        <v>0</v>
      </c>
      <c r="E1308" s="13" t="n">
        <v>44951</v>
      </c>
      <c r="F1308" s="4"/>
      <c r="G1308" s="4" t="str">
        <f aca="false">INDEX(PurchaseOrders!$B$2:$B$3001,MATCH(B1308,PurchaseOrders!$A$2:$A$3001,0))</f>
        <v>V054</v>
      </c>
    </row>
    <row r="1309" customFormat="false" ht="15" hidden="false" customHeight="true" outlineLevel="0" collapsed="false">
      <c r="A1309" s="4" t="s">
        <v>4496</v>
      </c>
      <c r="B1309" s="4" t="s">
        <v>1485</v>
      </c>
      <c r="C1309" s="4" t="n">
        <v>3054</v>
      </c>
      <c r="D1309" s="4" t="n">
        <v>352</v>
      </c>
      <c r="E1309" s="13" t="n">
        <v>45378</v>
      </c>
      <c r="F1309" s="4" t="s">
        <v>3192</v>
      </c>
      <c r="G1309" s="4" t="str">
        <f aca="false">INDEX(PurchaseOrders!$B$2:$B$3001,MATCH(B1309,PurchaseOrders!$A$2:$A$3001,0))</f>
        <v>V057</v>
      </c>
    </row>
    <row r="1310" customFormat="false" ht="15" hidden="false" customHeight="true" outlineLevel="0" collapsed="false">
      <c r="A1310" s="4" t="s">
        <v>4497</v>
      </c>
      <c r="B1310" s="4" t="s">
        <v>1486</v>
      </c>
      <c r="C1310" s="4" t="n">
        <v>271</v>
      </c>
      <c r="D1310" s="4" t="n">
        <v>6</v>
      </c>
      <c r="E1310" s="13" t="n">
        <v>45656</v>
      </c>
      <c r="F1310" s="4" t="s">
        <v>3202</v>
      </c>
      <c r="G1310" s="4" t="str">
        <f aca="false">INDEX(PurchaseOrders!$B$2:$B$3001,MATCH(B1310,PurchaseOrders!$A$2:$A$3001,0))</f>
        <v>V022</v>
      </c>
    </row>
    <row r="1311" customFormat="false" ht="15" hidden="false" customHeight="true" outlineLevel="0" collapsed="false">
      <c r="A1311" s="4" t="s">
        <v>4498</v>
      </c>
      <c r="B1311" s="4" t="s">
        <v>1487</v>
      </c>
      <c r="C1311" s="4" t="n">
        <v>857</v>
      </c>
      <c r="D1311" s="4" t="n">
        <v>0</v>
      </c>
      <c r="E1311" s="13" t="n">
        <v>45609</v>
      </c>
      <c r="F1311" s="4"/>
      <c r="G1311" s="4" t="str">
        <f aca="false">INDEX(PurchaseOrders!$B$2:$B$3001,MATCH(B1311,PurchaseOrders!$A$2:$A$3001,0))</f>
        <v>V045</v>
      </c>
    </row>
    <row r="1312" customFormat="false" ht="15" hidden="false" customHeight="true" outlineLevel="0" collapsed="false">
      <c r="A1312" s="4" t="s">
        <v>4499</v>
      </c>
      <c r="B1312" s="4" t="s">
        <v>1488</v>
      </c>
      <c r="C1312" s="4" t="n">
        <v>493</v>
      </c>
      <c r="D1312" s="4" t="n">
        <v>10</v>
      </c>
      <c r="E1312" s="13" t="n">
        <v>45484</v>
      </c>
      <c r="F1312" s="4" t="s">
        <v>3184</v>
      </c>
      <c r="G1312" s="4" t="str">
        <f aca="false">INDEX(PurchaseOrders!$B$2:$B$3001,MATCH(B1312,PurchaseOrders!$A$2:$A$3001,0))</f>
        <v>V010</v>
      </c>
    </row>
    <row r="1313" customFormat="false" ht="15" hidden="false" customHeight="true" outlineLevel="0" collapsed="false">
      <c r="A1313" s="4" t="s">
        <v>4500</v>
      </c>
      <c r="B1313" s="4" t="s">
        <v>1489</v>
      </c>
      <c r="C1313" s="4" t="n">
        <v>3422</v>
      </c>
      <c r="D1313" s="4" t="n">
        <v>171</v>
      </c>
      <c r="E1313" s="13" t="n">
        <v>45119</v>
      </c>
      <c r="F1313" s="4" t="s">
        <v>3192</v>
      </c>
      <c r="G1313" s="4" t="str">
        <f aca="false">INDEX(PurchaseOrders!$B$2:$B$3001,MATCH(B1313,PurchaseOrders!$A$2:$A$3001,0))</f>
        <v>V001</v>
      </c>
    </row>
    <row r="1314" customFormat="false" ht="15" hidden="false" customHeight="true" outlineLevel="0" collapsed="false">
      <c r="A1314" s="4" t="s">
        <v>4501</v>
      </c>
      <c r="B1314" s="4" t="s">
        <v>1490</v>
      </c>
      <c r="C1314" s="4" t="n">
        <v>113</v>
      </c>
      <c r="D1314" s="4" t="n">
        <v>2</v>
      </c>
      <c r="E1314" s="13" t="n">
        <v>45111</v>
      </c>
      <c r="F1314" s="4" t="s">
        <v>3190</v>
      </c>
      <c r="G1314" s="4" t="str">
        <f aca="false">INDEX(PurchaseOrders!$B$2:$B$3001,MATCH(B1314,PurchaseOrders!$A$2:$A$3001,0))</f>
        <v>V052</v>
      </c>
    </row>
    <row r="1315" customFormat="false" ht="15" hidden="false" customHeight="true" outlineLevel="0" collapsed="false">
      <c r="A1315" s="4" t="s">
        <v>4502</v>
      </c>
      <c r="B1315" s="4" t="s">
        <v>1491</v>
      </c>
      <c r="C1315" s="4" t="n">
        <v>1467</v>
      </c>
      <c r="D1315" s="4" t="n">
        <v>228</v>
      </c>
      <c r="E1315" s="13" t="n">
        <v>45416</v>
      </c>
      <c r="F1315" s="4" t="s">
        <v>3202</v>
      </c>
      <c r="G1315" s="4" t="str">
        <f aca="false">INDEX(PurchaseOrders!$B$2:$B$3001,MATCH(B1315,PurchaseOrders!$A$2:$A$3001,0))</f>
        <v>V038</v>
      </c>
    </row>
    <row r="1316" customFormat="false" ht="15" hidden="false" customHeight="true" outlineLevel="0" collapsed="false">
      <c r="A1316" s="4" t="s">
        <v>4503</v>
      </c>
      <c r="B1316" s="4" t="s">
        <v>1492</v>
      </c>
      <c r="C1316" s="4" t="n">
        <v>4830</v>
      </c>
      <c r="D1316" s="4" t="n">
        <v>53</v>
      </c>
      <c r="E1316" s="13" t="n">
        <v>44937</v>
      </c>
      <c r="F1316" s="4" t="s">
        <v>3188</v>
      </c>
      <c r="G1316" s="4" t="str">
        <f aca="false">INDEX(PurchaseOrders!$B$2:$B$3001,MATCH(B1316,PurchaseOrders!$A$2:$A$3001,0))</f>
        <v>V002</v>
      </c>
    </row>
    <row r="1317" customFormat="false" ht="15" hidden="false" customHeight="true" outlineLevel="0" collapsed="false">
      <c r="A1317" s="4" t="s">
        <v>4504</v>
      </c>
      <c r="B1317" s="4" t="s">
        <v>1493</v>
      </c>
      <c r="C1317" s="4" t="n">
        <v>1098</v>
      </c>
      <c r="D1317" s="4" t="n">
        <v>22</v>
      </c>
      <c r="E1317" s="13" t="n">
        <v>45502</v>
      </c>
      <c r="F1317" s="4" t="s">
        <v>3184</v>
      </c>
      <c r="G1317" s="4" t="str">
        <f aca="false">INDEX(PurchaseOrders!$B$2:$B$3001,MATCH(B1317,PurchaseOrders!$A$2:$A$3001,0))</f>
        <v>V035</v>
      </c>
    </row>
    <row r="1318" customFormat="false" ht="15" hidden="false" customHeight="true" outlineLevel="0" collapsed="false">
      <c r="A1318" s="4" t="s">
        <v>4505</v>
      </c>
      <c r="B1318" s="4" t="s">
        <v>1494</v>
      </c>
      <c r="C1318" s="4" t="n">
        <v>264</v>
      </c>
      <c r="D1318" s="4" t="n">
        <v>0</v>
      </c>
      <c r="E1318" s="13" t="n">
        <v>45529</v>
      </c>
      <c r="F1318" s="4"/>
      <c r="G1318" s="4" t="str">
        <f aca="false">INDEX(PurchaseOrders!$B$2:$B$3001,MATCH(B1318,PurchaseOrders!$A$2:$A$3001,0))</f>
        <v>V040</v>
      </c>
    </row>
    <row r="1319" customFormat="false" ht="15" hidden="false" customHeight="true" outlineLevel="0" collapsed="false">
      <c r="A1319" s="4" t="s">
        <v>4506</v>
      </c>
      <c r="B1319" s="4" t="s">
        <v>1495</v>
      </c>
      <c r="C1319" s="4" t="n">
        <v>100</v>
      </c>
      <c r="D1319" s="4" t="n">
        <v>7</v>
      </c>
      <c r="E1319" s="13" t="n">
        <v>45059</v>
      </c>
      <c r="F1319" s="4" t="s">
        <v>3188</v>
      </c>
      <c r="G1319" s="4" t="str">
        <f aca="false">INDEX(PurchaseOrders!$B$2:$B$3001,MATCH(B1319,PurchaseOrders!$A$2:$A$3001,0))</f>
        <v>V037</v>
      </c>
    </row>
    <row r="1320" customFormat="false" ht="15" hidden="false" customHeight="true" outlineLevel="0" collapsed="false">
      <c r="A1320" s="4" t="s">
        <v>4507</v>
      </c>
      <c r="B1320" s="4" t="s">
        <v>1496</v>
      </c>
      <c r="C1320" s="4" t="n">
        <v>334</v>
      </c>
      <c r="D1320" s="4" t="n">
        <v>0</v>
      </c>
      <c r="E1320" s="13" t="n">
        <v>45254</v>
      </c>
      <c r="F1320" s="4"/>
      <c r="G1320" s="4" t="str">
        <f aca="false">INDEX(PurchaseOrders!$B$2:$B$3001,MATCH(B1320,PurchaseOrders!$A$2:$A$3001,0))</f>
        <v>V020</v>
      </c>
    </row>
    <row r="1321" customFormat="false" ht="15" hidden="false" customHeight="true" outlineLevel="0" collapsed="false">
      <c r="A1321" s="4" t="s">
        <v>4508</v>
      </c>
      <c r="B1321" s="4" t="s">
        <v>1497</v>
      </c>
      <c r="C1321" s="4" t="n">
        <v>377</v>
      </c>
      <c r="D1321" s="4" t="n">
        <v>52</v>
      </c>
      <c r="E1321" s="13" t="n">
        <v>45252</v>
      </c>
      <c r="F1321" s="4" t="s">
        <v>3184</v>
      </c>
      <c r="G1321" s="4" t="str">
        <f aca="false">INDEX(PurchaseOrders!$B$2:$B$3001,MATCH(B1321,PurchaseOrders!$A$2:$A$3001,0))</f>
        <v>V055</v>
      </c>
    </row>
    <row r="1322" customFormat="false" ht="15" hidden="false" customHeight="true" outlineLevel="0" collapsed="false">
      <c r="A1322" s="4" t="s">
        <v>4509</v>
      </c>
      <c r="B1322" s="4" t="s">
        <v>1498</v>
      </c>
      <c r="C1322" s="4" t="n">
        <v>439</v>
      </c>
      <c r="D1322" s="4" t="n">
        <v>11</v>
      </c>
      <c r="E1322" s="13" t="n">
        <v>45029</v>
      </c>
      <c r="F1322" s="4" t="s">
        <v>3192</v>
      </c>
      <c r="G1322" s="4" t="str">
        <f aca="false">INDEX(PurchaseOrders!$B$2:$B$3001,MATCH(B1322,PurchaseOrders!$A$2:$A$3001,0))</f>
        <v>V060</v>
      </c>
    </row>
    <row r="1323" customFormat="false" ht="15" hidden="false" customHeight="true" outlineLevel="0" collapsed="false">
      <c r="A1323" s="4" t="s">
        <v>4510</v>
      </c>
      <c r="B1323" s="4" t="s">
        <v>1499</v>
      </c>
      <c r="C1323" s="4" t="n">
        <v>369</v>
      </c>
      <c r="D1323" s="4" t="n">
        <v>48</v>
      </c>
      <c r="E1323" s="13" t="n">
        <v>45572</v>
      </c>
      <c r="F1323" s="4" t="s">
        <v>3192</v>
      </c>
      <c r="G1323" s="4" t="str">
        <f aca="false">INDEX(PurchaseOrders!$B$2:$B$3001,MATCH(B1323,PurchaseOrders!$A$2:$A$3001,0))</f>
        <v>V055</v>
      </c>
    </row>
    <row r="1324" customFormat="false" ht="15" hidden="false" customHeight="true" outlineLevel="0" collapsed="false">
      <c r="A1324" s="4" t="s">
        <v>4511</v>
      </c>
      <c r="B1324" s="4" t="s">
        <v>1500</v>
      </c>
      <c r="C1324" s="4" t="n">
        <v>176</v>
      </c>
      <c r="D1324" s="4" t="n">
        <v>21</v>
      </c>
      <c r="E1324" s="13" t="n">
        <v>45078</v>
      </c>
      <c r="F1324" s="4" t="s">
        <v>3184</v>
      </c>
      <c r="G1324" s="4" t="str">
        <f aca="false">INDEX(PurchaseOrders!$B$2:$B$3001,MATCH(B1324,PurchaseOrders!$A$2:$A$3001,0))</f>
        <v>V049</v>
      </c>
    </row>
    <row r="1325" customFormat="false" ht="15" hidden="false" customHeight="true" outlineLevel="0" collapsed="false">
      <c r="A1325" s="4" t="s">
        <v>4512</v>
      </c>
      <c r="B1325" s="4" t="s">
        <v>1501</v>
      </c>
      <c r="C1325" s="4" t="n">
        <v>1814</v>
      </c>
      <c r="D1325" s="4" t="n">
        <v>13</v>
      </c>
      <c r="E1325" s="13" t="n">
        <v>45321</v>
      </c>
      <c r="F1325" s="4" t="s">
        <v>3186</v>
      </c>
      <c r="G1325" s="4" t="str">
        <f aca="false">INDEX(PurchaseOrders!$B$2:$B$3001,MATCH(B1325,PurchaseOrders!$A$2:$A$3001,0))</f>
        <v>V059</v>
      </c>
    </row>
    <row r="1326" customFormat="false" ht="15" hidden="false" customHeight="true" outlineLevel="0" collapsed="false">
      <c r="A1326" s="4" t="s">
        <v>4513</v>
      </c>
      <c r="B1326" s="4" t="s">
        <v>1502</v>
      </c>
      <c r="C1326" s="4" t="n">
        <v>3428</v>
      </c>
      <c r="D1326" s="4" t="n">
        <v>156</v>
      </c>
      <c r="E1326" s="13" t="n">
        <v>45493</v>
      </c>
      <c r="F1326" s="4" t="s">
        <v>3184</v>
      </c>
      <c r="G1326" s="4" t="str">
        <f aca="false">INDEX(PurchaseOrders!$B$2:$B$3001,MATCH(B1326,PurchaseOrders!$A$2:$A$3001,0))</f>
        <v>V003</v>
      </c>
    </row>
    <row r="1327" customFormat="false" ht="15" hidden="false" customHeight="true" outlineLevel="0" collapsed="false">
      <c r="A1327" s="4" t="s">
        <v>4514</v>
      </c>
      <c r="B1327" s="4" t="s">
        <v>1503</v>
      </c>
      <c r="C1327" s="4" t="n">
        <v>609</v>
      </c>
      <c r="D1327" s="4" t="n">
        <v>79</v>
      </c>
      <c r="E1327" s="13" t="n">
        <v>45103</v>
      </c>
      <c r="F1327" s="4" t="s">
        <v>3202</v>
      </c>
      <c r="G1327" s="4" t="str">
        <f aca="false">INDEX(PurchaseOrders!$B$2:$B$3001,MATCH(B1327,PurchaseOrders!$A$2:$A$3001,0))</f>
        <v>V038</v>
      </c>
    </row>
    <row r="1328" customFormat="false" ht="15" hidden="false" customHeight="true" outlineLevel="0" collapsed="false">
      <c r="A1328" s="4" t="s">
        <v>4515</v>
      </c>
      <c r="B1328" s="4" t="s">
        <v>1504</v>
      </c>
      <c r="C1328" s="4" t="n">
        <v>2</v>
      </c>
      <c r="D1328" s="4" t="n">
        <v>0</v>
      </c>
      <c r="E1328" s="13" t="n">
        <v>45324</v>
      </c>
      <c r="F1328" s="4"/>
      <c r="G1328" s="4" t="str">
        <f aca="false">INDEX(PurchaseOrders!$B$2:$B$3001,MATCH(B1328,PurchaseOrders!$A$2:$A$3001,0))</f>
        <v>V053</v>
      </c>
    </row>
    <row r="1329" customFormat="false" ht="15" hidden="false" customHeight="true" outlineLevel="0" collapsed="false">
      <c r="A1329" s="4" t="s">
        <v>4516</v>
      </c>
      <c r="B1329" s="4" t="s">
        <v>1505</v>
      </c>
      <c r="C1329" s="4" t="n">
        <v>934</v>
      </c>
      <c r="D1329" s="4" t="n">
        <v>95</v>
      </c>
      <c r="E1329" s="13" t="n">
        <v>45069</v>
      </c>
      <c r="F1329" s="4" t="s">
        <v>3184</v>
      </c>
      <c r="G1329" s="4" t="str">
        <f aca="false">INDEX(PurchaseOrders!$B$2:$B$3001,MATCH(B1329,PurchaseOrders!$A$2:$A$3001,0))</f>
        <v>V014</v>
      </c>
    </row>
    <row r="1330" customFormat="false" ht="15" hidden="false" customHeight="true" outlineLevel="0" collapsed="false">
      <c r="A1330" s="4" t="s">
        <v>4517</v>
      </c>
      <c r="B1330" s="4" t="s">
        <v>1506</v>
      </c>
      <c r="C1330" s="4" t="n">
        <v>110</v>
      </c>
      <c r="D1330" s="4" t="n">
        <v>8</v>
      </c>
      <c r="E1330" s="13" t="n">
        <v>45629</v>
      </c>
      <c r="F1330" s="4" t="s">
        <v>3202</v>
      </c>
      <c r="G1330" s="4" t="str">
        <f aca="false">INDEX(PurchaseOrders!$B$2:$B$3001,MATCH(B1330,PurchaseOrders!$A$2:$A$3001,0))</f>
        <v>V012</v>
      </c>
    </row>
    <row r="1331" customFormat="false" ht="15" hidden="false" customHeight="true" outlineLevel="0" collapsed="false">
      <c r="A1331" s="4" t="s">
        <v>4518</v>
      </c>
      <c r="B1331" s="4" t="s">
        <v>1507</v>
      </c>
      <c r="C1331" s="4" t="n">
        <v>2156</v>
      </c>
      <c r="D1331" s="4" t="n">
        <v>56</v>
      </c>
      <c r="E1331" s="13" t="n">
        <v>45343</v>
      </c>
      <c r="F1331" s="4" t="s">
        <v>3202</v>
      </c>
      <c r="G1331" s="4" t="str">
        <f aca="false">INDEX(PurchaseOrders!$B$2:$B$3001,MATCH(B1331,PurchaseOrders!$A$2:$A$3001,0))</f>
        <v>V017</v>
      </c>
    </row>
    <row r="1332" customFormat="false" ht="15" hidden="false" customHeight="true" outlineLevel="0" collapsed="false">
      <c r="A1332" s="4" t="s">
        <v>4519</v>
      </c>
      <c r="B1332" s="4" t="s">
        <v>1508</v>
      </c>
      <c r="C1332" s="4" t="n">
        <v>1516</v>
      </c>
      <c r="D1332" s="4" t="n">
        <v>0</v>
      </c>
      <c r="E1332" s="13" t="n">
        <v>45229</v>
      </c>
      <c r="F1332" s="4"/>
      <c r="G1332" s="4" t="str">
        <f aca="false">INDEX(PurchaseOrders!$B$2:$B$3001,MATCH(B1332,PurchaseOrders!$A$2:$A$3001,0))</f>
        <v>V011</v>
      </c>
    </row>
    <row r="1333" customFormat="false" ht="15" hidden="false" customHeight="true" outlineLevel="0" collapsed="false">
      <c r="A1333" s="4" t="s">
        <v>4520</v>
      </c>
      <c r="B1333" s="4" t="s">
        <v>1509</v>
      </c>
      <c r="C1333" s="4" t="n">
        <v>3</v>
      </c>
      <c r="D1333" s="4" t="n">
        <v>0</v>
      </c>
      <c r="E1333" s="13" t="n">
        <v>45150</v>
      </c>
      <c r="F1333" s="4"/>
      <c r="G1333" s="4" t="str">
        <f aca="false">INDEX(PurchaseOrders!$B$2:$B$3001,MATCH(B1333,PurchaseOrders!$A$2:$A$3001,0))</f>
        <v>V019</v>
      </c>
    </row>
    <row r="1334" customFormat="false" ht="15" hidden="false" customHeight="true" outlineLevel="0" collapsed="false">
      <c r="A1334" s="4" t="s">
        <v>4521</v>
      </c>
      <c r="B1334" s="4" t="s">
        <v>1510</v>
      </c>
      <c r="C1334" s="4" t="n">
        <v>1054</v>
      </c>
      <c r="D1334" s="4" t="n">
        <v>41</v>
      </c>
      <c r="E1334" s="13" t="n">
        <v>45630</v>
      </c>
      <c r="F1334" s="4" t="s">
        <v>3202</v>
      </c>
      <c r="G1334" s="4" t="str">
        <f aca="false">INDEX(PurchaseOrders!$B$2:$B$3001,MATCH(B1334,PurchaseOrders!$A$2:$A$3001,0))</f>
        <v>V003</v>
      </c>
    </row>
    <row r="1335" customFormat="false" ht="15" hidden="false" customHeight="true" outlineLevel="0" collapsed="false">
      <c r="A1335" s="4" t="s">
        <v>4522</v>
      </c>
      <c r="B1335" s="4" t="s">
        <v>1511</v>
      </c>
      <c r="C1335" s="4" t="n">
        <v>110</v>
      </c>
      <c r="D1335" s="4" t="n">
        <v>11</v>
      </c>
      <c r="E1335" s="13" t="n">
        <v>45366</v>
      </c>
      <c r="F1335" s="4" t="s">
        <v>3202</v>
      </c>
      <c r="G1335" s="4" t="str">
        <f aca="false">INDEX(PurchaseOrders!$B$2:$B$3001,MATCH(B1335,PurchaseOrders!$A$2:$A$3001,0))</f>
        <v>V049</v>
      </c>
    </row>
    <row r="1336" customFormat="false" ht="15" hidden="false" customHeight="true" outlineLevel="0" collapsed="false">
      <c r="A1336" s="4" t="s">
        <v>4523</v>
      </c>
      <c r="B1336" s="4" t="s">
        <v>1512</v>
      </c>
      <c r="C1336" s="4" t="n">
        <v>3</v>
      </c>
      <c r="D1336" s="4" t="n">
        <v>0</v>
      </c>
      <c r="E1336" s="13" t="n">
        <v>45079</v>
      </c>
      <c r="F1336" s="4"/>
      <c r="G1336" s="4" t="str">
        <f aca="false">INDEX(PurchaseOrders!$B$2:$B$3001,MATCH(B1336,PurchaseOrders!$A$2:$A$3001,0))</f>
        <v>V041</v>
      </c>
    </row>
    <row r="1337" customFormat="false" ht="15" hidden="false" customHeight="true" outlineLevel="0" collapsed="false">
      <c r="A1337" s="4" t="s">
        <v>4524</v>
      </c>
      <c r="B1337" s="4" t="s">
        <v>1513</v>
      </c>
      <c r="C1337" s="4" t="n">
        <v>70</v>
      </c>
      <c r="D1337" s="4" t="n">
        <v>1</v>
      </c>
      <c r="E1337" s="13" t="n">
        <v>45135</v>
      </c>
      <c r="F1337" s="4" t="s">
        <v>3202</v>
      </c>
      <c r="G1337" s="4" t="str">
        <f aca="false">INDEX(PurchaseOrders!$B$2:$B$3001,MATCH(B1337,PurchaseOrders!$A$2:$A$3001,0))</f>
        <v>V008</v>
      </c>
    </row>
    <row r="1338" customFormat="false" ht="15" hidden="false" customHeight="true" outlineLevel="0" collapsed="false">
      <c r="A1338" s="4" t="s">
        <v>4525</v>
      </c>
      <c r="B1338" s="4" t="s">
        <v>1514</v>
      </c>
      <c r="C1338" s="4" t="n">
        <v>2221</v>
      </c>
      <c r="D1338" s="4" t="n">
        <v>166</v>
      </c>
      <c r="E1338" s="13" t="n">
        <v>45041</v>
      </c>
      <c r="F1338" s="4" t="s">
        <v>3186</v>
      </c>
      <c r="G1338" s="4" t="str">
        <f aca="false">INDEX(PurchaseOrders!$B$2:$B$3001,MATCH(B1338,PurchaseOrders!$A$2:$A$3001,0))</f>
        <v>V056</v>
      </c>
    </row>
    <row r="1339" customFormat="false" ht="15" hidden="false" customHeight="true" outlineLevel="0" collapsed="false">
      <c r="A1339" s="4" t="s">
        <v>4526</v>
      </c>
      <c r="B1339" s="4" t="s">
        <v>1515</v>
      </c>
      <c r="C1339" s="4" t="n">
        <v>2306</v>
      </c>
      <c r="D1339" s="4" t="n">
        <v>194</v>
      </c>
      <c r="E1339" s="13" t="n">
        <v>45549</v>
      </c>
      <c r="F1339" s="4" t="s">
        <v>3190</v>
      </c>
      <c r="G1339" s="4" t="str">
        <f aca="false">INDEX(PurchaseOrders!$B$2:$B$3001,MATCH(B1339,PurchaseOrders!$A$2:$A$3001,0))</f>
        <v>V032</v>
      </c>
    </row>
    <row r="1340" customFormat="false" ht="15" hidden="false" customHeight="true" outlineLevel="0" collapsed="false">
      <c r="A1340" s="4" t="s">
        <v>4527</v>
      </c>
      <c r="B1340" s="4" t="s">
        <v>1516</v>
      </c>
      <c r="C1340" s="4" t="n">
        <v>1</v>
      </c>
      <c r="D1340" s="4" t="n">
        <v>0</v>
      </c>
      <c r="E1340" s="13" t="n">
        <v>45418</v>
      </c>
      <c r="F1340" s="4"/>
      <c r="G1340" s="4" t="str">
        <f aca="false">INDEX(PurchaseOrders!$B$2:$B$3001,MATCH(B1340,PurchaseOrders!$A$2:$A$3001,0))</f>
        <v>V019</v>
      </c>
    </row>
    <row r="1341" customFormat="false" ht="15" hidden="false" customHeight="true" outlineLevel="0" collapsed="false">
      <c r="A1341" s="4" t="s">
        <v>4528</v>
      </c>
      <c r="B1341" s="4" t="s">
        <v>1517</v>
      </c>
      <c r="C1341" s="4" t="n">
        <v>7</v>
      </c>
      <c r="D1341" s="4" t="n">
        <v>0</v>
      </c>
      <c r="E1341" s="13" t="n">
        <v>45503</v>
      </c>
      <c r="F1341" s="4"/>
      <c r="G1341" s="4" t="str">
        <f aca="false">INDEX(PurchaseOrders!$B$2:$B$3001,MATCH(B1341,PurchaseOrders!$A$2:$A$3001,0))</f>
        <v>V023</v>
      </c>
    </row>
    <row r="1342" customFormat="false" ht="15" hidden="false" customHeight="true" outlineLevel="0" collapsed="false">
      <c r="A1342" s="4" t="s">
        <v>4529</v>
      </c>
      <c r="B1342" s="4" t="s">
        <v>1518</v>
      </c>
      <c r="C1342" s="4" t="n">
        <v>243</v>
      </c>
      <c r="D1342" s="4" t="n">
        <v>14</v>
      </c>
      <c r="E1342" s="13" t="n">
        <v>45361</v>
      </c>
      <c r="F1342" s="4" t="s">
        <v>3192</v>
      </c>
      <c r="G1342" s="4" t="str">
        <f aca="false">INDEX(PurchaseOrders!$B$2:$B$3001,MATCH(B1342,PurchaseOrders!$A$2:$A$3001,0))</f>
        <v>V035</v>
      </c>
    </row>
    <row r="1343" customFormat="false" ht="15" hidden="false" customHeight="true" outlineLevel="0" collapsed="false">
      <c r="A1343" s="4" t="s">
        <v>4530</v>
      </c>
      <c r="B1343" s="4" t="s">
        <v>1519</v>
      </c>
      <c r="C1343" s="4" t="n">
        <v>137</v>
      </c>
      <c r="D1343" s="4" t="n">
        <v>10</v>
      </c>
      <c r="E1343" s="13" t="n">
        <v>45577</v>
      </c>
      <c r="F1343" s="4" t="s">
        <v>3188</v>
      </c>
      <c r="G1343" s="4" t="str">
        <f aca="false">INDEX(PurchaseOrders!$B$2:$B$3001,MATCH(B1343,PurchaseOrders!$A$2:$A$3001,0))</f>
        <v>V037</v>
      </c>
    </row>
    <row r="1344" customFormat="false" ht="15" hidden="false" customHeight="true" outlineLevel="0" collapsed="false">
      <c r="A1344" s="4" t="s">
        <v>4531</v>
      </c>
      <c r="B1344" s="4" t="s">
        <v>1520</v>
      </c>
      <c r="C1344" s="4" t="n">
        <v>4044</v>
      </c>
      <c r="D1344" s="4" t="n">
        <v>196</v>
      </c>
      <c r="E1344" s="13" t="n">
        <v>45126</v>
      </c>
      <c r="F1344" s="4" t="s">
        <v>3188</v>
      </c>
      <c r="G1344" s="4" t="str">
        <f aca="false">INDEX(PurchaseOrders!$B$2:$B$3001,MATCH(B1344,PurchaseOrders!$A$2:$A$3001,0))</f>
        <v>V014</v>
      </c>
    </row>
    <row r="1345" customFormat="false" ht="15" hidden="false" customHeight="true" outlineLevel="0" collapsed="false">
      <c r="A1345" s="4" t="s">
        <v>4532</v>
      </c>
      <c r="B1345" s="4" t="s">
        <v>1521</v>
      </c>
      <c r="C1345" s="4" t="n">
        <v>191</v>
      </c>
      <c r="D1345" s="4" t="n">
        <v>4</v>
      </c>
      <c r="E1345" s="13" t="n">
        <v>45164</v>
      </c>
      <c r="F1345" s="4" t="s">
        <v>3192</v>
      </c>
      <c r="G1345" s="4" t="str">
        <f aca="false">INDEX(PurchaseOrders!$B$2:$B$3001,MATCH(B1345,PurchaseOrders!$A$2:$A$3001,0))</f>
        <v>V060</v>
      </c>
    </row>
    <row r="1346" customFormat="false" ht="15" hidden="false" customHeight="true" outlineLevel="0" collapsed="false">
      <c r="A1346" s="4" t="s">
        <v>4533</v>
      </c>
      <c r="B1346" s="4" t="s">
        <v>1522</v>
      </c>
      <c r="C1346" s="4" t="n">
        <v>1987</v>
      </c>
      <c r="D1346" s="4" t="n">
        <v>306</v>
      </c>
      <c r="E1346" s="13" t="n">
        <v>45328</v>
      </c>
      <c r="F1346" s="4" t="s">
        <v>3188</v>
      </c>
      <c r="G1346" s="4" t="str">
        <f aca="false">INDEX(PurchaseOrders!$B$2:$B$3001,MATCH(B1346,PurchaseOrders!$A$2:$A$3001,0))</f>
        <v>V025</v>
      </c>
    </row>
    <row r="1347" customFormat="false" ht="15" hidden="false" customHeight="true" outlineLevel="0" collapsed="false">
      <c r="A1347" s="4" t="s">
        <v>4534</v>
      </c>
      <c r="B1347" s="4" t="s">
        <v>1523</v>
      </c>
      <c r="C1347" s="4" t="n">
        <v>630</v>
      </c>
      <c r="D1347" s="4" t="n">
        <v>28</v>
      </c>
      <c r="E1347" s="13" t="n">
        <v>45206</v>
      </c>
      <c r="F1347" s="4" t="s">
        <v>3190</v>
      </c>
      <c r="G1347" s="4" t="str">
        <f aca="false">INDEX(PurchaseOrders!$B$2:$B$3001,MATCH(B1347,PurchaseOrders!$A$2:$A$3001,0))</f>
        <v>V045</v>
      </c>
    </row>
    <row r="1348" customFormat="false" ht="15" hidden="false" customHeight="true" outlineLevel="0" collapsed="false">
      <c r="A1348" s="4" t="s">
        <v>4535</v>
      </c>
      <c r="B1348" s="4" t="s">
        <v>1524</v>
      </c>
      <c r="C1348" s="4" t="n">
        <v>8</v>
      </c>
      <c r="D1348" s="4" t="n">
        <v>0</v>
      </c>
      <c r="E1348" s="13" t="n">
        <v>45544</v>
      </c>
      <c r="F1348" s="4"/>
      <c r="G1348" s="4" t="str">
        <f aca="false">INDEX(PurchaseOrders!$B$2:$B$3001,MATCH(B1348,PurchaseOrders!$A$2:$A$3001,0))</f>
        <v>V053</v>
      </c>
    </row>
    <row r="1349" customFormat="false" ht="15" hidden="false" customHeight="true" outlineLevel="0" collapsed="false">
      <c r="A1349" s="4" t="s">
        <v>4536</v>
      </c>
      <c r="B1349" s="4" t="s">
        <v>1525</v>
      </c>
      <c r="C1349" s="4" t="n">
        <v>469</v>
      </c>
      <c r="D1349" s="4" t="n">
        <v>37</v>
      </c>
      <c r="E1349" s="13" t="n">
        <v>45330</v>
      </c>
      <c r="F1349" s="4" t="s">
        <v>3190</v>
      </c>
      <c r="G1349" s="4" t="str">
        <f aca="false">INDEX(PurchaseOrders!$B$2:$B$3001,MATCH(B1349,PurchaseOrders!$A$2:$A$3001,0))</f>
        <v>V043</v>
      </c>
    </row>
    <row r="1350" customFormat="false" ht="15" hidden="false" customHeight="true" outlineLevel="0" collapsed="false">
      <c r="A1350" s="4" t="s">
        <v>4537</v>
      </c>
      <c r="B1350" s="4" t="s">
        <v>1526</v>
      </c>
      <c r="C1350" s="4" t="n">
        <v>15</v>
      </c>
      <c r="D1350" s="4" t="n">
        <v>2</v>
      </c>
      <c r="E1350" s="13" t="n">
        <v>45032</v>
      </c>
      <c r="F1350" s="4" t="s">
        <v>3188</v>
      </c>
      <c r="G1350" s="4" t="str">
        <f aca="false">INDEX(PurchaseOrders!$B$2:$B$3001,MATCH(B1350,PurchaseOrders!$A$2:$A$3001,0))</f>
        <v>V054</v>
      </c>
    </row>
    <row r="1351" customFormat="false" ht="15" hidden="false" customHeight="true" outlineLevel="0" collapsed="false">
      <c r="A1351" s="4" t="s">
        <v>4538</v>
      </c>
      <c r="B1351" s="4" t="s">
        <v>1527</v>
      </c>
      <c r="C1351" s="4" t="n">
        <v>3996</v>
      </c>
      <c r="D1351" s="4" t="n">
        <v>673</v>
      </c>
      <c r="E1351" s="13" t="n">
        <v>45079</v>
      </c>
      <c r="F1351" s="4" t="s">
        <v>3202</v>
      </c>
      <c r="G1351" s="4" t="str">
        <f aca="false">INDEX(PurchaseOrders!$B$2:$B$3001,MATCH(B1351,PurchaseOrders!$A$2:$A$3001,0))</f>
        <v>V026</v>
      </c>
    </row>
    <row r="1352" customFormat="false" ht="15" hidden="false" customHeight="true" outlineLevel="0" collapsed="false">
      <c r="A1352" s="4" t="s">
        <v>4539</v>
      </c>
      <c r="B1352" s="4" t="s">
        <v>1528</v>
      </c>
      <c r="C1352" s="4" t="n">
        <v>489</v>
      </c>
      <c r="D1352" s="4" t="n">
        <v>41</v>
      </c>
      <c r="E1352" s="13" t="n">
        <v>45117</v>
      </c>
      <c r="F1352" s="4" t="s">
        <v>3202</v>
      </c>
      <c r="G1352" s="4" t="str">
        <f aca="false">INDEX(PurchaseOrders!$B$2:$B$3001,MATCH(B1352,PurchaseOrders!$A$2:$A$3001,0))</f>
        <v>V030</v>
      </c>
    </row>
    <row r="1353" customFormat="false" ht="15" hidden="false" customHeight="true" outlineLevel="0" collapsed="false">
      <c r="A1353" s="4" t="s">
        <v>4540</v>
      </c>
      <c r="B1353" s="4" t="s">
        <v>1529</v>
      </c>
      <c r="C1353" s="4" t="n">
        <v>88</v>
      </c>
      <c r="D1353" s="4" t="n">
        <v>5</v>
      </c>
      <c r="E1353" s="13" t="n">
        <v>45392</v>
      </c>
      <c r="F1353" s="4" t="s">
        <v>3184</v>
      </c>
      <c r="G1353" s="4" t="str">
        <f aca="false">INDEX(PurchaseOrders!$B$2:$B$3001,MATCH(B1353,PurchaseOrders!$A$2:$A$3001,0))</f>
        <v>V037</v>
      </c>
    </row>
    <row r="1354" customFormat="false" ht="15" hidden="false" customHeight="true" outlineLevel="0" collapsed="false">
      <c r="A1354" s="4" t="s">
        <v>4541</v>
      </c>
      <c r="B1354" s="4" t="s">
        <v>1530</v>
      </c>
      <c r="C1354" s="4" t="n">
        <v>1698</v>
      </c>
      <c r="D1354" s="4" t="n">
        <v>0</v>
      </c>
      <c r="E1354" s="13" t="n">
        <v>45063</v>
      </c>
      <c r="F1354" s="4"/>
      <c r="G1354" s="4" t="str">
        <f aca="false">INDEX(PurchaseOrders!$B$2:$B$3001,MATCH(B1354,PurchaseOrders!$A$2:$A$3001,0))</f>
        <v>V059</v>
      </c>
    </row>
    <row r="1355" customFormat="false" ht="15" hidden="false" customHeight="true" outlineLevel="0" collapsed="false">
      <c r="A1355" s="4" t="s">
        <v>4542</v>
      </c>
      <c r="B1355" s="4" t="s">
        <v>1531</v>
      </c>
      <c r="C1355" s="4" t="n">
        <v>105</v>
      </c>
      <c r="D1355" s="4" t="n">
        <v>5</v>
      </c>
      <c r="E1355" s="13" t="n">
        <v>45051</v>
      </c>
      <c r="F1355" s="4" t="s">
        <v>3186</v>
      </c>
      <c r="G1355" s="4" t="str">
        <f aca="false">INDEX(PurchaseOrders!$B$2:$B$3001,MATCH(B1355,PurchaseOrders!$A$2:$A$3001,0))</f>
        <v>V031</v>
      </c>
    </row>
    <row r="1356" customFormat="false" ht="15" hidden="false" customHeight="true" outlineLevel="0" collapsed="false">
      <c r="A1356" s="4" t="s">
        <v>4543</v>
      </c>
      <c r="B1356" s="4" t="s">
        <v>1532</v>
      </c>
      <c r="C1356" s="4" t="n">
        <v>9</v>
      </c>
      <c r="D1356" s="4" t="n">
        <v>1</v>
      </c>
      <c r="E1356" s="13" t="n">
        <v>45008</v>
      </c>
      <c r="F1356" s="4" t="s">
        <v>3188</v>
      </c>
      <c r="G1356" s="4" t="str">
        <f aca="false">INDEX(PurchaseOrders!$B$2:$B$3001,MATCH(B1356,PurchaseOrders!$A$2:$A$3001,0))</f>
        <v>V053</v>
      </c>
    </row>
    <row r="1357" customFormat="false" ht="15" hidden="false" customHeight="true" outlineLevel="0" collapsed="false">
      <c r="A1357" s="4" t="s">
        <v>4544</v>
      </c>
      <c r="B1357" s="4" t="s">
        <v>1533</v>
      </c>
      <c r="C1357" s="4" t="n">
        <v>12</v>
      </c>
      <c r="D1357" s="4" t="n">
        <v>0</v>
      </c>
      <c r="E1357" s="13" t="n">
        <v>45288</v>
      </c>
      <c r="F1357" s="4"/>
      <c r="G1357" s="4" t="str">
        <f aca="false">INDEX(PurchaseOrders!$B$2:$B$3001,MATCH(B1357,PurchaseOrders!$A$2:$A$3001,0))</f>
        <v>V019</v>
      </c>
    </row>
    <row r="1358" customFormat="false" ht="15" hidden="false" customHeight="true" outlineLevel="0" collapsed="false">
      <c r="A1358" s="4" t="s">
        <v>4545</v>
      </c>
      <c r="B1358" s="4" t="s">
        <v>1534</v>
      </c>
      <c r="C1358" s="4" t="n">
        <v>8</v>
      </c>
      <c r="D1358" s="4" t="n">
        <v>0</v>
      </c>
      <c r="E1358" s="13" t="n">
        <v>45492</v>
      </c>
      <c r="F1358" s="4"/>
      <c r="G1358" s="4" t="str">
        <f aca="false">INDEX(PurchaseOrders!$B$2:$B$3001,MATCH(B1358,PurchaseOrders!$A$2:$A$3001,0))</f>
        <v>V019</v>
      </c>
    </row>
    <row r="1359" customFormat="false" ht="15" hidden="false" customHeight="true" outlineLevel="0" collapsed="false">
      <c r="A1359" s="4" t="s">
        <v>4546</v>
      </c>
      <c r="B1359" s="4" t="s">
        <v>1535</v>
      </c>
      <c r="C1359" s="4" t="n">
        <v>1291</v>
      </c>
      <c r="D1359" s="4" t="n">
        <v>58</v>
      </c>
      <c r="E1359" s="13" t="n">
        <v>45570</v>
      </c>
      <c r="F1359" s="4" t="s">
        <v>3184</v>
      </c>
      <c r="G1359" s="4" t="str">
        <f aca="false">INDEX(PurchaseOrders!$B$2:$B$3001,MATCH(B1359,PurchaseOrders!$A$2:$A$3001,0))</f>
        <v>V034</v>
      </c>
    </row>
    <row r="1360" customFormat="false" ht="15" hidden="false" customHeight="true" outlineLevel="0" collapsed="false">
      <c r="A1360" s="4" t="s">
        <v>4547</v>
      </c>
      <c r="B1360" s="4" t="s">
        <v>1536</v>
      </c>
      <c r="C1360" s="4" t="n">
        <v>1971</v>
      </c>
      <c r="D1360" s="4" t="n">
        <v>292</v>
      </c>
      <c r="E1360" s="13" t="n">
        <v>45050</v>
      </c>
      <c r="F1360" s="4" t="s">
        <v>3192</v>
      </c>
      <c r="G1360" s="4" t="str">
        <f aca="false">INDEX(PurchaseOrders!$B$2:$B$3001,MATCH(B1360,PurchaseOrders!$A$2:$A$3001,0))</f>
        <v>V044</v>
      </c>
    </row>
    <row r="1361" customFormat="false" ht="15" hidden="false" customHeight="true" outlineLevel="0" collapsed="false">
      <c r="A1361" s="4" t="s">
        <v>4548</v>
      </c>
      <c r="B1361" s="4" t="s">
        <v>1537</v>
      </c>
      <c r="C1361" s="4" t="n">
        <v>366</v>
      </c>
      <c r="D1361" s="4" t="n">
        <v>33</v>
      </c>
      <c r="E1361" s="13" t="n">
        <v>45350</v>
      </c>
      <c r="F1361" s="4" t="s">
        <v>3202</v>
      </c>
      <c r="G1361" s="4" t="str">
        <f aca="false">INDEX(PurchaseOrders!$B$2:$B$3001,MATCH(B1361,PurchaseOrders!$A$2:$A$3001,0))</f>
        <v>V007</v>
      </c>
    </row>
    <row r="1362" customFormat="false" ht="15" hidden="false" customHeight="true" outlineLevel="0" collapsed="false">
      <c r="A1362" s="4" t="s">
        <v>4549</v>
      </c>
      <c r="B1362" s="4" t="s">
        <v>1538</v>
      </c>
      <c r="C1362" s="4" t="n">
        <v>1121</v>
      </c>
      <c r="D1362" s="4" t="n">
        <v>5</v>
      </c>
      <c r="E1362" s="13" t="n">
        <v>45004</v>
      </c>
      <c r="F1362" s="4" t="s">
        <v>3202</v>
      </c>
      <c r="G1362" s="4" t="str">
        <f aca="false">INDEX(PurchaseOrders!$B$2:$B$3001,MATCH(B1362,PurchaseOrders!$A$2:$A$3001,0))</f>
        <v>V035</v>
      </c>
    </row>
    <row r="1363" customFormat="false" ht="15" hidden="false" customHeight="true" outlineLevel="0" collapsed="false">
      <c r="A1363" s="4" t="s">
        <v>4550</v>
      </c>
      <c r="B1363" s="4" t="s">
        <v>1539</v>
      </c>
      <c r="C1363" s="4" t="n">
        <v>1832</v>
      </c>
      <c r="D1363" s="4" t="n">
        <v>50</v>
      </c>
      <c r="E1363" s="13" t="n">
        <v>45376</v>
      </c>
      <c r="F1363" s="4" t="s">
        <v>3192</v>
      </c>
      <c r="G1363" s="4" t="str">
        <f aca="false">INDEX(PurchaseOrders!$B$2:$B$3001,MATCH(B1363,PurchaseOrders!$A$2:$A$3001,0))</f>
        <v>V051</v>
      </c>
    </row>
    <row r="1364" customFormat="false" ht="15" hidden="false" customHeight="true" outlineLevel="0" collapsed="false">
      <c r="A1364" s="4" t="s">
        <v>4551</v>
      </c>
      <c r="B1364" s="4" t="s">
        <v>1540</v>
      </c>
      <c r="C1364" s="4" t="n">
        <v>596</v>
      </c>
      <c r="D1364" s="4" t="n">
        <v>128</v>
      </c>
      <c r="E1364" s="13" t="n">
        <v>45320</v>
      </c>
      <c r="F1364" s="4" t="s">
        <v>3190</v>
      </c>
      <c r="G1364" s="4" t="str">
        <f aca="false">INDEX(PurchaseOrders!$B$2:$B$3001,MATCH(B1364,PurchaseOrders!$A$2:$A$3001,0))</f>
        <v>V039</v>
      </c>
    </row>
    <row r="1365" customFormat="false" ht="15" hidden="false" customHeight="true" outlineLevel="0" collapsed="false">
      <c r="A1365" s="4" t="s">
        <v>4552</v>
      </c>
      <c r="B1365" s="4" t="s">
        <v>1541</v>
      </c>
      <c r="C1365" s="4" t="n">
        <v>9</v>
      </c>
      <c r="D1365" s="4" t="n">
        <v>0</v>
      </c>
      <c r="E1365" s="13" t="n">
        <v>45245</v>
      </c>
      <c r="F1365" s="4"/>
      <c r="G1365" s="4" t="str">
        <f aca="false">INDEX(PurchaseOrders!$B$2:$B$3001,MATCH(B1365,PurchaseOrders!$A$2:$A$3001,0))</f>
        <v>V019</v>
      </c>
    </row>
    <row r="1366" customFormat="false" ht="15" hidden="false" customHeight="true" outlineLevel="0" collapsed="false">
      <c r="A1366" s="4" t="s">
        <v>4553</v>
      </c>
      <c r="B1366" s="4" t="s">
        <v>1542</v>
      </c>
      <c r="C1366" s="4" t="n">
        <v>296</v>
      </c>
      <c r="D1366" s="4" t="n">
        <v>8</v>
      </c>
      <c r="E1366" s="13" t="n">
        <v>45345</v>
      </c>
      <c r="F1366" s="4" t="s">
        <v>3186</v>
      </c>
      <c r="G1366" s="4" t="str">
        <f aca="false">INDEX(PurchaseOrders!$B$2:$B$3001,MATCH(B1366,PurchaseOrders!$A$2:$A$3001,0))</f>
        <v>V060</v>
      </c>
    </row>
    <row r="1367" customFormat="false" ht="15" hidden="false" customHeight="true" outlineLevel="0" collapsed="false">
      <c r="A1367" s="4" t="s">
        <v>4554</v>
      </c>
      <c r="B1367" s="4" t="s">
        <v>1543</v>
      </c>
      <c r="C1367" s="4" t="n">
        <v>1148</v>
      </c>
      <c r="D1367" s="4" t="n">
        <v>6</v>
      </c>
      <c r="E1367" s="13" t="n">
        <v>45590</v>
      </c>
      <c r="F1367" s="4" t="s">
        <v>3186</v>
      </c>
      <c r="G1367" s="4" t="str">
        <f aca="false">INDEX(PurchaseOrders!$B$2:$B$3001,MATCH(B1367,PurchaseOrders!$A$2:$A$3001,0))</f>
        <v>V035</v>
      </c>
    </row>
    <row r="1368" customFormat="false" ht="15" hidden="false" customHeight="true" outlineLevel="0" collapsed="false">
      <c r="A1368" s="4" t="s">
        <v>4555</v>
      </c>
      <c r="B1368" s="4" t="s">
        <v>1544</v>
      </c>
      <c r="C1368" s="4" t="n">
        <v>144</v>
      </c>
      <c r="D1368" s="4" t="n">
        <v>12</v>
      </c>
      <c r="E1368" s="13" t="n">
        <v>44982</v>
      </c>
      <c r="F1368" s="4" t="s">
        <v>3192</v>
      </c>
      <c r="G1368" s="4" t="str">
        <f aca="false">INDEX(PurchaseOrders!$B$2:$B$3001,MATCH(B1368,PurchaseOrders!$A$2:$A$3001,0))</f>
        <v>V012</v>
      </c>
    </row>
    <row r="1369" customFormat="false" ht="15" hidden="false" customHeight="true" outlineLevel="0" collapsed="false">
      <c r="A1369" s="4" t="s">
        <v>4556</v>
      </c>
      <c r="B1369" s="4" t="s">
        <v>1545</v>
      </c>
      <c r="C1369" s="4" t="n">
        <v>16</v>
      </c>
      <c r="D1369" s="4" t="n">
        <v>1</v>
      </c>
      <c r="E1369" s="13" t="n">
        <v>45577</v>
      </c>
      <c r="F1369" s="4" t="s">
        <v>3184</v>
      </c>
      <c r="G1369" s="4" t="str">
        <f aca="false">INDEX(PurchaseOrders!$B$2:$B$3001,MATCH(B1369,PurchaseOrders!$A$2:$A$3001,0))</f>
        <v>V023</v>
      </c>
    </row>
    <row r="1370" customFormat="false" ht="15" hidden="false" customHeight="true" outlineLevel="0" collapsed="false">
      <c r="A1370" s="4" t="s">
        <v>4557</v>
      </c>
      <c r="B1370" s="4" t="s">
        <v>1546</v>
      </c>
      <c r="C1370" s="4" t="n">
        <v>487</v>
      </c>
      <c r="D1370" s="4" t="n">
        <v>0</v>
      </c>
      <c r="E1370" s="13" t="n">
        <v>45554</v>
      </c>
      <c r="F1370" s="4"/>
      <c r="G1370" s="4" t="str">
        <f aca="false">INDEX(PurchaseOrders!$B$2:$B$3001,MATCH(B1370,PurchaseOrders!$A$2:$A$3001,0))</f>
        <v>V035</v>
      </c>
    </row>
    <row r="1371" customFormat="false" ht="15" hidden="false" customHeight="true" outlineLevel="0" collapsed="false">
      <c r="A1371" s="4" t="s">
        <v>4558</v>
      </c>
      <c r="B1371" s="4" t="s">
        <v>1547</v>
      </c>
      <c r="C1371" s="4" t="n">
        <v>159</v>
      </c>
      <c r="D1371" s="4" t="n">
        <v>14</v>
      </c>
      <c r="E1371" s="13" t="n">
        <v>45511</v>
      </c>
      <c r="F1371" s="4" t="s">
        <v>3202</v>
      </c>
      <c r="G1371" s="4" t="str">
        <f aca="false">INDEX(PurchaseOrders!$B$2:$B$3001,MATCH(B1371,PurchaseOrders!$A$2:$A$3001,0))</f>
        <v>V043</v>
      </c>
    </row>
    <row r="1372" customFormat="false" ht="15" hidden="false" customHeight="true" outlineLevel="0" collapsed="false">
      <c r="A1372" s="4" t="s">
        <v>4559</v>
      </c>
      <c r="B1372" s="4" t="s">
        <v>1548</v>
      </c>
      <c r="C1372" s="4" t="n">
        <v>31</v>
      </c>
      <c r="D1372" s="4" t="n">
        <v>3</v>
      </c>
      <c r="E1372" s="13" t="n">
        <v>45409</v>
      </c>
      <c r="F1372" s="4" t="s">
        <v>3186</v>
      </c>
      <c r="G1372" s="4" t="str">
        <f aca="false">INDEX(PurchaseOrders!$B$2:$B$3001,MATCH(B1372,PurchaseOrders!$A$2:$A$3001,0))</f>
        <v>V036</v>
      </c>
    </row>
    <row r="1373" customFormat="false" ht="15" hidden="false" customHeight="true" outlineLevel="0" collapsed="false">
      <c r="A1373" s="4" t="s">
        <v>4560</v>
      </c>
      <c r="B1373" s="4" t="s">
        <v>1549</v>
      </c>
      <c r="C1373" s="4" t="n">
        <v>143</v>
      </c>
      <c r="D1373" s="4" t="n">
        <v>19</v>
      </c>
      <c r="E1373" s="13" t="n">
        <v>45243</v>
      </c>
      <c r="F1373" s="4" t="s">
        <v>3186</v>
      </c>
      <c r="G1373" s="4" t="str">
        <f aca="false">INDEX(PurchaseOrders!$B$2:$B$3001,MATCH(B1373,PurchaseOrders!$A$2:$A$3001,0))</f>
        <v>V036</v>
      </c>
    </row>
    <row r="1374" customFormat="false" ht="15" hidden="false" customHeight="true" outlineLevel="0" collapsed="false">
      <c r="A1374" s="4" t="s">
        <v>4561</v>
      </c>
      <c r="B1374" s="4" t="s">
        <v>1550</v>
      </c>
      <c r="C1374" s="4" t="n">
        <v>1706</v>
      </c>
      <c r="D1374" s="4" t="n">
        <v>118</v>
      </c>
      <c r="E1374" s="13" t="n">
        <v>45318</v>
      </c>
      <c r="F1374" s="4" t="s">
        <v>3202</v>
      </c>
      <c r="G1374" s="4" t="str">
        <f aca="false">INDEX(PurchaseOrders!$B$2:$B$3001,MATCH(B1374,PurchaseOrders!$A$2:$A$3001,0))</f>
        <v>V048</v>
      </c>
    </row>
    <row r="1375" customFormat="false" ht="15" hidden="false" customHeight="true" outlineLevel="0" collapsed="false">
      <c r="A1375" s="4" t="s">
        <v>4562</v>
      </c>
      <c r="B1375" s="4" t="s">
        <v>1551</v>
      </c>
      <c r="C1375" s="4" t="n">
        <v>907</v>
      </c>
      <c r="D1375" s="4" t="n">
        <v>73</v>
      </c>
      <c r="E1375" s="13" t="n">
        <v>45553</v>
      </c>
      <c r="F1375" s="4" t="s">
        <v>3192</v>
      </c>
      <c r="G1375" s="4" t="str">
        <f aca="false">INDEX(PurchaseOrders!$B$2:$B$3001,MATCH(B1375,PurchaseOrders!$A$2:$A$3001,0))</f>
        <v>V003</v>
      </c>
    </row>
    <row r="1376" customFormat="false" ht="15" hidden="false" customHeight="true" outlineLevel="0" collapsed="false">
      <c r="A1376" s="4" t="s">
        <v>4563</v>
      </c>
      <c r="B1376" s="4" t="s">
        <v>1552</v>
      </c>
      <c r="C1376" s="4" t="n">
        <v>423</v>
      </c>
      <c r="D1376" s="4" t="n">
        <v>0</v>
      </c>
      <c r="E1376" s="13" t="n">
        <v>45264</v>
      </c>
      <c r="F1376" s="4"/>
      <c r="G1376" s="4" t="str">
        <f aca="false">INDEX(PurchaseOrders!$B$2:$B$3001,MATCH(B1376,PurchaseOrders!$A$2:$A$3001,0))</f>
        <v>V060</v>
      </c>
    </row>
    <row r="1377" customFormat="false" ht="15" hidden="false" customHeight="true" outlineLevel="0" collapsed="false">
      <c r="A1377" s="4" t="s">
        <v>4564</v>
      </c>
      <c r="B1377" s="4" t="s">
        <v>1553</v>
      </c>
      <c r="C1377" s="4" t="n">
        <v>339</v>
      </c>
      <c r="D1377" s="4" t="n">
        <v>31</v>
      </c>
      <c r="E1377" s="13" t="n">
        <v>45380</v>
      </c>
      <c r="F1377" s="4" t="s">
        <v>3202</v>
      </c>
      <c r="G1377" s="4" t="str">
        <f aca="false">INDEX(PurchaseOrders!$B$2:$B$3001,MATCH(B1377,PurchaseOrders!$A$2:$A$3001,0))</f>
        <v>V055</v>
      </c>
    </row>
    <row r="1378" customFormat="false" ht="15" hidden="false" customHeight="true" outlineLevel="0" collapsed="false">
      <c r="A1378" s="4" t="s">
        <v>4565</v>
      </c>
      <c r="B1378" s="4" t="s">
        <v>1554</v>
      </c>
      <c r="C1378" s="4" t="n">
        <v>2437</v>
      </c>
      <c r="D1378" s="4" t="n">
        <v>139</v>
      </c>
      <c r="E1378" s="13" t="n">
        <v>45307</v>
      </c>
      <c r="F1378" s="4" t="s">
        <v>3202</v>
      </c>
      <c r="G1378" s="4" t="str">
        <f aca="false">INDEX(PurchaseOrders!$B$2:$B$3001,MATCH(B1378,PurchaseOrders!$A$2:$A$3001,0))</f>
        <v>V050</v>
      </c>
    </row>
    <row r="1379" customFormat="false" ht="15" hidden="false" customHeight="true" outlineLevel="0" collapsed="false">
      <c r="A1379" s="4" t="s">
        <v>4566</v>
      </c>
      <c r="B1379" s="4" t="s">
        <v>1555</v>
      </c>
      <c r="C1379" s="4" t="n">
        <v>60</v>
      </c>
      <c r="D1379" s="4" t="n">
        <v>2</v>
      </c>
      <c r="E1379" s="13" t="n">
        <v>45019</v>
      </c>
      <c r="F1379" s="4" t="s">
        <v>3192</v>
      </c>
      <c r="G1379" s="4" t="str">
        <f aca="false">INDEX(PurchaseOrders!$B$2:$B$3001,MATCH(B1379,PurchaseOrders!$A$2:$A$3001,0))</f>
        <v>V052</v>
      </c>
    </row>
    <row r="1380" customFormat="false" ht="15" hidden="false" customHeight="true" outlineLevel="0" collapsed="false">
      <c r="A1380" s="4" t="s">
        <v>4567</v>
      </c>
      <c r="B1380" s="4" t="s">
        <v>1556</v>
      </c>
      <c r="C1380" s="4" t="n">
        <v>1973</v>
      </c>
      <c r="D1380" s="4" t="n">
        <v>106</v>
      </c>
      <c r="E1380" s="13" t="n">
        <v>45612</v>
      </c>
      <c r="F1380" s="4" t="s">
        <v>3192</v>
      </c>
      <c r="G1380" s="4" t="str">
        <f aca="false">INDEX(PurchaseOrders!$B$2:$B$3001,MATCH(B1380,PurchaseOrders!$A$2:$A$3001,0))</f>
        <v>V050</v>
      </c>
    </row>
    <row r="1381" customFormat="false" ht="15" hidden="false" customHeight="true" outlineLevel="0" collapsed="false">
      <c r="A1381" s="4" t="s">
        <v>4568</v>
      </c>
      <c r="B1381" s="4" t="s">
        <v>1557</v>
      </c>
      <c r="C1381" s="4" t="n">
        <v>374</v>
      </c>
      <c r="D1381" s="4" t="n">
        <v>0</v>
      </c>
      <c r="E1381" s="13" t="n">
        <v>45015</v>
      </c>
      <c r="F1381" s="4"/>
      <c r="G1381" s="4" t="str">
        <f aca="false">INDEX(PurchaseOrders!$B$2:$B$3001,MATCH(B1381,PurchaseOrders!$A$2:$A$3001,0))</f>
        <v>V047</v>
      </c>
    </row>
    <row r="1382" customFormat="false" ht="15" hidden="false" customHeight="true" outlineLevel="0" collapsed="false">
      <c r="A1382" s="4" t="s">
        <v>4569</v>
      </c>
      <c r="B1382" s="4" t="s">
        <v>1558</v>
      </c>
      <c r="C1382" s="4" t="n">
        <v>11</v>
      </c>
      <c r="D1382" s="4" t="n">
        <v>1</v>
      </c>
      <c r="E1382" s="13" t="n">
        <v>45194</v>
      </c>
      <c r="F1382" s="4" t="s">
        <v>3184</v>
      </c>
      <c r="G1382" s="4" t="str">
        <f aca="false">INDEX(PurchaseOrders!$B$2:$B$3001,MATCH(B1382,PurchaseOrders!$A$2:$A$3001,0))</f>
        <v>V054</v>
      </c>
    </row>
    <row r="1383" customFormat="false" ht="15" hidden="false" customHeight="true" outlineLevel="0" collapsed="false">
      <c r="A1383" s="4" t="s">
        <v>4570</v>
      </c>
      <c r="B1383" s="4" t="s">
        <v>1559</v>
      </c>
      <c r="C1383" s="4" t="n">
        <v>225</v>
      </c>
      <c r="D1383" s="4" t="n">
        <v>5</v>
      </c>
      <c r="E1383" s="13" t="n">
        <v>45200</v>
      </c>
      <c r="F1383" s="4" t="s">
        <v>3188</v>
      </c>
      <c r="G1383" s="4" t="str">
        <f aca="false">INDEX(PurchaseOrders!$B$2:$B$3001,MATCH(B1383,PurchaseOrders!$A$2:$A$3001,0))</f>
        <v>V029</v>
      </c>
    </row>
    <row r="1384" customFormat="false" ht="15" hidden="false" customHeight="true" outlineLevel="0" collapsed="false">
      <c r="A1384" s="4" t="s">
        <v>4571</v>
      </c>
      <c r="B1384" s="4" t="s">
        <v>1560</v>
      </c>
      <c r="C1384" s="4" t="n">
        <v>1567</v>
      </c>
      <c r="D1384" s="4" t="n">
        <v>240</v>
      </c>
      <c r="E1384" s="13" t="n">
        <v>45336</v>
      </c>
      <c r="F1384" s="4" t="s">
        <v>3190</v>
      </c>
      <c r="G1384" s="4" t="str">
        <f aca="false">INDEX(PurchaseOrders!$B$2:$B$3001,MATCH(B1384,PurchaseOrders!$A$2:$A$3001,0))</f>
        <v>V025</v>
      </c>
    </row>
    <row r="1385" customFormat="false" ht="15" hidden="false" customHeight="true" outlineLevel="0" collapsed="false">
      <c r="A1385" s="4" t="s">
        <v>4572</v>
      </c>
      <c r="B1385" s="4" t="s">
        <v>1561</v>
      </c>
      <c r="C1385" s="4" t="n">
        <v>468</v>
      </c>
      <c r="D1385" s="4" t="n">
        <v>26</v>
      </c>
      <c r="E1385" s="13" t="n">
        <v>45189</v>
      </c>
      <c r="F1385" s="4" t="s">
        <v>3184</v>
      </c>
      <c r="G1385" s="4" t="str">
        <f aca="false">INDEX(PurchaseOrders!$B$2:$B$3001,MATCH(B1385,PurchaseOrders!$A$2:$A$3001,0))</f>
        <v>V033</v>
      </c>
    </row>
    <row r="1386" customFormat="false" ht="15" hidden="false" customHeight="true" outlineLevel="0" collapsed="false">
      <c r="A1386" s="4" t="s">
        <v>4573</v>
      </c>
      <c r="B1386" s="4" t="s">
        <v>1562</v>
      </c>
      <c r="C1386" s="4" t="n">
        <v>365</v>
      </c>
      <c r="D1386" s="4" t="n">
        <v>18</v>
      </c>
      <c r="E1386" s="13" t="n">
        <v>45190</v>
      </c>
      <c r="F1386" s="4" t="s">
        <v>3184</v>
      </c>
      <c r="G1386" s="4" t="str">
        <f aca="false">INDEX(PurchaseOrders!$B$2:$B$3001,MATCH(B1386,PurchaseOrders!$A$2:$A$3001,0))</f>
        <v>V033</v>
      </c>
    </row>
    <row r="1387" customFormat="false" ht="15" hidden="false" customHeight="true" outlineLevel="0" collapsed="false">
      <c r="A1387" s="4" t="s">
        <v>4574</v>
      </c>
      <c r="B1387" s="4" t="s">
        <v>1563</v>
      </c>
      <c r="C1387" s="4" t="n">
        <v>273</v>
      </c>
      <c r="D1387" s="4" t="n">
        <v>0</v>
      </c>
      <c r="E1387" s="13" t="n">
        <v>45300</v>
      </c>
      <c r="F1387" s="4"/>
      <c r="G1387" s="4" t="str">
        <f aca="false">INDEX(PurchaseOrders!$B$2:$B$3001,MATCH(B1387,PurchaseOrders!$A$2:$A$3001,0))</f>
        <v>V052</v>
      </c>
    </row>
    <row r="1388" customFormat="false" ht="15" hidden="false" customHeight="true" outlineLevel="0" collapsed="false">
      <c r="A1388" s="4" t="s">
        <v>4575</v>
      </c>
      <c r="B1388" s="4" t="s">
        <v>1564</v>
      </c>
      <c r="C1388" s="4" t="n">
        <v>1551</v>
      </c>
      <c r="D1388" s="4" t="n">
        <v>119</v>
      </c>
      <c r="E1388" s="13" t="n">
        <v>45520</v>
      </c>
      <c r="F1388" s="4" t="s">
        <v>3188</v>
      </c>
      <c r="G1388" s="4" t="str">
        <f aca="false">INDEX(PurchaseOrders!$B$2:$B$3001,MATCH(B1388,PurchaseOrders!$A$2:$A$3001,0))</f>
        <v>V048</v>
      </c>
    </row>
    <row r="1389" customFormat="false" ht="15" hidden="false" customHeight="true" outlineLevel="0" collapsed="false">
      <c r="A1389" s="4" t="s">
        <v>4576</v>
      </c>
      <c r="B1389" s="4" t="s">
        <v>1565</v>
      </c>
      <c r="C1389" s="4" t="n">
        <v>562</v>
      </c>
      <c r="D1389" s="4" t="n">
        <v>17</v>
      </c>
      <c r="E1389" s="13" t="n">
        <v>45398</v>
      </c>
      <c r="F1389" s="4" t="s">
        <v>3184</v>
      </c>
      <c r="G1389" s="4" t="str">
        <f aca="false">INDEX(PurchaseOrders!$B$2:$B$3001,MATCH(B1389,PurchaseOrders!$A$2:$A$3001,0))</f>
        <v>V022</v>
      </c>
    </row>
    <row r="1390" customFormat="false" ht="15" hidden="false" customHeight="true" outlineLevel="0" collapsed="false">
      <c r="A1390" s="4" t="s">
        <v>4577</v>
      </c>
      <c r="B1390" s="4" t="s">
        <v>1566</v>
      </c>
      <c r="C1390" s="4" t="n">
        <v>265</v>
      </c>
      <c r="D1390" s="4" t="n">
        <v>12</v>
      </c>
      <c r="E1390" s="13" t="n">
        <v>45562</v>
      </c>
      <c r="F1390" s="4" t="s">
        <v>3202</v>
      </c>
      <c r="G1390" s="4" t="str">
        <f aca="false">INDEX(PurchaseOrders!$B$2:$B$3001,MATCH(B1390,PurchaseOrders!$A$2:$A$3001,0))</f>
        <v>V037</v>
      </c>
    </row>
    <row r="1391" customFormat="false" ht="15" hidden="false" customHeight="true" outlineLevel="0" collapsed="false">
      <c r="A1391" s="4" t="s">
        <v>4578</v>
      </c>
      <c r="B1391" s="4" t="s">
        <v>1567</v>
      </c>
      <c r="C1391" s="4" t="n">
        <v>1178</v>
      </c>
      <c r="D1391" s="4" t="n">
        <v>185</v>
      </c>
      <c r="E1391" s="13" t="n">
        <v>45580</v>
      </c>
      <c r="F1391" s="4" t="s">
        <v>3192</v>
      </c>
      <c r="G1391" s="4" t="str">
        <f aca="false">INDEX(PurchaseOrders!$B$2:$B$3001,MATCH(B1391,PurchaseOrders!$A$2:$A$3001,0))</f>
        <v>V026</v>
      </c>
    </row>
    <row r="1392" customFormat="false" ht="15" hidden="false" customHeight="true" outlineLevel="0" collapsed="false">
      <c r="A1392" s="4" t="s">
        <v>4579</v>
      </c>
      <c r="B1392" s="4" t="s">
        <v>1568</v>
      </c>
      <c r="C1392" s="4" t="n">
        <v>398</v>
      </c>
      <c r="D1392" s="4" t="n">
        <v>32</v>
      </c>
      <c r="E1392" s="13" t="n">
        <v>45175</v>
      </c>
      <c r="F1392" s="4" t="s">
        <v>3202</v>
      </c>
      <c r="G1392" s="4" t="str">
        <f aca="false">INDEX(PurchaseOrders!$B$2:$B$3001,MATCH(B1392,PurchaseOrders!$A$2:$A$3001,0))</f>
        <v>V049</v>
      </c>
    </row>
    <row r="1393" customFormat="false" ht="15" hidden="false" customHeight="true" outlineLevel="0" collapsed="false">
      <c r="A1393" s="4" t="s">
        <v>4580</v>
      </c>
      <c r="B1393" s="4" t="s">
        <v>1569</v>
      </c>
      <c r="C1393" s="4" t="n">
        <v>4414</v>
      </c>
      <c r="D1393" s="4" t="n">
        <v>431</v>
      </c>
      <c r="E1393" s="13" t="n">
        <v>44957</v>
      </c>
      <c r="F1393" s="4" t="s">
        <v>3190</v>
      </c>
      <c r="G1393" s="4" t="str">
        <f aca="false">INDEX(PurchaseOrders!$B$2:$B$3001,MATCH(B1393,PurchaseOrders!$A$2:$A$3001,0))</f>
        <v>V001</v>
      </c>
    </row>
    <row r="1394" customFormat="false" ht="15" hidden="false" customHeight="true" outlineLevel="0" collapsed="false">
      <c r="A1394" s="4" t="s">
        <v>4581</v>
      </c>
      <c r="B1394" s="4" t="s">
        <v>1570</v>
      </c>
      <c r="C1394" s="4" t="n">
        <v>3506</v>
      </c>
      <c r="D1394" s="4" t="n">
        <v>55</v>
      </c>
      <c r="E1394" s="13" t="n">
        <v>45454</v>
      </c>
      <c r="F1394" s="4" t="s">
        <v>3190</v>
      </c>
      <c r="G1394" s="4" t="str">
        <f aca="false">INDEX(PurchaseOrders!$B$2:$B$3001,MATCH(B1394,PurchaseOrders!$A$2:$A$3001,0))</f>
        <v>V058</v>
      </c>
    </row>
    <row r="1395" customFormat="false" ht="15" hidden="false" customHeight="true" outlineLevel="0" collapsed="false">
      <c r="A1395" s="4" t="s">
        <v>4582</v>
      </c>
      <c r="B1395" s="4" t="s">
        <v>1571</v>
      </c>
      <c r="C1395" s="4" t="n">
        <v>964</v>
      </c>
      <c r="D1395" s="4" t="n">
        <v>42</v>
      </c>
      <c r="E1395" s="13" t="n">
        <v>45601</v>
      </c>
      <c r="F1395" s="4" t="s">
        <v>3202</v>
      </c>
      <c r="G1395" s="4" t="str">
        <f aca="false">INDEX(PurchaseOrders!$B$2:$B$3001,MATCH(B1395,PurchaseOrders!$A$2:$A$3001,0))</f>
        <v>V011</v>
      </c>
    </row>
    <row r="1396" customFormat="false" ht="15" hidden="false" customHeight="true" outlineLevel="0" collapsed="false">
      <c r="A1396" s="4" t="s">
        <v>4583</v>
      </c>
      <c r="B1396" s="4" t="s">
        <v>1572</v>
      </c>
      <c r="C1396" s="4" t="n">
        <v>1932</v>
      </c>
      <c r="D1396" s="4" t="n">
        <v>113</v>
      </c>
      <c r="E1396" s="13" t="n">
        <v>45507</v>
      </c>
      <c r="F1396" s="4" t="s">
        <v>3184</v>
      </c>
      <c r="G1396" s="4" t="str">
        <f aca="false">INDEX(PurchaseOrders!$B$2:$B$3001,MATCH(B1396,PurchaseOrders!$A$2:$A$3001,0))</f>
        <v>V050</v>
      </c>
    </row>
    <row r="1397" customFormat="false" ht="15" hidden="false" customHeight="true" outlineLevel="0" collapsed="false">
      <c r="A1397" s="4" t="s">
        <v>4584</v>
      </c>
      <c r="B1397" s="4" t="s">
        <v>1573</v>
      </c>
      <c r="C1397" s="4" t="n">
        <v>618</v>
      </c>
      <c r="D1397" s="4" t="n">
        <v>47</v>
      </c>
      <c r="E1397" s="13" t="n">
        <v>45439</v>
      </c>
      <c r="F1397" s="4" t="s">
        <v>3202</v>
      </c>
      <c r="G1397" s="4" t="str">
        <f aca="false">INDEX(PurchaseOrders!$B$2:$B$3001,MATCH(B1397,PurchaseOrders!$A$2:$A$3001,0))</f>
        <v>V021</v>
      </c>
    </row>
    <row r="1398" customFormat="false" ht="15" hidden="false" customHeight="true" outlineLevel="0" collapsed="false">
      <c r="A1398" s="4" t="s">
        <v>4585</v>
      </c>
      <c r="B1398" s="4" t="s">
        <v>1574</v>
      </c>
      <c r="C1398" s="4" t="n">
        <v>1485</v>
      </c>
      <c r="D1398" s="4" t="n">
        <v>87</v>
      </c>
      <c r="E1398" s="13" t="n">
        <v>45352</v>
      </c>
      <c r="F1398" s="4" t="s">
        <v>3192</v>
      </c>
      <c r="G1398" s="4" t="str">
        <f aca="false">INDEX(PurchaseOrders!$B$2:$B$3001,MATCH(B1398,PurchaseOrders!$A$2:$A$3001,0))</f>
        <v>V007</v>
      </c>
    </row>
    <row r="1399" customFormat="false" ht="15" hidden="false" customHeight="true" outlineLevel="0" collapsed="false">
      <c r="A1399" s="4" t="s">
        <v>4586</v>
      </c>
      <c r="B1399" s="4" t="s">
        <v>1575</v>
      </c>
      <c r="C1399" s="4" t="n">
        <v>2665</v>
      </c>
      <c r="D1399" s="4" t="n">
        <v>123</v>
      </c>
      <c r="E1399" s="13" t="n">
        <v>45514</v>
      </c>
      <c r="F1399" s="4" t="s">
        <v>3192</v>
      </c>
      <c r="G1399" s="4" t="str">
        <f aca="false">INDEX(PurchaseOrders!$B$2:$B$3001,MATCH(B1399,PurchaseOrders!$A$2:$A$3001,0))</f>
        <v>V003</v>
      </c>
    </row>
    <row r="1400" customFormat="false" ht="15" hidden="false" customHeight="true" outlineLevel="0" collapsed="false">
      <c r="A1400" s="4" t="s">
        <v>4587</v>
      </c>
      <c r="B1400" s="4" t="s">
        <v>1576</v>
      </c>
      <c r="C1400" s="4" t="n">
        <v>109</v>
      </c>
      <c r="D1400" s="4" t="n">
        <v>10</v>
      </c>
      <c r="E1400" s="13" t="n">
        <v>45034</v>
      </c>
      <c r="F1400" s="4" t="s">
        <v>3202</v>
      </c>
      <c r="G1400" s="4" t="str">
        <f aca="false">INDEX(PurchaseOrders!$B$2:$B$3001,MATCH(B1400,PurchaseOrders!$A$2:$A$3001,0))</f>
        <v>V055</v>
      </c>
    </row>
    <row r="1401" customFormat="false" ht="15" hidden="false" customHeight="true" outlineLevel="0" collapsed="false">
      <c r="A1401" s="4" t="s">
        <v>4588</v>
      </c>
      <c r="B1401" s="4" t="s">
        <v>1577</v>
      </c>
      <c r="C1401" s="4" t="n">
        <v>268</v>
      </c>
      <c r="D1401" s="4" t="n">
        <v>58</v>
      </c>
      <c r="E1401" s="13" t="n">
        <v>45345</v>
      </c>
      <c r="F1401" s="4" t="s">
        <v>3190</v>
      </c>
      <c r="G1401" s="4" t="str">
        <f aca="false">INDEX(PurchaseOrders!$B$2:$B$3001,MATCH(B1401,PurchaseOrders!$A$2:$A$3001,0))</f>
        <v>V039</v>
      </c>
    </row>
    <row r="1402" customFormat="false" ht="15" hidden="false" customHeight="true" outlineLevel="0" collapsed="false">
      <c r="A1402" s="4" t="s">
        <v>4589</v>
      </c>
      <c r="B1402" s="4" t="s">
        <v>1578</v>
      </c>
      <c r="C1402" s="4" t="n">
        <v>1157</v>
      </c>
      <c r="D1402" s="4" t="n">
        <v>42</v>
      </c>
      <c r="E1402" s="13" t="n">
        <v>45463</v>
      </c>
      <c r="F1402" s="4" t="s">
        <v>3192</v>
      </c>
      <c r="G1402" s="4" t="str">
        <f aca="false">INDEX(PurchaseOrders!$B$2:$B$3001,MATCH(B1402,PurchaseOrders!$A$2:$A$3001,0))</f>
        <v>V022</v>
      </c>
    </row>
    <row r="1403" customFormat="false" ht="15" hidden="false" customHeight="true" outlineLevel="0" collapsed="false">
      <c r="A1403" s="4" t="s">
        <v>4590</v>
      </c>
      <c r="B1403" s="4" t="s">
        <v>1579</v>
      </c>
      <c r="C1403" s="4" t="n">
        <v>273</v>
      </c>
      <c r="D1403" s="4" t="n">
        <v>16</v>
      </c>
      <c r="E1403" s="13" t="n">
        <v>45014</v>
      </c>
      <c r="F1403" s="4" t="s">
        <v>3186</v>
      </c>
      <c r="G1403" s="4" t="str">
        <f aca="false">INDEX(PurchaseOrders!$B$2:$B$3001,MATCH(B1403,PurchaseOrders!$A$2:$A$3001,0))</f>
        <v>V004</v>
      </c>
    </row>
    <row r="1404" customFormat="false" ht="15" hidden="false" customHeight="true" outlineLevel="0" collapsed="false">
      <c r="A1404" s="4" t="s">
        <v>4591</v>
      </c>
      <c r="B1404" s="4" t="s">
        <v>1580</v>
      </c>
      <c r="C1404" s="4" t="n">
        <v>2559</v>
      </c>
      <c r="D1404" s="4" t="n">
        <v>133</v>
      </c>
      <c r="E1404" s="13" t="n">
        <v>45314</v>
      </c>
      <c r="F1404" s="4" t="s">
        <v>3202</v>
      </c>
      <c r="G1404" s="4" t="str">
        <f aca="false">INDEX(PurchaseOrders!$B$2:$B$3001,MATCH(B1404,PurchaseOrders!$A$2:$A$3001,0))</f>
        <v>V056</v>
      </c>
    </row>
    <row r="1405" customFormat="false" ht="15" hidden="false" customHeight="true" outlineLevel="0" collapsed="false">
      <c r="A1405" s="4" t="s">
        <v>4592</v>
      </c>
      <c r="B1405" s="4" t="s">
        <v>1581</v>
      </c>
      <c r="C1405" s="4" t="n">
        <v>1362</v>
      </c>
      <c r="D1405" s="4" t="n">
        <v>79</v>
      </c>
      <c r="E1405" s="13" t="n">
        <v>45228</v>
      </c>
      <c r="F1405" s="4" t="s">
        <v>3190</v>
      </c>
      <c r="G1405" s="4" t="str">
        <f aca="false">INDEX(PurchaseOrders!$B$2:$B$3001,MATCH(B1405,PurchaseOrders!$A$2:$A$3001,0))</f>
        <v>V011</v>
      </c>
    </row>
    <row r="1406" customFormat="false" ht="15" hidden="false" customHeight="true" outlineLevel="0" collapsed="false">
      <c r="A1406" s="4" t="s">
        <v>4593</v>
      </c>
      <c r="B1406" s="4" t="s">
        <v>1582</v>
      </c>
      <c r="C1406" s="4" t="n">
        <v>4541</v>
      </c>
      <c r="D1406" s="4" t="n">
        <v>183</v>
      </c>
      <c r="E1406" s="13" t="n">
        <v>45551</v>
      </c>
      <c r="F1406" s="4" t="s">
        <v>3186</v>
      </c>
      <c r="G1406" s="4" t="str">
        <f aca="false">INDEX(PurchaseOrders!$B$2:$B$3001,MATCH(B1406,PurchaseOrders!$A$2:$A$3001,0))</f>
        <v>V002</v>
      </c>
    </row>
    <row r="1407" customFormat="false" ht="15" hidden="false" customHeight="true" outlineLevel="0" collapsed="false">
      <c r="A1407" s="4" t="s">
        <v>4594</v>
      </c>
      <c r="B1407" s="4" t="s">
        <v>1583</v>
      </c>
      <c r="C1407" s="4" t="n">
        <v>911</v>
      </c>
      <c r="D1407" s="4" t="n">
        <v>59</v>
      </c>
      <c r="E1407" s="13" t="n">
        <v>44972</v>
      </c>
      <c r="F1407" s="4" t="s">
        <v>3184</v>
      </c>
      <c r="G1407" s="4" t="str">
        <f aca="false">INDEX(PurchaseOrders!$B$2:$B$3001,MATCH(B1407,PurchaseOrders!$A$2:$A$3001,0))</f>
        <v>V020</v>
      </c>
    </row>
    <row r="1408" customFormat="false" ht="15" hidden="false" customHeight="true" outlineLevel="0" collapsed="false">
      <c r="A1408" s="4" t="s">
        <v>4595</v>
      </c>
      <c r="B1408" s="4" t="s">
        <v>1584</v>
      </c>
      <c r="C1408" s="4" t="n">
        <v>4484</v>
      </c>
      <c r="D1408" s="4" t="n">
        <v>312</v>
      </c>
      <c r="E1408" s="13" t="n">
        <v>45377</v>
      </c>
      <c r="F1408" s="4" t="s">
        <v>3188</v>
      </c>
      <c r="G1408" s="4" t="str">
        <f aca="false">INDEX(PurchaseOrders!$B$2:$B$3001,MATCH(B1408,PurchaseOrders!$A$2:$A$3001,0))</f>
        <v>V028</v>
      </c>
    </row>
    <row r="1409" customFormat="false" ht="15" hidden="false" customHeight="true" outlineLevel="0" collapsed="false">
      <c r="A1409" s="4" t="s">
        <v>4596</v>
      </c>
      <c r="B1409" s="4" t="s">
        <v>1585</v>
      </c>
      <c r="C1409" s="4" t="n">
        <v>1496</v>
      </c>
      <c r="D1409" s="4" t="n">
        <v>38</v>
      </c>
      <c r="E1409" s="13" t="n">
        <v>45039</v>
      </c>
      <c r="F1409" s="4" t="s">
        <v>3188</v>
      </c>
      <c r="G1409" s="4" t="str">
        <f aca="false">INDEX(PurchaseOrders!$B$2:$B$3001,MATCH(B1409,PurchaseOrders!$A$2:$A$3001,0))</f>
        <v>V051</v>
      </c>
    </row>
    <row r="1410" customFormat="false" ht="15" hidden="false" customHeight="true" outlineLevel="0" collapsed="false">
      <c r="A1410" s="4" t="s">
        <v>4597</v>
      </c>
      <c r="B1410" s="4" t="s">
        <v>1586</v>
      </c>
      <c r="C1410" s="4" t="n">
        <v>1345</v>
      </c>
      <c r="D1410" s="4" t="n">
        <v>277</v>
      </c>
      <c r="E1410" s="13" t="n">
        <v>45528</v>
      </c>
      <c r="F1410" s="4" t="s">
        <v>3186</v>
      </c>
      <c r="G1410" s="4" t="str">
        <f aca="false">INDEX(PurchaseOrders!$B$2:$B$3001,MATCH(B1410,PurchaseOrders!$A$2:$A$3001,0))</f>
        <v>V025</v>
      </c>
    </row>
    <row r="1411" customFormat="false" ht="15" hidden="false" customHeight="true" outlineLevel="0" collapsed="false">
      <c r="A1411" s="4" t="s">
        <v>4598</v>
      </c>
      <c r="B1411" s="4" t="s">
        <v>1587</v>
      </c>
      <c r="C1411" s="4" t="n">
        <v>7</v>
      </c>
      <c r="D1411" s="4" t="n">
        <v>1</v>
      </c>
      <c r="E1411" s="13" t="n">
        <v>45010</v>
      </c>
      <c r="F1411" s="4" t="s">
        <v>3190</v>
      </c>
      <c r="G1411" s="4" t="str">
        <f aca="false">INDEX(PurchaseOrders!$B$2:$B$3001,MATCH(B1411,PurchaseOrders!$A$2:$A$3001,0))</f>
        <v>V054</v>
      </c>
    </row>
    <row r="1412" customFormat="false" ht="15" hidden="false" customHeight="true" outlineLevel="0" collapsed="false">
      <c r="A1412" s="4" t="s">
        <v>4599</v>
      </c>
      <c r="B1412" s="4" t="s">
        <v>1588</v>
      </c>
      <c r="C1412" s="4" t="n">
        <v>1690</v>
      </c>
      <c r="D1412" s="4" t="n">
        <v>40</v>
      </c>
      <c r="E1412" s="13" t="n">
        <v>45643</v>
      </c>
      <c r="F1412" s="4" t="s">
        <v>3184</v>
      </c>
      <c r="G1412" s="4" t="str">
        <f aca="false">INDEX(PurchaseOrders!$B$2:$B$3001,MATCH(B1412,PurchaseOrders!$A$2:$A$3001,0))</f>
        <v>V034</v>
      </c>
    </row>
    <row r="1413" customFormat="false" ht="15" hidden="false" customHeight="true" outlineLevel="0" collapsed="false">
      <c r="A1413" s="4" t="s">
        <v>4600</v>
      </c>
      <c r="B1413" s="4" t="s">
        <v>1589</v>
      </c>
      <c r="C1413" s="4" t="n">
        <v>1182</v>
      </c>
      <c r="D1413" s="4" t="n">
        <v>0</v>
      </c>
      <c r="E1413" s="13" t="n">
        <v>45538</v>
      </c>
      <c r="F1413" s="4"/>
      <c r="G1413" s="4" t="str">
        <f aca="false">INDEX(PurchaseOrders!$B$2:$B$3001,MATCH(B1413,PurchaseOrders!$A$2:$A$3001,0))</f>
        <v>V035</v>
      </c>
    </row>
    <row r="1414" customFormat="false" ht="15" hidden="false" customHeight="true" outlineLevel="0" collapsed="false">
      <c r="A1414" s="4" t="s">
        <v>4601</v>
      </c>
      <c r="B1414" s="4" t="s">
        <v>1590</v>
      </c>
      <c r="C1414" s="4" t="n">
        <v>990</v>
      </c>
      <c r="D1414" s="4" t="n">
        <v>78</v>
      </c>
      <c r="E1414" s="13" t="n">
        <v>45191</v>
      </c>
      <c r="F1414" s="4" t="s">
        <v>3190</v>
      </c>
      <c r="G1414" s="4" t="str">
        <f aca="false">INDEX(PurchaseOrders!$B$2:$B$3001,MATCH(B1414,PurchaseOrders!$A$2:$A$3001,0))</f>
        <v>V048</v>
      </c>
    </row>
    <row r="1415" customFormat="false" ht="15" hidden="false" customHeight="true" outlineLevel="0" collapsed="false">
      <c r="A1415" s="4" t="s">
        <v>4602</v>
      </c>
      <c r="B1415" s="4" t="s">
        <v>1591</v>
      </c>
      <c r="C1415" s="4" t="n">
        <v>4402</v>
      </c>
      <c r="D1415" s="4" t="n">
        <v>671</v>
      </c>
      <c r="E1415" s="13" t="n">
        <v>45608</v>
      </c>
      <c r="F1415" s="4" t="s">
        <v>3202</v>
      </c>
      <c r="G1415" s="4" t="str">
        <f aca="false">INDEX(PurchaseOrders!$B$2:$B$3001,MATCH(B1415,PurchaseOrders!$A$2:$A$3001,0))</f>
        <v>V038</v>
      </c>
    </row>
    <row r="1416" customFormat="false" ht="15" hidden="false" customHeight="true" outlineLevel="0" collapsed="false">
      <c r="A1416" s="4" t="s">
        <v>4603</v>
      </c>
      <c r="B1416" s="4" t="s">
        <v>1592</v>
      </c>
      <c r="C1416" s="4" t="n">
        <v>2767</v>
      </c>
      <c r="D1416" s="4" t="n">
        <v>98</v>
      </c>
      <c r="E1416" s="13" t="n">
        <v>45520</v>
      </c>
      <c r="F1416" s="4" t="s">
        <v>3188</v>
      </c>
      <c r="G1416" s="4" t="str">
        <f aca="false">INDEX(PurchaseOrders!$B$2:$B$3001,MATCH(B1416,PurchaseOrders!$A$2:$A$3001,0))</f>
        <v>V015</v>
      </c>
    </row>
    <row r="1417" customFormat="false" ht="15" hidden="false" customHeight="true" outlineLevel="0" collapsed="false">
      <c r="A1417" s="4" t="s">
        <v>4604</v>
      </c>
      <c r="B1417" s="4" t="s">
        <v>1593</v>
      </c>
      <c r="C1417" s="4" t="n">
        <v>1461</v>
      </c>
      <c r="D1417" s="4" t="n">
        <v>127</v>
      </c>
      <c r="E1417" s="13" t="n">
        <v>45205</v>
      </c>
      <c r="F1417" s="4" t="s">
        <v>3186</v>
      </c>
      <c r="G1417" s="4" t="str">
        <f aca="false">INDEX(PurchaseOrders!$B$2:$B$3001,MATCH(B1417,PurchaseOrders!$A$2:$A$3001,0))</f>
        <v>V001</v>
      </c>
    </row>
    <row r="1418" customFormat="false" ht="15" hidden="false" customHeight="true" outlineLevel="0" collapsed="false">
      <c r="A1418" s="4" t="s">
        <v>4605</v>
      </c>
      <c r="B1418" s="4" t="s">
        <v>1594</v>
      </c>
      <c r="C1418" s="4" t="n">
        <v>464</v>
      </c>
      <c r="D1418" s="4" t="n">
        <v>22</v>
      </c>
      <c r="E1418" s="13" t="n">
        <v>45214</v>
      </c>
      <c r="F1418" s="4" t="s">
        <v>3184</v>
      </c>
      <c r="G1418" s="4" t="str">
        <f aca="false">INDEX(PurchaseOrders!$B$2:$B$3001,MATCH(B1418,PurchaseOrders!$A$2:$A$3001,0))</f>
        <v>V012</v>
      </c>
    </row>
    <row r="1419" customFormat="false" ht="15" hidden="false" customHeight="true" outlineLevel="0" collapsed="false">
      <c r="A1419" s="4" t="s">
        <v>4606</v>
      </c>
      <c r="B1419" s="4" t="s">
        <v>1595</v>
      </c>
      <c r="C1419" s="4" t="n">
        <v>503</v>
      </c>
      <c r="D1419" s="4" t="n">
        <v>97</v>
      </c>
      <c r="E1419" s="13" t="n">
        <v>45634</v>
      </c>
      <c r="F1419" s="4" t="s">
        <v>3192</v>
      </c>
      <c r="G1419" s="4" t="str">
        <f aca="false">INDEX(PurchaseOrders!$B$2:$B$3001,MATCH(B1419,PurchaseOrders!$A$2:$A$3001,0))</f>
        <v>V039</v>
      </c>
    </row>
    <row r="1420" customFormat="false" ht="15" hidden="false" customHeight="true" outlineLevel="0" collapsed="false">
      <c r="A1420" s="4" t="s">
        <v>4607</v>
      </c>
      <c r="B1420" s="4" t="s">
        <v>1596</v>
      </c>
      <c r="C1420" s="4" t="n">
        <v>362</v>
      </c>
      <c r="D1420" s="4" t="n">
        <v>67</v>
      </c>
      <c r="E1420" s="13" t="n">
        <v>45152</v>
      </c>
      <c r="F1420" s="4" t="s">
        <v>3192</v>
      </c>
      <c r="G1420" s="4" t="str">
        <f aca="false">INDEX(PurchaseOrders!$B$2:$B$3001,MATCH(B1420,PurchaseOrders!$A$2:$A$3001,0))</f>
        <v>V025</v>
      </c>
    </row>
    <row r="1421" customFormat="false" ht="15" hidden="false" customHeight="true" outlineLevel="0" collapsed="false">
      <c r="A1421" s="4" t="s">
        <v>4608</v>
      </c>
      <c r="B1421" s="4" t="s">
        <v>1597</v>
      </c>
      <c r="C1421" s="4" t="n">
        <v>236</v>
      </c>
      <c r="D1421" s="4" t="n">
        <v>32</v>
      </c>
      <c r="E1421" s="13" t="n">
        <v>45284</v>
      </c>
      <c r="F1421" s="4" t="s">
        <v>3188</v>
      </c>
      <c r="G1421" s="4" t="str">
        <f aca="false">INDEX(PurchaseOrders!$B$2:$B$3001,MATCH(B1421,PurchaseOrders!$A$2:$A$3001,0))</f>
        <v>V049</v>
      </c>
    </row>
    <row r="1422" customFormat="false" ht="15" hidden="false" customHeight="true" outlineLevel="0" collapsed="false">
      <c r="A1422" s="4" t="s">
        <v>4609</v>
      </c>
      <c r="B1422" s="4" t="s">
        <v>1598</v>
      </c>
      <c r="C1422" s="4" t="n">
        <v>1309</v>
      </c>
      <c r="D1422" s="4" t="n">
        <v>90</v>
      </c>
      <c r="E1422" s="13" t="n">
        <v>45123</v>
      </c>
      <c r="F1422" s="4" t="s">
        <v>3186</v>
      </c>
      <c r="G1422" s="4" t="str">
        <f aca="false">INDEX(PurchaseOrders!$B$2:$B$3001,MATCH(B1422,PurchaseOrders!$A$2:$A$3001,0))</f>
        <v>V050</v>
      </c>
    </row>
    <row r="1423" customFormat="false" ht="15" hidden="false" customHeight="true" outlineLevel="0" collapsed="false">
      <c r="A1423" s="4" t="s">
        <v>4610</v>
      </c>
      <c r="B1423" s="4" t="s">
        <v>1599</v>
      </c>
      <c r="C1423" s="4" t="n">
        <v>468</v>
      </c>
      <c r="D1423" s="4" t="n">
        <v>22</v>
      </c>
      <c r="E1423" s="13" t="n">
        <v>45444</v>
      </c>
      <c r="F1423" s="4" t="s">
        <v>3192</v>
      </c>
      <c r="G1423" s="4" t="str">
        <f aca="false">INDEX(PurchaseOrders!$B$2:$B$3001,MATCH(B1423,PurchaseOrders!$A$2:$A$3001,0))</f>
        <v>V051</v>
      </c>
    </row>
    <row r="1424" customFormat="false" ht="15" hidden="false" customHeight="true" outlineLevel="0" collapsed="false">
      <c r="A1424" s="4" t="s">
        <v>4611</v>
      </c>
      <c r="B1424" s="4" t="s">
        <v>1600</v>
      </c>
      <c r="C1424" s="4" t="n">
        <v>380</v>
      </c>
      <c r="D1424" s="4" t="n">
        <v>64</v>
      </c>
      <c r="E1424" s="13" t="n">
        <v>45345</v>
      </c>
      <c r="F1424" s="4" t="s">
        <v>3192</v>
      </c>
      <c r="G1424" s="4" t="str">
        <f aca="false">INDEX(PurchaseOrders!$B$2:$B$3001,MATCH(B1424,PurchaseOrders!$A$2:$A$3001,0))</f>
        <v>V025</v>
      </c>
    </row>
    <row r="1425" customFormat="false" ht="15" hidden="false" customHeight="true" outlineLevel="0" collapsed="false">
      <c r="A1425" s="4" t="s">
        <v>4612</v>
      </c>
      <c r="B1425" s="4" t="s">
        <v>1601</v>
      </c>
      <c r="C1425" s="4" t="n">
        <v>347</v>
      </c>
      <c r="D1425" s="4" t="n">
        <v>4</v>
      </c>
      <c r="E1425" s="13" t="n">
        <v>45218</v>
      </c>
      <c r="F1425" s="4" t="s">
        <v>3186</v>
      </c>
      <c r="G1425" s="4" t="str">
        <f aca="false">INDEX(PurchaseOrders!$B$2:$B$3001,MATCH(B1425,PurchaseOrders!$A$2:$A$3001,0))</f>
        <v>V011</v>
      </c>
    </row>
    <row r="1426" customFormat="false" ht="15" hidden="false" customHeight="true" outlineLevel="0" collapsed="false">
      <c r="A1426" s="4" t="s">
        <v>4613</v>
      </c>
      <c r="B1426" s="4" t="s">
        <v>1602</v>
      </c>
      <c r="C1426" s="4" t="n">
        <v>4681</v>
      </c>
      <c r="D1426" s="4" t="n">
        <v>149</v>
      </c>
      <c r="E1426" s="13" t="n">
        <v>45111</v>
      </c>
      <c r="F1426" s="4" t="s">
        <v>3192</v>
      </c>
      <c r="G1426" s="4" t="str">
        <f aca="false">INDEX(PurchaseOrders!$B$2:$B$3001,MATCH(B1426,PurchaseOrders!$A$2:$A$3001,0))</f>
        <v>V017</v>
      </c>
    </row>
    <row r="1427" customFormat="false" ht="15" hidden="false" customHeight="true" outlineLevel="0" collapsed="false">
      <c r="A1427" s="4" t="s">
        <v>4614</v>
      </c>
      <c r="B1427" s="4" t="s">
        <v>1603</v>
      </c>
      <c r="C1427" s="4" t="n">
        <v>355</v>
      </c>
      <c r="D1427" s="4" t="n">
        <v>29</v>
      </c>
      <c r="E1427" s="13" t="n">
        <v>45403</v>
      </c>
      <c r="F1427" s="4" t="s">
        <v>3186</v>
      </c>
      <c r="G1427" s="4" t="str">
        <f aca="false">INDEX(PurchaseOrders!$B$2:$B$3001,MATCH(B1427,PurchaseOrders!$A$2:$A$3001,0))</f>
        <v>V018</v>
      </c>
    </row>
    <row r="1428" customFormat="false" ht="15" hidden="false" customHeight="true" outlineLevel="0" collapsed="false">
      <c r="A1428" s="4" t="s">
        <v>4615</v>
      </c>
      <c r="B1428" s="4" t="s">
        <v>1604</v>
      </c>
      <c r="C1428" s="4" t="n">
        <v>1457</v>
      </c>
      <c r="D1428" s="4" t="n">
        <v>314</v>
      </c>
      <c r="E1428" s="13" t="n">
        <v>45027</v>
      </c>
      <c r="F1428" s="4" t="s">
        <v>3188</v>
      </c>
      <c r="G1428" s="4" t="str">
        <f aca="false">INDEX(PurchaseOrders!$B$2:$B$3001,MATCH(B1428,PurchaseOrders!$A$2:$A$3001,0))</f>
        <v>V039</v>
      </c>
    </row>
    <row r="1429" customFormat="false" ht="15" hidden="false" customHeight="true" outlineLevel="0" collapsed="false">
      <c r="A1429" s="4" t="s">
        <v>4616</v>
      </c>
      <c r="B1429" s="4" t="s">
        <v>1605</v>
      </c>
      <c r="C1429" s="4" t="n">
        <v>274</v>
      </c>
      <c r="D1429" s="4" t="n">
        <v>17</v>
      </c>
      <c r="E1429" s="13" t="n">
        <v>45263</v>
      </c>
      <c r="F1429" s="4" t="s">
        <v>3192</v>
      </c>
      <c r="G1429" s="4" t="str">
        <f aca="false">INDEX(PurchaseOrders!$B$2:$B$3001,MATCH(B1429,PurchaseOrders!$A$2:$A$3001,0))</f>
        <v>V004</v>
      </c>
    </row>
    <row r="1430" customFormat="false" ht="15" hidden="false" customHeight="true" outlineLevel="0" collapsed="false">
      <c r="A1430" s="4" t="s">
        <v>4617</v>
      </c>
      <c r="B1430" s="4" t="s">
        <v>1606</v>
      </c>
      <c r="C1430" s="4" t="n">
        <v>325</v>
      </c>
      <c r="D1430" s="4" t="n">
        <v>9</v>
      </c>
      <c r="E1430" s="13" t="n">
        <v>45261</v>
      </c>
      <c r="F1430" s="4" t="s">
        <v>3190</v>
      </c>
      <c r="G1430" s="4" t="str">
        <f aca="false">INDEX(PurchaseOrders!$B$2:$B$3001,MATCH(B1430,PurchaseOrders!$A$2:$A$3001,0))</f>
        <v>V024</v>
      </c>
    </row>
    <row r="1431" customFormat="false" ht="15" hidden="false" customHeight="true" outlineLevel="0" collapsed="false">
      <c r="A1431" s="4" t="s">
        <v>4618</v>
      </c>
      <c r="B1431" s="4" t="s">
        <v>1607</v>
      </c>
      <c r="C1431" s="4" t="n">
        <v>18</v>
      </c>
      <c r="D1431" s="4" t="n">
        <v>1</v>
      </c>
      <c r="E1431" s="13" t="n">
        <v>45002</v>
      </c>
      <c r="F1431" s="4" t="s">
        <v>3202</v>
      </c>
      <c r="G1431" s="4" t="str">
        <f aca="false">INDEX(PurchaseOrders!$B$2:$B$3001,MATCH(B1431,PurchaseOrders!$A$2:$A$3001,0))</f>
        <v>V053</v>
      </c>
    </row>
    <row r="1432" customFormat="false" ht="15" hidden="false" customHeight="true" outlineLevel="0" collapsed="false">
      <c r="A1432" s="4" t="s">
        <v>4619</v>
      </c>
      <c r="B1432" s="4" t="s">
        <v>1608</v>
      </c>
      <c r="C1432" s="4" t="n">
        <v>1100</v>
      </c>
      <c r="D1432" s="4" t="n">
        <v>11</v>
      </c>
      <c r="E1432" s="13" t="n">
        <v>45218</v>
      </c>
      <c r="F1432" s="4" t="s">
        <v>3184</v>
      </c>
      <c r="G1432" s="4" t="str">
        <f aca="false">INDEX(PurchaseOrders!$B$2:$B$3001,MATCH(B1432,PurchaseOrders!$A$2:$A$3001,0))</f>
        <v>V059</v>
      </c>
    </row>
    <row r="1433" customFormat="false" ht="15" hidden="false" customHeight="true" outlineLevel="0" collapsed="false">
      <c r="A1433" s="4" t="s">
        <v>4620</v>
      </c>
      <c r="B1433" s="4" t="s">
        <v>1609</v>
      </c>
      <c r="C1433" s="4" t="n">
        <v>406</v>
      </c>
      <c r="D1433" s="4" t="n">
        <v>11</v>
      </c>
      <c r="E1433" s="13" t="n">
        <v>45619</v>
      </c>
      <c r="F1433" s="4" t="s">
        <v>3186</v>
      </c>
      <c r="G1433" s="4" t="str">
        <f aca="false">INDEX(PurchaseOrders!$B$2:$B$3001,MATCH(B1433,PurchaseOrders!$A$2:$A$3001,0))</f>
        <v>V051</v>
      </c>
    </row>
    <row r="1434" customFormat="false" ht="15" hidden="false" customHeight="true" outlineLevel="0" collapsed="false">
      <c r="A1434" s="4" t="s">
        <v>4621</v>
      </c>
      <c r="B1434" s="4" t="s">
        <v>1610</v>
      </c>
      <c r="C1434" s="4" t="n">
        <v>4864</v>
      </c>
      <c r="D1434" s="4" t="n">
        <v>830</v>
      </c>
      <c r="E1434" s="13" t="n">
        <v>45484</v>
      </c>
      <c r="F1434" s="4" t="s">
        <v>3190</v>
      </c>
      <c r="G1434" s="4" t="str">
        <f aca="false">INDEX(PurchaseOrders!$B$2:$B$3001,MATCH(B1434,PurchaseOrders!$A$2:$A$3001,0))</f>
        <v>V026</v>
      </c>
    </row>
    <row r="1435" customFormat="false" ht="15" hidden="false" customHeight="true" outlineLevel="0" collapsed="false">
      <c r="A1435" s="4" t="s">
        <v>4622</v>
      </c>
      <c r="B1435" s="4" t="s">
        <v>1611</v>
      </c>
      <c r="C1435" s="4" t="n">
        <v>10</v>
      </c>
      <c r="D1435" s="4" t="n">
        <v>1</v>
      </c>
      <c r="E1435" s="13" t="n">
        <v>45432</v>
      </c>
      <c r="F1435" s="4" t="s">
        <v>3186</v>
      </c>
      <c r="G1435" s="4" t="str">
        <f aca="false">INDEX(PurchaseOrders!$B$2:$B$3001,MATCH(B1435,PurchaseOrders!$A$2:$A$3001,0))</f>
        <v>V041</v>
      </c>
    </row>
    <row r="1436" customFormat="false" ht="15" hidden="false" customHeight="true" outlineLevel="0" collapsed="false">
      <c r="A1436" s="4" t="s">
        <v>4623</v>
      </c>
      <c r="B1436" s="4" t="s">
        <v>1612</v>
      </c>
      <c r="C1436" s="4" t="n">
        <v>6</v>
      </c>
      <c r="D1436" s="4" t="n">
        <v>0</v>
      </c>
      <c r="E1436" s="13" t="n">
        <v>45027</v>
      </c>
      <c r="F1436" s="4"/>
      <c r="G1436" s="4" t="str">
        <f aca="false">INDEX(PurchaseOrders!$B$2:$B$3001,MATCH(B1436,PurchaseOrders!$A$2:$A$3001,0))</f>
        <v>V016</v>
      </c>
    </row>
    <row r="1437" customFormat="false" ht="15" hidden="false" customHeight="true" outlineLevel="0" collapsed="false">
      <c r="A1437" s="4" t="s">
        <v>4624</v>
      </c>
      <c r="B1437" s="4" t="s">
        <v>1613</v>
      </c>
      <c r="C1437" s="4" t="n">
        <v>3</v>
      </c>
      <c r="D1437" s="4" t="n">
        <v>0</v>
      </c>
      <c r="E1437" s="13" t="n">
        <v>45106</v>
      </c>
      <c r="F1437" s="4"/>
      <c r="G1437" s="4" t="str">
        <f aca="false">INDEX(PurchaseOrders!$B$2:$B$3001,MATCH(B1437,PurchaseOrders!$A$2:$A$3001,0))</f>
        <v>V023</v>
      </c>
    </row>
    <row r="1438" customFormat="false" ht="15" hidden="false" customHeight="true" outlineLevel="0" collapsed="false">
      <c r="A1438" s="4" t="s">
        <v>4625</v>
      </c>
      <c r="B1438" s="4" t="s">
        <v>1614</v>
      </c>
      <c r="C1438" s="4" t="n">
        <v>516</v>
      </c>
      <c r="D1438" s="4" t="n">
        <v>0</v>
      </c>
      <c r="E1438" s="13" t="n">
        <v>45414</v>
      </c>
      <c r="F1438" s="4"/>
      <c r="G1438" s="4" t="str">
        <f aca="false">INDEX(PurchaseOrders!$B$2:$B$3001,MATCH(B1438,PurchaseOrders!$A$2:$A$3001,0))</f>
        <v>V045</v>
      </c>
    </row>
    <row r="1439" customFormat="false" ht="15" hidden="false" customHeight="true" outlineLevel="0" collapsed="false">
      <c r="A1439" s="4" t="s">
        <v>4626</v>
      </c>
      <c r="B1439" s="4" t="s">
        <v>1615</v>
      </c>
      <c r="C1439" s="4" t="n">
        <v>588</v>
      </c>
      <c r="D1439" s="4" t="n">
        <v>37</v>
      </c>
      <c r="E1439" s="13" t="n">
        <v>45295</v>
      </c>
      <c r="F1439" s="4" t="s">
        <v>3186</v>
      </c>
      <c r="G1439" s="4" t="str">
        <f aca="false">INDEX(PurchaseOrders!$B$2:$B$3001,MATCH(B1439,PurchaseOrders!$A$2:$A$3001,0))</f>
        <v>V007</v>
      </c>
    </row>
    <row r="1440" customFormat="false" ht="15" hidden="false" customHeight="true" outlineLevel="0" collapsed="false">
      <c r="A1440" s="4" t="s">
        <v>4627</v>
      </c>
      <c r="B1440" s="4" t="s">
        <v>1616</v>
      </c>
      <c r="C1440" s="4" t="n">
        <v>349</v>
      </c>
      <c r="D1440" s="4" t="n">
        <v>25</v>
      </c>
      <c r="E1440" s="13" t="n">
        <v>45062</v>
      </c>
      <c r="F1440" s="4" t="s">
        <v>3188</v>
      </c>
      <c r="G1440" s="4" t="str">
        <f aca="false">INDEX(PurchaseOrders!$B$2:$B$3001,MATCH(B1440,PurchaseOrders!$A$2:$A$3001,0))</f>
        <v>V049</v>
      </c>
    </row>
    <row r="1441" customFormat="false" ht="15" hidden="false" customHeight="true" outlineLevel="0" collapsed="false">
      <c r="A1441" s="4" t="s">
        <v>4628</v>
      </c>
      <c r="B1441" s="4" t="s">
        <v>1617</v>
      </c>
      <c r="C1441" s="4" t="n">
        <v>595</v>
      </c>
      <c r="D1441" s="4" t="n">
        <v>8</v>
      </c>
      <c r="E1441" s="13" t="n">
        <v>45423</v>
      </c>
      <c r="F1441" s="4" t="s">
        <v>3184</v>
      </c>
      <c r="G1441" s="4" t="str">
        <f aca="false">INDEX(PurchaseOrders!$B$2:$B$3001,MATCH(B1441,PurchaseOrders!$A$2:$A$3001,0))</f>
        <v>V021</v>
      </c>
    </row>
    <row r="1442" customFormat="false" ht="15" hidden="false" customHeight="true" outlineLevel="0" collapsed="false">
      <c r="A1442" s="4" t="s">
        <v>4629</v>
      </c>
      <c r="B1442" s="4" t="s">
        <v>1618</v>
      </c>
      <c r="C1442" s="4" t="n">
        <v>396</v>
      </c>
      <c r="D1442" s="4" t="n">
        <v>9</v>
      </c>
      <c r="E1442" s="13" t="n">
        <v>45338</v>
      </c>
      <c r="F1442" s="4" t="s">
        <v>3202</v>
      </c>
      <c r="G1442" s="4" t="str">
        <f aca="false">INDEX(PurchaseOrders!$B$2:$B$3001,MATCH(B1442,PurchaseOrders!$A$2:$A$3001,0))</f>
        <v>V045</v>
      </c>
    </row>
    <row r="1443" customFormat="false" ht="15" hidden="false" customHeight="true" outlineLevel="0" collapsed="false">
      <c r="A1443" s="4" t="s">
        <v>4630</v>
      </c>
      <c r="B1443" s="4" t="s">
        <v>1619</v>
      </c>
      <c r="C1443" s="4" t="n">
        <v>3488</v>
      </c>
      <c r="D1443" s="4" t="n">
        <v>185</v>
      </c>
      <c r="E1443" s="13" t="n">
        <v>45499</v>
      </c>
      <c r="F1443" s="4" t="s">
        <v>3192</v>
      </c>
      <c r="G1443" s="4" t="str">
        <f aca="false">INDEX(PurchaseOrders!$B$2:$B$3001,MATCH(B1443,PurchaseOrders!$A$2:$A$3001,0))</f>
        <v>V003</v>
      </c>
    </row>
    <row r="1444" customFormat="false" ht="15" hidden="false" customHeight="true" outlineLevel="0" collapsed="false">
      <c r="A1444" s="4" t="s">
        <v>4631</v>
      </c>
      <c r="B1444" s="4" t="s">
        <v>1620</v>
      </c>
      <c r="C1444" s="4" t="n">
        <v>2274</v>
      </c>
      <c r="D1444" s="4" t="n">
        <v>358</v>
      </c>
      <c r="E1444" s="13" t="n">
        <v>44957</v>
      </c>
      <c r="F1444" s="4" t="s">
        <v>3186</v>
      </c>
      <c r="G1444" s="4" t="str">
        <f aca="false">INDEX(PurchaseOrders!$B$2:$B$3001,MATCH(B1444,PurchaseOrders!$A$2:$A$3001,0))</f>
        <v>V026</v>
      </c>
    </row>
    <row r="1445" customFormat="false" ht="15" hidden="false" customHeight="true" outlineLevel="0" collapsed="false">
      <c r="A1445" s="4" t="s">
        <v>4632</v>
      </c>
      <c r="B1445" s="4" t="s">
        <v>1621</v>
      </c>
      <c r="C1445" s="4" t="n">
        <v>161</v>
      </c>
      <c r="D1445" s="4" t="n">
        <v>14</v>
      </c>
      <c r="E1445" s="13" t="n">
        <v>45570</v>
      </c>
      <c r="F1445" s="4" t="s">
        <v>3192</v>
      </c>
      <c r="G1445" s="4" t="str">
        <f aca="false">INDEX(PurchaseOrders!$B$2:$B$3001,MATCH(B1445,PurchaseOrders!$A$2:$A$3001,0))</f>
        <v>V013</v>
      </c>
    </row>
    <row r="1446" customFormat="false" ht="15" hidden="false" customHeight="true" outlineLevel="0" collapsed="false">
      <c r="A1446" s="4" t="s">
        <v>4633</v>
      </c>
      <c r="B1446" s="4" t="s">
        <v>1622</v>
      </c>
      <c r="C1446" s="4" t="n">
        <v>431</v>
      </c>
      <c r="D1446" s="4" t="n">
        <v>42</v>
      </c>
      <c r="E1446" s="13" t="n">
        <v>45311</v>
      </c>
      <c r="F1446" s="4" t="s">
        <v>3192</v>
      </c>
      <c r="G1446" s="4" t="str">
        <f aca="false">INDEX(PurchaseOrders!$B$2:$B$3001,MATCH(B1446,PurchaseOrders!$A$2:$A$3001,0))</f>
        <v>V043</v>
      </c>
    </row>
    <row r="1447" customFormat="false" ht="15" hidden="false" customHeight="true" outlineLevel="0" collapsed="false">
      <c r="A1447" s="4" t="s">
        <v>4634</v>
      </c>
      <c r="B1447" s="4" t="s">
        <v>1623</v>
      </c>
      <c r="C1447" s="4" t="n">
        <v>2573</v>
      </c>
      <c r="D1447" s="4" t="n">
        <v>245</v>
      </c>
      <c r="E1447" s="13" t="n">
        <v>45614</v>
      </c>
      <c r="F1447" s="4" t="s">
        <v>3184</v>
      </c>
      <c r="G1447" s="4" t="str">
        <f aca="false">INDEX(PurchaseOrders!$B$2:$B$3001,MATCH(B1447,PurchaseOrders!$A$2:$A$3001,0))</f>
        <v>V032</v>
      </c>
    </row>
    <row r="1448" customFormat="false" ht="15" hidden="false" customHeight="true" outlineLevel="0" collapsed="false">
      <c r="A1448" s="4" t="s">
        <v>4635</v>
      </c>
      <c r="B1448" s="4" t="s">
        <v>1624</v>
      </c>
      <c r="C1448" s="4" t="n">
        <v>3574</v>
      </c>
      <c r="D1448" s="4" t="n">
        <v>195</v>
      </c>
      <c r="E1448" s="13" t="n">
        <v>44948</v>
      </c>
      <c r="F1448" s="4" t="s">
        <v>3190</v>
      </c>
      <c r="G1448" s="4" t="str">
        <f aca="false">INDEX(PurchaseOrders!$B$2:$B$3001,MATCH(B1448,PurchaseOrders!$A$2:$A$3001,0))</f>
        <v>V058</v>
      </c>
    </row>
    <row r="1449" customFormat="false" ht="15" hidden="false" customHeight="true" outlineLevel="0" collapsed="false">
      <c r="A1449" s="4" t="s">
        <v>4636</v>
      </c>
      <c r="B1449" s="4" t="s">
        <v>1625</v>
      </c>
      <c r="C1449" s="4" t="n">
        <v>6</v>
      </c>
      <c r="D1449" s="4" t="n">
        <v>0</v>
      </c>
      <c r="E1449" s="13" t="n">
        <v>45167</v>
      </c>
      <c r="F1449" s="4"/>
      <c r="G1449" s="4" t="str">
        <f aca="false">INDEX(PurchaseOrders!$B$2:$B$3001,MATCH(B1449,PurchaseOrders!$A$2:$A$3001,0))</f>
        <v>V053</v>
      </c>
    </row>
    <row r="1450" customFormat="false" ht="15" hidden="false" customHeight="true" outlineLevel="0" collapsed="false">
      <c r="A1450" s="4" t="s">
        <v>4637</v>
      </c>
      <c r="B1450" s="4" t="s">
        <v>1626</v>
      </c>
      <c r="C1450" s="4" t="n">
        <v>527</v>
      </c>
      <c r="D1450" s="4" t="n">
        <v>125</v>
      </c>
      <c r="E1450" s="13" t="n">
        <v>45048</v>
      </c>
      <c r="F1450" s="4" t="s">
        <v>3188</v>
      </c>
      <c r="G1450" s="4" t="str">
        <f aca="false">INDEX(PurchaseOrders!$B$2:$B$3001,MATCH(B1450,PurchaseOrders!$A$2:$A$3001,0))</f>
        <v>V039</v>
      </c>
    </row>
    <row r="1451" customFormat="false" ht="15" hidden="false" customHeight="true" outlineLevel="0" collapsed="false">
      <c r="A1451" s="4" t="s">
        <v>4638</v>
      </c>
      <c r="B1451" s="4" t="s">
        <v>1627</v>
      </c>
      <c r="C1451" s="4" t="n">
        <v>1549</v>
      </c>
      <c r="D1451" s="4" t="n">
        <v>51</v>
      </c>
      <c r="E1451" s="13" t="n">
        <v>45637</v>
      </c>
      <c r="F1451" s="4" t="s">
        <v>3190</v>
      </c>
      <c r="G1451" s="4" t="str">
        <f aca="false">INDEX(PurchaseOrders!$B$2:$B$3001,MATCH(B1451,PurchaseOrders!$A$2:$A$3001,0))</f>
        <v>V035</v>
      </c>
    </row>
    <row r="1452" customFormat="false" ht="15" hidden="false" customHeight="true" outlineLevel="0" collapsed="false">
      <c r="A1452" s="4" t="s">
        <v>4639</v>
      </c>
      <c r="B1452" s="4" t="s">
        <v>1628</v>
      </c>
      <c r="C1452" s="4" t="n">
        <v>891</v>
      </c>
      <c r="D1452" s="4" t="n">
        <v>101</v>
      </c>
      <c r="E1452" s="13" t="n">
        <v>44967</v>
      </c>
      <c r="F1452" s="4" t="s">
        <v>3186</v>
      </c>
      <c r="G1452" s="4" t="str">
        <f aca="false">INDEX(PurchaseOrders!$B$2:$B$3001,MATCH(B1452,PurchaseOrders!$A$2:$A$3001,0))</f>
        <v>V032</v>
      </c>
    </row>
    <row r="1453" customFormat="false" ht="15" hidden="false" customHeight="true" outlineLevel="0" collapsed="false">
      <c r="A1453" s="4" t="s">
        <v>4640</v>
      </c>
      <c r="B1453" s="4" t="s">
        <v>1629</v>
      </c>
      <c r="C1453" s="4" t="n">
        <v>3454</v>
      </c>
      <c r="D1453" s="4" t="n">
        <v>7</v>
      </c>
      <c r="E1453" s="13" t="n">
        <v>45253</v>
      </c>
      <c r="F1453" s="4" t="s">
        <v>3192</v>
      </c>
      <c r="G1453" s="4" t="str">
        <f aca="false">INDEX(PurchaseOrders!$B$2:$B$3001,MATCH(B1453,PurchaseOrders!$A$2:$A$3001,0))</f>
        <v>V002</v>
      </c>
    </row>
    <row r="1454" customFormat="false" ht="15" hidden="false" customHeight="true" outlineLevel="0" collapsed="false">
      <c r="A1454" s="4" t="s">
        <v>4641</v>
      </c>
      <c r="B1454" s="4" t="s">
        <v>1630</v>
      </c>
      <c r="C1454" s="4" t="n">
        <v>822</v>
      </c>
      <c r="D1454" s="4" t="n">
        <v>105</v>
      </c>
      <c r="E1454" s="13" t="n">
        <v>44958</v>
      </c>
      <c r="F1454" s="4" t="s">
        <v>3184</v>
      </c>
      <c r="G1454" s="4" t="str">
        <f aca="false">INDEX(PurchaseOrders!$B$2:$B$3001,MATCH(B1454,PurchaseOrders!$A$2:$A$3001,0))</f>
        <v>V032</v>
      </c>
    </row>
    <row r="1455" customFormat="false" ht="15" hidden="false" customHeight="true" outlineLevel="0" collapsed="false">
      <c r="A1455" s="4" t="s">
        <v>4642</v>
      </c>
      <c r="B1455" s="4" t="s">
        <v>1631</v>
      </c>
      <c r="C1455" s="4" t="n">
        <v>194</v>
      </c>
      <c r="D1455" s="4" t="n">
        <v>16</v>
      </c>
      <c r="E1455" s="13" t="n">
        <v>45106</v>
      </c>
      <c r="F1455" s="4" t="s">
        <v>3184</v>
      </c>
      <c r="G1455" s="4" t="str">
        <f aca="false">INDEX(PurchaseOrders!$B$2:$B$3001,MATCH(B1455,PurchaseOrders!$A$2:$A$3001,0))</f>
        <v>V009</v>
      </c>
    </row>
    <row r="1456" customFormat="false" ht="15" hidden="false" customHeight="true" outlineLevel="0" collapsed="false">
      <c r="A1456" s="4" t="s">
        <v>4643</v>
      </c>
      <c r="B1456" s="4" t="s">
        <v>1632</v>
      </c>
      <c r="C1456" s="4" t="n">
        <v>402</v>
      </c>
      <c r="D1456" s="4" t="n">
        <v>22</v>
      </c>
      <c r="E1456" s="13" t="n">
        <v>45279</v>
      </c>
      <c r="F1456" s="4" t="s">
        <v>3202</v>
      </c>
      <c r="G1456" s="4" t="str">
        <f aca="false">INDEX(PurchaseOrders!$B$2:$B$3001,MATCH(B1456,PurchaseOrders!$A$2:$A$3001,0))</f>
        <v>V048</v>
      </c>
    </row>
    <row r="1457" customFormat="false" ht="15" hidden="false" customHeight="true" outlineLevel="0" collapsed="false">
      <c r="A1457" s="4" t="s">
        <v>4644</v>
      </c>
      <c r="B1457" s="4" t="s">
        <v>1633</v>
      </c>
      <c r="C1457" s="4" t="n">
        <v>303</v>
      </c>
      <c r="D1457" s="4" t="n">
        <v>37</v>
      </c>
      <c r="E1457" s="13" t="n">
        <v>45141</v>
      </c>
      <c r="F1457" s="4" t="s">
        <v>3190</v>
      </c>
      <c r="G1457" s="4" t="str">
        <f aca="false">INDEX(PurchaseOrders!$B$2:$B$3001,MATCH(B1457,PurchaseOrders!$A$2:$A$3001,0))</f>
        <v>V055</v>
      </c>
    </row>
    <row r="1458" customFormat="false" ht="15" hidden="false" customHeight="true" outlineLevel="0" collapsed="false">
      <c r="A1458" s="4" t="s">
        <v>4645</v>
      </c>
      <c r="B1458" s="4" t="s">
        <v>1634</v>
      </c>
      <c r="C1458" s="4" t="n">
        <v>437</v>
      </c>
      <c r="D1458" s="4" t="n">
        <v>30</v>
      </c>
      <c r="E1458" s="13" t="n">
        <v>45621</v>
      </c>
      <c r="F1458" s="4" t="s">
        <v>3202</v>
      </c>
      <c r="G1458" s="4" t="str">
        <f aca="false">INDEX(PurchaseOrders!$B$2:$B$3001,MATCH(B1458,PurchaseOrders!$A$2:$A$3001,0))</f>
        <v>V012</v>
      </c>
    </row>
    <row r="1459" customFormat="false" ht="15" hidden="false" customHeight="true" outlineLevel="0" collapsed="false">
      <c r="A1459" s="4" t="s">
        <v>4646</v>
      </c>
      <c r="B1459" s="4" t="s">
        <v>1635</v>
      </c>
      <c r="C1459" s="4" t="n">
        <v>666</v>
      </c>
      <c r="D1459" s="4" t="n">
        <v>161</v>
      </c>
      <c r="E1459" s="13" t="n">
        <v>45195</v>
      </c>
      <c r="F1459" s="4" t="s">
        <v>3188</v>
      </c>
      <c r="G1459" s="4" t="str">
        <f aca="false">INDEX(PurchaseOrders!$B$2:$B$3001,MATCH(B1459,PurchaseOrders!$A$2:$A$3001,0))</f>
        <v>V039</v>
      </c>
    </row>
    <row r="1460" customFormat="false" ht="15" hidden="false" customHeight="true" outlineLevel="0" collapsed="false">
      <c r="A1460" s="4" t="s">
        <v>4647</v>
      </c>
      <c r="B1460" s="4" t="s">
        <v>1636</v>
      </c>
      <c r="C1460" s="4" t="n">
        <v>4462</v>
      </c>
      <c r="D1460" s="4" t="n">
        <v>374</v>
      </c>
      <c r="E1460" s="13" t="n">
        <v>44975</v>
      </c>
      <c r="F1460" s="4" t="s">
        <v>3190</v>
      </c>
      <c r="G1460" s="4" t="str">
        <f aca="false">INDEX(PurchaseOrders!$B$2:$B$3001,MATCH(B1460,PurchaseOrders!$A$2:$A$3001,0))</f>
        <v>V032</v>
      </c>
    </row>
    <row r="1461" customFormat="false" ht="15" hidden="false" customHeight="true" outlineLevel="0" collapsed="false">
      <c r="A1461" s="4" t="s">
        <v>4648</v>
      </c>
      <c r="B1461" s="4" t="s">
        <v>1637</v>
      </c>
      <c r="C1461" s="4" t="n">
        <v>331</v>
      </c>
      <c r="D1461" s="4" t="n">
        <v>18</v>
      </c>
      <c r="E1461" s="13" t="n">
        <v>45537</v>
      </c>
      <c r="F1461" s="4" t="s">
        <v>3184</v>
      </c>
      <c r="G1461" s="4" t="str">
        <f aca="false">INDEX(PurchaseOrders!$B$2:$B$3001,MATCH(B1461,PurchaseOrders!$A$2:$A$3001,0))</f>
        <v>V013</v>
      </c>
    </row>
    <row r="1462" customFormat="false" ht="15" hidden="false" customHeight="true" outlineLevel="0" collapsed="false">
      <c r="A1462" s="4" t="s">
        <v>4649</v>
      </c>
      <c r="B1462" s="4" t="s">
        <v>1638</v>
      </c>
      <c r="C1462" s="4" t="n">
        <v>9</v>
      </c>
      <c r="D1462" s="4" t="n">
        <v>0</v>
      </c>
      <c r="E1462" s="13" t="n">
        <v>45566</v>
      </c>
      <c r="F1462" s="4"/>
      <c r="G1462" s="4" t="str">
        <f aca="false">INDEX(PurchaseOrders!$B$2:$B$3001,MATCH(B1462,PurchaseOrders!$A$2:$A$3001,0))</f>
        <v>V053</v>
      </c>
    </row>
    <row r="1463" customFormat="false" ht="15" hidden="false" customHeight="true" outlineLevel="0" collapsed="false">
      <c r="A1463" s="4" t="s">
        <v>4650</v>
      </c>
      <c r="B1463" s="4" t="s">
        <v>1639</v>
      </c>
      <c r="C1463" s="4" t="n">
        <v>13</v>
      </c>
      <c r="D1463" s="4" t="n">
        <v>2</v>
      </c>
      <c r="E1463" s="13" t="n">
        <v>45659</v>
      </c>
      <c r="F1463" s="4" t="s">
        <v>3202</v>
      </c>
      <c r="G1463" s="4" t="str">
        <f aca="false">INDEX(PurchaseOrders!$B$2:$B$3001,MATCH(B1463,PurchaseOrders!$A$2:$A$3001,0))</f>
        <v>V054</v>
      </c>
    </row>
    <row r="1464" customFormat="false" ht="15" hidden="false" customHeight="true" outlineLevel="0" collapsed="false">
      <c r="A1464" s="4" t="s">
        <v>4651</v>
      </c>
      <c r="B1464" s="4" t="s">
        <v>1640</v>
      </c>
      <c r="C1464" s="4" t="n">
        <v>5</v>
      </c>
      <c r="D1464" s="4" t="n">
        <v>0</v>
      </c>
      <c r="E1464" s="13" t="n">
        <v>45192</v>
      </c>
      <c r="F1464" s="4"/>
      <c r="G1464" s="4" t="str">
        <f aca="false">INDEX(PurchaseOrders!$B$2:$B$3001,MATCH(B1464,PurchaseOrders!$A$2:$A$3001,0))</f>
        <v>V016</v>
      </c>
    </row>
    <row r="1465" customFormat="false" ht="15" hidden="false" customHeight="true" outlineLevel="0" collapsed="false">
      <c r="A1465" s="4" t="s">
        <v>4652</v>
      </c>
      <c r="B1465" s="4" t="s">
        <v>1641</v>
      </c>
      <c r="C1465" s="4" t="n">
        <v>974</v>
      </c>
      <c r="D1465" s="4" t="n">
        <v>137</v>
      </c>
      <c r="E1465" s="13" t="n">
        <v>45553</v>
      </c>
      <c r="F1465" s="4" t="s">
        <v>3188</v>
      </c>
      <c r="G1465" s="4" t="str">
        <f aca="false">INDEX(PurchaseOrders!$B$2:$B$3001,MATCH(B1465,PurchaseOrders!$A$2:$A$3001,0))</f>
        <v>V057</v>
      </c>
    </row>
    <row r="1466" customFormat="false" ht="15" hidden="false" customHeight="true" outlineLevel="0" collapsed="false">
      <c r="A1466" s="4" t="s">
        <v>4653</v>
      </c>
      <c r="B1466" s="4" t="s">
        <v>1642</v>
      </c>
      <c r="C1466" s="4" t="n">
        <v>1687</v>
      </c>
      <c r="D1466" s="4" t="n">
        <v>0</v>
      </c>
      <c r="E1466" s="13" t="n">
        <v>45287</v>
      </c>
      <c r="F1466" s="4"/>
      <c r="G1466" s="4" t="str">
        <f aca="false">INDEX(PurchaseOrders!$B$2:$B$3001,MATCH(B1466,PurchaseOrders!$A$2:$A$3001,0))</f>
        <v>V035</v>
      </c>
    </row>
    <row r="1467" customFormat="false" ht="15" hidden="false" customHeight="true" outlineLevel="0" collapsed="false">
      <c r="A1467" s="4" t="s">
        <v>4654</v>
      </c>
      <c r="B1467" s="4" t="s">
        <v>1643</v>
      </c>
      <c r="C1467" s="4" t="n">
        <v>133</v>
      </c>
      <c r="D1467" s="4" t="n">
        <v>15</v>
      </c>
      <c r="E1467" s="13" t="n">
        <v>45027</v>
      </c>
      <c r="F1467" s="4" t="s">
        <v>3202</v>
      </c>
      <c r="G1467" s="4" t="str">
        <f aca="false">INDEX(PurchaseOrders!$B$2:$B$3001,MATCH(B1467,PurchaseOrders!$A$2:$A$3001,0))</f>
        <v>V036</v>
      </c>
    </row>
    <row r="1468" customFormat="false" ht="15" hidden="false" customHeight="true" outlineLevel="0" collapsed="false">
      <c r="A1468" s="4" t="s">
        <v>4655</v>
      </c>
      <c r="B1468" s="4" t="s">
        <v>1644</v>
      </c>
      <c r="C1468" s="4" t="n">
        <v>144</v>
      </c>
      <c r="D1468" s="4" t="n">
        <v>3</v>
      </c>
      <c r="E1468" s="13" t="n">
        <v>45551</v>
      </c>
      <c r="F1468" s="4" t="s">
        <v>3192</v>
      </c>
      <c r="G1468" s="4" t="str">
        <f aca="false">INDEX(PurchaseOrders!$B$2:$B$3001,MATCH(B1468,PurchaseOrders!$A$2:$A$3001,0))</f>
        <v>V040</v>
      </c>
    </row>
    <row r="1469" customFormat="false" ht="15" hidden="false" customHeight="true" outlineLevel="0" collapsed="false">
      <c r="A1469" s="4" t="s">
        <v>4656</v>
      </c>
      <c r="B1469" s="4" t="s">
        <v>1645</v>
      </c>
      <c r="C1469" s="4" t="n">
        <v>198</v>
      </c>
      <c r="D1469" s="4" t="n">
        <v>23</v>
      </c>
      <c r="E1469" s="13" t="n">
        <v>45192</v>
      </c>
      <c r="F1469" s="4" t="s">
        <v>3186</v>
      </c>
      <c r="G1469" s="4" t="str">
        <f aca="false">INDEX(PurchaseOrders!$B$2:$B$3001,MATCH(B1469,PurchaseOrders!$A$2:$A$3001,0))</f>
        <v>V049</v>
      </c>
    </row>
    <row r="1470" customFormat="false" ht="15" hidden="false" customHeight="true" outlineLevel="0" collapsed="false">
      <c r="A1470" s="4" t="s">
        <v>4657</v>
      </c>
      <c r="B1470" s="4" t="s">
        <v>1646</v>
      </c>
      <c r="C1470" s="4" t="n">
        <v>4531</v>
      </c>
      <c r="D1470" s="4" t="n">
        <v>403</v>
      </c>
      <c r="E1470" s="13" t="n">
        <v>45393</v>
      </c>
      <c r="F1470" s="4" t="s">
        <v>3192</v>
      </c>
      <c r="G1470" s="4" t="str">
        <f aca="false">INDEX(PurchaseOrders!$B$2:$B$3001,MATCH(B1470,PurchaseOrders!$A$2:$A$3001,0))</f>
        <v>V003</v>
      </c>
    </row>
    <row r="1471" customFormat="false" ht="15" hidden="false" customHeight="true" outlineLevel="0" collapsed="false">
      <c r="A1471" s="4" t="s">
        <v>4658</v>
      </c>
      <c r="B1471" s="4" t="s">
        <v>1647</v>
      </c>
      <c r="C1471" s="4" t="n">
        <v>942</v>
      </c>
      <c r="D1471" s="4" t="n">
        <v>20</v>
      </c>
      <c r="E1471" s="13" t="n">
        <v>45498</v>
      </c>
      <c r="F1471" s="4" t="s">
        <v>3186</v>
      </c>
      <c r="G1471" s="4" t="str">
        <f aca="false">INDEX(PurchaseOrders!$B$2:$B$3001,MATCH(B1471,PurchaseOrders!$A$2:$A$3001,0))</f>
        <v>V010</v>
      </c>
    </row>
    <row r="1472" customFormat="false" ht="15" hidden="false" customHeight="true" outlineLevel="0" collapsed="false">
      <c r="A1472" s="4" t="s">
        <v>4659</v>
      </c>
      <c r="B1472" s="4" t="s">
        <v>1648</v>
      </c>
      <c r="C1472" s="4" t="n">
        <v>683</v>
      </c>
      <c r="D1472" s="4" t="n">
        <v>15</v>
      </c>
      <c r="E1472" s="13" t="n">
        <v>45429</v>
      </c>
      <c r="F1472" s="4" t="s">
        <v>3186</v>
      </c>
      <c r="G1472" s="4" t="str">
        <f aca="false">INDEX(PurchaseOrders!$B$2:$B$3001,MATCH(B1472,PurchaseOrders!$A$2:$A$3001,0))</f>
        <v>V010</v>
      </c>
    </row>
    <row r="1473" customFormat="false" ht="15" hidden="false" customHeight="true" outlineLevel="0" collapsed="false">
      <c r="A1473" s="4" t="s">
        <v>4660</v>
      </c>
      <c r="B1473" s="4" t="s">
        <v>1649</v>
      </c>
      <c r="C1473" s="4" t="n">
        <v>18</v>
      </c>
      <c r="D1473" s="4" t="n">
        <v>0</v>
      </c>
      <c r="E1473" s="13" t="n">
        <v>45335</v>
      </c>
      <c r="F1473" s="4"/>
      <c r="G1473" s="4" t="str">
        <f aca="false">INDEX(PurchaseOrders!$B$2:$B$3001,MATCH(B1473,PurchaseOrders!$A$2:$A$3001,0))</f>
        <v>V019</v>
      </c>
    </row>
    <row r="1474" customFormat="false" ht="15" hidden="false" customHeight="true" outlineLevel="0" collapsed="false">
      <c r="A1474" s="4" t="s">
        <v>4661</v>
      </c>
      <c r="B1474" s="4" t="s">
        <v>1650</v>
      </c>
      <c r="C1474" s="4" t="n">
        <v>258</v>
      </c>
      <c r="D1474" s="4" t="n">
        <v>5</v>
      </c>
      <c r="E1474" s="13" t="n">
        <v>45208</v>
      </c>
      <c r="F1474" s="4" t="s">
        <v>3184</v>
      </c>
      <c r="G1474" s="4" t="str">
        <f aca="false">INDEX(PurchaseOrders!$B$2:$B$3001,MATCH(B1474,PurchaseOrders!$A$2:$A$3001,0))</f>
        <v>V040</v>
      </c>
    </row>
    <row r="1475" customFormat="false" ht="15" hidden="false" customHeight="true" outlineLevel="0" collapsed="false">
      <c r="A1475" s="4" t="s">
        <v>4662</v>
      </c>
      <c r="B1475" s="4" t="s">
        <v>1651</v>
      </c>
      <c r="C1475" s="4" t="n">
        <v>11</v>
      </c>
      <c r="D1475" s="4" t="n">
        <v>1</v>
      </c>
      <c r="E1475" s="13" t="n">
        <v>45326</v>
      </c>
      <c r="F1475" s="4" t="s">
        <v>3186</v>
      </c>
      <c r="G1475" s="4" t="str">
        <f aca="false">INDEX(PurchaseOrders!$B$2:$B$3001,MATCH(B1475,PurchaseOrders!$A$2:$A$3001,0))</f>
        <v>V054</v>
      </c>
    </row>
    <row r="1476" customFormat="false" ht="15" hidden="false" customHeight="true" outlineLevel="0" collapsed="false">
      <c r="A1476" s="4" t="s">
        <v>4663</v>
      </c>
      <c r="B1476" s="4" t="s">
        <v>1652</v>
      </c>
      <c r="C1476" s="4" t="n">
        <v>489</v>
      </c>
      <c r="D1476" s="4" t="n">
        <v>12</v>
      </c>
      <c r="E1476" s="13" t="n">
        <v>45630</v>
      </c>
      <c r="F1476" s="4" t="s">
        <v>3192</v>
      </c>
      <c r="G1476" s="4" t="str">
        <f aca="false">INDEX(PurchaseOrders!$B$2:$B$3001,MATCH(B1476,PurchaseOrders!$A$2:$A$3001,0))</f>
        <v>V017</v>
      </c>
    </row>
    <row r="1477" customFormat="false" ht="15" hidden="false" customHeight="true" outlineLevel="0" collapsed="false">
      <c r="A1477" s="4" t="s">
        <v>4664</v>
      </c>
      <c r="B1477" s="4" t="s">
        <v>1653</v>
      </c>
      <c r="C1477" s="4" t="n">
        <v>1265</v>
      </c>
      <c r="D1477" s="4" t="n">
        <v>58</v>
      </c>
      <c r="E1477" s="13" t="n">
        <v>45342</v>
      </c>
      <c r="F1477" s="4" t="s">
        <v>3184</v>
      </c>
      <c r="G1477" s="4" t="str">
        <f aca="false">INDEX(PurchaseOrders!$B$2:$B$3001,MATCH(B1477,PurchaseOrders!$A$2:$A$3001,0))</f>
        <v>V051</v>
      </c>
    </row>
    <row r="1478" customFormat="false" ht="15" hidden="false" customHeight="true" outlineLevel="0" collapsed="false">
      <c r="A1478" s="4" t="s">
        <v>4665</v>
      </c>
      <c r="B1478" s="4" t="s">
        <v>1654</v>
      </c>
      <c r="C1478" s="4" t="n">
        <v>3829</v>
      </c>
      <c r="D1478" s="4" t="n">
        <v>547</v>
      </c>
      <c r="E1478" s="13" t="n">
        <v>45341</v>
      </c>
      <c r="F1478" s="4" t="s">
        <v>3186</v>
      </c>
      <c r="G1478" s="4" t="str">
        <f aca="false">INDEX(PurchaseOrders!$B$2:$B$3001,MATCH(B1478,PurchaseOrders!$A$2:$A$3001,0))</f>
        <v>V026</v>
      </c>
    </row>
    <row r="1479" customFormat="false" ht="15" hidden="false" customHeight="true" outlineLevel="0" collapsed="false">
      <c r="A1479" s="4" t="s">
        <v>4666</v>
      </c>
      <c r="B1479" s="4" t="s">
        <v>1655</v>
      </c>
      <c r="C1479" s="4" t="n">
        <v>75</v>
      </c>
      <c r="D1479" s="4" t="n">
        <v>1</v>
      </c>
      <c r="E1479" s="13" t="n">
        <v>45390</v>
      </c>
      <c r="F1479" s="4" t="s">
        <v>3186</v>
      </c>
      <c r="G1479" s="4" t="str">
        <f aca="false">INDEX(PurchaseOrders!$B$2:$B$3001,MATCH(B1479,PurchaseOrders!$A$2:$A$3001,0))</f>
        <v>V060</v>
      </c>
    </row>
    <row r="1480" customFormat="false" ht="15" hidden="false" customHeight="true" outlineLevel="0" collapsed="false">
      <c r="A1480" s="4" t="s">
        <v>4667</v>
      </c>
      <c r="B1480" s="4" t="s">
        <v>1656</v>
      </c>
      <c r="C1480" s="4" t="n">
        <v>1019</v>
      </c>
      <c r="D1480" s="4" t="n">
        <v>19</v>
      </c>
      <c r="E1480" s="13" t="n">
        <v>45192</v>
      </c>
      <c r="F1480" s="4" t="s">
        <v>3188</v>
      </c>
      <c r="G1480" s="4" t="str">
        <f aca="false">INDEX(PurchaseOrders!$B$2:$B$3001,MATCH(B1480,PurchaseOrders!$A$2:$A$3001,0))</f>
        <v>V035</v>
      </c>
    </row>
    <row r="1481" customFormat="false" ht="15" hidden="false" customHeight="true" outlineLevel="0" collapsed="false">
      <c r="A1481" s="4" t="s">
        <v>4668</v>
      </c>
      <c r="B1481" s="4" t="s">
        <v>1657</v>
      </c>
      <c r="C1481" s="4" t="n">
        <v>7</v>
      </c>
      <c r="D1481" s="4" t="n">
        <v>0</v>
      </c>
      <c r="E1481" s="13" t="n">
        <v>45317</v>
      </c>
      <c r="F1481" s="4"/>
      <c r="G1481" s="4" t="str">
        <f aca="false">INDEX(PurchaseOrders!$B$2:$B$3001,MATCH(B1481,PurchaseOrders!$A$2:$A$3001,0))</f>
        <v>V016</v>
      </c>
    </row>
    <row r="1482" customFormat="false" ht="15" hidden="false" customHeight="true" outlineLevel="0" collapsed="false">
      <c r="A1482" s="4" t="s">
        <v>4669</v>
      </c>
      <c r="B1482" s="4" t="s">
        <v>1658</v>
      </c>
      <c r="C1482" s="4" t="n">
        <v>244</v>
      </c>
      <c r="D1482" s="4" t="n">
        <v>5</v>
      </c>
      <c r="E1482" s="13" t="n">
        <v>45017</v>
      </c>
      <c r="F1482" s="4" t="s">
        <v>3184</v>
      </c>
      <c r="G1482" s="4" t="str">
        <f aca="false">INDEX(PurchaseOrders!$B$2:$B$3001,MATCH(B1482,PurchaseOrders!$A$2:$A$3001,0))</f>
        <v>V006</v>
      </c>
    </row>
    <row r="1483" customFormat="false" ht="15" hidden="false" customHeight="true" outlineLevel="0" collapsed="false">
      <c r="A1483" s="4" t="s">
        <v>4670</v>
      </c>
      <c r="B1483" s="4" t="s">
        <v>1659</v>
      </c>
      <c r="C1483" s="4" t="n">
        <v>1976</v>
      </c>
      <c r="D1483" s="4" t="n">
        <v>97</v>
      </c>
      <c r="E1483" s="13" t="n">
        <v>45368</v>
      </c>
      <c r="F1483" s="4" t="s">
        <v>3192</v>
      </c>
      <c r="G1483" s="4" t="str">
        <f aca="false">INDEX(PurchaseOrders!$B$2:$B$3001,MATCH(B1483,PurchaseOrders!$A$2:$A$3001,0))</f>
        <v>V002</v>
      </c>
    </row>
    <row r="1484" customFormat="false" ht="15" hidden="false" customHeight="true" outlineLevel="0" collapsed="false">
      <c r="A1484" s="4" t="s">
        <v>4671</v>
      </c>
      <c r="B1484" s="4" t="s">
        <v>1660</v>
      </c>
      <c r="C1484" s="4" t="n">
        <v>138</v>
      </c>
      <c r="D1484" s="4" t="n">
        <v>7</v>
      </c>
      <c r="E1484" s="13" t="n">
        <v>45069</v>
      </c>
      <c r="F1484" s="4" t="s">
        <v>3202</v>
      </c>
      <c r="G1484" s="4" t="str">
        <f aca="false">INDEX(PurchaseOrders!$B$2:$B$3001,MATCH(B1484,PurchaseOrders!$A$2:$A$3001,0))</f>
        <v>V006</v>
      </c>
    </row>
    <row r="1485" customFormat="false" ht="15" hidden="false" customHeight="true" outlineLevel="0" collapsed="false">
      <c r="A1485" s="4" t="s">
        <v>4672</v>
      </c>
      <c r="B1485" s="4" t="s">
        <v>1661</v>
      </c>
      <c r="C1485" s="4" t="n">
        <v>3253</v>
      </c>
      <c r="D1485" s="4" t="n">
        <v>588</v>
      </c>
      <c r="E1485" s="13" t="n">
        <v>45568</v>
      </c>
      <c r="F1485" s="4" t="s">
        <v>3188</v>
      </c>
      <c r="G1485" s="4" t="str">
        <f aca="false">INDEX(PurchaseOrders!$B$2:$B$3001,MATCH(B1485,PurchaseOrders!$A$2:$A$3001,0))</f>
        <v>V026</v>
      </c>
    </row>
    <row r="1486" customFormat="false" ht="15" hidden="false" customHeight="true" outlineLevel="0" collapsed="false">
      <c r="A1486" s="4" t="s">
        <v>4673</v>
      </c>
      <c r="B1486" s="4" t="s">
        <v>1662</v>
      </c>
      <c r="C1486" s="4" t="n">
        <v>1215</v>
      </c>
      <c r="D1486" s="4" t="n">
        <v>13</v>
      </c>
      <c r="E1486" s="13" t="n">
        <v>45364</v>
      </c>
      <c r="F1486" s="4" t="s">
        <v>3188</v>
      </c>
      <c r="G1486" s="4" t="str">
        <f aca="false">INDEX(PurchaseOrders!$B$2:$B$3001,MATCH(B1486,PurchaseOrders!$A$2:$A$3001,0))</f>
        <v>V010</v>
      </c>
    </row>
    <row r="1487" customFormat="false" ht="15" hidden="false" customHeight="true" outlineLevel="0" collapsed="false">
      <c r="A1487" s="4" t="s">
        <v>4674</v>
      </c>
      <c r="B1487" s="4" t="s">
        <v>1663</v>
      </c>
      <c r="C1487" s="4" t="n">
        <v>945</v>
      </c>
      <c r="D1487" s="4" t="n">
        <v>13</v>
      </c>
      <c r="E1487" s="13" t="n">
        <v>45358</v>
      </c>
      <c r="F1487" s="4" t="s">
        <v>3186</v>
      </c>
      <c r="G1487" s="4" t="str">
        <f aca="false">INDEX(PurchaseOrders!$B$2:$B$3001,MATCH(B1487,PurchaseOrders!$A$2:$A$3001,0))</f>
        <v>V059</v>
      </c>
    </row>
    <row r="1488" customFormat="false" ht="15" hidden="false" customHeight="true" outlineLevel="0" collapsed="false">
      <c r="A1488" s="4" t="s">
        <v>4675</v>
      </c>
      <c r="B1488" s="4" t="s">
        <v>1664</v>
      </c>
      <c r="C1488" s="4" t="n">
        <v>381</v>
      </c>
      <c r="D1488" s="4" t="n">
        <v>24</v>
      </c>
      <c r="E1488" s="13" t="n">
        <v>45002</v>
      </c>
      <c r="F1488" s="4" t="s">
        <v>3184</v>
      </c>
      <c r="G1488" s="4" t="str">
        <f aca="false">INDEX(PurchaseOrders!$B$2:$B$3001,MATCH(B1488,PurchaseOrders!$A$2:$A$3001,0))</f>
        <v>V035</v>
      </c>
    </row>
    <row r="1489" customFormat="false" ht="15" hidden="false" customHeight="true" outlineLevel="0" collapsed="false">
      <c r="A1489" s="4" t="s">
        <v>4676</v>
      </c>
      <c r="B1489" s="4" t="s">
        <v>1665</v>
      </c>
      <c r="C1489" s="4" t="n">
        <v>1605</v>
      </c>
      <c r="D1489" s="4" t="n">
        <v>66</v>
      </c>
      <c r="E1489" s="13" t="n">
        <v>45410</v>
      </c>
      <c r="F1489" s="4" t="s">
        <v>3188</v>
      </c>
      <c r="G1489" s="4" t="str">
        <f aca="false">INDEX(PurchaseOrders!$B$2:$B$3001,MATCH(B1489,PurchaseOrders!$A$2:$A$3001,0))</f>
        <v>V022</v>
      </c>
    </row>
    <row r="1490" customFormat="false" ht="15" hidden="false" customHeight="true" outlineLevel="0" collapsed="false">
      <c r="A1490" s="4" t="s">
        <v>4677</v>
      </c>
      <c r="B1490" s="4" t="s">
        <v>1666</v>
      </c>
      <c r="C1490" s="4" t="n">
        <v>1776</v>
      </c>
      <c r="D1490" s="4" t="n">
        <v>305</v>
      </c>
      <c r="E1490" s="13" t="n">
        <v>45111</v>
      </c>
      <c r="F1490" s="4" t="s">
        <v>3202</v>
      </c>
      <c r="G1490" s="4" t="str">
        <f aca="false">INDEX(PurchaseOrders!$B$2:$B$3001,MATCH(B1490,PurchaseOrders!$A$2:$A$3001,0))</f>
        <v>V025</v>
      </c>
    </row>
    <row r="1491" customFormat="false" ht="15" hidden="false" customHeight="true" outlineLevel="0" collapsed="false">
      <c r="A1491" s="4" t="s">
        <v>4678</v>
      </c>
      <c r="B1491" s="4" t="s">
        <v>1667</v>
      </c>
      <c r="C1491" s="4" t="n">
        <v>326</v>
      </c>
      <c r="D1491" s="4" t="n">
        <v>23</v>
      </c>
      <c r="E1491" s="13" t="n">
        <v>45247</v>
      </c>
      <c r="F1491" s="4" t="s">
        <v>3188</v>
      </c>
      <c r="G1491" s="4" t="str">
        <f aca="false">INDEX(PurchaseOrders!$B$2:$B$3001,MATCH(B1491,PurchaseOrders!$A$2:$A$3001,0))</f>
        <v>V030</v>
      </c>
    </row>
    <row r="1492" customFormat="false" ht="15" hidden="false" customHeight="true" outlineLevel="0" collapsed="false">
      <c r="A1492" s="4" t="s">
        <v>4679</v>
      </c>
      <c r="B1492" s="4" t="s">
        <v>1668</v>
      </c>
      <c r="C1492" s="4" t="n">
        <v>58</v>
      </c>
      <c r="D1492" s="4" t="n">
        <v>2</v>
      </c>
      <c r="E1492" s="13" t="n">
        <v>45598</v>
      </c>
      <c r="F1492" s="4" t="s">
        <v>3184</v>
      </c>
      <c r="G1492" s="4" t="str">
        <f aca="false">INDEX(PurchaseOrders!$B$2:$B$3001,MATCH(B1492,PurchaseOrders!$A$2:$A$3001,0))</f>
        <v>V029</v>
      </c>
    </row>
    <row r="1493" customFormat="false" ht="15" hidden="false" customHeight="true" outlineLevel="0" collapsed="false">
      <c r="A1493" s="4" t="s">
        <v>4680</v>
      </c>
      <c r="B1493" s="4" t="s">
        <v>1669</v>
      </c>
      <c r="C1493" s="4" t="n">
        <v>534</v>
      </c>
      <c r="D1493" s="4" t="n">
        <v>47</v>
      </c>
      <c r="E1493" s="13" t="n">
        <v>45161</v>
      </c>
      <c r="F1493" s="4" t="s">
        <v>3192</v>
      </c>
      <c r="G1493" s="4" t="str">
        <f aca="false">INDEX(PurchaseOrders!$B$2:$B$3001,MATCH(B1493,PurchaseOrders!$A$2:$A$3001,0))</f>
        <v>V027</v>
      </c>
    </row>
    <row r="1494" customFormat="false" ht="15" hidden="false" customHeight="true" outlineLevel="0" collapsed="false">
      <c r="A1494" s="4" t="s">
        <v>4681</v>
      </c>
      <c r="B1494" s="4" t="s">
        <v>1670</v>
      </c>
      <c r="C1494" s="4" t="n">
        <v>85</v>
      </c>
      <c r="D1494" s="4" t="n">
        <v>10</v>
      </c>
      <c r="E1494" s="13" t="n">
        <v>44953</v>
      </c>
      <c r="F1494" s="4" t="s">
        <v>3186</v>
      </c>
      <c r="G1494" s="4" t="str">
        <f aca="false">INDEX(PurchaseOrders!$B$2:$B$3001,MATCH(B1494,PurchaseOrders!$A$2:$A$3001,0))</f>
        <v>V013</v>
      </c>
    </row>
    <row r="1495" customFormat="false" ht="15" hidden="false" customHeight="true" outlineLevel="0" collapsed="false">
      <c r="A1495" s="4" t="s">
        <v>4682</v>
      </c>
      <c r="B1495" s="4" t="s">
        <v>1671</v>
      </c>
      <c r="C1495" s="4" t="n">
        <v>385</v>
      </c>
      <c r="D1495" s="4" t="n">
        <v>14</v>
      </c>
      <c r="E1495" s="13" t="n">
        <v>45257</v>
      </c>
      <c r="F1495" s="4" t="s">
        <v>3202</v>
      </c>
      <c r="G1495" s="4" t="str">
        <f aca="false">INDEX(PurchaseOrders!$B$2:$B$3001,MATCH(B1495,PurchaseOrders!$A$2:$A$3001,0))</f>
        <v>V006</v>
      </c>
    </row>
    <row r="1496" customFormat="false" ht="15" hidden="false" customHeight="true" outlineLevel="0" collapsed="false">
      <c r="A1496" s="4" t="s">
        <v>4683</v>
      </c>
      <c r="B1496" s="4" t="s">
        <v>1672</v>
      </c>
      <c r="C1496" s="4" t="n">
        <v>170</v>
      </c>
      <c r="D1496" s="4" t="n">
        <v>3</v>
      </c>
      <c r="E1496" s="13" t="n">
        <v>45592</v>
      </c>
      <c r="F1496" s="4" t="s">
        <v>3192</v>
      </c>
      <c r="G1496" s="4" t="str">
        <f aca="false">INDEX(PurchaseOrders!$B$2:$B$3001,MATCH(B1496,PurchaseOrders!$A$2:$A$3001,0))</f>
        <v>V029</v>
      </c>
    </row>
    <row r="1497" customFormat="false" ht="15" hidden="false" customHeight="true" outlineLevel="0" collapsed="false">
      <c r="A1497" s="4" t="s">
        <v>4684</v>
      </c>
      <c r="B1497" s="4" t="s">
        <v>1673</v>
      </c>
      <c r="C1497" s="4" t="n">
        <v>533</v>
      </c>
      <c r="D1497" s="4" t="n">
        <v>31</v>
      </c>
      <c r="E1497" s="13" t="n">
        <v>45473</v>
      </c>
      <c r="F1497" s="4" t="s">
        <v>3190</v>
      </c>
      <c r="G1497" s="4" t="str">
        <f aca="false">INDEX(PurchaseOrders!$B$2:$B$3001,MATCH(B1497,PurchaseOrders!$A$2:$A$3001,0))</f>
        <v>V022</v>
      </c>
    </row>
    <row r="1498" customFormat="false" ht="15" hidden="false" customHeight="true" outlineLevel="0" collapsed="false">
      <c r="A1498" s="4" t="s">
        <v>4685</v>
      </c>
      <c r="B1498" s="4" t="s">
        <v>1674</v>
      </c>
      <c r="C1498" s="4" t="n">
        <v>3012</v>
      </c>
      <c r="D1498" s="4" t="n">
        <v>313</v>
      </c>
      <c r="E1498" s="13" t="n">
        <v>45590</v>
      </c>
      <c r="F1498" s="4" t="s">
        <v>3192</v>
      </c>
      <c r="G1498" s="4" t="str">
        <f aca="false">INDEX(PurchaseOrders!$B$2:$B$3001,MATCH(B1498,PurchaseOrders!$A$2:$A$3001,0))</f>
        <v>V014</v>
      </c>
    </row>
    <row r="1499" customFormat="false" ht="15" hidden="false" customHeight="true" outlineLevel="0" collapsed="false">
      <c r="A1499" s="4" t="s">
        <v>4686</v>
      </c>
      <c r="B1499" s="4" t="s">
        <v>1675</v>
      </c>
      <c r="C1499" s="4" t="n">
        <v>1308</v>
      </c>
      <c r="D1499" s="4" t="n">
        <v>19</v>
      </c>
      <c r="E1499" s="13" t="n">
        <v>45596</v>
      </c>
      <c r="F1499" s="4" t="s">
        <v>3202</v>
      </c>
      <c r="G1499" s="4" t="str">
        <f aca="false">INDEX(PurchaseOrders!$B$2:$B$3001,MATCH(B1499,PurchaseOrders!$A$2:$A$3001,0))</f>
        <v>V021</v>
      </c>
    </row>
    <row r="1500" customFormat="false" ht="15" hidden="false" customHeight="true" outlineLevel="0" collapsed="false">
      <c r="A1500" s="4" t="s">
        <v>4687</v>
      </c>
      <c r="B1500" s="4" t="s">
        <v>1676</v>
      </c>
      <c r="C1500" s="4" t="n">
        <v>777</v>
      </c>
      <c r="D1500" s="4" t="n">
        <v>23</v>
      </c>
      <c r="E1500" s="13" t="n">
        <v>45573</v>
      </c>
      <c r="F1500" s="4" t="s">
        <v>3190</v>
      </c>
      <c r="G1500" s="4" t="str">
        <f aca="false">INDEX(PurchaseOrders!$B$2:$B$3001,MATCH(B1500,PurchaseOrders!$A$2:$A$3001,0))</f>
        <v>V045</v>
      </c>
    </row>
    <row r="1501" customFormat="false" ht="15" hidden="false" customHeight="true" outlineLevel="0" collapsed="false">
      <c r="A1501" s="4" t="s">
        <v>4688</v>
      </c>
      <c r="B1501" s="4" t="s">
        <v>1677</v>
      </c>
      <c r="C1501" s="4" t="n">
        <v>1284</v>
      </c>
      <c r="D1501" s="4" t="n">
        <v>204</v>
      </c>
      <c r="E1501" s="13" t="n">
        <v>45178</v>
      </c>
      <c r="F1501" s="4" t="s">
        <v>3188</v>
      </c>
      <c r="G1501" s="4" t="str">
        <f aca="false">INDEX(PurchaseOrders!$B$2:$B$3001,MATCH(B1501,PurchaseOrders!$A$2:$A$3001,0))</f>
        <v>V026</v>
      </c>
    </row>
    <row r="1502" customFormat="false" ht="15" hidden="false" customHeight="true" outlineLevel="0" collapsed="false">
      <c r="A1502" s="4" t="s">
        <v>4689</v>
      </c>
      <c r="B1502" s="4" t="s">
        <v>1678</v>
      </c>
      <c r="C1502" s="4" t="n">
        <v>811</v>
      </c>
      <c r="D1502" s="4" t="n">
        <v>78</v>
      </c>
      <c r="E1502" s="13" t="n">
        <v>44968</v>
      </c>
      <c r="F1502" s="4" t="s">
        <v>3186</v>
      </c>
      <c r="G1502" s="4" t="str">
        <f aca="false">INDEX(PurchaseOrders!$B$2:$B$3001,MATCH(B1502,PurchaseOrders!$A$2:$A$3001,0))</f>
        <v>V027</v>
      </c>
    </row>
    <row r="1503" customFormat="false" ht="15" hidden="false" customHeight="true" outlineLevel="0" collapsed="false">
      <c r="A1503" s="4" t="s">
        <v>4690</v>
      </c>
      <c r="B1503" s="4" t="s">
        <v>1679</v>
      </c>
      <c r="C1503" s="4" t="n">
        <v>2011</v>
      </c>
      <c r="D1503" s="4" t="n">
        <v>159</v>
      </c>
      <c r="E1503" s="13" t="n">
        <v>45109</v>
      </c>
      <c r="F1503" s="4" t="s">
        <v>3188</v>
      </c>
      <c r="G1503" s="4" t="str">
        <f aca="false">INDEX(PurchaseOrders!$B$2:$B$3001,MATCH(B1503,PurchaseOrders!$A$2:$A$3001,0))</f>
        <v>V028</v>
      </c>
    </row>
    <row r="1504" customFormat="false" ht="15" hidden="false" customHeight="true" outlineLevel="0" collapsed="false">
      <c r="A1504" s="4" t="s">
        <v>4691</v>
      </c>
      <c r="B1504" s="4" t="s">
        <v>1680</v>
      </c>
      <c r="C1504" s="4" t="n">
        <v>226</v>
      </c>
      <c r="D1504" s="4" t="n">
        <v>22</v>
      </c>
      <c r="E1504" s="13" t="n">
        <v>44990</v>
      </c>
      <c r="F1504" s="4" t="s">
        <v>3184</v>
      </c>
      <c r="G1504" s="4" t="str">
        <f aca="false">INDEX(PurchaseOrders!$B$2:$B$3001,MATCH(B1504,PurchaseOrders!$A$2:$A$3001,0))</f>
        <v>V043</v>
      </c>
    </row>
    <row r="1505" customFormat="false" ht="15" hidden="false" customHeight="true" outlineLevel="0" collapsed="false">
      <c r="A1505" s="4" t="s">
        <v>4692</v>
      </c>
      <c r="B1505" s="4" t="s">
        <v>1681</v>
      </c>
      <c r="C1505" s="4" t="n">
        <v>461</v>
      </c>
      <c r="D1505" s="4" t="n">
        <v>30</v>
      </c>
      <c r="E1505" s="13" t="n">
        <v>45452</v>
      </c>
      <c r="F1505" s="4" t="s">
        <v>3186</v>
      </c>
      <c r="G1505" s="4" t="str">
        <f aca="false">INDEX(PurchaseOrders!$B$2:$B$3001,MATCH(B1505,PurchaseOrders!$A$2:$A$3001,0))</f>
        <v>V006</v>
      </c>
    </row>
    <row r="1506" customFormat="false" ht="15" hidden="false" customHeight="true" outlineLevel="0" collapsed="false">
      <c r="A1506" s="4" t="s">
        <v>4693</v>
      </c>
      <c r="B1506" s="4" t="s">
        <v>1682</v>
      </c>
      <c r="C1506" s="4" t="n">
        <v>18</v>
      </c>
      <c r="D1506" s="4" t="n">
        <v>1</v>
      </c>
      <c r="E1506" s="13" t="n">
        <v>45024</v>
      </c>
      <c r="F1506" s="4" t="s">
        <v>3190</v>
      </c>
      <c r="G1506" s="4" t="str">
        <f aca="false">INDEX(PurchaseOrders!$B$2:$B$3001,MATCH(B1506,PurchaseOrders!$A$2:$A$3001,0))</f>
        <v>V053</v>
      </c>
    </row>
    <row r="1507" customFormat="false" ht="15" hidden="false" customHeight="true" outlineLevel="0" collapsed="false">
      <c r="A1507" s="4" t="s">
        <v>4694</v>
      </c>
      <c r="B1507" s="4" t="s">
        <v>1683</v>
      </c>
      <c r="C1507" s="4" t="n">
        <v>383</v>
      </c>
      <c r="D1507" s="4" t="n">
        <v>30</v>
      </c>
      <c r="E1507" s="13" t="n">
        <v>45421</v>
      </c>
      <c r="F1507" s="4" t="s">
        <v>3192</v>
      </c>
      <c r="G1507" s="4" t="str">
        <f aca="false">INDEX(PurchaseOrders!$B$2:$B$3001,MATCH(B1507,PurchaseOrders!$A$2:$A$3001,0))</f>
        <v>V013</v>
      </c>
    </row>
    <row r="1508" customFormat="false" ht="15" hidden="false" customHeight="true" outlineLevel="0" collapsed="false">
      <c r="A1508" s="4" t="s">
        <v>4695</v>
      </c>
      <c r="B1508" s="4" t="s">
        <v>1684</v>
      </c>
      <c r="C1508" s="4" t="n">
        <v>1462</v>
      </c>
      <c r="D1508" s="4" t="n">
        <v>98</v>
      </c>
      <c r="E1508" s="13" t="n">
        <v>45436</v>
      </c>
      <c r="F1508" s="4" t="s">
        <v>3186</v>
      </c>
      <c r="G1508" s="4" t="str">
        <f aca="false">INDEX(PurchaseOrders!$B$2:$B$3001,MATCH(B1508,PurchaseOrders!$A$2:$A$3001,0))</f>
        <v>V034</v>
      </c>
    </row>
    <row r="1509" customFormat="false" ht="15" hidden="false" customHeight="true" outlineLevel="0" collapsed="false">
      <c r="A1509" s="4" t="s">
        <v>4696</v>
      </c>
      <c r="B1509" s="4" t="s">
        <v>1685</v>
      </c>
      <c r="C1509" s="4" t="n">
        <v>1481</v>
      </c>
      <c r="D1509" s="4" t="n">
        <v>83</v>
      </c>
      <c r="E1509" s="13" t="n">
        <v>45046</v>
      </c>
      <c r="F1509" s="4" t="s">
        <v>3190</v>
      </c>
      <c r="G1509" s="4" t="str">
        <f aca="false">INDEX(PurchaseOrders!$B$2:$B$3001,MATCH(B1509,PurchaseOrders!$A$2:$A$3001,0))</f>
        <v>V051</v>
      </c>
    </row>
    <row r="1510" customFormat="false" ht="15" hidden="false" customHeight="true" outlineLevel="0" collapsed="false">
      <c r="A1510" s="4" t="s">
        <v>4697</v>
      </c>
      <c r="B1510" s="4" t="s">
        <v>1686</v>
      </c>
      <c r="C1510" s="4" t="n">
        <v>1392</v>
      </c>
      <c r="D1510" s="4" t="n">
        <v>37</v>
      </c>
      <c r="E1510" s="13" t="n">
        <v>45654</v>
      </c>
      <c r="F1510" s="4" t="s">
        <v>3186</v>
      </c>
      <c r="G1510" s="4" t="str">
        <f aca="false">INDEX(PurchaseOrders!$B$2:$B$3001,MATCH(B1510,PurchaseOrders!$A$2:$A$3001,0))</f>
        <v>V011</v>
      </c>
    </row>
    <row r="1511" customFormat="false" ht="15" hidden="false" customHeight="true" outlineLevel="0" collapsed="false">
      <c r="A1511" s="4" t="s">
        <v>4698</v>
      </c>
      <c r="B1511" s="4" t="s">
        <v>1687</v>
      </c>
      <c r="C1511" s="4" t="n">
        <v>4773</v>
      </c>
      <c r="D1511" s="4" t="n">
        <v>596</v>
      </c>
      <c r="E1511" s="13" t="n">
        <v>45016</v>
      </c>
      <c r="F1511" s="4" t="s">
        <v>3190</v>
      </c>
      <c r="G1511" s="4" t="str">
        <f aca="false">INDEX(PurchaseOrders!$B$2:$B$3001,MATCH(B1511,PurchaseOrders!$A$2:$A$3001,0))</f>
        <v>V026</v>
      </c>
    </row>
    <row r="1512" customFormat="false" ht="15" hidden="false" customHeight="true" outlineLevel="0" collapsed="false">
      <c r="A1512" s="4" t="s">
        <v>4699</v>
      </c>
      <c r="B1512" s="4" t="s">
        <v>1688</v>
      </c>
      <c r="C1512" s="4" t="n">
        <v>65</v>
      </c>
      <c r="D1512" s="4" t="n">
        <v>8</v>
      </c>
      <c r="E1512" s="13" t="n">
        <v>45337</v>
      </c>
      <c r="F1512" s="4" t="s">
        <v>3192</v>
      </c>
      <c r="G1512" s="4" t="str">
        <f aca="false">INDEX(PurchaseOrders!$B$2:$B$3001,MATCH(B1512,PurchaseOrders!$A$2:$A$3001,0))</f>
        <v>V055</v>
      </c>
    </row>
    <row r="1513" customFormat="false" ht="15" hidden="false" customHeight="true" outlineLevel="0" collapsed="false">
      <c r="A1513" s="4" t="s">
        <v>4700</v>
      </c>
      <c r="B1513" s="4" t="s">
        <v>1689</v>
      </c>
      <c r="C1513" s="4" t="n">
        <v>2664</v>
      </c>
      <c r="D1513" s="4" t="n">
        <v>74</v>
      </c>
      <c r="E1513" s="13" t="n">
        <v>45532</v>
      </c>
      <c r="F1513" s="4" t="s">
        <v>3184</v>
      </c>
      <c r="G1513" s="4" t="str">
        <f aca="false">INDEX(PurchaseOrders!$B$2:$B$3001,MATCH(B1513,PurchaseOrders!$A$2:$A$3001,0))</f>
        <v>V017</v>
      </c>
    </row>
    <row r="1514" customFormat="false" ht="15" hidden="false" customHeight="true" outlineLevel="0" collapsed="false">
      <c r="A1514" s="4" t="s">
        <v>4701</v>
      </c>
      <c r="B1514" s="4" t="s">
        <v>1690</v>
      </c>
      <c r="C1514" s="4" t="n">
        <v>562</v>
      </c>
      <c r="D1514" s="4" t="n">
        <v>44</v>
      </c>
      <c r="E1514" s="13" t="n">
        <v>45475</v>
      </c>
      <c r="F1514" s="4" t="s">
        <v>3184</v>
      </c>
      <c r="G1514" s="4" t="str">
        <f aca="false">INDEX(PurchaseOrders!$B$2:$B$3001,MATCH(B1514,PurchaseOrders!$A$2:$A$3001,0))</f>
        <v>V048</v>
      </c>
    </row>
    <row r="1515" customFormat="false" ht="15" hidden="false" customHeight="true" outlineLevel="0" collapsed="false">
      <c r="A1515" s="4" t="s">
        <v>4702</v>
      </c>
      <c r="B1515" s="4" t="s">
        <v>1691</v>
      </c>
      <c r="C1515" s="4" t="n">
        <v>95</v>
      </c>
      <c r="D1515" s="4" t="n">
        <v>0</v>
      </c>
      <c r="E1515" s="13" t="n">
        <v>45212</v>
      </c>
      <c r="F1515" s="4"/>
      <c r="G1515" s="4" t="str">
        <f aca="false">INDEX(PurchaseOrders!$B$2:$B$3001,MATCH(B1515,PurchaseOrders!$A$2:$A$3001,0))</f>
        <v>V029</v>
      </c>
    </row>
    <row r="1516" customFormat="false" ht="15" hidden="false" customHeight="true" outlineLevel="0" collapsed="false">
      <c r="A1516" s="4" t="s">
        <v>4703</v>
      </c>
      <c r="B1516" s="4" t="s">
        <v>1692</v>
      </c>
      <c r="C1516" s="4" t="n">
        <v>3075</v>
      </c>
      <c r="D1516" s="4" t="n">
        <v>129</v>
      </c>
      <c r="E1516" s="13" t="n">
        <v>45089</v>
      </c>
      <c r="F1516" s="4" t="s">
        <v>3184</v>
      </c>
      <c r="G1516" s="4" t="str">
        <f aca="false">INDEX(PurchaseOrders!$B$2:$B$3001,MATCH(B1516,PurchaseOrders!$A$2:$A$3001,0))</f>
        <v>V056</v>
      </c>
    </row>
    <row r="1517" customFormat="false" ht="15" hidden="false" customHeight="true" outlineLevel="0" collapsed="false">
      <c r="A1517" s="4" t="s">
        <v>4704</v>
      </c>
      <c r="B1517" s="4" t="s">
        <v>1693</v>
      </c>
      <c r="C1517" s="4" t="n">
        <v>504</v>
      </c>
      <c r="D1517" s="4" t="n">
        <v>11</v>
      </c>
      <c r="E1517" s="13" t="n">
        <v>45307</v>
      </c>
      <c r="F1517" s="4" t="s">
        <v>3184</v>
      </c>
      <c r="G1517" s="4" t="str">
        <f aca="false">INDEX(PurchaseOrders!$B$2:$B$3001,MATCH(B1517,PurchaseOrders!$A$2:$A$3001,0))</f>
        <v>V022</v>
      </c>
    </row>
    <row r="1518" customFormat="false" ht="15" hidden="false" customHeight="true" outlineLevel="0" collapsed="false">
      <c r="A1518" s="4" t="s">
        <v>4705</v>
      </c>
      <c r="B1518" s="4" t="s">
        <v>1694</v>
      </c>
      <c r="C1518" s="4" t="n">
        <v>74</v>
      </c>
      <c r="D1518" s="4" t="n">
        <v>8</v>
      </c>
      <c r="E1518" s="13" t="n">
        <v>45569</v>
      </c>
      <c r="F1518" s="4" t="s">
        <v>3186</v>
      </c>
      <c r="G1518" s="4" t="str">
        <f aca="false">INDEX(PurchaseOrders!$B$2:$B$3001,MATCH(B1518,PurchaseOrders!$A$2:$A$3001,0))</f>
        <v>V030</v>
      </c>
    </row>
    <row r="1519" customFormat="false" ht="15" hidden="false" customHeight="true" outlineLevel="0" collapsed="false">
      <c r="A1519" s="4" t="s">
        <v>4706</v>
      </c>
      <c r="B1519" s="4" t="s">
        <v>1695</v>
      </c>
      <c r="C1519" s="4" t="n">
        <v>1098</v>
      </c>
      <c r="D1519" s="4" t="n">
        <v>96</v>
      </c>
      <c r="E1519" s="13" t="n">
        <v>45621</v>
      </c>
      <c r="F1519" s="4" t="s">
        <v>3202</v>
      </c>
      <c r="G1519" s="4" t="str">
        <f aca="false">INDEX(PurchaseOrders!$B$2:$B$3001,MATCH(B1519,PurchaseOrders!$A$2:$A$3001,0))</f>
        <v>V048</v>
      </c>
    </row>
    <row r="1520" customFormat="false" ht="15" hidden="false" customHeight="true" outlineLevel="0" collapsed="false">
      <c r="A1520" s="4" t="s">
        <v>4707</v>
      </c>
      <c r="B1520" s="4" t="s">
        <v>1696</v>
      </c>
      <c r="C1520" s="4" t="n">
        <v>663</v>
      </c>
      <c r="D1520" s="4" t="n">
        <v>23</v>
      </c>
      <c r="E1520" s="13" t="n">
        <v>45181</v>
      </c>
      <c r="F1520" s="4" t="s">
        <v>3188</v>
      </c>
      <c r="G1520" s="4" t="str">
        <f aca="false">INDEX(PurchaseOrders!$B$2:$B$3001,MATCH(B1520,PurchaseOrders!$A$2:$A$3001,0))</f>
        <v>V048</v>
      </c>
    </row>
    <row r="1521" customFormat="false" ht="15" hidden="false" customHeight="true" outlineLevel="0" collapsed="false">
      <c r="A1521" s="4" t="s">
        <v>4708</v>
      </c>
      <c r="B1521" s="4" t="s">
        <v>1697</v>
      </c>
      <c r="C1521" s="4" t="n">
        <v>6</v>
      </c>
      <c r="D1521" s="4" t="n">
        <v>0</v>
      </c>
      <c r="E1521" s="13" t="n">
        <v>45549</v>
      </c>
      <c r="F1521" s="4"/>
      <c r="G1521" s="4" t="str">
        <f aca="false">INDEX(PurchaseOrders!$B$2:$B$3001,MATCH(B1521,PurchaseOrders!$A$2:$A$3001,0))</f>
        <v>V023</v>
      </c>
    </row>
    <row r="1522" customFormat="false" ht="15" hidden="false" customHeight="true" outlineLevel="0" collapsed="false">
      <c r="A1522" s="4" t="s">
        <v>4709</v>
      </c>
      <c r="B1522" s="4" t="s">
        <v>1698</v>
      </c>
      <c r="C1522" s="4" t="n">
        <v>29</v>
      </c>
      <c r="D1522" s="4" t="n">
        <v>0</v>
      </c>
      <c r="E1522" s="13" t="n">
        <v>45119</v>
      </c>
      <c r="F1522" s="4"/>
      <c r="G1522" s="4" t="str">
        <f aca="false">INDEX(PurchaseOrders!$B$2:$B$3001,MATCH(B1522,PurchaseOrders!$A$2:$A$3001,0))</f>
        <v>V046</v>
      </c>
    </row>
    <row r="1523" customFormat="false" ht="15" hidden="false" customHeight="true" outlineLevel="0" collapsed="false">
      <c r="A1523" s="4" t="s">
        <v>4710</v>
      </c>
      <c r="B1523" s="4" t="s">
        <v>1699</v>
      </c>
      <c r="C1523" s="4" t="n">
        <v>341</v>
      </c>
      <c r="D1523" s="4" t="n">
        <v>13</v>
      </c>
      <c r="E1523" s="13" t="n">
        <v>45367</v>
      </c>
      <c r="F1523" s="4" t="s">
        <v>3186</v>
      </c>
      <c r="G1523" s="4" t="str">
        <f aca="false">INDEX(PurchaseOrders!$B$2:$B$3001,MATCH(B1523,PurchaseOrders!$A$2:$A$3001,0))</f>
        <v>V031</v>
      </c>
    </row>
    <row r="1524" customFormat="false" ht="15" hidden="false" customHeight="true" outlineLevel="0" collapsed="false">
      <c r="A1524" s="4" t="s">
        <v>4711</v>
      </c>
      <c r="B1524" s="4" t="s">
        <v>1700</v>
      </c>
      <c r="C1524" s="4" t="n">
        <v>4460</v>
      </c>
      <c r="D1524" s="4" t="n">
        <v>877</v>
      </c>
      <c r="E1524" s="13" t="n">
        <v>45415</v>
      </c>
      <c r="F1524" s="4" t="s">
        <v>3186</v>
      </c>
      <c r="G1524" s="4" t="str">
        <f aca="false">INDEX(PurchaseOrders!$B$2:$B$3001,MATCH(B1524,PurchaseOrders!$A$2:$A$3001,0))</f>
        <v>V026</v>
      </c>
    </row>
    <row r="1525" customFormat="false" ht="15" hidden="false" customHeight="true" outlineLevel="0" collapsed="false">
      <c r="A1525" s="4" t="s">
        <v>4712</v>
      </c>
      <c r="B1525" s="4" t="s">
        <v>1701</v>
      </c>
      <c r="C1525" s="4" t="n">
        <v>321</v>
      </c>
      <c r="D1525" s="4" t="n">
        <v>4</v>
      </c>
      <c r="E1525" s="13" t="n">
        <v>45157</v>
      </c>
      <c r="F1525" s="4" t="s">
        <v>3202</v>
      </c>
      <c r="G1525" s="4" t="str">
        <f aca="false">INDEX(PurchaseOrders!$B$2:$B$3001,MATCH(B1525,PurchaseOrders!$A$2:$A$3001,0))</f>
        <v>V006</v>
      </c>
    </row>
    <row r="1526" customFormat="false" ht="15" hidden="false" customHeight="true" outlineLevel="0" collapsed="false">
      <c r="A1526" s="4" t="s">
        <v>4713</v>
      </c>
      <c r="B1526" s="4" t="s">
        <v>1702</v>
      </c>
      <c r="C1526" s="4" t="n">
        <v>3</v>
      </c>
      <c r="D1526" s="4" t="n">
        <v>0</v>
      </c>
      <c r="E1526" s="13" t="n">
        <v>45360</v>
      </c>
      <c r="F1526" s="4"/>
      <c r="G1526" s="4" t="str">
        <f aca="false">INDEX(PurchaseOrders!$B$2:$B$3001,MATCH(B1526,PurchaseOrders!$A$2:$A$3001,0))</f>
        <v>V019</v>
      </c>
    </row>
    <row r="1527" customFormat="false" ht="15" hidden="false" customHeight="true" outlineLevel="0" collapsed="false">
      <c r="A1527" s="4" t="s">
        <v>4714</v>
      </c>
      <c r="B1527" s="4" t="s">
        <v>1703</v>
      </c>
      <c r="C1527" s="4" t="n">
        <v>1666</v>
      </c>
      <c r="D1527" s="4" t="n">
        <v>146</v>
      </c>
      <c r="E1527" s="13" t="n">
        <v>45072</v>
      </c>
      <c r="F1527" s="4" t="s">
        <v>3188</v>
      </c>
      <c r="G1527" s="4" t="str">
        <f aca="false">INDEX(PurchaseOrders!$B$2:$B$3001,MATCH(B1527,PurchaseOrders!$A$2:$A$3001,0))</f>
        <v>V050</v>
      </c>
    </row>
    <row r="1528" customFormat="false" ht="15" hidden="false" customHeight="true" outlineLevel="0" collapsed="false">
      <c r="A1528" s="4" t="s">
        <v>4715</v>
      </c>
      <c r="B1528" s="4" t="s">
        <v>1704</v>
      </c>
      <c r="C1528" s="4" t="n">
        <v>2375</v>
      </c>
      <c r="D1528" s="4" t="n">
        <v>33</v>
      </c>
      <c r="E1528" s="13" t="n">
        <v>45041</v>
      </c>
      <c r="F1528" s="4" t="s">
        <v>3192</v>
      </c>
      <c r="G1528" s="4" t="str">
        <f aca="false">INDEX(PurchaseOrders!$B$2:$B$3001,MATCH(B1528,PurchaseOrders!$A$2:$A$3001,0))</f>
        <v>V002</v>
      </c>
    </row>
    <row r="1529" customFormat="false" ht="15" hidden="false" customHeight="true" outlineLevel="0" collapsed="false">
      <c r="A1529" s="4" t="s">
        <v>4716</v>
      </c>
      <c r="B1529" s="4" t="s">
        <v>1705</v>
      </c>
      <c r="C1529" s="4" t="n">
        <v>1576</v>
      </c>
      <c r="D1529" s="4" t="n">
        <v>124</v>
      </c>
      <c r="E1529" s="13" t="n">
        <v>45424</v>
      </c>
      <c r="F1529" s="4" t="s">
        <v>3184</v>
      </c>
      <c r="G1529" s="4" t="str">
        <f aca="false">INDEX(PurchaseOrders!$B$2:$B$3001,MATCH(B1529,PurchaseOrders!$A$2:$A$3001,0))</f>
        <v>V048</v>
      </c>
    </row>
    <row r="1530" customFormat="false" ht="15" hidden="false" customHeight="true" outlineLevel="0" collapsed="false">
      <c r="A1530" s="4" t="s">
        <v>4717</v>
      </c>
      <c r="B1530" s="4" t="s">
        <v>1706</v>
      </c>
      <c r="C1530" s="4" t="n">
        <v>2532</v>
      </c>
      <c r="D1530" s="4" t="n">
        <v>329</v>
      </c>
      <c r="E1530" s="13" t="n">
        <v>45050</v>
      </c>
      <c r="F1530" s="4" t="s">
        <v>3186</v>
      </c>
      <c r="G1530" s="4" t="str">
        <f aca="false">INDEX(PurchaseOrders!$B$2:$B$3001,MATCH(B1530,PurchaseOrders!$A$2:$A$3001,0))</f>
        <v>V057</v>
      </c>
    </row>
    <row r="1531" customFormat="false" ht="15" hidden="false" customHeight="true" outlineLevel="0" collapsed="false">
      <c r="A1531" s="4" t="s">
        <v>4718</v>
      </c>
      <c r="B1531" s="4" t="s">
        <v>1707</v>
      </c>
      <c r="C1531" s="4" t="n">
        <v>323</v>
      </c>
      <c r="D1531" s="4" t="n">
        <v>34</v>
      </c>
      <c r="E1531" s="13" t="n">
        <v>45330</v>
      </c>
      <c r="F1531" s="4" t="s">
        <v>3186</v>
      </c>
      <c r="G1531" s="4" t="str">
        <f aca="false">INDEX(PurchaseOrders!$B$2:$B$3001,MATCH(B1531,PurchaseOrders!$A$2:$A$3001,0))</f>
        <v>V012</v>
      </c>
    </row>
    <row r="1532" customFormat="false" ht="15" hidden="false" customHeight="true" outlineLevel="0" collapsed="false">
      <c r="A1532" s="4" t="s">
        <v>4719</v>
      </c>
      <c r="B1532" s="4" t="s">
        <v>1708</v>
      </c>
      <c r="C1532" s="4" t="n">
        <v>4251</v>
      </c>
      <c r="D1532" s="4" t="n">
        <v>336</v>
      </c>
      <c r="E1532" s="13" t="n">
        <v>45228</v>
      </c>
      <c r="F1532" s="4" t="s">
        <v>3186</v>
      </c>
      <c r="G1532" s="4" t="str">
        <f aca="false">INDEX(PurchaseOrders!$B$2:$B$3001,MATCH(B1532,PurchaseOrders!$A$2:$A$3001,0))</f>
        <v>V032</v>
      </c>
    </row>
    <row r="1533" customFormat="false" ht="15" hidden="false" customHeight="true" outlineLevel="0" collapsed="false">
      <c r="A1533" s="4" t="s">
        <v>4720</v>
      </c>
      <c r="B1533" s="4" t="s">
        <v>1709</v>
      </c>
      <c r="C1533" s="4" t="n">
        <v>404</v>
      </c>
      <c r="D1533" s="4" t="n">
        <v>17</v>
      </c>
      <c r="E1533" s="13" t="n">
        <v>45293</v>
      </c>
      <c r="F1533" s="4" t="s">
        <v>3188</v>
      </c>
      <c r="G1533" s="4" t="str">
        <f aca="false">INDEX(PurchaseOrders!$B$2:$B$3001,MATCH(B1533,PurchaseOrders!$A$2:$A$3001,0))</f>
        <v>V033</v>
      </c>
    </row>
    <row r="1534" customFormat="false" ht="15" hidden="false" customHeight="true" outlineLevel="0" collapsed="false">
      <c r="A1534" s="4" t="s">
        <v>4721</v>
      </c>
      <c r="B1534" s="4" t="s">
        <v>1710</v>
      </c>
      <c r="C1534" s="4" t="n">
        <v>6</v>
      </c>
      <c r="D1534" s="4" t="n">
        <v>0</v>
      </c>
      <c r="E1534" s="13" t="n">
        <v>45167</v>
      </c>
      <c r="F1534" s="4"/>
      <c r="G1534" s="4" t="str">
        <f aca="false">INDEX(PurchaseOrders!$B$2:$B$3001,MATCH(B1534,PurchaseOrders!$A$2:$A$3001,0))</f>
        <v>V053</v>
      </c>
    </row>
    <row r="1535" customFormat="false" ht="15" hidden="false" customHeight="true" outlineLevel="0" collapsed="false">
      <c r="A1535" s="4" t="s">
        <v>4722</v>
      </c>
      <c r="B1535" s="4" t="s">
        <v>1711</v>
      </c>
      <c r="C1535" s="4" t="n">
        <v>569</v>
      </c>
      <c r="D1535" s="4" t="n">
        <v>13</v>
      </c>
      <c r="E1535" s="13" t="n">
        <v>45113</v>
      </c>
      <c r="F1535" s="4" t="s">
        <v>3186</v>
      </c>
      <c r="G1535" s="4" t="str">
        <f aca="false">INDEX(PurchaseOrders!$B$2:$B$3001,MATCH(B1535,PurchaseOrders!$A$2:$A$3001,0))</f>
        <v>V002</v>
      </c>
    </row>
    <row r="1536" customFormat="false" ht="15" hidden="false" customHeight="true" outlineLevel="0" collapsed="false">
      <c r="A1536" s="4" t="s">
        <v>4723</v>
      </c>
      <c r="B1536" s="4" t="s">
        <v>1712</v>
      </c>
      <c r="C1536" s="4" t="n">
        <v>362</v>
      </c>
      <c r="D1536" s="4" t="n">
        <v>3</v>
      </c>
      <c r="E1536" s="13" t="n">
        <v>45659</v>
      </c>
      <c r="F1536" s="4" t="s">
        <v>3188</v>
      </c>
      <c r="G1536" s="4" t="str">
        <f aca="false">INDEX(PurchaseOrders!$B$2:$B$3001,MATCH(B1536,PurchaseOrders!$A$2:$A$3001,0))</f>
        <v>V010</v>
      </c>
    </row>
    <row r="1537" customFormat="false" ht="15" hidden="false" customHeight="true" outlineLevel="0" collapsed="false">
      <c r="A1537" s="4" t="s">
        <v>4724</v>
      </c>
      <c r="B1537" s="4" t="s">
        <v>1713</v>
      </c>
      <c r="C1537" s="4" t="n">
        <v>16</v>
      </c>
      <c r="D1537" s="4" t="n">
        <v>2</v>
      </c>
      <c r="E1537" s="13" t="n">
        <v>45057</v>
      </c>
      <c r="F1537" s="4" t="s">
        <v>3184</v>
      </c>
      <c r="G1537" s="4" t="str">
        <f aca="false">INDEX(PurchaseOrders!$B$2:$B$3001,MATCH(B1537,PurchaseOrders!$A$2:$A$3001,0))</f>
        <v>V054</v>
      </c>
    </row>
    <row r="1538" customFormat="false" ht="15" hidden="false" customHeight="true" outlineLevel="0" collapsed="false">
      <c r="A1538" s="4" t="s">
        <v>4725</v>
      </c>
      <c r="B1538" s="4" t="s">
        <v>1714</v>
      </c>
      <c r="C1538" s="4" t="n">
        <v>4356</v>
      </c>
      <c r="D1538" s="4" t="n">
        <v>273</v>
      </c>
      <c r="E1538" s="13" t="n">
        <v>45422</v>
      </c>
      <c r="F1538" s="4" t="s">
        <v>3188</v>
      </c>
      <c r="G1538" s="4" t="str">
        <f aca="false">INDEX(PurchaseOrders!$B$2:$B$3001,MATCH(B1538,PurchaseOrders!$A$2:$A$3001,0))</f>
        <v>V056</v>
      </c>
    </row>
    <row r="1539" customFormat="false" ht="15" hidden="false" customHeight="true" outlineLevel="0" collapsed="false">
      <c r="A1539" s="4" t="s">
        <v>4726</v>
      </c>
      <c r="B1539" s="4" t="s">
        <v>1715</v>
      </c>
      <c r="C1539" s="4" t="n">
        <v>463</v>
      </c>
      <c r="D1539" s="4" t="n">
        <v>48</v>
      </c>
      <c r="E1539" s="13" t="n">
        <v>44987</v>
      </c>
      <c r="F1539" s="4" t="s">
        <v>3202</v>
      </c>
      <c r="G1539" s="4" t="str">
        <f aca="false">INDEX(PurchaseOrders!$B$2:$B$3001,MATCH(B1539,PurchaseOrders!$A$2:$A$3001,0))</f>
        <v>V030</v>
      </c>
    </row>
    <row r="1540" customFormat="false" ht="15" hidden="false" customHeight="true" outlineLevel="0" collapsed="false">
      <c r="A1540" s="4" t="s">
        <v>4727</v>
      </c>
      <c r="B1540" s="4" t="s">
        <v>1716</v>
      </c>
      <c r="C1540" s="4" t="n">
        <v>4209</v>
      </c>
      <c r="D1540" s="4" t="n">
        <v>0</v>
      </c>
      <c r="E1540" s="13" t="n">
        <v>45592</v>
      </c>
      <c r="F1540" s="4"/>
      <c r="G1540" s="4" t="str">
        <f aca="false">INDEX(PurchaseOrders!$B$2:$B$3001,MATCH(B1540,PurchaseOrders!$A$2:$A$3001,0))</f>
        <v>V015</v>
      </c>
    </row>
    <row r="1541" customFormat="false" ht="15" hidden="false" customHeight="true" outlineLevel="0" collapsed="false">
      <c r="A1541" s="4" t="s">
        <v>4728</v>
      </c>
      <c r="B1541" s="4" t="s">
        <v>1717</v>
      </c>
      <c r="C1541" s="4" t="n">
        <v>399</v>
      </c>
      <c r="D1541" s="4" t="n">
        <v>10</v>
      </c>
      <c r="E1541" s="13" t="n">
        <v>45145</v>
      </c>
      <c r="F1541" s="4" t="s">
        <v>3202</v>
      </c>
      <c r="G1541" s="4" t="str">
        <f aca="false">INDEX(PurchaseOrders!$B$2:$B$3001,MATCH(B1541,PurchaseOrders!$A$2:$A$3001,0))</f>
        <v>V029</v>
      </c>
    </row>
    <row r="1542" customFormat="false" ht="15" hidden="false" customHeight="true" outlineLevel="0" collapsed="false">
      <c r="A1542" s="4" t="s">
        <v>4729</v>
      </c>
      <c r="B1542" s="4" t="s">
        <v>1718</v>
      </c>
      <c r="C1542" s="4" t="n">
        <v>123</v>
      </c>
      <c r="D1542" s="4" t="n">
        <v>8</v>
      </c>
      <c r="E1542" s="13" t="n">
        <v>45156</v>
      </c>
      <c r="F1542" s="4" t="s">
        <v>3202</v>
      </c>
      <c r="G1542" s="4" t="str">
        <f aca="false">INDEX(PurchaseOrders!$B$2:$B$3001,MATCH(B1542,PurchaseOrders!$A$2:$A$3001,0))</f>
        <v>V036</v>
      </c>
    </row>
    <row r="1543" customFormat="false" ht="15" hidden="false" customHeight="true" outlineLevel="0" collapsed="false">
      <c r="A1543" s="4" t="s">
        <v>4730</v>
      </c>
      <c r="B1543" s="4" t="s">
        <v>1719</v>
      </c>
      <c r="C1543" s="4" t="n">
        <v>35</v>
      </c>
      <c r="D1543" s="4" t="n">
        <v>2</v>
      </c>
      <c r="E1543" s="13" t="n">
        <v>44978</v>
      </c>
      <c r="F1543" s="4" t="s">
        <v>3202</v>
      </c>
      <c r="G1543" s="4" t="str">
        <f aca="false">INDEX(PurchaseOrders!$B$2:$B$3001,MATCH(B1543,PurchaseOrders!$A$2:$A$3001,0))</f>
        <v>V009</v>
      </c>
    </row>
    <row r="1544" customFormat="false" ht="15" hidden="false" customHeight="true" outlineLevel="0" collapsed="false">
      <c r="A1544" s="4" t="s">
        <v>4731</v>
      </c>
      <c r="B1544" s="4" t="s">
        <v>1720</v>
      </c>
      <c r="C1544" s="4" t="n">
        <v>1013</v>
      </c>
      <c r="D1544" s="4" t="n">
        <v>10</v>
      </c>
      <c r="E1544" s="13" t="n">
        <v>45029</v>
      </c>
      <c r="F1544" s="4" t="s">
        <v>3186</v>
      </c>
      <c r="G1544" s="4" t="str">
        <f aca="false">INDEX(PurchaseOrders!$B$2:$B$3001,MATCH(B1544,PurchaseOrders!$A$2:$A$3001,0))</f>
        <v>V020</v>
      </c>
    </row>
    <row r="1545" customFormat="false" ht="15" hidden="false" customHeight="true" outlineLevel="0" collapsed="false">
      <c r="A1545" s="4" t="s">
        <v>4732</v>
      </c>
      <c r="B1545" s="4" t="s">
        <v>1721</v>
      </c>
      <c r="C1545" s="4" t="n">
        <v>3989</v>
      </c>
      <c r="D1545" s="4" t="n">
        <v>194</v>
      </c>
      <c r="E1545" s="13" t="n">
        <v>44960</v>
      </c>
      <c r="F1545" s="4" t="s">
        <v>3184</v>
      </c>
      <c r="G1545" s="4" t="str">
        <f aca="false">INDEX(PurchaseOrders!$B$2:$B$3001,MATCH(B1545,PurchaseOrders!$A$2:$A$3001,0))</f>
        <v>V003</v>
      </c>
    </row>
    <row r="1546" customFormat="false" ht="15" hidden="false" customHeight="true" outlineLevel="0" collapsed="false">
      <c r="A1546" s="4" t="s">
        <v>4733</v>
      </c>
      <c r="B1546" s="4" t="s">
        <v>1722</v>
      </c>
      <c r="C1546" s="4" t="n">
        <v>1603</v>
      </c>
      <c r="D1546" s="4" t="n">
        <v>165</v>
      </c>
      <c r="E1546" s="13" t="n">
        <v>45317</v>
      </c>
      <c r="F1546" s="4" t="s">
        <v>3184</v>
      </c>
      <c r="G1546" s="4" t="str">
        <f aca="false">INDEX(PurchaseOrders!$B$2:$B$3001,MATCH(B1546,PurchaseOrders!$A$2:$A$3001,0))</f>
        <v>V007</v>
      </c>
    </row>
    <row r="1547" customFormat="false" ht="15" hidden="false" customHeight="true" outlineLevel="0" collapsed="false">
      <c r="A1547" s="4" t="s">
        <v>4734</v>
      </c>
      <c r="B1547" s="4" t="s">
        <v>1723</v>
      </c>
      <c r="C1547" s="4" t="n">
        <v>203</v>
      </c>
      <c r="D1547" s="4" t="n">
        <v>12</v>
      </c>
      <c r="E1547" s="13" t="n">
        <v>45487</v>
      </c>
      <c r="F1547" s="4" t="s">
        <v>3188</v>
      </c>
      <c r="G1547" s="4" t="str">
        <f aca="false">INDEX(PurchaseOrders!$B$2:$B$3001,MATCH(B1547,PurchaseOrders!$A$2:$A$3001,0))</f>
        <v>V031</v>
      </c>
    </row>
    <row r="1548" customFormat="false" ht="15" hidden="false" customHeight="true" outlineLevel="0" collapsed="false">
      <c r="A1548" s="4" t="s">
        <v>4735</v>
      </c>
      <c r="B1548" s="4" t="s">
        <v>1724</v>
      </c>
      <c r="C1548" s="4" t="n">
        <v>7</v>
      </c>
      <c r="D1548" s="4" t="n">
        <v>1</v>
      </c>
      <c r="E1548" s="13" t="n">
        <v>45501</v>
      </c>
      <c r="F1548" s="4" t="s">
        <v>3202</v>
      </c>
      <c r="G1548" s="4" t="str">
        <f aca="false">INDEX(PurchaseOrders!$B$2:$B$3001,MATCH(B1548,PurchaseOrders!$A$2:$A$3001,0))</f>
        <v>V042</v>
      </c>
    </row>
    <row r="1549" customFormat="false" ht="15" hidden="false" customHeight="true" outlineLevel="0" collapsed="false">
      <c r="A1549" s="4" t="s">
        <v>4736</v>
      </c>
      <c r="B1549" s="4" t="s">
        <v>1725</v>
      </c>
      <c r="C1549" s="4" t="n">
        <v>111</v>
      </c>
      <c r="D1549" s="4" t="n">
        <v>6</v>
      </c>
      <c r="E1549" s="13" t="n">
        <v>45386</v>
      </c>
      <c r="F1549" s="4" t="s">
        <v>3190</v>
      </c>
      <c r="G1549" s="4" t="str">
        <f aca="false">INDEX(PurchaseOrders!$B$2:$B$3001,MATCH(B1549,PurchaseOrders!$A$2:$A$3001,0))</f>
        <v>V004</v>
      </c>
    </row>
    <row r="1550" customFormat="false" ht="15" hidden="false" customHeight="true" outlineLevel="0" collapsed="false">
      <c r="A1550" s="4" t="s">
        <v>4737</v>
      </c>
      <c r="B1550" s="4" t="s">
        <v>1726</v>
      </c>
      <c r="C1550" s="4" t="n">
        <v>181</v>
      </c>
      <c r="D1550" s="4" t="n">
        <v>5</v>
      </c>
      <c r="E1550" s="13" t="n">
        <v>45338</v>
      </c>
      <c r="F1550" s="4" t="s">
        <v>3192</v>
      </c>
      <c r="G1550" s="4" t="str">
        <f aca="false">INDEX(PurchaseOrders!$B$2:$B$3001,MATCH(B1550,PurchaseOrders!$A$2:$A$3001,0))</f>
        <v>V024</v>
      </c>
    </row>
    <row r="1551" customFormat="false" ht="15" hidden="false" customHeight="true" outlineLevel="0" collapsed="false">
      <c r="A1551" s="4" t="s">
        <v>4738</v>
      </c>
      <c r="B1551" s="4" t="s">
        <v>1727</v>
      </c>
      <c r="C1551" s="4" t="n">
        <v>308</v>
      </c>
      <c r="D1551" s="4" t="n">
        <v>22</v>
      </c>
      <c r="E1551" s="13" t="n">
        <v>45349</v>
      </c>
      <c r="F1551" s="4" t="s">
        <v>3184</v>
      </c>
      <c r="G1551" s="4" t="str">
        <f aca="false">INDEX(PurchaseOrders!$B$2:$B$3001,MATCH(B1551,PurchaseOrders!$A$2:$A$3001,0))</f>
        <v>V007</v>
      </c>
    </row>
    <row r="1552" customFormat="false" ht="15" hidden="false" customHeight="true" outlineLevel="0" collapsed="false">
      <c r="A1552" s="4" t="s">
        <v>4739</v>
      </c>
      <c r="B1552" s="4" t="s">
        <v>1728</v>
      </c>
      <c r="C1552" s="4" t="n">
        <v>1393</v>
      </c>
      <c r="D1552" s="4" t="n">
        <v>16</v>
      </c>
      <c r="E1552" s="13" t="n">
        <v>45162</v>
      </c>
      <c r="F1552" s="4" t="s">
        <v>3192</v>
      </c>
      <c r="G1552" s="4" t="str">
        <f aca="false">INDEX(PurchaseOrders!$B$2:$B$3001,MATCH(B1552,PurchaseOrders!$A$2:$A$3001,0))</f>
        <v>V010</v>
      </c>
    </row>
    <row r="1553" customFormat="false" ht="15" hidden="false" customHeight="true" outlineLevel="0" collapsed="false">
      <c r="A1553" s="4" t="s">
        <v>4740</v>
      </c>
      <c r="B1553" s="4" t="s">
        <v>1729</v>
      </c>
      <c r="C1553" s="4" t="n">
        <v>230</v>
      </c>
      <c r="D1553" s="4" t="n">
        <v>8</v>
      </c>
      <c r="E1553" s="13" t="n">
        <v>45567</v>
      </c>
      <c r="F1553" s="4" t="s">
        <v>3188</v>
      </c>
      <c r="G1553" s="4" t="str">
        <f aca="false">INDEX(PurchaseOrders!$B$2:$B$3001,MATCH(B1553,PurchaseOrders!$A$2:$A$3001,0))</f>
        <v>V060</v>
      </c>
    </row>
    <row r="1554" customFormat="false" ht="15" hidden="false" customHeight="true" outlineLevel="0" collapsed="false">
      <c r="A1554" s="4" t="s">
        <v>4741</v>
      </c>
      <c r="B1554" s="4" t="s">
        <v>1730</v>
      </c>
      <c r="C1554" s="4" t="n">
        <v>4</v>
      </c>
      <c r="D1554" s="4" t="n">
        <v>0</v>
      </c>
      <c r="E1554" s="13" t="n">
        <v>45208</v>
      </c>
      <c r="F1554" s="4"/>
      <c r="G1554" s="4" t="str">
        <f aca="false">INDEX(PurchaseOrders!$B$2:$B$3001,MATCH(B1554,PurchaseOrders!$A$2:$A$3001,0))</f>
        <v>V053</v>
      </c>
    </row>
    <row r="1555" customFormat="false" ht="15" hidden="false" customHeight="true" outlineLevel="0" collapsed="false">
      <c r="A1555" s="4" t="s">
        <v>4742</v>
      </c>
      <c r="B1555" s="4" t="s">
        <v>1731</v>
      </c>
      <c r="C1555" s="4" t="n">
        <v>3</v>
      </c>
      <c r="D1555" s="4" t="n">
        <v>0</v>
      </c>
      <c r="E1555" s="13" t="n">
        <v>45245</v>
      </c>
      <c r="F1555" s="4"/>
      <c r="G1555" s="4" t="str">
        <f aca="false">INDEX(PurchaseOrders!$B$2:$B$3001,MATCH(B1555,PurchaseOrders!$A$2:$A$3001,0))</f>
        <v>V042</v>
      </c>
    </row>
    <row r="1556" customFormat="false" ht="15" hidden="false" customHeight="true" outlineLevel="0" collapsed="false">
      <c r="A1556" s="4" t="s">
        <v>4743</v>
      </c>
      <c r="B1556" s="4" t="s">
        <v>1732</v>
      </c>
      <c r="C1556" s="4" t="n">
        <v>88</v>
      </c>
      <c r="D1556" s="4" t="n">
        <v>0</v>
      </c>
      <c r="E1556" s="13" t="n">
        <v>45638</v>
      </c>
      <c r="F1556" s="4"/>
      <c r="G1556" s="4" t="str">
        <f aca="false">INDEX(PurchaseOrders!$B$2:$B$3001,MATCH(B1556,PurchaseOrders!$A$2:$A$3001,0))</f>
        <v>V008</v>
      </c>
    </row>
    <row r="1557" customFormat="false" ht="15" hidden="false" customHeight="true" outlineLevel="0" collapsed="false">
      <c r="A1557" s="4" t="s">
        <v>4744</v>
      </c>
      <c r="B1557" s="4" t="s">
        <v>1733</v>
      </c>
      <c r="C1557" s="4" t="n">
        <v>1115</v>
      </c>
      <c r="D1557" s="4" t="n">
        <v>63</v>
      </c>
      <c r="E1557" s="13" t="n">
        <v>45209</v>
      </c>
      <c r="F1557" s="4" t="s">
        <v>3186</v>
      </c>
      <c r="G1557" s="4" t="str">
        <f aca="false">INDEX(PurchaseOrders!$B$2:$B$3001,MATCH(B1557,PurchaseOrders!$A$2:$A$3001,0))</f>
        <v>V035</v>
      </c>
    </row>
    <row r="1558" customFormat="false" ht="15" hidden="false" customHeight="true" outlineLevel="0" collapsed="false">
      <c r="A1558" s="4" t="s">
        <v>4745</v>
      </c>
      <c r="B1558" s="4" t="s">
        <v>1734</v>
      </c>
      <c r="C1558" s="4" t="n">
        <v>1308</v>
      </c>
      <c r="D1558" s="4" t="n">
        <v>258</v>
      </c>
      <c r="E1558" s="13" t="n">
        <v>45457</v>
      </c>
      <c r="F1558" s="4" t="s">
        <v>3202</v>
      </c>
      <c r="G1558" s="4" t="str">
        <f aca="false">INDEX(PurchaseOrders!$B$2:$B$3001,MATCH(B1558,PurchaseOrders!$A$2:$A$3001,0))</f>
        <v>V039</v>
      </c>
    </row>
    <row r="1559" customFormat="false" ht="15" hidden="false" customHeight="true" outlineLevel="0" collapsed="false">
      <c r="A1559" s="4" t="s">
        <v>4746</v>
      </c>
      <c r="B1559" s="4" t="s">
        <v>1735</v>
      </c>
      <c r="C1559" s="4" t="n">
        <v>214</v>
      </c>
      <c r="D1559" s="4" t="n">
        <v>17</v>
      </c>
      <c r="E1559" s="13" t="n">
        <v>45447</v>
      </c>
      <c r="F1559" s="4" t="s">
        <v>3190</v>
      </c>
      <c r="G1559" s="4" t="str">
        <f aca="false">INDEX(PurchaseOrders!$B$2:$B$3001,MATCH(B1559,PurchaseOrders!$A$2:$A$3001,0))</f>
        <v>V004</v>
      </c>
    </row>
    <row r="1560" customFormat="false" ht="15" hidden="false" customHeight="true" outlineLevel="0" collapsed="false">
      <c r="A1560" s="4" t="s">
        <v>4747</v>
      </c>
      <c r="B1560" s="4" t="s">
        <v>1736</v>
      </c>
      <c r="C1560" s="4" t="n">
        <v>48</v>
      </c>
      <c r="D1560" s="4" t="n">
        <v>5</v>
      </c>
      <c r="E1560" s="13" t="n">
        <v>45215</v>
      </c>
      <c r="F1560" s="4" t="s">
        <v>3202</v>
      </c>
      <c r="G1560" s="4" t="str">
        <f aca="false">INDEX(PurchaseOrders!$B$2:$B$3001,MATCH(B1560,PurchaseOrders!$A$2:$A$3001,0))</f>
        <v>V043</v>
      </c>
    </row>
    <row r="1561" customFormat="false" ht="15" hidden="false" customHeight="true" outlineLevel="0" collapsed="false">
      <c r="A1561" s="4" t="s">
        <v>4748</v>
      </c>
      <c r="B1561" s="4" t="s">
        <v>1737</v>
      </c>
      <c r="C1561" s="4" t="n">
        <v>4610</v>
      </c>
      <c r="D1561" s="4" t="n">
        <v>215</v>
      </c>
      <c r="E1561" s="13" t="n">
        <v>44981</v>
      </c>
      <c r="F1561" s="4" t="s">
        <v>3192</v>
      </c>
      <c r="G1561" s="4" t="str">
        <f aca="false">INDEX(PurchaseOrders!$B$2:$B$3001,MATCH(B1561,PurchaseOrders!$A$2:$A$3001,0))</f>
        <v>V003</v>
      </c>
    </row>
    <row r="1562" customFormat="false" ht="15" hidden="false" customHeight="true" outlineLevel="0" collapsed="false">
      <c r="A1562" s="4" t="s">
        <v>4749</v>
      </c>
      <c r="B1562" s="4" t="s">
        <v>1738</v>
      </c>
      <c r="C1562" s="4" t="n">
        <v>439</v>
      </c>
      <c r="D1562" s="4" t="n">
        <v>19</v>
      </c>
      <c r="E1562" s="13" t="n">
        <v>45154</v>
      </c>
      <c r="F1562" s="4" t="s">
        <v>3186</v>
      </c>
      <c r="G1562" s="4" t="str">
        <f aca="false">INDEX(PurchaseOrders!$B$2:$B$3001,MATCH(B1562,PurchaseOrders!$A$2:$A$3001,0))</f>
        <v>V034</v>
      </c>
    </row>
    <row r="1563" customFormat="false" ht="15" hidden="false" customHeight="true" outlineLevel="0" collapsed="false">
      <c r="A1563" s="4" t="s">
        <v>4750</v>
      </c>
      <c r="B1563" s="4" t="s">
        <v>1739</v>
      </c>
      <c r="C1563" s="4" t="n">
        <v>2986</v>
      </c>
      <c r="D1563" s="4" t="n">
        <v>88</v>
      </c>
      <c r="E1563" s="13" t="n">
        <v>45406</v>
      </c>
      <c r="F1563" s="4" t="s">
        <v>3188</v>
      </c>
      <c r="G1563" s="4" t="str">
        <f aca="false">INDEX(PurchaseOrders!$B$2:$B$3001,MATCH(B1563,PurchaseOrders!$A$2:$A$3001,0))</f>
        <v>V003</v>
      </c>
    </row>
    <row r="1564" customFormat="false" ht="15" hidden="false" customHeight="true" outlineLevel="0" collapsed="false">
      <c r="A1564" s="4" t="s">
        <v>4751</v>
      </c>
      <c r="B1564" s="4" t="s">
        <v>1740</v>
      </c>
      <c r="C1564" s="4" t="n">
        <v>4747</v>
      </c>
      <c r="D1564" s="4" t="n">
        <v>794</v>
      </c>
      <c r="E1564" s="13" t="n">
        <v>45621</v>
      </c>
      <c r="F1564" s="4" t="s">
        <v>3190</v>
      </c>
      <c r="G1564" s="4" t="str">
        <f aca="false">INDEX(PurchaseOrders!$B$2:$B$3001,MATCH(B1564,PurchaseOrders!$A$2:$A$3001,0))</f>
        <v>V026</v>
      </c>
    </row>
    <row r="1565" customFormat="false" ht="15" hidden="false" customHeight="true" outlineLevel="0" collapsed="false">
      <c r="A1565" s="4" t="s">
        <v>4752</v>
      </c>
      <c r="B1565" s="4" t="s">
        <v>1741</v>
      </c>
      <c r="C1565" s="4" t="n">
        <v>18</v>
      </c>
      <c r="D1565" s="4" t="n">
        <v>0</v>
      </c>
      <c r="E1565" s="13" t="n">
        <v>45488</v>
      </c>
      <c r="F1565" s="4"/>
      <c r="G1565" s="4" t="str">
        <f aca="false">INDEX(PurchaseOrders!$B$2:$B$3001,MATCH(B1565,PurchaseOrders!$A$2:$A$3001,0))</f>
        <v>V016</v>
      </c>
    </row>
    <row r="1566" customFormat="false" ht="15" hidden="false" customHeight="true" outlineLevel="0" collapsed="false">
      <c r="A1566" s="4" t="s">
        <v>4753</v>
      </c>
      <c r="B1566" s="4" t="s">
        <v>1742</v>
      </c>
      <c r="C1566" s="4" t="n">
        <v>11</v>
      </c>
      <c r="D1566" s="4" t="n">
        <v>0</v>
      </c>
      <c r="E1566" s="13" t="n">
        <v>44968</v>
      </c>
      <c r="F1566" s="4"/>
      <c r="G1566" s="4" t="str">
        <f aca="false">INDEX(PurchaseOrders!$B$2:$B$3001,MATCH(B1566,PurchaseOrders!$A$2:$A$3001,0))</f>
        <v>V016</v>
      </c>
    </row>
    <row r="1567" customFormat="false" ht="15" hidden="false" customHeight="true" outlineLevel="0" collapsed="false">
      <c r="A1567" s="4" t="s">
        <v>4754</v>
      </c>
      <c r="B1567" s="4" t="s">
        <v>1743</v>
      </c>
      <c r="C1567" s="4" t="n">
        <v>1442</v>
      </c>
      <c r="D1567" s="4" t="n">
        <v>51</v>
      </c>
      <c r="E1567" s="13" t="n">
        <v>45616</v>
      </c>
      <c r="F1567" s="4" t="s">
        <v>3184</v>
      </c>
      <c r="G1567" s="4" t="str">
        <f aca="false">INDEX(PurchaseOrders!$B$2:$B$3001,MATCH(B1567,PurchaseOrders!$A$2:$A$3001,0))</f>
        <v>V045</v>
      </c>
    </row>
    <row r="1568" customFormat="false" ht="15" hidden="false" customHeight="true" outlineLevel="0" collapsed="false">
      <c r="A1568" s="4" t="s">
        <v>4755</v>
      </c>
      <c r="B1568" s="4" t="s">
        <v>1744</v>
      </c>
      <c r="C1568" s="4" t="n">
        <v>606</v>
      </c>
      <c r="D1568" s="4" t="n">
        <v>52</v>
      </c>
      <c r="E1568" s="13" t="n">
        <v>45042</v>
      </c>
      <c r="F1568" s="4" t="s">
        <v>3202</v>
      </c>
      <c r="G1568" s="4" t="str">
        <f aca="false">INDEX(PurchaseOrders!$B$2:$B$3001,MATCH(B1568,PurchaseOrders!$A$2:$A$3001,0))</f>
        <v>V051</v>
      </c>
    </row>
    <row r="1569" customFormat="false" ht="15" hidden="false" customHeight="true" outlineLevel="0" collapsed="false">
      <c r="A1569" s="4" t="s">
        <v>4756</v>
      </c>
      <c r="B1569" s="4" t="s">
        <v>1745</v>
      </c>
      <c r="C1569" s="4" t="n">
        <v>3068</v>
      </c>
      <c r="D1569" s="4" t="n">
        <v>341</v>
      </c>
      <c r="E1569" s="13" t="n">
        <v>44953</v>
      </c>
      <c r="F1569" s="4" t="s">
        <v>3188</v>
      </c>
      <c r="G1569" s="4" t="str">
        <f aca="false">INDEX(PurchaseOrders!$B$2:$B$3001,MATCH(B1569,PurchaseOrders!$A$2:$A$3001,0))</f>
        <v>V057</v>
      </c>
    </row>
    <row r="1570" customFormat="false" ht="15" hidden="false" customHeight="true" outlineLevel="0" collapsed="false">
      <c r="A1570" s="4" t="s">
        <v>4757</v>
      </c>
      <c r="B1570" s="4" t="s">
        <v>1746</v>
      </c>
      <c r="C1570" s="4" t="n">
        <v>1256</v>
      </c>
      <c r="D1570" s="4" t="n">
        <v>1</v>
      </c>
      <c r="E1570" s="13" t="n">
        <v>45409</v>
      </c>
      <c r="F1570" s="4" t="s">
        <v>3188</v>
      </c>
      <c r="G1570" s="4" t="str">
        <f aca="false">INDEX(PurchaseOrders!$B$2:$B$3001,MATCH(B1570,PurchaseOrders!$A$2:$A$3001,0))</f>
        <v>V015</v>
      </c>
    </row>
    <row r="1571" customFormat="false" ht="15" hidden="false" customHeight="true" outlineLevel="0" collapsed="false">
      <c r="A1571" s="4" t="s">
        <v>4758</v>
      </c>
      <c r="B1571" s="4" t="s">
        <v>1747</v>
      </c>
      <c r="C1571" s="4" t="n">
        <v>1095</v>
      </c>
      <c r="D1571" s="4" t="n">
        <v>145</v>
      </c>
      <c r="E1571" s="13" t="n">
        <v>45140</v>
      </c>
      <c r="F1571" s="4" t="s">
        <v>3184</v>
      </c>
      <c r="G1571" s="4" t="str">
        <f aca="false">INDEX(PurchaseOrders!$B$2:$B$3001,MATCH(B1571,PurchaseOrders!$A$2:$A$3001,0))</f>
        <v>V038</v>
      </c>
    </row>
    <row r="1572" customFormat="false" ht="15" hidden="false" customHeight="true" outlineLevel="0" collapsed="false">
      <c r="A1572" s="4" t="s">
        <v>4759</v>
      </c>
      <c r="B1572" s="4" t="s">
        <v>1748</v>
      </c>
      <c r="C1572" s="4" t="n">
        <v>399</v>
      </c>
      <c r="D1572" s="4" t="n">
        <v>16</v>
      </c>
      <c r="E1572" s="13" t="n">
        <v>44967</v>
      </c>
      <c r="F1572" s="4" t="s">
        <v>3192</v>
      </c>
      <c r="G1572" s="4" t="str">
        <f aca="false">INDEX(PurchaseOrders!$B$2:$B$3001,MATCH(B1572,PurchaseOrders!$A$2:$A$3001,0))</f>
        <v>V033</v>
      </c>
    </row>
    <row r="1573" customFormat="false" ht="15" hidden="false" customHeight="true" outlineLevel="0" collapsed="false">
      <c r="A1573" s="4" t="s">
        <v>4760</v>
      </c>
      <c r="B1573" s="4" t="s">
        <v>1749</v>
      </c>
      <c r="C1573" s="4" t="n">
        <v>9</v>
      </c>
      <c r="D1573" s="4" t="n">
        <v>0</v>
      </c>
      <c r="E1573" s="13" t="n">
        <v>45054</v>
      </c>
      <c r="F1573" s="4"/>
      <c r="G1573" s="4" t="str">
        <f aca="false">INDEX(PurchaseOrders!$B$2:$B$3001,MATCH(B1573,PurchaseOrders!$A$2:$A$3001,0))</f>
        <v>V054</v>
      </c>
    </row>
    <row r="1574" customFormat="false" ht="15" hidden="false" customHeight="true" outlineLevel="0" collapsed="false">
      <c r="A1574" s="4" t="s">
        <v>4761</v>
      </c>
      <c r="B1574" s="4" t="s">
        <v>1750</v>
      </c>
      <c r="C1574" s="4" t="n">
        <v>447</v>
      </c>
      <c r="D1574" s="4" t="n">
        <v>21</v>
      </c>
      <c r="E1574" s="13" t="n">
        <v>45612</v>
      </c>
      <c r="F1574" s="4" t="s">
        <v>3202</v>
      </c>
      <c r="G1574" s="4" t="str">
        <f aca="false">INDEX(PurchaseOrders!$B$2:$B$3001,MATCH(B1574,PurchaseOrders!$A$2:$A$3001,0))</f>
        <v>V024</v>
      </c>
    </row>
    <row r="1575" customFormat="false" ht="15" hidden="false" customHeight="true" outlineLevel="0" collapsed="false">
      <c r="A1575" s="4" t="s">
        <v>4762</v>
      </c>
      <c r="B1575" s="4" t="s">
        <v>1751</v>
      </c>
      <c r="C1575" s="4" t="n">
        <v>4731</v>
      </c>
      <c r="D1575" s="4" t="n">
        <v>8</v>
      </c>
      <c r="E1575" s="13" t="n">
        <v>44942</v>
      </c>
      <c r="F1575" s="4" t="s">
        <v>3192</v>
      </c>
      <c r="G1575" s="4" t="str">
        <f aca="false">INDEX(PurchaseOrders!$B$2:$B$3001,MATCH(B1575,PurchaseOrders!$A$2:$A$3001,0))</f>
        <v>V015</v>
      </c>
    </row>
    <row r="1576" customFormat="false" ht="15" hidden="false" customHeight="true" outlineLevel="0" collapsed="false">
      <c r="A1576" s="4" t="s">
        <v>4763</v>
      </c>
      <c r="B1576" s="4" t="s">
        <v>1752</v>
      </c>
      <c r="C1576" s="4" t="n">
        <v>246</v>
      </c>
      <c r="D1576" s="4" t="n">
        <v>19</v>
      </c>
      <c r="E1576" s="13" t="n">
        <v>45408</v>
      </c>
      <c r="F1576" s="4" t="s">
        <v>3190</v>
      </c>
      <c r="G1576" s="4" t="str">
        <f aca="false">INDEX(PurchaseOrders!$B$2:$B$3001,MATCH(B1576,PurchaseOrders!$A$2:$A$3001,0))</f>
        <v>V030</v>
      </c>
    </row>
    <row r="1577" customFormat="false" ht="15" hidden="false" customHeight="true" outlineLevel="0" collapsed="false">
      <c r="A1577" s="4" t="s">
        <v>4764</v>
      </c>
      <c r="B1577" s="4" t="s">
        <v>1753</v>
      </c>
      <c r="C1577" s="4" t="n">
        <v>1960</v>
      </c>
      <c r="D1577" s="4" t="n">
        <v>115</v>
      </c>
      <c r="E1577" s="13" t="n">
        <v>45622</v>
      </c>
      <c r="F1577" s="4" t="s">
        <v>3188</v>
      </c>
      <c r="G1577" s="4" t="str">
        <f aca="false">INDEX(PurchaseOrders!$B$2:$B$3001,MATCH(B1577,PurchaseOrders!$A$2:$A$3001,0))</f>
        <v>V010</v>
      </c>
    </row>
    <row r="1578" customFormat="false" ht="15" hidden="false" customHeight="true" outlineLevel="0" collapsed="false">
      <c r="A1578" s="4" t="s">
        <v>4765</v>
      </c>
      <c r="B1578" s="4" t="s">
        <v>1754</v>
      </c>
      <c r="C1578" s="4" t="n">
        <v>3355</v>
      </c>
      <c r="D1578" s="4" t="n">
        <v>143</v>
      </c>
      <c r="E1578" s="13" t="n">
        <v>45306</v>
      </c>
      <c r="F1578" s="4" t="s">
        <v>3184</v>
      </c>
      <c r="G1578" s="4" t="str">
        <f aca="false">INDEX(PurchaseOrders!$B$2:$B$3001,MATCH(B1578,PurchaseOrders!$A$2:$A$3001,0))</f>
        <v>V058</v>
      </c>
    </row>
    <row r="1579" customFormat="false" ht="15" hidden="false" customHeight="true" outlineLevel="0" collapsed="false">
      <c r="A1579" s="4" t="s">
        <v>4766</v>
      </c>
      <c r="B1579" s="4" t="s">
        <v>1755</v>
      </c>
      <c r="C1579" s="4" t="n">
        <v>2076</v>
      </c>
      <c r="D1579" s="4" t="n">
        <v>238</v>
      </c>
      <c r="E1579" s="13" t="n">
        <v>44998</v>
      </c>
      <c r="F1579" s="4" t="s">
        <v>3186</v>
      </c>
      <c r="G1579" s="4" t="str">
        <f aca="false">INDEX(PurchaseOrders!$B$2:$B$3001,MATCH(B1579,PurchaseOrders!$A$2:$A$3001,0))</f>
        <v>V032</v>
      </c>
    </row>
    <row r="1580" customFormat="false" ht="15" hidden="false" customHeight="true" outlineLevel="0" collapsed="false">
      <c r="A1580" s="4" t="s">
        <v>4767</v>
      </c>
      <c r="B1580" s="4" t="s">
        <v>1756</v>
      </c>
      <c r="C1580" s="4" t="n">
        <v>6</v>
      </c>
      <c r="D1580" s="4" t="n">
        <v>0</v>
      </c>
      <c r="E1580" s="13" t="n">
        <v>45346</v>
      </c>
      <c r="F1580" s="4"/>
      <c r="G1580" s="4" t="str">
        <f aca="false">INDEX(PurchaseOrders!$B$2:$B$3001,MATCH(B1580,PurchaseOrders!$A$2:$A$3001,0))</f>
        <v>V016</v>
      </c>
    </row>
    <row r="1581" customFormat="false" ht="15" hidden="false" customHeight="true" outlineLevel="0" collapsed="false">
      <c r="A1581" s="4" t="s">
        <v>4768</v>
      </c>
      <c r="B1581" s="4" t="s">
        <v>1757</v>
      </c>
      <c r="C1581" s="4" t="n">
        <v>258</v>
      </c>
      <c r="D1581" s="4" t="n">
        <v>10</v>
      </c>
      <c r="E1581" s="13" t="n">
        <v>45661</v>
      </c>
      <c r="F1581" s="4" t="s">
        <v>3192</v>
      </c>
      <c r="G1581" s="4" t="str">
        <f aca="false">INDEX(PurchaseOrders!$B$2:$B$3001,MATCH(B1581,PurchaseOrders!$A$2:$A$3001,0))</f>
        <v>V024</v>
      </c>
    </row>
    <row r="1582" customFormat="false" ht="15" hidden="false" customHeight="true" outlineLevel="0" collapsed="false">
      <c r="A1582" s="4" t="s">
        <v>4769</v>
      </c>
      <c r="B1582" s="4" t="s">
        <v>1758</v>
      </c>
      <c r="C1582" s="4" t="n">
        <v>3831</v>
      </c>
      <c r="D1582" s="4" t="n">
        <v>156</v>
      </c>
      <c r="E1582" s="13" t="n">
        <v>45277</v>
      </c>
      <c r="F1582" s="4" t="s">
        <v>3190</v>
      </c>
      <c r="G1582" s="4" t="str">
        <f aca="false">INDEX(PurchaseOrders!$B$2:$B$3001,MATCH(B1582,PurchaseOrders!$A$2:$A$3001,0))</f>
        <v>V028</v>
      </c>
    </row>
    <row r="1583" customFormat="false" ht="15" hidden="false" customHeight="true" outlineLevel="0" collapsed="false">
      <c r="A1583" s="4" t="s">
        <v>4770</v>
      </c>
      <c r="B1583" s="4" t="s">
        <v>1759</v>
      </c>
      <c r="C1583" s="4" t="n">
        <v>180</v>
      </c>
      <c r="D1583" s="4" t="n">
        <v>15</v>
      </c>
      <c r="E1583" s="13" t="n">
        <v>45067</v>
      </c>
      <c r="F1583" s="4" t="s">
        <v>3188</v>
      </c>
      <c r="G1583" s="4" t="str">
        <f aca="false">INDEX(PurchaseOrders!$B$2:$B$3001,MATCH(B1583,PurchaseOrders!$A$2:$A$3001,0))</f>
        <v>V013</v>
      </c>
    </row>
    <row r="1584" customFormat="false" ht="15" hidden="false" customHeight="true" outlineLevel="0" collapsed="false">
      <c r="A1584" s="4" t="s">
        <v>4771</v>
      </c>
      <c r="B1584" s="4" t="s">
        <v>1760</v>
      </c>
      <c r="C1584" s="4" t="n">
        <v>218</v>
      </c>
      <c r="D1584" s="4" t="n">
        <v>0</v>
      </c>
      <c r="E1584" s="13" t="n">
        <v>45089</v>
      </c>
      <c r="F1584" s="4"/>
      <c r="G1584" s="4" t="str">
        <f aca="false">INDEX(PurchaseOrders!$B$2:$B$3001,MATCH(B1584,PurchaseOrders!$A$2:$A$3001,0))</f>
        <v>V008</v>
      </c>
    </row>
    <row r="1585" customFormat="false" ht="15" hidden="false" customHeight="true" outlineLevel="0" collapsed="false">
      <c r="A1585" s="4" t="s">
        <v>4772</v>
      </c>
      <c r="B1585" s="4" t="s">
        <v>1761</v>
      </c>
      <c r="C1585" s="4" t="n">
        <v>19</v>
      </c>
      <c r="D1585" s="4" t="n">
        <v>1</v>
      </c>
      <c r="E1585" s="13" t="n">
        <v>45252</v>
      </c>
      <c r="F1585" s="4" t="s">
        <v>3192</v>
      </c>
      <c r="G1585" s="4" t="str">
        <f aca="false">INDEX(PurchaseOrders!$B$2:$B$3001,MATCH(B1585,PurchaseOrders!$A$2:$A$3001,0))</f>
        <v>V016</v>
      </c>
    </row>
    <row r="1586" customFormat="false" ht="15" hidden="false" customHeight="true" outlineLevel="0" collapsed="false">
      <c r="A1586" s="4" t="s">
        <v>4773</v>
      </c>
      <c r="B1586" s="4" t="s">
        <v>1762</v>
      </c>
      <c r="C1586" s="4" t="n">
        <v>4834</v>
      </c>
      <c r="D1586" s="4" t="n">
        <v>727</v>
      </c>
      <c r="E1586" s="13" t="n">
        <v>45474</v>
      </c>
      <c r="F1586" s="4" t="s">
        <v>3186</v>
      </c>
      <c r="G1586" s="4" t="str">
        <f aca="false">INDEX(PurchaseOrders!$B$2:$B$3001,MATCH(B1586,PurchaseOrders!$A$2:$A$3001,0))</f>
        <v>V038</v>
      </c>
    </row>
    <row r="1587" customFormat="false" ht="15" hidden="false" customHeight="true" outlineLevel="0" collapsed="false">
      <c r="A1587" s="4" t="s">
        <v>4774</v>
      </c>
      <c r="B1587" s="4" t="s">
        <v>1763</v>
      </c>
      <c r="C1587" s="4" t="n">
        <v>2826</v>
      </c>
      <c r="D1587" s="4" t="n">
        <v>243</v>
      </c>
      <c r="E1587" s="13" t="n">
        <v>45174</v>
      </c>
      <c r="F1587" s="4" t="s">
        <v>3190</v>
      </c>
      <c r="G1587" s="4" t="str">
        <f aca="false">INDEX(PurchaseOrders!$B$2:$B$3001,MATCH(B1587,PurchaseOrders!$A$2:$A$3001,0))</f>
        <v>V032</v>
      </c>
    </row>
    <row r="1588" customFormat="false" ht="15" hidden="false" customHeight="true" outlineLevel="0" collapsed="false">
      <c r="A1588" s="4" t="s">
        <v>4775</v>
      </c>
      <c r="B1588" s="4" t="s">
        <v>1764</v>
      </c>
      <c r="C1588" s="4" t="n">
        <v>1759</v>
      </c>
      <c r="D1588" s="4" t="n">
        <v>148</v>
      </c>
      <c r="E1588" s="13" t="n">
        <v>44979</v>
      </c>
      <c r="F1588" s="4" t="s">
        <v>3192</v>
      </c>
      <c r="G1588" s="4" t="str">
        <f aca="false">INDEX(PurchaseOrders!$B$2:$B$3001,MATCH(B1588,PurchaseOrders!$A$2:$A$3001,0))</f>
        <v>V048</v>
      </c>
    </row>
    <row r="1589" customFormat="false" ht="15" hidden="false" customHeight="true" outlineLevel="0" collapsed="false">
      <c r="A1589" s="4" t="s">
        <v>4776</v>
      </c>
      <c r="B1589" s="4" t="s">
        <v>1765</v>
      </c>
      <c r="C1589" s="4" t="n">
        <v>1</v>
      </c>
      <c r="D1589" s="4" t="n">
        <v>0</v>
      </c>
      <c r="E1589" s="13" t="n">
        <v>45609</v>
      </c>
      <c r="F1589" s="4"/>
      <c r="G1589" s="4" t="str">
        <f aca="false">INDEX(PurchaseOrders!$B$2:$B$3001,MATCH(B1589,PurchaseOrders!$A$2:$A$3001,0))</f>
        <v>V042</v>
      </c>
    </row>
    <row r="1590" customFormat="false" ht="15" hidden="false" customHeight="true" outlineLevel="0" collapsed="false">
      <c r="A1590" s="4" t="s">
        <v>4777</v>
      </c>
      <c r="B1590" s="4" t="s">
        <v>1766</v>
      </c>
      <c r="C1590" s="4" t="n">
        <v>474</v>
      </c>
      <c r="D1590" s="4" t="n">
        <v>6</v>
      </c>
      <c r="E1590" s="13" t="n">
        <v>45307</v>
      </c>
      <c r="F1590" s="4" t="s">
        <v>3192</v>
      </c>
      <c r="G1590" s="4" t="str">
        <f aca="false">INDEX(PurchaseOrders!$B$2:$B$3001,MATCH(B1590,PurchaseOrders!$A$2:$A$3001,0))</f>
        <v>V060</v>
      </c>
    </row>
    <row r="1591" customFormat="false" ht="15" hidden="false" customHeight="true" outlineLevel="0" collapsed="false">
      <c r="A1591" s="4" t="s">
        <v>4778</v>
      </c>
      <c r="B1591" s="4" t="s">
        <v>1767</v>
      </c>
      <c r="C1591" s="4" t="n">
        <v>51</v>
      </c>
      <c r="D1591" s="4" t="n">
        <v>3</v>
      </c>
      <c r="E1591" s="13" t="n">
        <v>45032</v>
      </c>
      <c r="F1591" s="4" t="s">
        <v>3184</v>
      </c>
      <c r="G1591" s="4" t="str">
        <f aca="false">INDEX(PurchaseOrders!$B$2:$B$3001,MATCH(B1591,PurchaseOrders!$A$2:$A$3001,0))</f>
        <v>V006</v>
      </c>
    </row>
    <row r="1592" customFormat="false" ht="15" hidden="false" customHeight="true" outlineLevel="0" collapsed="false">
      <c r="A1592" s="4" t="s">
        <v>4779</v>
      </c>
      <c r="B1592" s="4" t="s">
        <v>1768</v>
      </c>
      <c r="C1592" s="4" t="n">
        <v>92</v>
      </c>
      <c r="D1592" s="4" t="n">
        <v>0</v>
      </c>
      <c r="E1592" s="13" t="n">
        <v>45324</v>
      </c>
      <c r="F1592" s="4"/>
      <c r="G1592" s="4" t="str">
        <f aca="false">INDEX(PurchaseOrders!$B$2:$B$3001,MATCH(B1592,PurchaseOrders!$A$2:$A$3001,0))</f>
        <v>V029</v>
      </c>
    </row>
    <row r="1593" customFormat="false" ht="15" hidden="false" customHeight="true" outlineLevel="0" collapsed="false">
      <c r="A1593" s="4" t="s">
        <v>4780</v>
      </c>
      <c r="B1593" s="4" t="s">
        <v>1769</v>
      </c>
      <c r="C1593" s="4" t="n">
        <v>278</v>
      </c>
      <c r="D1593" s="4" t="n">
        <v>6</v>
      </c>
      <c r="E1593" s="13" t="n">
        <v>45199</v>
      </c>
      <c r="F1593" s="4" t="s">
        <v>3190</v>
      </c>
      <c r="G1593" s="4" t="str">
        <f aca="false">INDEX(PurchaseOrders!$B$2:$B$3001,MATCH(B1593,PurchaseOrders!$A$2:$A$3001,0))</f>
        <v>V040</v>
      </c>
    </row>
    <row r="1594" customFormat="false" ht="15" hidden="false" customHeight="true" outlineLevel="0" collapsed="false">
      <c r="A1594" s="4" t="s">
        <v>4781</v>
      </c>
      <c r="B1594" s="4" t="s">
        <v>1770</v>
      </c>
      <c r="C1594" s="4" t="n">
        <v>8</v>
      </c>
      <c r="D1594" s="4" t="n">
        <v>0</v>
      </c>
      <c r="E1594" s="13" t="n">
        <v>45177</v>
      </c>
      <c r="F1594" s="4"/>
      <c r="G1594" s="4" t="str">
        <f aca="false">INDEX(PurchaseOrders!$B$2:$B$3001,MATCH(B1594,PurchaseOrders!$A$2:$A$3001,0))</f>
        <v>V041</v>
      </c>
    </row>
    <row r="1595" customFormat="false" ht="15" hidden="false" customHeight="true" outlineLevel="0" collapsed="false">
      <c r="A1595" s="4" t="s">
        <v>4782</v>
      </c>
      <c r="B1595" s="4" t="s">
        <v>1771</v>
      </c>
      <c r="C1595" s="4" t="n">
        <v>3</v>
      </c>
      <c r="D1595" s="4" t="n">
        <v>0</v>
      </c>
      <c r="E1595" s="13" t="n">
        <v>45055</v>
      </c>
      <c r="F1595" s="4"/>
      <c r="G1595" s="4" t="str">
        <f aca="false">INDEX(PurchaseOrders!$B$2:$B$3001,MATCH(B1595,PurchaseOrders!$A$2:$A$3001,0))</f>
        <v>V041</v>
      </c>
    </row>
    <row r="1596" customFormat="false" ht="15" hidden="false" customHeight="true" outlineLevel="0" collapsed="false">
      <c r="A1596" s="4" t="s">
        <v>4783</v>
      </c>
      <c r="B1596" s="4" t="s">
        <v>1772</v>
      </c>
      <c r="C1596" s="4" t="n">
        <v>1013</v>
      </c>
      <c r="D1596" s="4" t="n">
        <v>79</v>
      </c>
      <c r="E1596" s="13" t="n">
        <v>44961</v>
      </c>
      <c r="F1596" s="4" t="s">
        <v>3186</v>
      </c>
      <c r="G1596" s="4" t="str">
        <f aca="false">INDEX(PurchaseOrders!$B$2:$B$3001,MATCH(B1596,PurchaseOrders!$A$2:$A$3001,0))</f>
        <v>V051</v>
      </c>
    </row>
    <row r="1597" customFormat="false" ht="15" hidden="false" customHeight="true" outlineLevel="0" collapsed="false">
      <c r="A1597" s="4" t="s">
        <v>4784</v>
      </c>
      <c r="B1597" s="4" t="s">
        <v>1773</v>
      </c>
      <c r="C1597" s="4" t="n">
        <v>647</v>
      </c>
      <c r="D1597" s="4" t="n">
        <v>147</v>
      </c>
      <c r="E1597" s="13" t="n">
        <v>45567</v>
      </c>
      <c r="F1597" s="4" t="s">
        <v>3202</v>
      </c>
      <c r="G1597" s="4" t="str">
        <f aca="false">INDEX(PurchaseOrders!$B$2:$B$3001,MATCH(B1597,PurchaseOrders!$A$2:$A$3001,0))</f>
        <v>V039</v>
      </c>
    </row>
    <row r="1598" customFormat="false" ht="15" hidden="false" customHeight="true" outlineLevel="0" collapsed="false">
      <c r="A1598" s="4" t="s">
        <v>4785</v>
      </c>
      <c r="B1598" s="4" t="s">
        <v>1774</v>
      </c>
      <c r="C1598" s="4" t="n">
        <v>1621</v>
      </c>
      <c r="D1598" s="4" t="n">
        <v>102</v>
      </c>
      <c r="E1598" s="13" t="n">
        <v>45250</v>
      </c>
      <c r="F1598" s="4" t="s">
        <v>3184</v>
      </c>
      <c r="G1598" s="4" t="str">
        <f aca="false">INDEX(PurchaseOrders!$B$2:$B$3001,MATCH(B1598,PurchaseOrders!$A$2:$A$3001,0))</f>
        <v>V001</v>
      </c>
    </row>
    <row r="1599" customFormat="false" ht="15" hidden="false" customHeight="true" outlineLevel="0" collapsed="false">
      <c r="A1599" s="4" t="s">
        <v>4786</v>
      </c>
      <c r="B1599" s="4" t="s">
        <v>1775</v>
      </c>
      <c r="C1599" s="4" t="n">
        <v>1054</v>
      </c>
      <c r="D1599" s="4" t="n">
        <v>40</v>
      </c>
      <c r="E1599" s="13" t="n">
        <v>45116</v>
      </c>
      <c r="F1599" s="4" t="s">
        <v>3186</v>
      </c>
      <c r="G1599" s="4" t="str">
        <f aca="false">INDEX(PurchaseOrders!$B$2:$B$3001,MATCH(B1599,PurchaseOrders!$A$2:$A$3001,0))</f>
        <v>V010</v>
      </c>
    </row>
    <row r="1600" customFormat="false" ht="15" hidden="false" customHeight="true" outlineLevel="0" collapsed="false">
      <c r="A1600" s="4" t="s">
        <v>4787</v>
      </c>
      <c r="B1600" s="4" t="s">
        <v>1776</v>
      </c>
      <c r="C1600" s="4" t="n">
        <v>2313</v>
      </c>
      <c r="D1600" s="4" t="n">
        <v>111</v>
      </c>
      <c r="E1600" s="13" t="n">
        <v>45060</v>
      </c>
      <c r="F1600" s="4" t="s">
        <v>3184</v>
      </c>
      <c r="G1600" s="4" t="str">
        <f aca="false">INDEX(PurchaseOrders!$B$2:$B$3001,MATCH(B1600,PurchaseOrders!$A$2:$A$3001,0))</f>
        <v>V017</v>
      </c>
    </row>
    <row r="1601" customFormat="false" ht="15" hidden="false" customHeight="true" outlineLevel="0" collapsed="false">
      <c r="A1601" s="4" t="s">
        <v>4788</v>
      </c>
      <c r="B1601" s="4" t="s">
        <v>1777</v>
      </c>
      <c r="C1601" s="4" t="n">
        <v>750</v>
      </c>
      <c r="D1601" s="4" t="n">
        <v>19</v>
      </c>
      <c r="E1601" s="13" t="n">
        <v>45249</v>
      </c>
      <c r="F1601" s="4" t="s">
        <v>3190</v>
      </c>
      <c r="G1601" s="4" t="str">
        <f aca="false">INDEX(PurchaseOrders!$B$2:$B$3001,MATCH(B1601,PurchaseOrders!$A$2:$A$3001,0))</f>
        <v>V015</v>
      </c>
    </row>
    <row r="1602" customFormat="false" ht="15" hidden="false" customHeight="true" outlineLevel="0" collapsed="false">
      <c r="A1602" s="4" t="s">
        <v>4789</v>
      </c>
      <c r="B1602" s="4" t="s">
        <v>1778</v>
      </c>
      <c r="C1602" s="4" t="n">
        <v>93</v>
      </c>
      <c r="D1602" s="4" t="n">
        <v>7</v>
      </c>
      <c r="E1602" s="13" t="n">
        <v>45155</v>
      </c>
      <c r="F1602" s="4" t="s">
        <v>3186</v>
      </c>
      <c r="G1602" s="4" t="str">
        <f aca="false">INDEX(PurchaseOrders!$B$2:$B$3001,MATCH(B1602,PurchaseOrders!$A$2:$A$3001,0))</f>
        <v>V013</v>
      </c>
    </row>
    <row r="1603" customFormat="false" ht="15" hidden="false" customHeight="true" outlineLevel="0" collapsed="false">
      <c r="A1603" s="4" t="s">
        <v>4790</v>
      </c>
      <c r="B1603" s="4" t="s">
        <v>1779</v>
      </c>
      <c r="C1603" s="4" t="n">
        <v>2735</v>
      </c>
      <c r="D1603" s="4" t="n">
        <v>22</v>
      </c>
      <c r="E1603" s="13" t="n">
        <v>45099</v>
      </c>
      <c r="F1603" s="4" t="s">
        <v>3184</v>
      </c>
      <c r="G1603" s="4" t="str">
        <f aca="false">INDEX(PurchaseOrders!$B$2:$B$3001,MATCH(B1603,PurchaseOrders!$A$2:$A$3001,0))</f>
        <v>V015</v>
      </c>
    </row>
    <row r="1604" customFormat="false" ht="15" hidden="false" customHeight="true" outlineLevel="0" collapsed="false">
      <c r="A1604" s="4" t="s">
        <v>4791</v>
      </c>
      <c r="B1604" s="4" t="s">
        <v>1780</v>
      </c>
      <c r="C1604" s="4" t="n">
        <v>836</v>
      </c>
      <c r="D1604" s="4" t="n">
        <v>25</v>
      </c>
      <c r="E1604" s="13" t="n">
        <v>45576</v>
      </c>
      <c r="F1604" s="4" t="s">
        <v>3192</v>
      </c>
      <c r="G1604" s="4" t="str">
        <f aca="false">INDEX(PurchaseOrders!$B$2:$B$3001,MATCH(B1604,PurchaseOrders!$A$2:$A$3001,0))</f>
        <v>V002</v>
      </c>
    </row>
    <row r="1605" customFormat="false" ht="15" hidden="false" customHeight="true" outlineLevel="0" collapsed="false">
      <c r="A1605" s="4" t="s">
        <v>4792</v>
      </c>
      <c r="B1605" s="4" t="s">
        <v>1781</v>
      </c>
      <c r="C1605" s="4" t="n">
        <v>278</v>
      </c>
      <c r="D1605" s="4" t="n">
        <v>23</v>
      </c>
      <c r="E1605" s="13" t="n">
        <v>45482</v>
      </c>
      <c r="F1605" s="4" t="s">
        <v>3188</v>
      </c>
      <c r="G1605" s="4" t="str">
        <f aca="false">INDEX(PurchaseOrders!$B$2:$B$3001,MATCH(B1605,PurchaseOrders!$A$2:$A$3001,0))</f>
        <v>V055</v>
      </c>
    </row>
    <row r="1606" customFormat="false" ht="15" hidden="false" customHeight="true" outlineLevel="0" collapsed="false">
      <c r="A1606" s="4" t="s">
        <v>4793</v>
      </c>
      <c r="B1606" s="4" t="s">
        <v>1782</v>
      </c>
      <c r="C1606" s="4" t="n">
        <v>715</v>
      </c>
      <c r="D1606" s="4" t="n">
        <v>10</v>
      </c>
      <c r="E1606" s="13" t="n">
        <v>45416</v>
      </c>
      <c r="F1606" s="4" t="s">
        <v>3188</v>
      </c>
      <c r="G1606" s="4" t="str">
        <f aca="false">INDEX(PurchaseOrders!$B$2:$B$3001,MATCH(B1606,PurchaseOrders!$A$2:$A$3001,0))</f>
        <v>V035</v>
      </c>
    </row>
    <row r="1607" customFormat="false" ht="15" hidden="false" customHeight="true" outlineLevel="0" collapsed="false">
      <c r="A1607" s="4" t="s">
        <v>4794</v>
      </c>
      <c r="B1607" s="4" t="s">
        <v>1783</v>
      </c>
      <c r="C1607" s="4" t="n">
        <v>1472</v>
      </c>
      <c r="D1607" s="4" t="n">
        <v>94</v>
      </c>
      <c r="E1607" s="13" t="n">
        <v>45523</v>
      </c>
      <c r="F1607" s="4" t="s">
        <v>3186</v>
      </c>
      <c r="G1607" s="4" t="str">
        <f aca="false">INDEX(PurchaseOrders!$B$2:$B$3001,MATCH(B1607,PurchaseOrders!$A$2:$A$3001,0))</f>
        <v>V050</v>
      </c>
    </row>
    <row r="1608" customFormat="false" ht="15" hidden="false" customHeight="true" outlineLevel="0" collapsed="false">
      <c r="A1608" s="4" t="s">
        <v>4795</v>
      </c>
      <c r="B1608" s="4" t="s">
        <v>1784</v>
      </c>
      <c r="C1608" s="4" t="n">
        <v>315</v>
      </c>
      <c r="D1608" s="4" t="n">
        <v>22</v>
      </c>
      <c r="E1608" s="13" t="n">
        <v>45468</v>
      </c>
      <c r="F1608" s="4" t="s">
        <v>3188</v>
      </c>
      <c r="G1608" s="4" t="str">
        <f aca="false">INDEX(PurchaseOrders!$B$2:$B$3001,MATCH(B1608,PurchaseOrders!$A$2:$A$3001,0))</f>
        <v>V013</v>
      </c>
    </row>
    <row r="1609" customFormat="false" ht="15" hidden="false" customHeight="true" outlineLevel="0" collapsed="false">
      <c r="A1609" s="4" t="s">
        <v>4796</v>
      </c>
      <c r="B1609" s="4" t="s">
        <v>1785</v>
      </c>
      <c r="C1609" s="4" t="n">
        <v>1629</v>
      </c>
      <c r="D1609" s="4" t="n">
        <v>24</v>
      </c>
      <c r="E1609" s="13" t="n">
        <v>45672</v>
      </c>
      <c r="F1609" s="4" t="s">
        <v>3190</v>
      </c>
      <c r="G1609" s="4" t="str">
        <f aca="false">INDEX(PurchaseOrders!$B$2:$B$3001,MATCH(B1609,PurchaseOrders!$A$2:$A$3001,0))</f>
        <v>V035</v>
      </c>
    </row>
    <row r="1610" customFormat="false" ht="15" hidden="false" customHeight="true" outlineLevel="0" collapsed="false">
      <c r="A1610" s="4" t="s">
        <v>4797</v>
      </c>
      <c r="B1610" s="4" t="s">
        <v>1786</v>
      </c>
      <c r="C1610" s="4" t="n">
        <v>226</v>
      </c>
      <c r="D1610" s="4" t="n">
        <v>1</v>
      </c>
      <c r="E1610" s="13" t="n">
        <v>45445</v>
      </c>
      <c r="F1610" s="4" t="s">
        <v>3186</v>
      </c>
      <c r="G1610" s="4" t="str">
        <f aca="false">INDEX(PurchaseOrders!$B$2:$B$3001,MATCH(B1610,PurchaseOrders!$A$2:$A$3001,0))</f>
        <v>V052</v>
      </c>
    </row>
    <row r="1611" customFormat="false" ht="15" hidden="false" customHeight="true" outlineLevel="0" collapsed="false">
      <c r="A1611" s="4" t="s">
        <v>4798</v>
      </c>
      <c r="B1611" s="4" t="s">
        <v>1787</v>
      </c>
      <c r="C1611" s="4" t="n">
        <v>2417</v>
      </c>
      <c r="D1611" s="4" t="n">
        <v>221</v>
      </c>
      <c r="E1611" s="13" t="n">
        <v>45410</v>
      </c>
      <c r="F1611" s="4" t="s">
        <v>3190</v>
      </c>
      <c r="G1611" s="4" t="str">
        <f aca="false">INDEX(PurchaseOrders!$B$2:$B$3001,MATCH(B1611,PurchaseOrders!$A$2:$A$3001,0))</f>
        <v>V050</v>
      </c>
    </row>
    <row r="1612" customFormat="false" ht="15" hidden="false" customHeight="true" outlineLevel="0" collapsed="false">
      <c r="A1612" s="4" t="s">
        <v>4799</v>
      </c>
      <c r="B1612" s="4" t="s">
        <v>1788</v>
      </c>
      <c r="C1612" s="4" t="n">
        <v>2497</v>
      </c>
      <c r="D1612" s="4" t="n">
        <v>342</v>
      </c>
      <c r="E1612" s="13" t="n">
        <v>45620</v>
      </c>
      <c r="F1612" s="4" t="s">
        <v>3184</v>
      </c>
      <c r="G1612" s="4" t="str">
        <f aca="false">INDEX(PurchaseOrders!$B$2:$B$3001,MATCH(B1612,PurchaseOrders!$A$2:$A$3001,0))</f>
        <v>V026</v>
      </c>
    </row>
    <row r="1613" customFormat="false" ht="15" hidden="false" customHeight="true" outlineLevel="0" collapsed="false">
      <c r="A1613" s="4" t="s">
        <v>4800</v>
      </c>
      <c r="B1613" s="4" t="s">
        <v>1789</v>
      </c>
      <c r="C1613" s="4" t="n">
        <v>458</v>
      </c>
      <c r="D1613" s="4" t="n">
        <v>31</v>
      </c>
      <c r="E1613" s="13" t="n">
        <v>45203</v>
      </c>
      <c r="F1613" s="4" t="s">
        <v>3202</v>
      </c>
      <c r="G1613" s="4" t="str">
        <f aca="false">INDEX(PurchaseOrders!$B$2:$B$3001,MATCH(B1613,PurchaseOrders!$A$2:$A$3001,0))</f>
        <v>V043</v>
      </c>
    </row>
    <row r="1614" customFormat="false" ht="15" hidden="false" customHeight="true" outlineLevel="0" collapsed="false">
      <c r="A1614" s="4" t="s">
        <v>4801</v>
      </c>
      <c r="B1614" s="4" t="s">
        <v>1790</v>
      </c>
      <c r="C1614" s="4" t="n">
        <v>365</v>
      </c>
      <c r="D1614" s="4" t="n">
        <v>6</v>
      </c>
      <c r="E1614" s="13" t="n">
        <v>45033</v>
      </c>
      <c r="F1614" s="4" t="s">
        <v>3184</v>
      </c>
      <c r="G1614" s="4" t="str">
        <f aca="false">INDEX(PurchaseOrders!$B$2:$B$3001,MATCH(B1614,PurchaseOrders!$A$2:$A$3001,0))</f>
        <v>V020</v>
      </c>
    </row>
    <row r="1615" customFormat="false" ht="15" hidden="false" customHeight="true" outlineLevel="0" collapsed="false">
      <c r="A1615" s="4" t="s">
        <v>4802</v>
      </c>
      <c r="B1615" s="4" t="s">
        <v>1791</v>
      </c>
      <c r="C1615" s="4" t="n">
        <v>18</v>
      </c>
      <c r="D1615" s="4" t="n">
        <v>2</v>
      </c>
      <c r="E1615" s="13" t="n">
        <v>44969</v>
      </c>
      <c r="F1615" s="4" t="s">
        <v>3188</v>
      </c>
      <c r="G1615" s="4" t="str">
        <f aca="false">INDEX(PurchaseOrders!$B$2:$B$3001,MATCH(B1615,PurchaseOrders!$A$2:$A$3001,0))</f>
        <v>V042</v>
      </c>
    </row>
    <row r="1616" customFormat="false" ht="15" hidden="false" customHeight="true" outlineLevel="0" collapsed="false">
      <c r="A1616" s="4" t="s">
        <v>4803</v>
      </c>
      <c r="B1616" s="4" t="s">
        <v>1792</v>
      </c>
      <c r="C1616" s="4" t="n">
        <v>635</v>
      </c>
      <c r="D1616" s="4" t="n">
        <v>8</v>
      </c>
      <c r="E1616" s="13" t="n">
        <v>45065</v>
      </c>
      <c r="F1616" s="4" t="s">
        <v>3184</v>
      </c>
      <c r="G1616" s="4" t="str">
        <f aca="false">INDEX(PurchaseOrders!$B$2:$B$3001,MATCH(B1616,PurchaseOrders!$A$2:$A$3001,0))</f>
        <v>V003</v>
      </c>
    </row>
    <row r="1617" customFormat="false" ht="15" hidden="false" customHeight="true" outlineLevel="0" collapsed="false">
      <c r="A1617" s="4" t="s">
        <v>4804</v>
      </c>
      <c r="B1617" s="4" t="s">
        <v>1793</v>
      </c>
      <c r="C1617" s="4" t="n">
        <v>846</v>
      </c>
      <c r="D1617" s="4" t="n">
        <v>82</v>
      </c>
      <c r="E1617" s="13" t="n">
        <v>45169</v>
      </c>
      <c r="F1617" s="4" t="s">
        <v>3202</v>
      </c>
      <c r="G1617" s="4" t="str">
        <f aca="false">INDEX(PurchaseOrders!$B$2:$B$3001,MATCH(B1617,PurchaseOrders!$A$2:$A$3001,0))</f>
        <v>V005</v>
      </c>
    </row>
    <row r="1618" customFormat="false" ht="15" hidden="false" customHeight="true" outlineLevel="0" collapsed="false">
      <c r="A1618" s="4" t="s">
        <v>4805</v>
      </c>
      <c r="B1618" s="4" t="s">
        <v>1794</v>
      </c>
      <c r="C1618" s="4" t="n">
        <v>1906</v>
      </c>
      <c r="D1618" s="4" t="n">
        <v>180</v>
      </c>
      <c r="E1618" s="13" t="n">
        <v>45627</v>
      </c>
      <c r="F1618" s="4" t="s">
        <v>3190</v>
      </c>
      <c r="G1618" s="4" t="str">
        <f aca="false">INDEX(PurchaseOrders!$B$2:$B$3001,MATCH(B1618,PurchaseOrders!$A$2:$A$3001,0))</f>
        <v>V032</v>
      </c>
    </row>
    <row r="1619" customFormat="false" ht="15" hidden="false" customHeight="true" outlineLevel="0" collapsed="false">
      <c r="A1619" s="4" t="s">
        <v>4806</v>
      </c>
      <c r="B1619" s="4" t="s">
        <v>1795</v>
      </c>
      <c r="C1619" s="4" t="n">
        <v>420</v>
      </c>
      <c r="D1619" s="4" t="n">
        <v>22</v>
      </c>
      <c r="E1619" s="13" t="n">
        <v>45442</v>
      </c>
      <c r="F1619" s="4" t="s">
        <v>3184</v>
      </c>
      <c r="G1619" s="4" t="str">
        <f aca="false">INDEX(PurchaseOrders!$B$2:$B$3001,MATCH(B1619,PurchaseOrders!$A$2:$A$3001,0))</f>
        <v>V018</v>
      </c>
    </row>
    <row r="1620" customFormat="false" ht="15" hidden="false" customHeight="true" outlineLevel="0" collapsed="false">
      <c r="A1620" s="4" t="s">
        <v>4807</v>
      </c>
      <c r="B1620" s="4" t="s">
        <v>1796</v>
      </c>
      <c r="C1620" s="4" t="n">
        <v>4014</v>
      </c>
      <c r="D1620" s="4" t="n">
        <v>368</v>
      </c>
      <c r="E1620" s="13" t="n">
        <v>44958</v>
      </c>
      <c r="F1620" s="4" t="s">
        <v>3202</v>
      </c>
      <c r="G1620" s="4" t="str">
        <f aca="false">INDEX(PurchaseOrders!$B$2:$B$3001,MATCH(B1620,PurchaseOrders!$A$2:$A$3001,0))</f>
        <v>V028</v>
      </c>
    </row>
    <row r="1621" customFormat="false" ht="15" hidden="false" customHeight="true" outlineLevel="0" collapsed="false">
      <c r="A1621" s="4" t="s">
        <v>4808</v>
      </c>
      <c r="B1621" s="4" t="s">
        <v>1797</v>
      </c>
      <c r="C1621" s="4" t="n">
        <v>4738</v>
      </c>
      <c r="D1621" s="4" t="n">
        <v>499</v>
      </c>
      <c r="E1621" s="13" t="n">
        <v>45600</v>
      </c>
      <c r="F1621" s="4" t="s">
        <v>3202</v>
      </c>
      <c r="G1621" s="4" t="str">
        <f aca="false">INDEX(PurchaseOrders!$B$2:$B$3001,MATCH(B1621,PurchaseOrders!$A$2:$A$3001,0))</f>
        <v>V057</v>
      </c>
    </row>
    <row r="1622" customFormat="false" ht="15" hidden="false" customHeight="true" outlineLevel="0" collapsed="false">
      <c r="A1622" s="4" t="s">
        <v>4809</v>
      </c>
      <c r="B1622" s="4" t="s">
        <v>1798</v>
      </c>
      <c r="C1622" s="4" t="n">
        <v>561</v>
      </c>
      <c r="D1622" s="4" t="n">
        <v>122</v>
      </c>
      <c r="E1622" s="13" t="n">
        <v>45024</v>
      </c>
      <c r="F1622" s="4" t="s">
        <v>3202</v>
      </c>
      <c r="G1622" s="4" t="str">
        <f aca="false">INDEX(PurchaseOrders!$B$2:$B$3001,MATCH(B1622,PurchaseOrders!$A$2:$A$3001,0))</f>
        <v>V039</v>
      </c>
    </row>
    <row r="1623" customFormat="false" ht="15" hidden="false" customHeight="true" outlineLevel="0" collapsed="false">
      <c r="A1623" s="4" t="s">
        <v>4810</v>
      </c>
      <c r="B1623" s="4" t="s">
        <v>1799</v>
      </c>
      <c r="C1623" s="4" t="n">
        <v>63</v>
      </c>
      <c r="D1623" s="4" t="n">
        <v>2</v>
      </c>
      <c r="E1623" s="13" t="n">
        <v>45515</v>
      </c>
      <c r="F1623" s="4" t="s">
        <v>3186</v>
      </c>
      <c r="G1623" s="4" t="str">
        <f aca="false">INDEX(PurchaseOrders!$B$2:$B$3001,MATCH(B1623,PurchaseOrders!$A$2:$A$3001,0))</f>
        <v>V055</v>
      </c>
    </row>
    <row r="1624" customFormat="false" ht="15" hidden="false" customHeight="true" outlineLevel="0" collapsed="false">
      <c r="A1624" s="4" t="s">
        <v>4811</v>
      </c>
      <c r="B1624" s="4" t="s">
        <v>1800</v>
      </c>
      <c r="C1624" s="4" t="n">
        <v>4539</v>
      </c>
      <c r="D1624" s="4" t="n">
        <v>492</v>
      </c>
      <c r="E1624" s="13" t="n">
        <v>45130</v>
      </c>
      <c r="F1624" s="4" t="s">
        <v>3192</v>
      </c>
      <c r="G1624" s="4" t="str">
        <f aca="false">INDEX(PurchaseOrders!$B$2:$B$3001,MATCH(B1624,PurchaseOrders!$A$2:$A$3001,0))</f>
        <v>V032</v>
      </c>
    </row>
    <row r="1625" customFormat="false" ht="15" hidden="false" customHeight="true" outlineLevel="0" collapsed="false">
      <c r="A1625" s="4" t="s">
        <v>4812</v>
      </c>
      <c r="B1625" s="4" t="s">
        <v>1801</v>
      </c>
      <c r="C1625" s="4" t="n">
        <v>10</v>
      </c>
      <c r="D1625" s="4" t="n">
        <v>1</v>
      </c>
      <c r="E1625" s="13" t="n">
        <v>44961</v>
      </c>
      <c r="F1625" s="4" t="s">
        <v>3190</v>
      </c>
      <c r="G1625" s="4" t="str">
        <f aca="false">INDEX(PurchaseOrders!$B$2:$B$3001,MATCH(B1625,PurchaseOrders!$A$2:$A$3001,0))</f>
        <v>V041</v>
      </c>
    </row>
    <row r="1626" customFormat="false" ht="15" hidden="false" customHeight="true" outlineLevel="0" collapsed="false">
      <c r="A1626" s="4" t="s">
        <v>4813</v>
      </c>
      <c r="B1626" s="4" t="s">
        <v>1802</v>
      </c>
      <c r="C1626" s="4" t="n">
        <v>1775</v>
      </c>
      <c r="D1626" s="4" t="n">
        <v>355</v>
      </c>
      <c r="E1626" s="13" t="n">
        <v>45527</v>
      </c>
      <c r="F1626" s="4" t="s">
        <v>3202</v>
      </c>
      <c r="G1626" s="4" t="str">
        <f aca="false">INDEX(PurchaseOrders!$B$2:$B$3001,MATCH(B1626,PurchaseOrders!$A$2:$A$3001,0))</f>
        <v>V039</v>
      </c>
    </row>
    <row r="1627" customFormat="false" ht="15" hidden="false" customHeight="true" outlineLevel="0" collapsed="false">
      <c r="A1627" s="4" t="s">
        <v>4814</v>
      </c>
      <c r="B1627" s="4" t="s">
        <v>1803</v>
      </c>
      <c r="C1627" s="4" t="n">
        <v>1264</v>
      </c>
      <c r="D1627" s="4" t="n">
        <v>27</v>
      </c>
      <c r="E1627" s="13" t="n">
        <v>45036</v>
      </c>
      <c r="F1627" s="4" t="s">
        <v>3202</v>
      </c>
      <c r="G1627" s="4" t="str">
        <f aca="false">INDEX(PurchaseOrders!$B$2:$B$3001,MATCH(B1627,PurchaseOrders!$A$2:$A$3001,0))</f>
        <v>V034</v>
      </c>
    </row>
    <row r="1628" customFormat="false" ht="15" hidden="false" customHeight="true" outlineLevel="0" collapsed="false">
      <c r="A1628" s="4" t="s">
        <v>4815</v>
      </c>
      <c r="B1628" s="4" t="s">
        <v>1804</v>
      </c>
      <c r="C1628" s="4" t="n">
        <v>3849</v>
      </c>
      <c r="D1628" s="4" t="n">
        <v>385</v>
      </c>
      <c r="E1628" s="13" t="n">
        <v>45325</v>
      </c>
      <c r="F1628" s="4" t="s">
        <v>3190</v>
      </c>
      <c r="G1628" s="4" t="str">
        <f aca="false">INDEX(PurchaseOrders!$B$2:$B$3001,MATCH(B1628,PurchaseOrders!$A$2:$A$3001,0))</f>
        <v>V032</v>
      </c>
    </row>
    <row r="1629" customFormat="false" ht="15" hidden="false" customHeight="true" outlineLevel="0" collapsed="false">
      <c r="A1629" s="4" t="s">
        <v>4816</v>
      </c>
      <c r="B1629" s="4" t="s">
        <v>1805</v>
      </c>
      <c r="C1629" s="4" t="n">
        <v>391</v>
      </c>
      <c r="D1629" s="4" t="n">
        <v>38</v>
      </c>
      <c r="E1629" s="13" t="n">
        <v>45523</v>
      </c>
      <c r="F1629" s="4" t="s">
        <v>3186</v>
      </c>
      <c r="G1629" s="4" t="str">
        <f aca="false">INDEX(PurchaseOrders!$B$2:$B$3001,MATCH(B1629,PurchaseOrders!$A$2:$A$3001,0))</f>
        <v>V043</v>
      </c>
    </row>
    <row r="1630" customFormat="false" ht="15" hidden="false" customHeight="true" outlineLevel="0" collapsed="false">
      <c r="A1630" s="4" t="s">
        <v>4817</v>
      </c>
      <c r="B1630" s="4" t="s">
        <v>1806</v>
      </c>
      <c r="C1630" s="4" t="n">
        <v>241</v>
      </c>
      <c r="D1630" s="4" t="n">
        <v>20</v>
      </c>
      <c r="E1630" s="13" t="n">
        <v>45270</v>
      </c>
      <c r="F1630" s="4" t="s">
        <v>3190</v>
      </c>
      <c r="G1630" s="4" t="str">
        <f aca="false">INDEX(PurchaseOrders!$B$2:$B$3001,MATCH(B1630,PurchaseOrders!$A$2:$A$3001,0))</f>
        <v>V033</v>
      </c>
    </row>
    <row r="1631" customFormat="false" ht="15" hidden="false" customHeight="true" outlineLevel="0" collapsed="false">
      <c r="A1631" s="4" t="s">
        <v>4818</v>
      </c>
      <c r="B1631" s="4" t="s">
        <v>1807</v>
      </c>
      <c r="C1631" s="4" t="n">
        <v>2037</v>
      </c>
      <c r="D1631" s="4" t="n">
        <v>332</v>
      </c>
      <c r="E1631" s="13" t="n">
        <v>45036</v>
      </c>
      <c r="F1631" s="4" t="s">
        <v>3188</v>
      </c>
      <c r="G1631" s="4" t="str">
        <f aca="false">INDEX(PurchaseOrders!$B$2:$B$3001,MATCH(B1631,PurchaseOrders!$A$2:$A$3001,0))</f>
        <v>V026</v>
      </c>
    </row>
    <row r="1632" customFormat="false" ht="15" hidden="false" customHeight="true" outlineLevel="0" collapsed="false">
      <c r="A1632" s="4" t="s">
        <v>4819</v>
      </c>
      <c r="B1632" s="4" t="s">
        <v>1808</v>
      </c>
      <c r="C1632" s="4" t="n">
        <v>160</v>
      </c>
      <c r="D1632" s="4" t="n">
        <v>0</v>
      </c>
      <c r="E1632" s="13" t="n">
        <v>44957</v>
      </c>
      <c r="F1632" s="4"/>
      <c r="G1632" s="4" t="str">
        <f aca="false">INDEX(PurchaseOrders!$B$2:$B$3001,MATCH(B1632,PurchaseOrders!$A$2:$A$3001,0))</f>
        <v>V008</v>
      </c>
    </row>
    <row r="1633" customFormat="false" ht="15" hidden="false" customHeight="true" outlineLevel="0" collapsed="false">
      <c r="A1633" s="4" t="s">
        <v>4820</v>
      </c>
      <c r="B1633" s="4" t="s">
        <v>1809</v>
      </c>
      <c r="C1633" s="4" t="n">
        <v>79</v>
      </c>
      <c r="D1633" s="4" t="n">
        <v>9</v>
      </c>
      <c r="E1633" s="13" t="n">
        <v>45289</v>
      </c>
      <c r="F1633" s="4" t="s">
        <v>3190</v>
      </c>
      <c r="G1633" s="4" t="str">
        <f aca="false">INDEX(PurchaseOrders!$B$2:$B$3001,MATCH(B1633,PurchaseOrders!$A$2:$A$3001,0))</f>
        <v>V043</v>
      </c>
    </row>
    <row r="1634" customFormat="false" ht="15" hidden="false" customHeight="true" outlineLevel="0" collapsed="false">
      <c r="A1634" s="4" t="s">
        <v>4821</v>
      </c>
      <c r="B1634" s="4" t="s">
        <v>1810</v>
      </c>
      <c r="C1634" s="4" t="n">
        <v>11</v>
      </c>
      <c r="D1634" s="4" t="n">
        <v>1</v>
      </c>
      <c r="E1634" s="13" t="n">
        <v>45583</v>
      </c>
      <c r="F1634" s="4" t="s">
        <v>3188</v>
      </c>
      <c r="G1634" s="4" t="str">
        <f aca="false">INDEX(PurchaseOrders!$B$2:$B$3001,MATCH(B1634,PurchaseOrders!$A$2:$A$3001,0))</f>
        <v>V054</v>
      </c>
    </row>
    <row r="1635" customFormat="false" ht="15" hidden="false" customHeight="true" outlineLevel="0" collapsed="false">
      <c r="A1635" s="4" t="s">
        <v>4822</v>
      </c>
      <c r="B1635" s="4" t="s">
        <v>1811</v>
      </c>
      <c r="C1635" s="4" t="n">
        <v>77</v>
      </c>
      <c r="D1635" s="4" t="n">
        <v>8</v>
      </c>
      <c r="E1635" s="13" t="n">
        <v>45673</v>
      </c>
      <c r="F1635" s="4" t="s">
        <v>3184</v>
      </c>
      <c r="G1635" s="4" t="str">
        <f aca="false">INDEX(PurchaseOrders!$B$2:$B$3001,MATCH(B1635,PurchaseOrders!$A$2:$A$3001,0))</f>
        <v>V013</v>
      </c>
    </row>
    <row r="1636" customFormat="false" ht="15" hidden="false" customHeight="true" outlineLevel="0" collapsed="false">
      <c r="A1636" s="4" t="s">
        <v>4823</v>
      </c>
      <c r="B1636" s="4" t="s">
        <v>1812</v>
      </c>
      <c r="C1636" s="4" t="n">
        <v>389</v>
      </c>
      <c r="D1636" s="4" t="n">
        <v>0</v>
      </c>
      <c r="E1636" s="13" t="n">
        <v>45297</v>
      </c>
      <c r="F1636" s="4"/>
      <c r="G1636" s="4" t="str">
        <f aca="false">INDEX(PurchaseOrders!$B$2:$B$3001,MATCH(B1636,PurchaseOrders!$A$2:$A$3001,0))</f>
        <v>V060</v>
      </c>
    </row>
    <row r="1637" customFormat="false" ht="15" hidden="false" customHeight="true" outlineLevel="0" collapsed="false">
      <c r="A1637" s="4" t="s">
        <v>4824</v>
      </c>
      <c r="B1637" s="4" t="s">
        <v>1813</v>
      </c>
      <c r="C1637" s="4" t="n">
        <v>746</v>
      </c>
      <c r="D1637" s="4" t="n">
        <v>21</v>
      </c>
      <c r="E1637" s="13" t="n">
        <v>45307</v>
      </c>
      <c r="F1637" s="4" t="s">
        <v>3188</v>
      </c>
      <c r="G1637" s="4" t="str">
        <f aca="false">INDEX(PurchaseOrders!$B$2:$B$3001,MATCH(B1637,PurchaseOrders!$A$2:$A$3001,0))</f>
        <v>V022</v>
      </c>
    </row>
    <row r="1638" customFormat="false" ht="15" hidden="false" customHeight="true" outlineLevel="0" collapsed="false">
      <c r="A1638" s="4" t="s">
        <v>4825</v>
      </c>
      <c r="B1638" s="4" t="s">
        <v>1814</v>
      </c>
      <c r="C1638" s="4" t="n">
        <v>2218</v>
      </c>
      <c r="D1638" s="4" t="n">
        <v>8</v>
      </c>
      <c r="E1638" s="13" t="n">
        <v>45112</v>
      </c>
      <c r="F1638" s="4" t="s">
        <v>3190</v>
      </c>
      <c r="G1638" s="4" t="str">
        <f aca="false">INDEX(PurchaseOrders!$B$2:$B$3001,MATCH(B1638,PurchaseOrders!$A$2:$A$3001,0))</f>
        <v>V015</v>
      </c>
    </row>
    <row r="1639" customFormat="false" ht="15" hidden="false" customHeight="true" outlineLevel="0" collapsed="false">
      <c r="A1639" s="4" t="s">
        <v>4826</v>
      </c>
      <c r="B1639" s="4" t="s">
        <v>1815</v>
      </c>
      <c r="C1639" s="4" t="n">
        <v>414</v>
      </c>
      <c r="D1639" s="4" t="n">
        <v>0</v>
      </c>
      <c r="E1639" s="13" t="n">
        <v>45625</v>
      </c>
      <c r="F1639" s="4"/>
      <c r="G1639" s="4" t="str">
        <f aca="false">INDEX(PurchaseOrders!$B$2:$B$3001,MATCH(B1639,PurchaseOrders!$A$2:$A$3001,0))</f>
        <v>V029</v>
      </c>
    </row>
    <row r="1640" customFormat="false" ht="15" hidden="false" customHeight="true" outlineLevel="0" collapsed="false">
      <c r="A1640" s="4" t="s">
        <v>4827</v>
      </c>
      <c r="B1640" s="4" t="s">
        <v>1816</v>
      </c>
      <c r="C1640" s="4" t="n">
        <v>86</v>
      </c>
      <c r="D1640" s="4" t="n">
        <v>8</v>
      </c>
      <c r="E1640" s="13" t="n">
        <v>45405</v>
      </c>
      <c r="F1640" s="4" t="s">
        <v>3192</v>
      </c>
      <c r="G1640" s="4" t="str">
        <f aca="false">INDEX(PurchaseOrders!$B$2:$B$3001,MATCH(B1640,PurchaseOrders!$A$2:$A$3001,0))</f>
        <v>V043</v>
      </c>
    </row>
    <row r="1641" customFormat="false" ht="15" hidden="false" customHeight="true" outlineLevel="0" collapsed="false">
      <c r="A1641" s="4" t="s">
        <v>4828</v>
      </c>
      <c r="B1641" s="4" t="s">
        <v>1817</v>
      </c>
      <c r="C1641" s="4" t="n">
        <v>139</v>
      </c>
      <c r="D1641" s="4" t="n">
        <v>15</v>
      </c>
      <c r="E1641" s="13" t="n">
        <v>45025</v>
      </c>
      <c r="F1641" s="4" t="s">
        <v>3186</v>
      </c>
      <c r="G1641" s="4" t="str">
        <f aca="false">INDEX(PurchaseOrders!$B$2:$B$3001,MATCH(B1641,PurchaseOrders!$A$2:$A$3001,0))</f>
        <v>V030</v>
      </c>
    </row>
    <row r="1642" customFormat="false" ht="15" hidden="false" customHeight="true" outlineLevel="0" collapsed="false">
      <c r="A1642" s="4" t="s">
        <v>4829</v>
      </c>
      <c r="B1642" s="4" t="s">
        <v>1818</v>
      </c>
      <c r="C1642" s="4" t="n">
        <v>997</v>
      </c>
      <c r="D1642" s="4" t="n">
        <v>28</v>
      </c>
      <c r="E1642" s="13" t="n">
        <v>45180</v>
      </c>
      <c r="F1642" s="4" t="s">
        <v>3184</v>
      </c>
      <c r="G1642" s="4" t="str">
        <f aca="false">INDEX(PurchaseOrders!$B$2:$B$3001,MATCH(B1642,PurchaseOrders!$A$2:$A$3001,0))</f>
        <v>V058</v>
      </c>
    </row>
    <row r="1643" customFormat="false" ht="15" hidden="false" customHeight="true" outlineLevel="0" collapsed="false">
      <c r="A1643" s="4" t="s">
        <v>4830</v>
      </c>
      <c r="B1643" s="4" t="s">
        <v>1819</v>
      </c>
      <c r="C1643" s="4" t="n">
        <v>2100</v>
      </c>
      <c r="D1643" s="4" t="n">
        <v>268</v>
      </c>
      <c r="E1643" s="13" t="n">
        <v>45205</v>
      </c>
      <c r="F1643" s="4" t="s">
        <v>3188</v>
      </c>
      <c r="G1643" s="4" t="str">
        <f aca="false">INDEX(PurchaseOrders!$B$2:$B$3001,MATCH(B1643,PurchaseOrders!$A$2:$A$3001,0))</f>
        <v>V038</v>
      </c>
    </row>
    <row r="1644" customFormat="false" ht="15" hidden="false" customHeight="true" outlineLevel="0" collapsed="false">
      <c r="A1644" s="4" t="s">
        <v>4831</v>
      </c>
      <c r="B1644" s="4" t="s">
        <v>1820</v>
      </c>
      <c r="C1644" s="4" t="n">
        <v>133</v>
      </c>
      <c r="D1644" s="4" t="n">
        <v>0</v>
      </c>
      <c r="E1644" s="13" t="n">
        <v>45460</v>
      </c>
      <c r="F1644" s="4"/>
      <c r="G1644" s="4" t="str">
        <f aca="false">INDEX(PurchaseOrders!$B$2:$B$3001,MATCH(B1644,PurchaseOrders!$A$2:$A$3001,0))</f>
        <v>V040</v>
      </c>
    </row>
    <row r="1645" customFormat="false" ht="15" hidden="false" customHeight="true" outlineLevel="0" collapsed="false">
      <c r="A1645" s="4" t="s">
        <v>4832</v>
      </c>
      <c r="B1645" s="4" t="s">
        <v>1821</v>
      </c>
      <c r="C1645" s="4" t="n">
        <v>12</v>
      </c>
      <c r="D1645" s="4" t="n">
        <v>1</v>
      </c>
      <c r="E1645" s="13" t="n">
        <v>45130</v>
      </c>
      <c r="F1645" s="4" t="s">
        <v>3190</v>
      </c>
      <c r="G1645" s="4" t="str">
        <f aca="false">INDEX(PurchaseOrders!$B$2:$B$3001,MATCH(B1645,PurchaseOrders!$A$2:$A$3001,0))</f>
        <v>V054</v>
      </c>
    </row>
    <row r="1646" customFormat="false" ht="15" hidden="false" customHeight="true" outlineLevel="0" collapsed="false">
      <c r="A1646" s="4" t="s">
        <v>4833</v>
      </c>
      <c r="B1646" s="4" t="s">
        <v>1822</v>
      </c>
      <c r="C1646" s="4" t="n">
        <v>3171</v>
      </c>
      <c r="D1646" s="4" t="n">
        <v>96</v>
      </c>
      <c r="E1646" s="13" t="n">
        <v>45600</v>
      </c>
      <c r="F1646" s="4" t="s">
        <v>3202</v>
      </c>
      <c r="G1646" s="4" t="str">
        <f aca="false">INDEX(PurchaseOrders!$B$2:$B$3001,MATCH(B1646,PurchaseOrders!$A$2:$A$3001,0))</f>
        <v>V050</v>
      </c>
    </row>
    <row r="1647" customFormat="false" ht="15" hidden="false" customHeight="true" outlineLevel="0" collapsed="false">
      <c r="A1647" s="4" t="s">
        <v>4834</v>
      </c>
      <c r="B1647" s="4" t="s">
        <v>1823</v>
      </c>
      <c r="C1647" s="4" t="n">
        <v>370</v>
      </c>
      <c r="D1647" s="4" t="n">
        <v>15</v>
      </c>
      <c r="E1647" s="13" t="n">
        <v>45607</v>
      </c>
      <c r="F1647" s="4" t="s">
        <v>3188</v>
      </c>
      <c r="G1647" s="4" t="str">
        <f aca="false">INDEX(PurchaseOrders!$B$2:$B$3001,MATCH(B1647,PurchaseOrders!$A$2:$A$3001,0))</f>
        <v>V020</v>
      </c>
    </row>
    <row r="1648" customFormat="false" ht="15" hidden="false" customHeight="true" outlineLevel="0" collapsed="false">
      <c r="A1648" s="4" t="s">
        <v>4835</v>
      </c>
      <c r="B1648" s="4" t="s">
        <v>1824</v>
      </c>
      <c r="C1648" s="4" t="n">
        <v>1669</v>
      </c>
      <c r="D1648" s="4" t="n">
        <v>90</v>
      </c>
      <c r="E1648" s="13" t="n">
        <v>44965</v>
      </c>
      <c r="F1648" s="4" t="s">
        <v>3202</v>
      </c>
      <c r="G1648" s="4" t="str">
        <f aca="false">INDEX(PurchaseOrders!$B$2:$B$3001,MATCH(B1648,PurchaseOrders!$A$2:$A$3001,0))</f>
        <v>V051</v>
      </c>
    </row>
    <row r="1649" customFormat="false" ht="15" hidden="false" customHeight="true" outlineLevel="0" collapsed="false">
      <c r="A1649" s="4" t="s">
        <v>4836</v>
      </c>
      <c r="B1649" s="4" t="s">
        <v>1825</v>
      </c>
      <c r="C1649" s="4" t="n">
        <v>1852</v>
      </c>
      <c r="D1649" s="4" t="n">
        <v>45</v>
      </c>
      <c r="E1649" s="13" t="n">
        <v>45393</v>
      </c>
      <c r="F1649" s="4" t="s">
        <v>3190</v>
      </c>
      <c r="G1649" s="4" t="str">
        <f aca="false">INDEX(PurchaseOrders!$B$2:$B$3001,MATCH(B1649,PurchaseOrders!$A$2:$A$3001,0))</f>
        <v>V035</v>
      </c>
    </row>
    <row r="1650" customFormat="false" ht="15" hidden="false" customHeight="true" outlineLevel="0" collapsed="false">
      <c r="A1650" s="4" t="s">
        <v>4837</v>
      </c>
      <c r="B1650" s="4" t="s">
        <v>1826</v>
      </c>
      <c r="C1650" s="4" t="n">
        <v>54</v>
      </c>
      <c r="D1650" s="4" t="n">
        <v>0</v>
      </c>
      <c r="E1650" s="13" t="n">
        <v>45042</v>
      </c>
      <c r="F1650" s="4"/>
      <c r="G1650" s="4" t="str">
        <f aca="false">INDEX(PurchaseOrders!$B$2:$B$3001,MATCH(B1650,PurchaseOrders!$A$2:$A$3001,0))</f>
        <v>V046</v>
      </c>
    </row>
    <row r="1651" customFormat="false" ht="15" hidden="false" customHeight="true" outlineLevel="0" collapsed="false">
      <c r="A1651" s="4" t="s">
        <v>4838</v>
      </c>
      <c r="B1651" s="4" t="s">
        <v>1827</v>
      </c>
      <c r="C1651" s="4" t="n">
        <v>7</v>
      </c>
      <c r="D1651" s="4" t="n">
        <v>1</v>
      </c>
      <c r="E1651" s="13" t="n">
        <v>45430</v>
      </c>
      <c r="F1651" s="4" t="s">
        <v>3202</v>
      </c>
      <c r="G1651" s="4" t="str">
        <f aca="false">INDEX(PurchaseOrders!$B$2:$B$3001,MATCH(B1651,PurchaseOrders!$A$2:$A$3001,0))</f>
        <v>V041</v>
      </c>
    </row>
    <row r="1652" customFormat="false" ht="15" hidden="false" customHeight="true" outlineLevel="0" collapsed="false">
      <c r="A1652" s="4" t="s">
        <v>4839</v>
      </c>
      <c r="B1652" s="4" t="s">
        <v>1828</v>
      </c>
      <c r="C1652" s="4" t="n">
        <v>393</v>
      </c>
      <c r="D1652" s="4" t="n">
        <v>20</v>
      </c>
      <c r="E1652" s="13" t="n">
        <v>45026</v>
      </c>
      <c r="F1652" s="4" t="s">
        <v>3186</v>
      </c>
      <c r="G1652" s="4" t="str">
        <f aca="false">INDEX(PurchaseOrders!$B$2:$B$3001,MATCH(B1652,PurchaseOrders!$A$2:$A$3001,0))</f>
        <v>V022</v>
      </c>
    </row>
    <row r="1653" customFormat="false" ht="15" hidden="false" customHeight="true" outlineLevel="0" collapsed="false">
      <c r="A1653" s="4" t="s">
        <v>4840</v>
      </c>
      <c r="B1653" s="4" t="s">
        <v>1829</v>
      </c>
      <c r="C1653" s="4" t="n">
        <v>4601</v>
      </c>
      <c r="D1653" s="4" t="n">
        <v>53</v>
      </c>
      <c r="E1653" s="13" t="n">
        <v>45276</v>
      </c>
      <c r="F1653" s="4" t="s">
        <v>3184</v>
      </c>
      <c r="G1653" s="4" t="str">
        <f aca="false">INDEX(PurchaseOrders!$B$2:$B$3001,MATCH(B1653,PurchaseOrders!$A$2:$A$3001,0))</f>
        <v>V002</v>
      </c>
    </row>
    <row r="1654" customFormat="false" ht="15" hidden="false" customHeight="true" outlineLevel="0" collapsed="false">
      <c r="A1654" s="4" t="s">
        <v>4841</v>
      </c>
      <c r="B1654" s="4" t="s">
        <v>1830</v>
      </c>
      <c r="C1654" s="4" t="n">
        <v>231</v>
      </c>
      <c r="D1654" s="4" t="n">
        <v>49</v>
      </c>
      <c r="E1654" s="13" t="n">
        <v>45649</v>
      </c>
      <c r="F1654" s="4" t="s">
        <v>3192</v>
      </c>
      <c r="G1654" s="4" t="str">
        <f aca="false">INDEX(PurchaseOrders!$B$2:$B$3001,MATCH(B1654,PurchaseOrders!$A$2:$A$3001,0))</f>
        <v>V039</v>
      </c>
    </row>
    <row r="1655" customFormat="false" ht="15" hidden="false" customHeight="true" outlineLevel="0" collapsed="false">
      <c r="A1655" s="4" t="s">
        <v>4842</v>
      </c>
      <c r="B1655" s="4" t="s">
        <v>1831</v>
      </c>
      <c r="C1655" s="4" t="n">
        <v>1530</v>
      </c>
      <c r="D1655" s="4" t="n">
        <v>88</v>
      </c>
      <c r="E1655" s="13" t="n">
        <v>45463</v>
      </c>
      <c r="F1655" s="4" t="s">
        <v>3190</v>
      </c>
      <c r="G1655" s="4" t="str">
        <f aca="false">INDEX(PurchaseOrders!$B$2:$B$3001,MATCH(B1655,PurchaseOrders!$A$2:$A$3001,0))</f>
        <v>V051</v>
      </c>
    </row>
    <row r="1656" customFormat="false" ht="15" hidden="false" customHeight="true" outlineLevel="0" collapsed="false">
      <c r="A1656" s="4" t="s">
        <v>4843</v>
      </c>
      <c r="B1656" s="4" t="s">
        <v>1832</v>
      </c>
      <c r="C1656" s="4" t="n">
        <v>14</v>
      </c>
      <c r="D1656" s="4" t="n">
        <v>0</v>
      </c>
      <c r="E1656" s="13" t="n">
        <v>45498</v>
      </c>
      <c r="F1656" s="4"/>
      <c r="G1656" s="4" t="str">
        <f aca="false">INDEX(PurchaseOrders!$B$2:$B$3001,MATCH(B1656,PurchaseOrders!$A$2:$A$3001,0))</f>
        <v>V019</v>
      </c>
    </row>
    <row r="1657" customFormat="false" ht="15" hidden="false" customHeight="true" outlineLevel="0" collapsed="false">
      <c r="A1657" s="4" t="s">
        <v>4844</v>
      </c>
      <c r="B1657" s="4" t="s">
        <v>1833</v>
      </c>
      <c r="C1657" s="4" t="n">
        <v>2087</v>
      </c>
      <c r="D1657" s="4" t="n">
        <v>285</v>
      </c>
      <c r="E1657" s="13" t="n">
        <v>45523</v>
      </c>
      <c r="F1657" s="4" t="s">
        <v>3190</v>
      </c>
      <c r="G1657" s="4" t="str">
        <f aca="false">INDEX(PurchaseOrders!$B$2:$B$3001,MATCH(B1657,PurchaseOrders!$A$2:$A$3001,0))</f>
        <v>V057</v>
      </c>
    </row>
    <row r="1658" customFormat="false" ht="15" hidden="false" customHeight="true" outlineLevel="0" collapsed="false">
      <c r="A1658" s="4" t="s">
        <v>4845</v>
      </c>
      <c r="B1658" s="4" t="s">
        <v>1834</v>
      </c>
      <c r="C1658" s="4" t="n">
        <v>19</v>
      </c>
      <c r="D1658" s="4" t="n">
        <v>1</v>
      </c>
      <c r="E1658" s="13" t="n">
        <v>45097</v>
      </c>
      <c r="F1658" s="4" t="s">
        <v>3190</v>
      </c>
      <c r="G1658" s="4" t="str">
        <f aca="false">INDEX(PurchaseOrders!$B$2:$B$3001,MATCH(B1658,PurchaseOrders!$A$2:$A$3001,0))</f>
        <v>V053</v>
      </c>
    </row>
    <row r="1659" customFormat="false" ht="15" hidden="false" customHeight="true" outlineLevel="0" collapsed="false">
      <c r="A1659" s="4" t="s">
        <v>4846</v>
      </c>
      <c r="B1659" s="4" t="s">
        <v>1835</v>
      </c>
      <c r="C1659" s="4" t="n">
        <v>208</v>
      </c>
      <c r="D1659" s="4" t="n">
        <v>18</v>
      </c>
      <c r="E1659" s="13" t="n">
        <v>45500</v>
      </c>
      <c r="F1659" s="4" t="s">
        <v>3202</v>
      </c>
      <c r="G1659" s="4" t="str">
        <f aca="false">INDEX(PurchaseOrders!$B$2:$B$3001,MATCH(B1659,PurchaseOrders!$A$2:$A$3001,0))</f>
        <v>V033</v>
      </c>
    </row>
    <row r="1660" customFormat="false" ht="15" hidden="false" customHeight="true" outlineLevel="0" collapsed="false">
      <c r="A1660" s="4" t="s">
        <v>4847</v>
      </c>
      <c r="B1660" s="4" t="s">
        <v>1836</v>
      </c>
      <c r="C1660" s="4" t="n">
        <v>363</v>
      </c>
      <c r="D1660" s="4" t="n">
        <v>6</v>
      </c>
      <c r="E1660" s="13" t="n">
        <v>45046</v>
      </c>
      <c r="F1660" s="4" t="s">
        <v>3190</v>
      </c>
      <c r="G1660" s="4" t="str">
        <f aca="false">INDEX(PurchaseOrders!$B$2:$B$3001,MATCH(B1660,PurchaseOrders!$A$2:$A$3001,0))</f>
        <v>V060</v>
      </c>
    </row>
    <row r="1661" customFormat="false" ht="15" hidden="false" customHeight="true" outlineLevel="0" collapsed="false">
      <c r="A1661" s="4" t="s">
        <v>4848</v>
      </c>
      <c r="B1661" s="4" t="s">
        <v>1837</v>
      </c>
      <c r="C1661" s="4" t="n">
        <v>1190</v>
      </c>
      <c r="D1661" s="4" t="n">
        <v>16</v>
      </c>
      <c r="E1661" s="13" t="n">
        <v>45619</v>
      </c>
      <c r="F1661" s="4" t="s">
        <v>3188</v>
      </c>
      <c r="G1661" s="4" t="str">
        <f aca="false">INDEX(PurchaseOrders!$B$2:$B$3001,MATCH(B1661,PurchaseOrders!$A$2:$A$3001,0))</f>
        <v>V010</v>
      </c>
    </row>
    <row r="1662" customFormat="false" ht="15" hidden="false" customHeight="true" outlineLevel="0" collapsed="false">
      <c r="A1662" s="4" t="s">
        <v>4849</v>
      </c>
      <c r="B1662" s="4" t="s">
        <v>1838</v>
      </c>
      <c r="C1662" s="4" t="n">
        <v>3976</v>
      </c>
      <c r="D1662" s="4" t="n">
        <v>256</v>
      </c>
      <c r="E1662" s="13" t="n">
        <v>45059</v>
      </c>
      <c r="F1662" s="4" t="s">
        <v>3186</v>
      </c>
      <c r="G1662" s="4" t="str">
        <f aca="false">INDEX(PurchaseOrders!$B$2:$B$3001,MATCH(B1662,PurchaseOrders!$A$2:$A$3001,0))</f>
        <v>V028</v>
      </c>
    </row>
    <row r="1663" customFormat="false" ht="15" hidden="false" customHeight="true" outlineLevel="0" collapsed="false">
      <c r="A1663" s="4" t="s">
        <v>4850</v>
      </c>
      <c r="B1663" s="4" t="s">
        <v>1839</v>
      </c>
      <c r="C1663" s="4" t="n">
        <v>1055</v>
      </c>
      <c r="D1663" s="4" t="n">
        <v>8</v>
      </c>
      <c r="E1663" s="13" t="n">
        <v>45446</v>
      </c>
      <c r="F1663" s="4" t="s">
        <v>3192</v>
      </c>
      <c r="G1663" s="4" t="str">
        <f aca="false">INDEX(PurchaseOrders!$B$2:$B$3001,MATCH(B1663,PurchaseOrders!$A$2:$A$3001,0))</f>
        <v>V035</v>
      </c>
    </row>
    <row r="1664" customFormat="false" ht="15" hidden="false" customHeight="true" outlineLevel="0" collapsed="false">
      <c r="A1664" s="4" t="s">
        <v>4851</v>
      </c>
      <c r="B1664" s="4" t="s">
        <v>1840</v>
      </c>
      <c r="C1664" s="4" t="n">
        <v>2560</v>
      </c>
      <c r="D1664" s="4" t="n">
        <v>196</v>
      </c>
      <c r="E1664" s="13" t="n">
        <v>45662</v>
      </c>
      <c r="F1664" s="4" t="s">
        <v>3184</v>
      </c>
      <c r="G1664" s="4" t="str">
        <f aca="false">INDEX(PurchaseOrders!$B$2:$B$3001,MATCH(B1664,PurchaseOrders!$A$2:$A$3001,0))</f>
        <v>V050</v>
      </c>
    </row>
    <row r="1665" customFormat="false" ht="15" hidden="false" customHeight="true" outlineLevel="0" collapsed="false">
      <c r="A1665" s="4" t="s">
        <v>4852</v>
      </c>
      <c r="B1665" s="4" t="s">
        <v>1841</v>
      </c>
      <c r="C1665" s="4" t="n">
        <v>154</v>
      </c>
      <c r="D1665" s="4" t="n">
        <v>3</v>
      </c>
      <c r="E1665" s="13" t="n">
        <v>45357</v>
      </c>
      <c r="F1665" s="4" t="s">
        <v>3202</v>
      </c>
      <c r="G1665" s="4" t="str">
        <f aca="false">INDEX(PurchaseOrders!$B$2:$B$3001,MATCH(B1665,PurchaseOrders!$A$2:$A$3001,0))</f>
        <v>V029</v>
      </c>
    </row>
    <row r="1666" customFormat="false" ht="15" hidden="false" customHeight="true" outlineLevel="0" collapsed="false">
      <c r="A1666" s="4" t="s">
        <v>4853</v>
      </c>
      <c r="B1666" s="4" t="s">
        <v>1842</v>
      </c>
      <c r="C1666" s="4" t="n">
        <v>293</v>
      </c>
      <c r="D1666" s="4" t="n">
        <v>1</v>
      </c>
      <c r="E1666" s="13" t="n">
        <v>44955</v>
      </c>
      <c r="F1666" s="4" t="s">
        <v>3192</v>
      </c>
      <c r="G1666" s="4" t="str">
        <f aca="false">INDEX(PurchaseOrders!$B$2:$B$3001,MATCH(B1666,PurchaseOrders!$A$2:$A$3001,0))</f>
        <v>V046</v>
      </c>
    </row>
    <row r="1667" customFormat="false" ht="15" hidden="false" customHeight="true" outlineLevel="0" collapsed="false">
      <c r="A1667" s="4" t="s">
        <v>4854</v>
      </c>
      <c r="B1667" s="4" t="s">
        <v>1843</v>
      </c>
      <c r="C1667" s="4" t="n">
        <v>3684</v>
      </c>
      <c r="D1667" s="4" t="n">
        <v>374</v>
      </c>
      <c r="E1667" s="13" t="n">
        <v>45404</v>
      </c>
      <c r="F1667" s="4" t="s">
        <v>3184</v>
      </c>
      <c r="G1667" s="4" t="str">
        <f aca="false">INDEX(PurchaseOrders!$B$2:$B$3001,MATCH(B1667,PurchaseOrders!$A$2:$A$3001,0))</f>
        <v>V038</v>
      </c>
    </row>
    <row r="1668" customFormat="false" ht="15" hidden="false" customHeight="true" outlineLevel="0" collapsed="false">
      <c r="A1668" s="4" t="s">
        <v>4855</v>
      </c>
      <c r="B1668" s="4" t="s">
        <v>1844</v>
      </c>
      <c r="C1668" s="4" t="n">
        <v>2090</v>
      </c>
      <c r="D1668" s="4" t="n">
        <v>201</v>
      </c>
      <c r="E1668" s="13" t="n">
        <v>45179</v>
      </c>
      <c r="F1668" s="4" t="s">
        <v>3186</v>
      </c>
      <c r="G1668" s="4" t="str">
        <f aca="false">INDEX(PurchaseOrders!$B$2:$B$3001,MATCH(B1668,PurchaseOrders!$A$2:$A$3001,0))</f>
        <v>V003</v>
      </c>
    </row>
    <row r="1669" customFormat="false" ht="15" hidden="false" customHeight="true" outlineLevel="0" collapsed="false">
      <c r="A1669" s="4" t="s">
        <v>4856</v>
      </c>
      <c r="B1669" s="4" t="s">
        <v>1845</v>
      </c>
      <c r="C1669" s="4" t="n">
        <v>1709</v>
      </c>
      <c r="D1669" s="4" t="n">
        <v>63</v>
      </c>
      <c r="E1669" s="13" t="n">
        <v>45306</v>
      </c>
      <c r="F1669" s="4" t="s">
        <v>3202</v>
      </c>
      <c r="G1669" s="4" t="str">
        <f aca="false">INDEX(PurchaseOrders!$B$2:$B$3001,MATCH(B1669,PurchaseOrders!$A$2:$A$3001,0))</f>
        <v>V051</v>
      </c>
    </row>
    <row r="1670" customFormat="false" ht="15" hidden="false" customHeight="true" outlineLevel="0" collapsed="false">
      <c r="A1670" s="4" t="s">
        <v>4857</v>
      </c>
      <c r="B1670" s="4" t="s">
        <v>1846</v>
      </c>
      <c r="C1670" s="4" t="n">
        <v>349</v>
      </c>
      <c r="D1670" s="4" t="n">
        <v>0</v>
      </c>
      <c r="E1670" s="13" t="n">
        <v>45560</v>
      </c>
      <c r="F1670" s="4"/>
      <c r="G1670" s="4" t="str">
        <f aca="false">INDEX(PurchaseOrders!$B$2:$B$3001,MATCH(B1670,PurchaseOrders!$A$2:$A$3001,0))</f>
        <v>V024</v>
      </c>
    </row>
    <row r="1671" customFormat="false" ht="15" hidden="false" customHeight="true" outlineLevel="0" collapsed="false">
      <c r="A1671" s="4" t="s">
        <v>4858</v>
      </c>
      <c r="B1671" s="4" t="s">
        <v>1847</v>
      </c>
      <c r="C1671" s="4" t="n">
        <v>1361</v>
      </c>
      <c r="D1671" s="4" t="n">
        <v>16</v>
      </c>
      <c r="E1671" s="13" t="n">
        <v>45367</v>
      </c>
      <c r="F1671" s="4" t="s">
        <v>3186</v>
      </c>
      <c r="G1671" s="4" t="str">
        <f aca="false">INDEX(PurchaseOrders!$B$2:$B$3001,MATCH(B1671,PurchaseOrders!$A$2:$A$3001,0))</f>
        <v>V058</v>
      </c>
    </row>
    <row r="1672" customFormat="false" ht="15" hidden="false" customHeight="true" outlineLevel="0" collapsed="false">
      <c r="A1672" s="4" t="s">
        <v>4859</v>
      </c>
      <c r="B1672" s="4" t="s">
        <v>1848</v>
      </c>
      <c r="C1672" s="4" t="n">
        <v>1662</v>
      </c>
      <c r="D1672" s="4" t="n">
        <v>37</v>
      </c>
      <c r="E1672" s="13" t="n">
        <v>45397</v>
      </c>
      <c r="F1672" s="4" t="s">
        <v>3192</v>
      </c>
      <c r="G1672" s="4" t="str">
        <f aca="false">INDEX(PurchaseOrders!$B$2:$B$3001,MATCH(B1672,PurchaseOrders!$A$2:$A$3001,0))</f>
        <v>V022</v>
      </c>
    </row>
    <row r="1673" customFormat="false" ht="15" hidden="false" customHeight="true" outlineLevel="0" collapsed="false">
      <c r="A1673" s="4" t="s">
        <v>4860</v>
      </c>
      <c r="B1673" s="4" t="s">
        <v>1849</v>
      </c>
      <c r="C1673" s="4" t="n">
        <v>629</v>
      </c>
      <c r="D1673" s="4" t="n">
        <v>11</v>
      </c>
      <c r="E1673" s="13" t="n">
        <v>45450</v>
      </c>
      <c r="F1673" s="4" t="s">
        <v>3186</v>
      </c>
      <c r="G1673" s="4" t="str">
        <f aca="false">INDEX(PurchaseOrders!$B$2:$B$3001,MATCH(B1673,PurchaseOrders!$A$2:$A$3001,0))</f>
        <v>V035</v>
      </c>
    </row>
    <row r="1674" customFormat="false" ht="15" hidden="false" customHeight="true" outlineLevel="0" collapsed="false">
      <c r="A1674" s="4" t="s">
        <v>4861</v>
      </c>
      <c r="B1674" s="4" t="s">
        <v>1850</v>
      </c>
      <c r="C1674" s="4" t="n">
        <v>1225</v>
      </c>
      <c r="D1674" s="4" t="n">
        <v>123</v>
      </c>
      <c r="E1674" s="13" t="n">
        <v>45003</v>
      </c>
      <c r="F1674" s="4" t="s">
        <v>3186</v>
      </c>
      <c r="G1674" s="4" t="str">
        <f aca="false">INDEX(PurchaseOrders!$B$2:$B$3001,MATCH(B1674,PurchaseOrders!$A$2:$A$3001,0))</f>
        <v>V034</v>
      </c>
    </row>
    <row r="1675" customFormat="false" ht="15" hidden="false" customHeight="true" outlineLevel="0" collapsed="false">
      <c r="A1675" s="4" t="s">
        <v>4862</v>
      </c>
      <c r="B1675" s="4" t="s">
        <v>1851</v>
      </c>
      <c r="C1675" s="4" t="n">
        <v>701</v>
      </c>
      <c r="D1675" s="4" t="n">
        <v>62</v>
      </c>
      <c r="E1675" s="13" t="n">
        <v>45411</v>
      </c>
      <c r="F1675" s="4" t="s">
        <v>3186</v>
      </c>
      <c r="G1675" s="4" t="str">
        <f aca="false">INDEX(PurchaseOrders!$B$2:$B$3001,MATCH(B1675,PurchaseOrders!$A$2:$A$3001,0))</f>
        <v>V007</v>
      </c>
    </row>
    <row r="1676" customFormat="false" ht="15" hidden="false" customHeight="true" outlineLevel="0" collapsed="false">
      <c r="A1676" s="4" t="s">
        <v>4863</v>
      </c>
      <c r="B1676" s="4" t="s">
        <v>1852</v>
      </c>
      <c r="C1676" s="4" t="n">
        <v>67</v>
      </c>
      <c r="D1676" s="4" t="n">
        <v>8</v>
      </c>
      <c r="E1676" s="13" t="n">
        <v>45576</v>
      </c>
      <c r="F1676" s="4" t="s">
        <v>3202</v>
      </c>
      <c r="G1676" s="4" t="str">
        <f aca="false">INDEX(PurchaseOrders!$B$2:$B$3001,MATCH(B1676,PurchaseOrders!$A$2:$A$3001,0))</f>
        <v>V030</v>
      </c>
    </row>
    <row r="1677" customFormat="false" ht="15" hidden="false" customHeight="true" outlineLevel="0" collapsed="false">
      <c r="A1677" s="4" t="s">
        <v>4864</v>
      </c>
      <c r="B1677" s="4" t="s">
        <v>1853</v>
      </c>
      <c r="C1677" s="4" t="n">
        <v>13</v>
      </c>
      <c r="D1677" s="4" t="n">
        <v>1</v>
      </c>
      <c r="E1677" s="13" t="n">
        <v>45312</v>
      </c>
      <c r="F1677" s="4" t="s">
        <v>3186</v>
      </c>
      <c r="G1677" s="4" t="str">
        <f aca="false">INDEX(PurchaseOrders!$B$2:$B$3001,MATCH(B1677,PurchaseOrders!$A$2:$A$3001,0))</f>
        <v>V042</v>
      </c>
    </row>
    <row r="1678" customFormat="false" ht="15" hidden="false" customHeight="true" outlineLevel="0" collapsed="false">
      <c r="A1678" s="4" t="s">
        <v>4865</v>
      </c>
      <c r="B1678" s="4" t="s">
        <v>1854</v>
      </c>
      <c r="C1678" s="4" t="n">
        <v>588</v>
      </c>
      <c r="D1678" s="4" t="n">
        <v>36</v>
      </c>
      <c r="E1678" s="13" t="n">
        <v>45133</v>
      </c>
      <c r="F1678" s="4" t="s">
        <v>3190</v>
      </c>
      <c r="G1678" s="4" t="str">
        <f aca="false">INDEX(PurchaseOrders!$B$2:$B$3001,MATCH(B1678,PurchaseOrders!$A$2:$A$3001,0))</f>
        <v>V007</v>
      </c>
    </row>
    <row r="1679" customFormat="false" ht="15" hidden="false" customHeight="true" outlineLevel="0" collapsed="false">
      <c r="A1679" s="4" t="s">
        <v>4866</v>
      </c>
      <c r="B1679" s="4" t="s">
        <v>1855</v>
      </c>
      <c r="C1679" s="4" t="n">
        <v>3300</v>
      </c>
      <c r="D1679" s="4" t="n">
        <v>304</v>
      </c>
      <c r="E1679" s="13" t="n">
        <v>45200</v>
      </c>
      <c r="F1679" s="4" t="s">
        <v>3186</v>
      </c>
      <c r="G1679" s="4" t="str">
        <f aca="false">INDEX(PurchaseOrders!$B$2:$B$3001,MATCH(B1679,PurchaseOrders!$A$2:$A$3001,0))</f>
        <v>V032</v>
      </c>
    </row>
    <row r="1680" customFormat="false" ht="15" hidden="false" customHeight="true" outlineLevel="0" collapsed="false">
      <c r="A1680" s="4" t="s">
        <v>4867</v>
      </c>
      <c r="B1680" s="4" t="s">
        <v>1856</v>
      </c>
      <c r="C1680" s="4" t="n">
        <v>1389</v>
      </c>
      <c r="D1680" s="4" t="n">
        <v>104</v>
      </c>
      <c r="E1680" s="13" t="n">
        <v>45492</v>
      </c>
      <c r="F1680" s="4" t="s">
        <v>3184</v>
      </c>
      <c r="G1680" s="4" t="str">
        <f aca="false">INDEX(PurchaseOrders!$B$2:$B$3001,MATCH(B1680,PurchaseOrders!$A$2:$A$3001,0))</f>
        <v>V048</v>
      </c>
    </row>
    <row r="1681" customFormat="false" ht="15" hidden="false" customHeight="true" outlineLevel="0" collapsed="false">
      <c r="A1681" s="4" t="s">
        <v>4868</v>
      </c>
      <c r="B1681" s="4" t="s">
        <v>1857</v>
      </c>
      <c r="C1681" s="4" t="n">
        <v>921</v>
      </c>
      <c r="D1681" s="4" t="n">
        <v>93</v>
      </c>
      <c r="E1681" s="13" t="n">
        <v>44999</v>
      </c>
      <c r="F1681" s="4" t="s">
        <v>3184</v>
      </c>
      <c r="G1681" s="4" t="str">
        <f aca="false">INDEX(PurchaseOrders!$B$2:$B$3001,MATCH(B1681,PurchaseOrders!$A$2:$A$3001,0))</f>
        <v>V028</v>
      </c>
    </row>
    <row r="1682" customFormat="false" ht="15" hidden="false" customHeight="true" outlineLevel="0" collapsed="false">
      <c r="A1682" s="4" t="s">
        <v>4869</v>
      </c>
      <c r="B1682" s="4" t="s">
        <v>1858</v>
      </c>
      <c r="C1682" s="4" t="n">
        <v>1211</v>
      </c>
      <c r="D1682" s="4" t="n">
        <v>30</v>
      </c>
      <c r="E1682" s="13" t="n">
        <v>45665</v>
      </c>
      <c r="F1682" s="4" t="s">
        <v>3184</v>
      </c>
      <c r="G1682" s="4" t="str">
        <f aca="false">INDEX(PurchaseOrders!$B$2:$B$3001,MATCH(B1682,PurchaseOrders!$A$2:$A$3001,0))</f>
        <v>V010</v>
      </c>
    </row>
    <row r="1683" customFormat="false" ht="15" hidden="false" customHeight="true" outlineLevel="0" collapsed="false">
      <c r="A1683" s="4" t="s">
        <v>4870</v>
      </c>
      <c r="B1683" s="4" t="s">
        <v>1859</v>
      </c>
      <c r="C1683" s="4" t="n">
        <v>13</v>
      </c>
      <c r="D1683" s="4" t="n">
        <v>0</v>
      </c>
      <c r="E1683" s="13" t="n">
        <v>45098</v>
      </c>
      <c r="F1683" s="4"/>
      <c r="G1683" s="4" t="str">
        <f aca="false">INDEX(PurchaseOrders!$B$2:$B$3001,MATCH(B1683,PurchaseOrders!$A$2:$A$3001,0))</f>
        <v>V019</v>
      </c>
    </row>
    <row r="1684" customFormat="false" ht="15" hidden="false" customHeight="true" outlineLevel="0" collapsed="false">
      <c r="A1684" s="4" t="s">
        <v>4871</v>
      </c>
      <c r="B1684" s="4" t="s">
        <v>1860</v>
      </c>
      <c r="C1684" s="4" t="n">
        <v>951</v>
      </c>
      <c r="D1684" s="4" t="n">
        <v>159</v>
      </c>
      <c r="E1684" s="13" t="n">
        <v>45537</v>
      </c>
      <c r="F1684" s="4" t="s">
        <v>3188</v>
      </c>
      <c r="G1684" s="4" t="str">
        <f aca="false">INDEX(PurchaseOrders!$B$2:$B$3001,MATCH(B1684,PurchaseOrders!$A$2:$A$3001,0))</f>
        <v>V038</v>
      </c>
    </row>
    <row r="1685" customFormat="false" ht="15" hidden="false" customHeight="true" outlineLevel="0" collapsed="false">
      <c r="A1685" s="4" t="s">
        <v>4872</v>
      </c>
      <c r="B1685" s="4" t="s">
        <v>1861</v>
      </c>
      <c r="C1685" s="4" t="n">
        <v>1276</v>
      </c>
      <c r="D1685" s="4" t="n">
        <v>26</v>
      </c>
      <c r="E1685" s="13" t="n">
        <v>45582</v>
      </c>
      <c r="F1685" s="4" t="s">
        <v>3188</v>
      </c>
      <c r="G1685" s="4" t="str">
        <f aca="false">INDEX(PurchaseOrders!$B$2:$B$3001,MATCH(B1685,PurchaseOrders!$A$2:$A$3001,0))</f>
        <v>V051</v>
      </c>
    </row>
    <row r="1686" customFormat="false" ht="15" hidden="false" customHeight="true" outlineLevel="0" collapsed="false">
      <c r="A1686" s="4" t="s">
        <v>4873</v>
      </c>
      <c r="B1686" s="4" t="s">
        <v>1862</v>
      </c>
      <c r="C1686" s="4" t="n">
        <v>11</v>
      </c>
      <c r="D1686" s="4" t="n">
        <v>1</v>
      </c>
      <c r="E1686" s="13" t="n">
        <v>45405</v>
      </c>
      <c r="F1686" s="4" t="s">
        <v>3190</v>
      </c>
      <c r="G1686" s="4" t="str">
        <f aca="false">INDEX(PurchaseOrders!$B$2:$B$3001,MATCH(B1686,PurchaseOrders!$A$2:$A$3001,0))</f>
        <v>V042</v>
      </c>
    </row>
    <row r="1687" customFormat="false" ht="15" hidden="false" customHeight="true" outlineLevel="0" collapsed="false">
      <c r="A1687" s="4" t="s">
        <v>4874</v>
      </c>
      <c r="B1687" s="4" t="s">
        <v>1863</v>
      </c>
      <c r="C1687" s="4" t="n">
        <v>4146</v>
      </c>
      <c r="D1687" s="4" t="n">
        <v>508</v>
      </c>
      <c r="E1687" s="13" t="n">
        <v>45279</v>
      </c>
      <c r="F1687" s="4" t="s">
        <v>3186</v>
      </c>
      <c r="G1687" s="4" t="str">
        <f aca="false">INDEX(PurchaseOrders!$B$2:$B$3001,MATCH(B1687,PurchaseOrders!$A$2:$A$3001,0))</f>
        <v>V057</v>
      </c>
    </row>
    <row r="1688" customFormat="false" ht="15" hidden="false" customHeight="true" outlineLevel="0" collapsed="false">
      <c r="A1688" s="4" t="s">
        <v>4875</v>
      </c>
      <c r="B1688" s="4" t="s">
        <v>1864</v>
      </c>
      <c r="C1688" s="4" t="n">
        <v>14</v>
      </c>
      <c r="D1688" s="4" t="n">
        <v>1</v>
      </c>
      <c r="E1688" s="13" t="n">
        <v>45619</v>
      </c>
      <c r="F1688" s="4" t="s">
        <v>3186</v>
      </c>
      <c r="G1688" s="4" t="str">
        <f aca="false">INDEX(PurchaseOrders!$B$2:$B$3001,MATCH(B1688,PurchaseOrders!$A$2:$A$3001,0))</f>
        <v>V042</v>
      </c>
    </row>
    <row r="1689" customFormat="false" ht="15" hidden="false" customHeight="true" outlineLevel="0" collapsed="false">
      <c r="A1689" s="4" t="s">
        <v>4876</v>
      </c>
      <c r="B1689" s="4" t="s">
        <v>1865</v>
      </c>
      <c r="C1689" s="4" t="n">
        <v>2668</v>
      </c>
      <c r="D1689" s="4" t="n">
        <v>164</v>
      </c>
      <c r="E1689" s="13" t="n">
        <v>45250</v>
      </c>
      <c r="F1689" s="4" t="s">
        <v>3190</v>
      </c>
      <c r="G1689" s="4" t="str">
        <f aca="false">INDEX(PurchaseOrders!$B$2:$B$3001,MATCH(B1689,PurchaseOrders!$A$2:$A$3001,0))</f>
        <v>V056</v>
      </c>
    </row>
    <row r="1690" customFormat="false" ht="15" hidden="false" customHeight="true" outlineLevel="0" collapsed="false">
      <c r="A1690" s="4" t="s">
        <v>4877</v>
      </c>
      <c r="B1690" s="4" t="s">
        <v>1866</v>
      </c>
      <c r="C1690" s="4" t="n">
        <v>62</v>
      </c>
      <c r="D1690" s="4" t="n">
        <v>6</v>
      </c>
      <c r="E1690" s="13" t="n">
        <v>45202</v>
      </c>
      <c r="F1690" s="4" t="s">
        <v>3188</v>
      </c>
      <c r="G1690" s="4" t="str">
        <f aca="false">INDEX(PurchaseOrders!$B$2:$B$3001,MATCH(B1690,PurchaseOrders!$A$2:$A$3001,0))</f>
        <v>V030</v>
      </c>
    </row>
    <row r="1691" customFormat="false" ht="15" hidden="false" customHeight="true" outlineLevel="0" collapsed="false">
      <c r="A1691" s="4" t="s">
        <v>4878</v>
      </c>
      <c r="B1691" s="4" t="s">
        <v>1867</v>
      </c>
      <c r="C1691" s="4" t="n">
        <v>487</v>
      </c>
      <c r="D1691" s="4" t="n">
        <v>0</v>
      </c>
      <c r="E1691" s="13" t="n">
        <v>45362</v>
      </c>
      <c r="F1691" s="4"/>
      <c r="G1691" s="4" t="str">
        <f aca="false">INDEX(PurchaseOrders!$B$2:$B$3001,MATCH(B1691,PurchaseOrders!$A$2:$A$3001,0))</f>
        <v>V035</v>
      </c>
    </row>
    <row r="1692" customFormat="false" ht="15" hidden="false" customHeight="true" outlineLevel="0" collapsed="false">
      <c r="A1692" s="4" t="s">
        <v>4879</v>
      </c>
      <c r="B1692" s="4" t="s">
        <v>1868</v>
      </c>
      <c r="C1692" s="4" t="n">
        <v>277</v>
      </c>
      <c r="D1692" s="4" t="n">
        <v>6</v>
      </c>
      <c r="E1692" s="13" t="n">
        <v>45606</v>
      </c>
      <c r="F1692" s="4" t="s">
        <v>3188</v>
      </c>
      <c r="G1692" s="4" t="str">
        <f aca="false">INDEX(PurchaseOrders!$B$2:$B$3001,MATCH(B1692,PurchaseOrders!$A$2:$A$3001,0))</f>
        <v>V008</v>
      </c>
    </row>
    <row r="1693" customFormat="false" ht="15" hidden="false" customHeight="true" outlineLevel="0" collapsed="false">
      <c r="A1693" s="4" t="s">
        <v>4880</v>
      </c>
      <c r="B1693" s="4" t="s">
        <v>1869</v>
      </c>
      <c r="C1693" s="4" t="n">
        <v>1702</v>
      </c>
      <c r="D1693" s="4" t="n">
        <v>44</v>
      </c>
      <c r="E1693" s="13" t="n">
        <v>45418</v>
      </c>
      <c r="F1693" s="4" t="s">
        <v>3188</v>
      </c>
      <c r="G1693" s="4" t="str">
        <f aca="false">INDEX(PurchaseOrders!$B$2:$B$3001,MATCH(B1693,PurchaseOrders!$A$2:$A$3001,0))</f>
        <v>V045</v>
      </c>
    </row>
    <row r="1694" customFormat="false" ht="15" hidden="false" customHeight="true" outlineLevel="0" collapsed="false">
      <c r="A1694" s="4" t="s">
        <v>4881</v>
      </c>
      <c r="B1694" s="4" t="s">
        <v>1870</v>
      </c>
      <c r="C1694" s="4" t="n">
        <v>2549</v>
      </c>
      <c r="D1694" s="4" t="n">
        <v>169</v>
      </c>
      <c r="E1694" s="13" t="n">
        <v>45185</v>
      </c>
      <c r="F1694" s="4" t="s">
        <v>3184</v>
      </c>
      <c r="G1694" s="4" t="str">
        <f aca="false">INDEX(PurchaseOrders!$B$2:$B$3001,MATCH(B1694,PurchaseOrders!$A$2:$A$3001,0))</f>
        <v>V001</v>
      </c>
    </row>
    <row r="1695" customFormat="false" ht="15" hidden="false" customHeight="true" outlineLevel="0" collapsed="false">
      <c r="A1695" s="4" t="s">
        <v>4882</v>
      </c>
      <c r="B1695" s="4" t="s">
        <v>1871</v>
      </c>
      <c r="C1695" s="4" t="n">
        <v>4443</v>
      </c>
      <c r="D1695" s="4" t="n">
        <v>226</v>
      </c>
      <c r="E1695" s="13" t="n">
        <v>45396</v>
      </c>
      <c r="F1695" s="4" t="s">
        <v>3202</v>
      </c>
      <c r="G1695" s="4" t="str">
        <f aca="false">INDEX(PurchaseOrders!$B$2:$B$3001,MATCH(B1695,PurchaseOrders!$A$2:$A$3001,0))</f>
        <v>V050</v>
      </c>
    </row>
    <row r="1696" customFormat="false" ht="15" hidden="false" customHeight="true" outlineLevel="0" collapsed="false">
      <c r="A1696" s="4" t="s">
        <v>4883</v>
      </c>
      <c r="B1696" s="4" t="s">
        <v>1872</v>
      </c>
      <c r="C1696" s="4" t="n">
        <v>400</v>
      </c>
      <c r="D1696" s="4" t="n">
        <v>11</v>
      </c>
      <c r="E1696" s="13" t="n">
        <v>45432</v>
      </c>
      <c r="F1696" s="4" t="s">
        <v>3202</v>
      </c>
      <c r="G1696" s="4" t="str">
        <f aca="false">INDEX(PurchaseOrders!$B$2:$B$3001,MATCH(B1696,PurchaseOrders!$A$2:$A$3001,0))</f>
        <v>V029</v>
      </c>
    </row>
    <row r="1697" customFormat="false" ht="15" hidden="false" customHeight="true" outlineLevel="0" collapsed="false">
      <c r="A1697" s="4" t="s">
        <v>4884</v>
      </c>
      <c r="B1697" s="4" t="s">
        <v>1873</v>
      </c>
      <c r="C1697" s="4" t="n">
        <v>410</v>
      </c>
      <c r="D1697" s="4" t="n">
        <v>17</v>
      </c>
      <c r="E1697" s="13" t="n">
        <v>44991</v>
      </c>
      <c r="F1697" s="4" t="s">
        <v>3188</v>
      </c>
      <c r="G1697" s="4" t="str">
        <f aca="false">INDEX(PurchaseOrders!$B$2:$B$3001,MATCH(B1697,PurchaseOrders!$A$2:$A$3001,0))</f>
        <v>V004</v>
      </c>
    </row>
    <row r="1698" customFormat="false" ht="15" hidden="false" customHeight="true" outlineLevel="0" collapsed="false">
      <c r="A1698" s="4" t="s">
        <v>4885</v>
      </c>
      <c r="B1698" s="4" t="s">
        <v>1874</v>
      </c>
      <c r="C1698" s="4" t="n">
        <v>984</v>
      </c>
      <c r="D1698" s="4" t="n">
        <v>114</v>
      </c>
      <c r="E1698" s="13" t="n">
        <v>45008</v>
      </c>
      <c r="F1698" s="4" t="s">
        <v>3186</v>
      </c>
      <c r="G1698" s="4" t="str">
        <f aca="false">INDEX(PurchaseOrders!$B$2:$B$3001,MATCH(B1698,PurchaseOrders!$A$2:$A$3001,0))</f>
        <v>V038</v>
      </c>
    </row>
    <row r="1699" customFormat="false" ht="15" hidden="false" customHeight="true" outlineLevel="0" collapsed="false">
      <c r="A1699" s="4" t="s">
        <v>4886</v>
      </c>
      <c r="B1699" s="4" t="s">
        <v>1875</v>
      </c>
      <c r="C1699" s="4" t="n">
        <v>9</v>
      </c>
      <c r="D1699" s="4" t="n">
        <v>1</v>
      </c>
      <c r="E1699" s="13" t="n">
        <v>45096</v>
      </c>
      <c r="F1699" s="4" t="s">
        <v>3202</v>
      </c>
      <c r="G1699" s="4" t="str">
        <f aca="false">INDEX(PurchaseOrders!$B$2:$B$3001,MATCH(B1699,PurchaseOrders!$A$2:$A$3001,0))</f>
        <v>V041</v>
      </c>
    </row>
    <row r="1700" customFormat="false" ht="15" hidden="false" customHeight="true" outlineLevel="0" collapsed="false">
      <c r="A1700" s="4" t="s">
        <v>4887</v>
      </c>
      <c r="B1700" s="4" t="s">
        <v>1876</v>
      </c>
      <c r="C1700" s="4" t="n">
        <v>12</v>
      </c>
      <c r="D1700" s="4" t="n">
        <v>1</v>
      </c>
      <c r="E1700" s="13" t="n">
        <v>44964</v>
      </c>
      <c r="F1700" s="4" t="s">
        <v>3186</v>
      </c>
      <c r="G1700" s="4" t="str">
        <f aca="false">INDEX(PurchaseOrders!$B$2:$B$3001,MATCH(B1700,PurchaseOrders!$A$2:$A$3001,0))</f>
        <v>V054</v>
      </c>
    </row>
    <row r="1701" customFormat="false" ht="15" hidden="false" customHeight="true" outlineLevel="0" collapsed="false">
      <c r="A1701" s="4" t="s">
        <v>4888</v>
      </c>
      <c r="B1701" s="4" t="s">
        <v>1877</v>
      </c>
      <c r="C1701" s="4" t="n">
        <v>1327</v>
      </c>
      <c r="D1701" s="4" t="n">
        <v>17</v>
      </c>
      <c r="E1701" s="13" t="n">
        <v>45619</v>
      </c>
      <c r="F1701" s="4" t="s">
        <v>3184</v>
      </c>
      <c r="G1701" s="4" t="str">
        <f aca="false">INDEX(PurchaseOrders!$B$2:$B$3001,MATCH(B1701,PurchaseOrders!$A$2:$A$3001,0))</f>
        <v>V010</v>
      </c>
    </row>
    <row r="1702" customFormat="false" ht="15" hidden="false" customHeight="true" outlineLevel="0" collapsed="false">
      <c r="A1702" s="4" t="s">
        <v>4889</v>
      </c>
      <c r="B1702" s="4" t="s">
        <v>1878</v>
      </c>
      <c r="C1702" s="4" t="n">
        <v>22</v>
      </c>
      <c r="D1702" s="4" t="n">
        <v>2</v>
      </c>
      <c r="E1702" s="13" t="n">
        <v>45041</v>
      </c>
      <c r="F1702" s="4" t="s">
        <v>3184</v>
      </c>
      <c r="G1702" s="4" t="str">
        <f aca="false">INDEX(PurchaseOrders!$B$2:$B$3001,MATCH(B1702,PurchaseOrders!$A$2:$A$3001,0))</f>
        <v>V009</v>
      </c>
    </row>
    <row r="1703" customFormat="false" ht="15" hidden="false" customHeight="true" outlineLevel="0" collapsed="false">
      <c r="A1703" s="4" t="s">
        <v>4890</v>
      </c>
      <c r="B1703" s="4" t="s">
        <v>1879</v>
      </c>
      <c r="C1703" s="4" t="n">
        <v>144</v>
      </c>
      <c r="D1703" s="4" t="n">
        <v>1</v>
      </c>
      <c r="E1703" s="13" t="n">
        <v>45469</v>
      </c>
      <c r="F1703" s="4" t="s">
        <v>3190</v>
      </c>
      <c r="G1703" s="4" t="str">
        <f aca="false">INDEX(PurchaseOrders!$B$2:$B$3001,MATCH(B1703,PurchaseOrders!$A$2:$A$3001,0))</f>
        <v>V040</v>
      </c>
    </row>
    <row r="1704" customFormat="false" ht="15" hidden="false" customHeight="true" outlineLevel="0" collapsed="false">
      <c r="A1704" s="4" t="s">
        <v>4891</v>
      </c>
      <c r="B1704" s="4" t="s">
        <v>1880</v>
      </c>
      <c r="C1704" s="4" t="n">
        <v>2697</v>
      </c>
      <c r="D1704" s="4" t="n">
        <v>211</v>
      </c>
      <c r="E1704" s="13" t="n">
        <v>45173</v>
      </c>
      <c r="F1704" s="4" t="s">
        <v>3186</v>
      </c>
      <c r="G1704" s="4" t="str">
        <f aca="false">INDEX(PurchaseOrders!$B$2:$B$3001,MATCH(B1704,PurchaseOrders!$A$2:$A$3001,0))</f>
        <v>V001</v>
      </c>
    </row>
    <row r="1705" customFormat="false" ht="15" hidden="false" customHeight="true" outlineLevel="0" collapsed="false">
      <c r="A1705" s="4" t="s">
        <v>4892</v>
      </c>
      <c r="B1705" s="4" t="s">
        <v>1881</v>
      </c>
      <c r="C1705" s="4" t="n">
        <v>3912</v>
      </c>
      <c r="D1705" s="4" t="n">
        <v>103</v>
      </c>
      <c r="E1705" s="13" t="n">
        <v>45632</v>
      </c>
      <c r="F1705" s="4" t="s">
        <v>3186</v>
      </c>
      <c r="G1705" s="4" t="str">
        <f aca="false">INDEX(PurchaseOrders!$B$2:$B$3001,MATCH(B1705,PurchaseOrders!$A$2:$A$3001,0))</f>
        <v>V017</v>
      </c>
    </row>
    <row r="1706" customFormat="false" ht="15" hidden="false" customHeight="true" outlineLevel="0" collapsed="false">
      <c r="A1706" s="4" t="s">
        <v>4893</v>
      </c>
      <c r="B1706" s="4" t="s">
        <v>1882</v>
      </c>
      <c r="C1706" s="4" t="n">
        <v>17</v>
      </c>
      <c r="D1706" s="4" t="n">
        <v>0</v>
      </c>
      <c r="E1706" s="13" t="n">
        <v>45349</v>
      </c>
      <c r="F1706" s="4"/>
      <c r="G1706" s="4" t="str">
        <f aca="false">INDEX(PurchaseOrders!$B$2:$B$3001,MATCH(B1706,PurchaseOrders!$A$2:$A$3001,0))</f>
        <v>V016</v>
      </c>
    </row>
    <row r="1707" customFormat="false" ht="15" hidden="false" customHeight="true" outlineLevel="0" collapsed="false">
      <c r="A1707" s="4" t="s">
        <v>4894</v>
      </c>
      <c r="B1707" s="4" t="s">
        <v>1883</v>
      </c>
      <c r="C1707" s="4" t="n">
        <v>253</v>
      </c>
      <c r="D1707" s="4" t="n">
        <v>14</v>
      </c>
      <c r="E1707" s="13" t="n">
        <v>45394</v>
      </c>
      <c r="F1707" s="4" t="s">
        <v>3190</v>
      </c>
      <c r="G1707" s="4" t="str">
        <f aca="false">INDEX(PurchaseOrders!$B$2:$B$3001,MATCH(B1707,PurchaseOrders!$A$2:$A$3001,0))</f>
        <v>V051</v>
      </c>
    </row>
    <row r="1708" customFormat="false" ht="15" hidden="false" customHeight="true" outlineLevel="0" collapsed="false">
      <c r="A1708" s="4" t="s">
        <v>4895</v>
      </c>
      <c r="B1708" s="4" t="s">
        <v>1884</v>
      </c>
      <c r="C1708" s="4" t="n">
        <v>121</v>
      </c>
      <c r="D1708" s="4" t="n">
        <v>13</v>
      </c>
      <c r="E1708" s="13" t="n">
        <v>45056</v>
      </c>
      <c r="F1708" s="4" t="s">
        <v>3186</v>
      </c>
      <c r="G1708" s="4" t="str">
        <f aca="false">INDEX(PurchaseOrders!$B$2:$B$3001,MATCH(B1708,PurchaseOrders!$A$2:$A$3001,0))</f>
        <v>V049</v>
      </c>
    </row>
    <row r="1709" customFormat="false" ht="15" hidden="false" customHeight="true" outlineLevel="0" collapsed="false">
      <c r="A1709" s="4" t="s">
        <v>4896</v>
      </c>
      <c r="B1709" s="4" t="s">
        <v>1885</v>
      </c>
      <c r="C1709" s="4" t="n">
        <v>196</v>
      </c>
      <c r="D1709" s="4" t="n">
        <v>22</v>
      </c>
      <c r="E1709" s="13" t="n">
        <v>45008</v>
      </c>
      <c r="F1709" s="4" t="s">
        <v>3192</v>
      </c>
      <c r="G1709" s="4" t="str">
        <f aca="false">INDEX(PurchaseOrders!$B$2:$B$3001,MATCH(B1709,PurchaseOrders!$A$2:$A$3001,0))</f>
        <v>V036</v>
      </c>
    </row>
    <row r="1710" customFormat="false" ht="15" hidden="false" customHeight="true" outlineLevel="0" collapsed="false">
      <c r="A1710" s="4" t="s">
        <v>4897</v>
      </c>
      <c r="B1710" s="4" t="s">
        <v>1886</v>
      </c>
      <c r="C1710" s="4" t="n">
        <v>1074</v>
      </c>
      <c r="D1710" s="4" t="n">
        <v>54</v>
      </c>
      <c r="E1710" s="13" t="n">
        <v>45652</v>
      </c>
      <c r="F1710" s="4" t="s">
        <v>3190</v>
      </c>
      <c r="G1710" s="4" t="str">
        <f aca="false">INDEX(PurchaseOrders!$B$2:$B$3001,MATCH(B1710,PurchaseOrders!$A$2:$A$3001,0))</f>
        <v>V001</v>
      </c>
    </row>
    <row r="1711" customFormat="false" ht="15" hidden="false" customHeight="true" outlineLevel="0" collapsed="false">
      <c r="A1711" s="4" t="s">
        <v>4898</v>
      </c>
      <c r="B1711" s="4" t="s">
        <v>1887</v>
      </c>
      <c r="C1711" s="4" t="n">
        <v>310</v>
      </c>
      <c r="D1711" s="4" t="n">
        <v>26</v>
      </c>
      <c r="E1711" s="13" t="n">
        <v>45115</v>
      </c>
      <c r="F1711" s="4" t="s">
        <v>3202</v>
      </c>
      <c r="G1711" s="4" t="str">
        <f aca="false">INDEX(PurchaseOrders!$B$2:$B$3001,MATCH(B1711,PurchaseOrders!$A$2:$A$3001,0))</f>
        <v>V030</v>
      </c>
    </row>
    <row r="1712" customFormat="false" ht="15" hidden="false" customHeight="true" outlineLevel="0" collapsed="false">
      <c r="A1712" s="4" t="s">
        <v>4899</v>
      </c>
      <c r="B1712" s="4" t="s">
        <v>1888</v>
      </c>
      <c r="C1712" s="4" t="n">
        <v>449</v>
      </c>
      <c r="D1712" s="4" t="n">
        <v>58</v>
      </c>
      <c r="E1712" s="13" t="n">
        <v>44963</v>
      </c>
      <c r="F1712" s="4" t="s">
        <v>3186</v>
      </c>
      <c r="G1712" s="4" t="str">
        <f aca="false">INDEX(PurchaseOrders!$B$2:$B$3001,MATCH(B1712,PurchaseOrders!$A$2:$A$3001,0))</f>
        <v>V055</v>
      </c>
    </row>
    <row r="1713" customFormat="false" ht="15" hidden="false" customHeight="true" outlineLevel="0" collapsed="false">
      <c r="A1713" s="4" t="s">
        <v>4900</v>
      </c>
      <c r="B1713" s="4" t="s">
        <v>1889</v>
      </c>
      <c r="C1713" s="4" t="n">
        <v>375</v>
      </c>
      <c r="D1713" s="4" t="n">
        <v>18</v>
      </c>
      <c r="E1713" s="13" t="n">
        <v>45216</v>
      </c>
      <c r="F1713" s="4" t="s">
        <v>3190</v>
      </c>
      <c r="G1713" s="4" t="str">
        <f aca="false">INDEX(PurchaseOrders!$B$2:$B$3001,MATCH(B1713,PurchaseOrders!$A$2:$A$3001,0))</f>
        <v>V031</v>
      </c>
    </row>
    <row r="1714" customFormat="false" ht="15" hidden="false" customHeight="true" outlineLevel="0" collapsed="false">
      <c r="A1714" s="4" t="s">
        <v>4901</v>
      </c>
      <c r="B1714" s="4" t="s">
        <v>1890</v>
      </c>
      <c r="C1714" s="4" t="n">
        <v>238</v>
      </c>
      <c r="D1714" s="4" t="n">
        <v>18</v>
      </c>
      <c r="E1714" s="13" t="n">
        <v>45546</v>
      </c>
      <c r="F1714" s="4" t="s">
        <v>3192</v>
      </c>
      <c r="G1714" s="4" t="str">
        <f aca="false">INDEX(PurchaseOrders!$B$2:$B$3001,MATCH(B1714,PurchaseOrders!$A$2:$A$3001,0))</f>
        <v>V005</v>
      </c>
    </row>
    <row r="1715" customFormat="false" ht="15" hidden="false" customHeight="true" outlineLevel="0" collapsed="false">
      <c r="A1715" s="4" t="s">
        <v>4902</v>
      </c>
      <c r="B1715" s="4" t="s">
        <v>1891</v>
      </c>
      <c r="C1715" s="4" t="n">
        <v>103</v>
      </c>
      <c r="D1715" s="4" t="n">
        <v>4</v>
      </c>
      <c r="E1715" s="13" t="n">
        <v>45533</v>
      </c>
      <c r="F1715" s="4" t="s">
        <v>3190</v>
      </c>
      <c r="G1715" s="4" t="str">
        <f aca="false">INDEX(PurchaseOrders!$B$2:$B$3001,MATCH(B1715,PurchaseOrders!$A$2:$A$3001,0))</f>
        <v>V024</v>
      </c>
    </row>
    <row r="1716" customFormat="false" ht="15" hidden="false" customHeight="true" outlineLevel="0" collapsed="false">
      <c r="A1716" s="4" t="s">
        <v>4903</v>
      </c>
      <c r="B1716" s="4" t="s">
        <v>1892</v>
      </c>
      <c r="C1716" s="4" t="n">
        <v>1947</v>
      </c>
      <c r="D1716" s="4" t="n">
        <v>99</v>
      </c>
      <c r="E1716" s="13" t="n">
        <v>45333</v>
      </c>
      <c r="F1716" s="4" t="s">
        <v>3190</v>
      </c>
      <c r="G1716" s="4" t="str">
        <f aca="false">INDEX(PurchaseOrders!$B$2:$B$3001,MATCH(B1716,PurchaseOrders!$A$2:$A$3001,0))</f>
        <v>V014</v>
      </c>
    </row>
    <row r="1717" customFormat="false" ht="15" hidden="false" customHeight="true" outlineLevel="0" collapsed="false">
      <c r="A1717" s="4" t="s">
        <v>4904</v>
      </c>
      <c r="B1717" s="4" t="s">
        <v>1893</v>
      </c>
      <c r="C1717" s="4" t="n">
        <v>134</v>
      </c>
      <c r="D1717" s="4" t="n">
        <v>13</v>
      </c>
      <c r="E1717" s="13" t="n">
        <v>45368</v>
      </c>
      <c r="F1717" s="4" t="s">
        <v>3188</v>
      </c>
      <c r="G1717" s="4" t="str">
        <f aca="false">INDEX(PurchaseOrders!$B$2:$B$3001,MATCH(B1717,PurchaseOrders!$A$2:$A$3001,0))</f>
        <v>V009</v>
      </c>
    </row>
    <row r="1718" customFormat="false" ht="15" hidden="false" customHeight="true" outlineLevel="0" collapsed="false">
      <c r="A1718" s="4" t="s">
        <v>4905</v>
      </c>
      <c r="B1718" s="4" t="s">
        <v>1894</v>
      </c>
      <c r="C1718" s="4" t="n">
        <v>3215</v>
      </c>
      <c r="D1718" s="4" t="n">
        <v>208</v>
      </c>
      <c r="E1718" s="13" t="n">
        <v>45513</v>
      </c>
      <c r="F1718" s="4" t="s">
        <v>3188</v>
      </c>
      <c r="G1718" s="4" t="str">
        <f aca="false">INDEX(PurchaseOrders!$B$2:$B$3001,MATCH(B1718,PurchaseOrders!$A$2:$A$3001,0))</f>
        <v>V017</v>
      </c>
    </row>
    <row r="1719" customFormat="false" ht="15" hidden="false" customHeight="true" outlineLevel="0" collapsed="false">
      <c r="A1719" s="4" t="s">
        <v>4906</v>
      </c>
      <c r="B1719" s="4" t="s">
        <v>1895</v>
      </c>
      <c r="C1719" s="4" t="n">
        <v>1475</v>
      </c>
      <c r="D1719" s="4" t="n">
        <v>94</v>
      </c>
      <c r="E1719" s="13" t="n">
        <v>45037</v>
      </c>
      <c r="F1719" s="4" t="s">
        <v>3202</v>
      </c>
      <c r="G1719" s="4" t="str">
        <f aca="false">INDEX(PurchaseOrders!$B$2:$B$3001,MATCH(B1719,PurchaseOrders!$A$2:$A$3001,0))</f>
        <v>V048</v>
      </c>
    </row>
    <row r="1720" customFormat="false" ht="15" hidden="false" customHeight="true" outlineLevel="0" collapsed="false">
      <c r="A1720" s="4" t="s">
        <v>4907</v>
      </c>
      <c r="B1720" s="4" t="s">
        <v>1896</v>
      </c>
      <c r="C1720" s="4" t="n">
        <v>587</v>
      </c>
      <c r="D1720" s="4" t="n">
        <v>116</v>
      </c>
      <c r="E1720" s="13" t="n">
        <v>45670</v>
      </c>
      <c r="F1720" s="4" t="s">
        <v>3192</v>
      </c>
      <c r="G1720" s="4" t="str">
        <f aca="false">INDEX(PurchaseOrders!$B$2:$B$3001,MATCH(B1720,PurchaseOrders!$A$2:$A$3001,0))</f>
        <v>V039</v>
      </c>
    </row>
    <row r="1721" customFormat="false" ht="15" hidden="false" customHeight="true" outlineLevel="0" collapsed="false">
      <c r="A1721" s="4" t="s">
        <v>4908</v>
      </c>
      <c r="B1721" s="4" t="s">
        <v>1897</v>
      </c>
      <c r="C1721" s="4" t="n">
        <v>301</v>
      </c>
      <c r="D1721" s="4" t="n">
        <v>25</v>
      </c>
      <c r="E1721" s="13" t="n">
        <v>44943</v>
      </c>
      <c r="F1721" s="4" t="s">
        <v>3188</v>
      </c>
      <c r="G1721" s="4" t="str">
        <f aca="false">INDEX(PurchaseOrders!$B$2:$B$3001,MATCH(B1721,PurchaseOrders!$A$2:$A$3001,0))</f>
        <v>V013</v>
      </c>
    </row>
    <row r="1722" customFormat="false" ht="15" hidden="false" customHeight="true" outlineLevel="0" collapsed="false">
      <c r="A1722" s="4" t="s">
        <v>4909</v>
      </c>
      <c r="B1722" s="4" t="s">
        <v>1898</v>
      </c>
      <c r="C1722" s="4" t="n">
        <v>238</v>
      </c>
      <c r="D1722" s="4" t="n">
        <v>15</v>
      </c>
      <c r="E1722" s="13" t="n">
        <v>45359</v>
      </c>
      <c r="F1722" s="4" t="s">
        <v>3190</v>
      </c>
      <c r="G1722" s="4" t="str">
        <f aca="false">INDEX(PurchaseOrders!$B$2:$B$3001,MATCH(B1722,PurchaseOrders!$A$2:$A$3001,0))</f>
        <v>V031</v>
      </c>
    </row>
    <row r="1723" customFormat="false" ht="15" hidden="false" customHeight="true" outlineLevel="0" collapsed="false">
      <c r="A1723" s="4" t="s">
        <v>4910</v>
      </c>
      <c r="B1723" s="4" t="s">
        <v>1899</v>
      </c>
      <c r="C1723" s="4" t="n">
        <v>462</v>
      </c>
      <c r="D1723" s="4" t="n">
        <v>0</v>
      </c>
      <c r="E1723" s="13" t="n">
        <v>45577</v>
      </c>
      <c r="F1723" s="4"/>
      <c r="G1723" s="4" t="str">
        <f aca="false">INDEX(PurchaseOrders!$B$2:$B$3001,MATCH(B1723,PurchaseOrders!$A$2:$A$3001,0))</f>
        <v>V031</v>
      </c>
    </row>
    <row r="1724" customFormat="false" ht="15" hidden="false" customHeight="true" outlineLevel="0" collapsed="false">
      <c r="A1724" s="4" t="s">
        <v>4911</v>
      </c>
      <c r="B1724" s="4" t="s">
        <v>1900</v>
      </c>
      <c r="C1724" s="4" t="n">
        <v>987</v>
      </c>
      <c r="D1724" s="4" t="n">
        <v>26</v>
      </c>
      <c r="E1724" s="13" t="n">
        <v>44948</v>
      </c>
      <c r="F1724" s="4" t="s">
        <v>3190</v>
      </c>
      <c r="G1724" s="4" t="str">
        <f aca="false">INDEX(PurchaseOrders!$B$2:$B$3001,MATCH(B1724,PurchaseOrders!$A$2:$A$3001,0))</f>
        <v>V035</v>
      </c>
    </row>
    <row r="1725" customFormat="false" ht="15" hidden="false" customHeight="true" outlineLevel="0" collapsed="false">
      <c r="A1725" s="4" t="s">
        <v>4912</v>
      </c>
      <c r="B1725" s="4" t="s">
        <v>1901</v>
      </c>
      <c r="C1725" s="4" t="n">
        <v>3203</v>
      </c>
      <c r="D1725" s="4" t="n">
        <v>547</v>
      </c>
      <c r="E1725" s="13" t="n">
        <v>45069</v>
      </c>
      <c r="F1725" s="4" t="s">
        <v>3188</v>
      </c>
      <c r="G1725" s="4" t="str">
        <f aca="false">INDEX(PurchaseOrders!$B$2:$B$3001,MATCH(B1725,PurchaseOrders!$A$2:$A$3001,0))</f>
        <v>V026</v>
      </c>
    </row>
    <row r="1726" customFormat="false" ht="15" hidden="false" customHeight="true" outlineLevel="0" collapsed="false">
      <c r="A1726" s="4" t="s">
        <v>4913</v>
      </c>
      <c r="B1726" s="4" t="s">
        <v>1902</v>
      </c>
      <c r="C1726" s="4" t="n">
        <v>331</v>
      </c>
      <c r="D1726" s="4" t="n">
        <v>10</v>
      </c>
      <c r="E1726" s="13" t="n">
        <v>45192</v>
      </c>
      <c r="F1726" s="4" t="s">
        <v>3202</v>
      </c>
      <c r="G1726" s="4" t="str">
        <f aca="false">INDEX(PurchaseOrders!$B$2:$B$3001,MATCH(B1726,PurchaseOrders!$A$2:$A$3001,0))</f>
        <v>V047</v>
      </c>
    </row>
    <row r="1727" customFormat="false" ht="15" hidden="false" customHeight="true" outlineLevel="0" collapsed="false">
      <c r="A1727" s="4" t="s">
        <v>4914</v>
      </c>
      <c r="B1727" s="4" t="s">
        <v>1903</v>
      </c>
      <c r="C1727" s="4" t="n">
        <v>3059</v>
      </c>
      <c r="D1727" s="4" t="n">
        <v>145</v>
      </c>
      <c r="E1727" s="13" t="n">
        <v>45611</v>
      </c>
      <c r="F1727" s="4" t="s">
        <v>3186</v>
      </c>
      <c r="G1727" s="4" t="str">
        <f aca="false">INDEX(PurchaseOrders!$B$2:$B$3001,MATCH(B1727,PurchaseOrders!$A$2:$A$3001,0))</f>
        <v>V001</v>
      </c>
    </row>
    <row r="1728" customFormat="false" ht="15" hidden="false" customHeight="true" outlineLevel="0" collapsed="false">
      <c r="A1728" s="4" t="s">
        <v>4915</v>
      </c>
      <c r="B1728" s="4" t="s">
        <v>1904</v>
      </c>
      <c r="C1728" s="4" t="n">
        <v>1</v>
      </c>
      <c r="D1728" s="4" t="n">
        <v>0</v>
      </c>
      <c r="E1728" s="13" t="n">
        <v>45558</v>
      </c>
      <c r="F1728" s="4"/>
      <c r="G1728" s="4" t="str">
        <f aca="false">INDEX(PurchaseOrders!$B$2:$B$3001,MATCH(B1728,PurchaseOrders!$A$2:$A$3001,0))</f>
        <v>V042</v>
      </c>
    </row>
    <row r="1729" customFormat="false" ht="15" hidden="false" customHeight="true" outlineLevel="0" collapsed="false">
      <c r="A1729" s="4" t="s">
        <v>4916</v>
      </c>
      <c r="B1729" s="4" t="s">
        <v>1905</v>
      </c>
      <c r="C1729" s="4" t="n">
        <v>7</v>
      </c>
      <c r="D1729" s="4" t="n">
        <v>0</v>
      </c>
      <c r="E1729" s="13" t="n">
        <v>45278</v>
      </c>
      <c r="F1729" s="4"/>
      <c r="G1729" s="4" t="str">
        <f aca="false">INDEX(PurchaseOrders!$B$2:$B$3001,MATCH(B1729,PurchaseOrders!$A$2:$A$3001,0))</f>
        <v>V023</v>
      </c>
    </row>
    <row r="1730" customFormat="false" ht="15" hidden="false" customHeight="true" outlineLevel="0" collapsed="false">
      <c r="A1730" s="4" t="s">
        <v>4917</v>
      </c>
      <c r="B1730" s="4" t="s">
        <v>1906</v>
      </c>
      <c r="C1730" s="4" t="n">
        <v>4392</v>
      </c>
      <c r="D1730" s="4" t="n">
        <v>595</v>
      </c>
      <c r="E1730" s="13" t="n">
        <v>44969</v>
      </c>
      <c r="F1730" s="4" t="s">
        <v>3184</v>
      </c>
      <c r="G1730" s="4" t="str">
        <f aca="false">INDEX(PurchaseOrders!$B$2:$B$3001,MATCH(B1730,PurchaseOrders!$A$2:$A$3001,0))</f>
        <v>V026</v>
      </c>
    </row>
    <row r="1731" customFormat="false" ht="15" hidden="false" customHeight="true" outlineLevel="0" collapsed="false">
      <c r="A1731" s="4" t="s">
        <v>4918</v>
      </c>
      <c r="B1731" s="4" t="s">
        <v>1907</v>
      </c>
      <c r="C1731" s="4" t="n">
        <v>1647</v>
      </c>
      <c r="D1731" s="4" t="n">
        <v>210</v>
      </c>
      <c r="E1731" s="13" t="n">
        <v>45307</v>
      </c>
      <c r="F1731" s="4" t="s">
        <v>3186</v>
      </c>
      <c r="G1731" s="4" t="str">
        <f aca="false">INDEX(PurchaseOrders!$B$2:$B$3001,MATCH(B1731,PurchaseOrders!$A$2:$A$3001,0))</f>
        <v>V044</v>
      </c>
    </row>
    <row r="1732" customFormat="false" ht="15" hidden="false" customHeight="true" outlineLevel="0" collapsed="false">
      <c r="A1732" s="4" t="s">
        <v>4919</v>
      </c>
      <c r="B1732" s="4" t="s">
        <v>1908</v>
      </c>
      <c r="C1732" s="4" t="n">
        <v>1664</v>
      </c>
      <c r="D1732" s="4" t="n">
        <v>244</v>
      </c>
      <c r="E1732" s="13" t="n">
        <v>45236</v>
      </c>
      <c r="F1732" s="4" t="s">
        <v>3202</v>
      </c>
      <c r="G1732" s="4" t="str">
        <f aca="false">INDEX(PurchaseOrders!$B$2:$B$3001,MATCH(B1732,PurchaseOrders!$A$2:$A$3001,0))</f>
        <v>V044</v>
      </c>
    </row>
    <row r="1733" customFormat="false" ht="15" hidden="false" customHeight="true" outlineLevel="0" collapsed="false">
      <c r="A1733" s="4" t="s">
        <v>4920</v>
      </c>
      <c r="B1733" s="4" t="s">
        <v>1909</v>
      </c>
      <c r="C1733" s="4" t="n">
        <v>284</v>
      </c>
      <c r="D1733" s="4" t="n">
        <v>14</v>
      </c>
      <c r="E1733" s="13" t="n">
        <v>45199</v>
      </c>
      <c r="F1733" s="4" t="s">
        <v>3188</v>
      </c>
      <c r="G1733" s="4" t="str">
        <f aca="false">INDEX(PurchaseOrders!$B$2:$B$3001,MATCH(B1733,PurchaseOrders!$A$2:$A$3001,0))</f>
        <v>V009</v>
      </c>
    </row>
    <row r="1734" customFormat="false" ht="15" hidden="false" customHeight="true" outlineLevel="0" collapsed="false">
      <c r="A1734" s="4" t="s">
        <v>4921</v>
      </c>
      <c r="B1734" s="4" t="s">
        <v>1910</v>
      </c>
      <c r="C1734" s="4" t="n">
        <v>164</v>
      </c>
      <c r="D1734" s="4" t="n">
        <v>4</v>
      </c>
      <c r="E1734" s="13" t="n">
        <v>44958</v>
      </c>
      <c r="F1734" s="4" t="s">
        <v>3192</v>
      </c>
      <c r="G1734" s="4" t="str">
        <f aca="false">INDEX(PurchaseOrders!$B$2:$B$3001,MATCH(B1734,PurchaseOrders!$A$2:$A$3001,0))</f>
        <v>V024</v>
      </c>
    </row>
    <row r="1735" customFormat="false" ht="15" hidden="false" customHeight="true" outlineLevel="0" collapsed="false">
      <c r="A1735" s="4" t="s">
        <v>4922</v>
      </c>
      <c r="B1735" s="4" t="s">
        <v>1911</v>
      </c>
      <c r="C1735" s="4" t="n">
        <v>1511</v>
      </c>
      <c r="D1735" s="4" t="n">
        <v>57</v>
      </c>
      <c r="E1735" s="13" t="n">
        <v>45581</v>
      </c>
      <c r="F1735" s="4" t="s">
        <v>3192</v>
      </c>
      <c r="G1735" s="4" t="str">
        <f aca="false">INDEX(PurchaseOrders!$B$2:$B$3001,MATCH(B1735,PurchaseOrders!$A$2:$A$3001,0))</f>
        <v>V020</v>
      </c>
    </row>
    <row r="1736" customFormat="false" ht="15" hidden="false" customHeight="true" outlineLevel="0" collapsed="false">
      <c r="A1736" s="4" t="s">
        <v>4923</v>
      </c>
      <c r="B1736" s="4" t="s">
        <v>1912</v>
      </c>
      <c r="C1736" s="4" t="n">
        <v>3710</v>
      </c>
      <c r="D1736" s="4" t="n">
        <v>211</v>
      </c>
      <c r="E1736" s="13" t="n">
        <v>45644</v>
      </c>
      <c r="F1736" s="4" t="s">
        <v>3184</v>
      </c>
      <c r="G1736" s="4" t="str">
        <f aca="false">INDEX(PurchaseOrders!$B$2:$B$3001,MATCH(B1736,PurchaseOrders!$A$2:$A$3001,0))</f>
        <v>V050</v>
      </c>
    </row>
    <row r="1737" customFormat="false" ht="15" hidden="false" customHeight="true" outlineLevel="0" collapsed="false">
      <c r="A1737" s="4" t="s">
        <v>4924</v>
      </c>
      <c r="B1737" s="4" t="s">
        <v>1913</v>
      </c>
      <c r="C1737" s="4" t="n">
        <v>4604</v>
      </c>
      <c r="D1737" s="4" t="n">
        <v>130</v>
      </c>
      <c r="E1737" s="13" t="n">
        <v>45335</v>
      </c>
      <c r="F1737" s="4" t="s">
        <v>3192</v>
      </c>
      <c r="G1737" s="4" t="str">
        <f aca="false">INDEX(PurchaseOrders!$B$2:$B$3001,MATCH(B1737,PurchaseOrders!$A$2:$A$3001,0))</f>
        <v>V002</v>
      </c>
    </row>
    <row r="1738" customFormat="false" ht="15" hidden="false" customHeight="true" outlineLevel="0" collapsed="false">
      <c r="A1738" s="4" t="s">
        <v>4925</v>
      </c>
      <c r="B1738" s="4" t="s">
        <v>1914</v>
      </c>
      <c r="C1738" s="4" t="n">
        <v>10</v>
      </c>
      <c r="D1738" s="4" t="n">
        <v>1</v>
      </c>
      <c r="E1738" s="13" t="n">
        <v>45458</v>
      </c>
      <c r="F1738" s="4" t="s">
        <v>3186</v>
      </c>
      <c r="G1738" s="4" t="str">
        <f aca="false">INDEX(PurchaseOrders!$B$2:$B$3001,MATCH(B1738,PurchaseOrders!$A$2:$A$3001,0))</f>
        <v>V042</v>
      </c>
    </row>
    <row r="1739" customFormat="false" ht="15" hidden="false" customHeight="true" outlineLevel="0" collapsed="false">
      <c r="A1739" s="4" t="s">
        <v>4926</v>
      </c>
      <c r="B1739" s="4" t="s">
        <v>1915</v>
      </c>
      <c r="C1739" s="4" t="n">
        <v>512</v>
      </c>
      <c r="D1739" s="4" t="n">
        <v>0</v>
      </c>
      <c r="E1739" s="13" t="n">
        <v>45453</v>
      </c>
      <c r="F1739" s="4"/>
      <c r="G1739" s="4" t="str">
        <f aca="false">INDEX(PurchaseOrders!$B$2:$B$3001,MATCH(B1739,PurchaseOrders!$A$2:$A$3001,0))</f>
        <v>V020</v>
      </c>
    </row>
    <row r="1740" customFormat="false" ht="15" hidden="false" customHeight="true" outlineLevel="0" collapsed="false">
      <c r="A1740" s="4" t="s">
        <v>4927</v>
      </c>
      <c r="B1740" s="4" t="s">
        <v>1916</v>
      </c>
      <c r="C1740" s="4" t="n">
        <v>10</v>
      </c>
      <c r="D1740" s="4" t="n">
        <v>1</v>
      </c>
      <c r="E1740" s="13" t="n">
        <v>45530</v>
      </c>
      <c r="F1740" s="4" t="s">
        <v>3190</v>
      </c>
      <c r="G1740" s="4" t="str">
        <f aca="false">INDEX(PurchaseOrders!$B$2:$B$3001,MATCH(B1740,PurchaseOrders!$A$2:$A$3001,0))</f>
        <v>V042</v>
      </c>
    </row>
    <row r="1741" customFormat="false" ht="15" hidden="false" customHeight="true" outlineLevel="0" collapsed="false">
      <c r="A1741" s="4" t="s">
        <v>4928</v>
      </c>
      <c r="B1741" s="4" t="s">
        <v>1917</v>
      </c>
      <c r="C1741" s="4" t="n">
        <v>1172</v>
      </c>
      <c r="D1741" s="4" t="n">
        <v>226</v>
      </c>
      <c r="E1741" s="13" t="n">
        <v>45484</v>
      </c>
      <c r="F1741" s="4" t="s">
        <v>3188</v>
      </c>
      <c r="G1741" s="4" t="str">
        <f aca="false">INDEX(PurchaseOrders!$B$2:$B$3001,MATCH(B1741,PurchaseOrders!$A$2:$A$3001,0))</f>
        <v>V025</v>
      </c>
    </row>
    <row r="1742" customFormat="false" ht="15" hidden="false" customHeight="true" outlineLevel="0" collapsed="false">
      <c r="A1742" s="4" t="s">
        <v>4929</v>
      </c>
      <c r="B1742" s="4" t="s">
        <v>1918</v>
      </c>
      <c r="C1742" s="4" t="n">
        <v>174</v>
      </c>
      <c r="D1742" s="4" t="n">
        <v>0</v>
      </c>
      <c r="E1742" s="13" t="n">
        <v>45471</v>
      </c>
      <c r="F1742" s="4"/>
      <c r="G1742" s="4" t="str">
        <f aca="false">INDEX(PurchaseOrders!$B$2:$B$3001,MATCH(B1742,PurchaseOrders!$A$2:$A$3001,0))</f>
        <v>V040</v>
      </c>
    </row>
    <row r="1743" customFormat="false" ht="15" hidden="false" customHeight="true" outlineLevel="0" collapsed="false">
      <c r="A1743" s="4" t="s">
        <v>4930</v>
      </c>
      <c r="B1743" s="4" t="s">
        <v>1919</v>
      </c>
      <c r="C1743" s="4" t="n">
        <v>203</v>
      </c>
      <c r="D1743" s="4" t="n">
        <v>17</v>
      </c>
      <c r="E1743" s="13" t="n">
        <v>45652</v>
      </c>
      <c r="F1743" s="4" t="s">
        <v>3190</v>
      </c>
      <c r="G1743" s="4" t="str">
        <f aca="false">INDEX(PurchaseOrders!$B$2:$B$3001,MATCH(B1743,PurchaseOrders!$A$2:$A$3001,0))</f>
        <v>V005</v>
      </c>
    </row>
    <row r="1744" customFormat="false" ht="15" hidden="false" customHeight="true" outlineLevel="0" collapsed="false">
      <c r="A1744" s="4" t="s">
        <v>4931</v>
      </c>
      <c r="B1744" s="4" t="s">
        <v>1920</v>
      </c>
      <c r="C1744" s="4" t="n">
        <v>19</v>
      </c>
      <c r="D1744" s="4" t="n">
        <v>2</v>
      </c>
      <c r="E1744" s="13" t="n">
        <v>45077</v>
      </c>
      <c r="F1744" s="4" t="s">
        <v>3192</v>
      </c>
      <c r="G1744" s="4" t="str">
        <f aca="false">INDEX(PurchaseOrders!$B$2:$B$3001,MATCH(B1744,PurchaseOrders!$A$2:$A$3001,0))</f>
        <v>V042</v>
      </c>
    </row>
    <row r="1745" customFormat="false" ht="15" hidden="false" customHeight="true" outlineLevel="0" collapsed="false">
      <c r="A1745" s="4" t="s">
        <v>4932</v>
      </c>
      <c r="B1745" s="4" t="s">
        <v>1921</v>
      </c>
      <c r="C1745" s="4" t="n">
        <v>12</v>
      </c>
      <c r="D1745" s="4" t="n">
        <v>0</v>
      </c>
      <c r="E1745" s="13" t="n">
        <v>45540</v>
      </c>
      <c r="F1745" s="4"/>
      <c r="G1745" s="4" t="str">
        <f aca="false">INDEX(PurchaseOrders!$B$2:$B$3001,MATCH(B1745,PurchaseOrders!$A$2:$A$3001,0))</f>
        <v>V016</v>
      </c>
    </row>
    <row r="1746" customFormat="false" ht="15" hidden="false" customHeight="true" outlineLevel="0" collapsed="false">
      <c r="A1746" s="4" t="s">
        <v>4933</v>
      </c>
      <c r="B1746" s="4" t="s">
        <v>1922</v>
      </c>
      <c r="C1746" s="4" t="n">
        <v>3666</v>
      </c>
      <c r="D1746" s="4" t="n">
        <v>282</v>
      </c>
      <c r="E1746" s="13" t="n">
        <v>44945</v>
      </c>
      <c r="F1746" s="4" t="s">
        <v>3188</v>
      </c>
      <c r="G1746" s="4" t="str">
        <f aca="false">INDEX(PurchaseOrders!$B$2:$B$3001,MATCH(B1746,PurchaseOrders!$A$2:$A$3001,0))</f>
        <v>V056</v>
      </c>
    </row>
    <row r="1747" customFormat="false" ht="15" hidden="false" customHeight="true" outlineLevel="0" collapsed="false">
      <c r="A1747" s="4" t="s">
        <v>4934</v>
      </c>
      <c r="B1747" s="4" t="s">
        <v>1923</v>
      </c>
      <c r="C1747" s="4" t="n">
        <v>154</v>
      </c>
      <c r="D1747" s="4" t="n">
        <v>6</v>
      </c>
      <c r="E1747" s="13" t="n">
        <v>45509</v>
      </c>
      <c r="F1747" s="4" t="s">
        <v>3188</v>
      </c>
      <c r="G1747" s="4" t="str">
        <f aca="false">INDEX(PurchaseOrders!$B$2:$B$3001,MATCH(B1747,PurchaseOrders!$A$2:$A$3001,0))</f>
        <v>V024</v>
      </c>
    </row>
    <row r="1748" customFormat="false" ht="15" hidden="false" customHeight="true" outlineLevel="0" collapsed="false">
      <c r="A1748" s="4" t="s">
        <v>4935</v>
      </c>
      <c r="B1748" s="4" t="s">
        <v>1924</v>
      </c>
      <c r="C1748" s="4" t="n">
        <v>173</v>
      </c>
      <c r="D1748" s="4" t="n">
        <v>5</v>
      </c>
      <c r="E1748" s="13" t="n">
        <v>45540</v>
      </c>
      <c r="F1748" s="4" t="s">
        <v>3188</v>
      </c>
      <c r="G1748" s="4" t="str">
        <f aca="false">INDEX(PurchaseOrders!$B$2:$B$3001,MATCH(B1748,PurchaseOrders!$A$2:$A$3001,0))</f>
        <v>V031</v>
      </c>
    </row>
    <row r="1749" customFormat="false" ht="15" hidden="false" customHeight="true" outlineLevel="0" collapsed="false">
      <c r="A1749" s="4" t="s">
        <v>4936</v>
      </c>
      <c r="B1749" s="4" t="s">
        <v>1925</v>
      </c>
      <c r="C1749" s="4" t="n">
        <v>309</v>
      </c>
      <c r="D1749" s="4" t="n">
        <v>16</v>
      </c>
      <c r="E1749" s="13" t="n">
        <v>45407</v>
      </c>
      <c r="F1749" s="4" t="s">
        <v>3192</v>
      </c>
      <c r="G1749" s="4" t="str">
        <f aca="false">INDEX(PurchaseOrders!$B$2:$B$3001,MATCH(B1749,PurchaseOrders!$A$2:$A$3001,0))</f>
        <v>V018</v>
      </c>
    </row>
    <row r="1750" customFormat="false" ht="15" hidden="false" customHeight="true" outlineLevel="0" collapsed="false">
      <c r="A1750" s="4" t="s">
        <v>4937</v>
      </c>
      <c r="B1750" s="4" t="s">
        <v>1926</v>
      </c>
      <c r="C1750" s="4" t="n">
        <v>253</v>
      </c>
      <c r="D1750" s="4" t="n">
        <v>10</v>
      </c>
      <c r="E1750" s="13" t="n">
        <v>45290</v>
      </c>
      <c r="F1750" s="4" t="s">
        <v>3186</v>
      </c>
      <c r="G1750" s="4" t="str">
        <f aca="false">INDEX(PurchaseOrders!$B$2:$B$3001,MATCH(B1750,PurchaseOrders!$A$2:$A$3001,0))</f>
        <v>V040</v>
      </c>
    </row>
    <row r="1751" customFormat="false" ht="15" hidden="false" customHeight="true" outlineLevel="0" collapsed="false">
      <c r="A1751" s="4" t="s">
        <v>4938</v>
      </c>
      <c r="B1751" s="4" t="s">
        <v>1927</v>
      </c>
      <c r="C1751" s="4" t="n">
        <v>2773</v>
      </c>
      <c r="D1751" s="4" t="n">
        <v>262</v>
      </c>
      <c r="E1751" s="13" t="n">
        <v>45113</v>
      </c>
      <c r="F1751" s="4" t="s">
        <v>3188</v>
      </c>
      <c r="G1751" s="4" t="str">
        <f aca="false">INDEX(PurchaseOrders!$B$2:$B$3001,MATCH(B1751,PurchaseOrders!$A$2:$A$3001,0))</f>
        <v>V032</v>
      </c>
    </row>
    <row r="1752" customFormat="false" ht="15" hidden="false" customHeight="true" outlineLevel="0" collapsed="false">
      <c r="A1752" s="4" t="s">
        <v>4939</v>
      </c>
      <c r="B1752" s="4" t="s">
        <v>1928</v>
      </c>
      <c r="C1752" s="4" t="n">
        <v>2801</v>
      </c>
      <c r="D1752" s="4" t="n">
        <v>133</v>
      </c>
      <c r="E1752" s="13" t="n">
        <v>44953</v>
      </c>
      <c r="F1752" s="4" t="s">
        <v>3186</v>
      </c>
      <c r="G1752" s="4" t="str">
        <f aca="false">INDEX(PurchaseOrders!$B$2:$B$3001,MATCH(B1752,PurchaseOrders!$A$2:$A$3001,0))</f>
        <v>V001</v>
      </c>
    </row>
    <row r="1753" customFormat="false" ht="15" hidden="false" customHeight="true" outlineLevel="0" collapsed="false">
      <c r="A1753" s="4" t="s">
        <v>4940</v>
      </c>
      <c r="B1753" s="4" t="s">
        <v>1929</v>
      </c>
      <c r="C1753" s="4" t="n">
        <v>3892</v>
      </c>
      <c r="D1753" s="4" t="n">
        <v>206</v>
      </c>
      <c r="E1753" s="13" t="n">
        <v>45629</v>
      </c>
      <c r="F1753" s="4" t="s">
        <v>3192</v>
      </c>
      <c r="G1753" s="4" t="str">
        <f aca="false">INDEX(PurchaseOrders!$B$2:$B$3001,MATCH(B1753,PurchaseOrders!$A$2:$A$3001,0))</f>
        <v>V050</v>
      </c>
    </row>
    <row r="1754" customFormat="false" ht="15" hidden="false" customHeight="true" outlineLevel="0" collapsed="false">
      <c r="A1754" s="4" t="s">
        <v>4941</v>
      </c>
      <c r="B1754" s="4" t="s">
        <v>1930</v>
      </c>
      <c r="C1754" s="4" t="n">
        <v>879</v>
      </c>
      <c r="D1754" s="4" t="n">
        <v>36</v>
      </c>
      <c r="E1754" s="13" t="n">
        <v>45043</v>
      </c>
      <c r="F1754" s="4" t="s">
        <v>3190</v>
      </c>
      <c r="G1754" s="4" t="str">
        <f aca="false">INDEX(PurchaseOrders!$B$2:$B$3001,MATCH(B1754,PurchaseOrders!$A$2:$A$3001,0))</f>
        <v>V003</v>
      </c>
    </row>
    <row r="1755" customFormat="false" ht="15" hidden="false" customHeight="true" outlineLevel="0" collapsed="false">
      <c r="A1755" s="4" t="s">
        <v>4942</v>
      </c>
      <c r="B1755" s="4" t="s">
        <v>1931</v>
      </c>
      <c r="C1755" s="4" t="n">
        <v>207</v>
      </c>
      <c r="D1755" s="4" t="n">
        <v>0</v>
      </c>
      <c r="E1755" s="13" t="n">
        <v>45603</v>
      </c>
      <c r="F1755" s="4"/>
      <c r="G1755" s="4" t="str">
        <f aca="false">INDEX(PurchaseOrders!$B$2:$B$3001,MATCH(B1755,PurchaseOrders!$A$2:$A$3001,0))</f>
        <v>V035</v>
      </c>
    </row>
    <row r="1756" customFormat="false" ht="15" hidden="false" customHeight="true" outlineLevel="0" collapsed="false">
      <c r="A1756" s="4" t="s">
        <v>4943</v>
      </c>
      <c r="B1756" s="4" t="s">
        <v>1932</v>
      </c>
      <c r="C1756" s="4" t="n">
        <v>3255</v>
      </c>
      <c r="D1756" s="4" t="n">
        <v>114</v>
      </c>
      <c r="E1756" s="13" t="n">
        <v>45152</v>
      </c>
      <c r="F1756" s="4" t="s">
        <v>3190</v>
      </c>
      <c r="G1756" s="4" t="str">
        <f aca="false">INDEX(PurchaseOrders!$B$2:$B$3001,MATCH(B1756,PurchaseOrders!$A$2:$A$3001,0))</f>
        <v>V002</v>
      </c>
    </row>
    <row r="1757" customFormat="false" ht="15" hidden="false" customHeight="true" outlineLevel="0" collapsed="false">
      <c r="A1757" s="4" t="s">
        <v>4944</v>
      </c>
      <c r="B1757" s="4" t="s">
        <v>1933</v>
      </c>
      <c r="C1757" s="4" t="n">
        <v>736</v>
      </c>
      <c r="D1757" s="4" t="n">
        <v>8</v>
      </c>
      <c r="E1757" s="13" t="n">
        <v>45335</v>
      </c>
      <c r="F1757" s="4" t="s">
        <v>3202</v>
      </c>
      <c r="G1757" s="4" t="str">
        <f aca="false">INDEX(PurchaseOrders!$B$2:$B$3001,MATCH(B1757,PurchaseOrders!$A$2:$A$3001,0))</f>
        <v>V015</v>
      </c>
    </row>
    <row r="1758" customFormat="false" ht="15" hidden="false" customHeight="true" outlineLevel="0" collapsed="false">
      <c r="A1758" s="4" t="s">
        <v>4945</v>
      </c>
      <c r="B1758" s="4" t="s">
        <v>1934</v>
      </c>
      <c r="C1758" s="4" t="n">
        <v>1698</v>
      </c>
      <c r="D1758" s="4" t="n">
        <v>94</v>
      </c>
      <c r="E1758" s="13" t="n">
        <v>44959</v>
      </c>
      <c r="F1758" s="4" t="s">
        <v>3190</v>
      </c>
      <c r="G1758" s="4" t="str">
        <f aca="false">INDEX(PurchaseOrders!$B$2:$B$3001,MATCH(B1758,PurchaseOrders!$A$2:$A$3001,0))</f>
        <v>V045</v>
      </c>
    </row>
    <row r="1759" customFormat="false" ht="15" hidden="false" customHeight="true" outlineLevel="0" collapsed="false">
      <c r="A1759" s="4" t="s">
        <v>4946</v>
      </c>
      <c r="B1759" s="4" t="s">
        <v>1935</v>
      </c>
      <c r="C1759" s="4" t="n">
        <v>1010</v>
      </c>
      <c r="D1759" s="4" t="n">
        <v>50</v>
      </c>
      <c r="E1759" s="13" t="n">
        <v>45663</v>
      </c>
      <c r="F1759" s="4" t="s">
        <v>3190</v>
      </c>
      <c r="G1759" s="4" t="str">
        <f aca="false">INDEX(PurchaseOrders!$B$2:$B$3001,MATCH(B1759,PurchaseOrders!$A$2:$A$3001,0))</f>
        <v>V020</v>
      </c>
    </row>
    <row r="1760" customFormat="false" ht="15" hidden="false" customHeight="true" outlineLevel="0" collapsed="false">
      <c r="A1760" s="4" t="s">
        <v>4947</v>
      </c>
      <c r="B1760" s="4" t="s">
        <v>1936</v>
      </c>
      <c r="C1760" s="4" t="n">
        <v>3413</v>
      </c>
      <c r="D1760" s="4" t="n">
        <v>510</v>
      </c>
      <c r="E1760" s="13" t="n">
        <v>45578</v>
      </c>
      <c r="F1760" s="4" t="s">
        <v>3192</v>
      </c>
      <c r="G1760" s="4" t="str">
        <f aca="false">INDEX(PurchaseOrders!$B$2:$B$3001,MATCH(B1760,PurchaseOrders!$A$2:$A$3001,0))</f>
        <v>V038</v>
      </c>
    </row>
    <row r="1761" customFormat="false" ht="15" hidden="false" customHeight="true" outlineLevel="0" collapsed="false">
      <c r="A1761" s="4" t="s">
        <v>4948</v>
      </c>
      <c r="B1761" s="4" t="s">
        <v>1937</v>
      </c>
      <c r="C1761" s="4" t="n">
        <v>36</v>
      </c>
      <c r="D1761" s="4" t="n">
        <v>0</v>
      </c>
      <c r="E1761" s="13" t="n">
        <v>45635</v>
      </c>
      <c r="F1761" s="4"/>
      <c r="G1761" s="4" t="str">
        <f aca="false">INDEX(PurchaseOrders!$B$2:$B$3001,MATCH(B1761,PurchaseOrders!$A$2:$A$3001,0))</f>
        <v>V046</v>
      </c>
    </row>
    <row r="1762" customFormat="false" ht="15" hidden="false" customHeight="true" outlineLevel="0" collapsed="false">
      <c r="A1762" s="4" t="s">
        <v>4949</v>
      </c>
      <c r="B1762" s="4" t="s">
        <v>1938</v>
      </c>
      <c r="C1762" s="4" t="n">
        <v>1773</v>
      </c>
      <c r="D1762" s="4" t="n">
        <v>60</v>
      </c>
      <c r="E1762" s="13" t="n">
        <v>45123</v>
      </c>
      <c r="F1762" s="4" t="s">
        <v>3202</v>
      </c>
      <c r="G1762" s="4" t="str">
        <f aca="false">INDEX(PurchaseOrders!$B$2:$B$3001,MATCH(B1762,PurchaseOrders!$A$2:$A$3001,0))</f>
        <v>V022</v>
      </c>
    </row>
    <row r="1763" customFormat="false" ht="15" hidden="false" customHeight="true" outlineLevel="0" collapsed="false">
      <c r="A1763" s="4" t="s">
        <v>4950</v>
      </c>
      <c r="B1763" s="4" t="s">
        <v>1939</v>
      </c>
      <c r="C1763" s="4" t="n">
        <v>1728</v>
      </c>
      <c r="D1763" s="4" t="n">
        <v>25</v>
      </c>
      <c r="E1763" s="13" t="n">
        <v>45641</v>
      </c>
      <c r="F1763" s="4" t="s">
        <v>3190</v>
      </c>
      <c r="G1763" s="4" t="str">
        <f aca="false">INDEX(PurchaseOrders!$B$2:$B$3001,MATCH(B1763,PurchaseOrders!$A$2:$A$3001,0))</f>
        <v>V058</v>
      </c>
    </row>
    <row r="1764" customFormat="false" ht="15" hidden="false" customHeight="true" outlineLevel="0" collapsed="false">
      <c r="A1764" s="4" t="s">
        <v>4951</v>
      </c>
      <c r="B1764" s="4" t="s">
        <v>1940</v>
      </c>
      <c r="C1764" s="4" t="n">
        <v>244</v>
      </c>
      <c r="D1764" s="4" t="n">
        <v>12</v>
      </c>
      <c r="E1764" s="13" t="n">
        <v>45362</v>
      </c>
      <c r="F1764" s="4" t="s">
        <v>3190</v>
      </c>
      <c r="G1764" s="4" t="str">
        <f aca="false">INDEX(PurchaseOrders!$B$2:$B$3001,MATCH(B1764,PurchaseOrders!$A$2:$A$3001,0))</f>
        <v>V037</v>
      </c>
    </row>
    <row r="1765" customFormat="false" ht="15" hidden="false" customHeight="true" outlineLevel="0" collapsed="false">
      <c r="A1765" s="4" t="s">
        <v>4952</v>
      </c>
      <c r="B1765" s="4" t="s">
        <v>1941</v>
      </c>
      <c r="C1765" s="4" t="n">
        <v>12</v>
      </c>
      <c r="D1765" s="4" t="n">
        <v>1</v>
      </c>
      <c r="E1765" s="13" t="n">
        <v>45492</v>
      </c>
      <c r="F1765" s="4" t="s">
        <v>3202</v>
      </c>
      <c r="G1765" s="4" t="str">
        <f aca="false">INDEX(PurchaseOrders!$B$2:$B$3001,MATCH(B1765,PurchaseOrders!$A$2:$A$3001,0))</f>
        <v>V041</v>
      </c>
    </row>
    <row r="1766" customFormat="false" ht="15" hidden="false" customHeight="true" outlineLevel="0" collapsed="false">
      <c r="A1766" s="4" t="s">
        <v>4953</v>
      </c>
      <c r="B1766" s="4" t="s">
        <v>1942</v>
      </c>
      <c r="C1766" s="4" t="n">
        <v>1278</v>
      </c>
      <c r="D1766" s="4" t="n">
        <v>78</v>
      </c>
      <c r="E1766" s="13" t="n">
        <v>44991</v>
      </c>
      <c r="F1766" s="4" t="s">
        <v>3202</v>
      </c>
      <c r="G1766" s="4" t="str">
        <f aca="false">INDEX(PurchaseOrders!$B$2:$B$3001,MATCH(B1766,PurchaseOrders!$A$2:$A$3001,0))</f>
        <v>V007</v>
      </c>
    </row>
    <row r="1767" customFormat="false" ht="15" hidden="false" customHeight="true" outlineLevel="0" collapsed="false">
      <c r="A1767" s="4" t="s">
        <v>4954</v>
      </c>
      <c r="B1767" s="4" t="s">
        <v>1943</v>
      </c>
      <c r="C1767" s="4" t="n">
        <v>84</v>
      </c>
      <c r="D1767" s="4" t="n">
        <v>6</v>
      </c>
      <c r="E1767" s="13" t="n">
        <v>45521</v>
      </c>
      <c r="F1767" s="4" t="s">
        <v>3190</v>
      </c>
      <c r="G1767" s="4" t="str">
        <f aca="false">INDEX(PurchaseOrders!$B$2:$B$3001,MATCH(B1767,PurchaseOrders!$A$2:$A$3001,0))</f>
        <v>V013</v>
      </c>
    </row>
    <row r="1768" customFormat="false" ht="15" hidden="false" customHeight="true" outlineLevel="0" collapsed="false">
      <c r="A1768" s="4" t="s">
        <v>4955</v>
      </c>
      <c r="B1768" s="4" t="s">
        <v>1944</v>
      </c>
      <c r="C1768" s="4" t="n">
        <v>212</v>
      </c>
      <c r="D1768" s="4" t="n">
        <v>5</v>
      </c>
      <c r="E1768" s="13" t="n">
        <v>44954</v>
      </c>
      <c r="F1768" s="4" t="s">
        <v>3186</v>
      </c>
      <c r="G1768" s="4" t="str">
        <f aca="false">INDEX(PurchaseOrders!$B$2:$B$3001,MATCH(B1768,PurchaseOrders!$A$2:$A$3001,0))</f>
        <v>V031</v>
      </c>
    </row>
    <row r="1769" customFormat="false" ht="15" hidden="false" customHeight="true" outlineLevel="0" collapsed="false">
      <c r="A1769" s="4" t="s">
        <v>4956</v>
      </c>
      <c r="B1769" s="4" t="s">
        <v>1945</v>
      </c>
      <c r="C1769" s="4" t="n">
        <v>14</v>
      </c>
      <c r="D1769" s="4" t="n">
        <v>1</v>
      </c>
      <c r="E1769" s="13" t="n">
        <v>45132</v>
      </c>
      <c r="F1769" s="4" t="s">
        <v>3186</v>
      </c>
      <c r="G1769" s="4" t="str">
        <f aca="false">INDEX(PurchaseOrders!$B$2:$B$3001,MATCH(B1769,PurchaseOrders!$A$2:$A$3001,0))</f>
        <v>V053</v>
      </c>
    </row>
    <row r="1770" customFormat="false" ht="15" hidden="false" customHeight="true" outlineLevel="0" collapsed="false">
      <c r="A1770" s="4" t="s">
        <v>4957</v>
      </c>
      <c r="B1770" s="4" t="s">
        <v>1946</v>
      </c>
      <c r="C1770" s="4" t="n">
        <v>10</v>
      </c>
      <c r="D1770" s="4" t="n">
        <v>1</v>
      </c>
      <c r="E1770" s="13" t="n">
        <v>45077</v>
      </c>
      <c r="F1770" s="4" t="s">
        <v>3190</v>
      </c>
      <c r="G1770" s="4" t="str">
        <f aca="false">INDEX(PurchaseOrders!$B$2:$B$3001,MATCH(B1770,PurchaseOrders!$A$2:$A$3001,0))</f>
        <v>V041</v>
      </c>
    </row>
    <row r="1771" customFormat="false" ht="15" hidden="false" customHeight="true" outlineLevel="0" collapsed="false">
      <c r="A1771" s="4" t="s">
        <v>4958</v>
      </c>
      <c r="B1771" s="4" t="s">
        <v>1947</v>
      </c>
      <c r="C1771" s="4" t="n">
        <v>114</v>
      </c>
      <c r="D1771" s="4" t="n">
        <v>10</v>
      </c>
      <c r="E1771" s="13" t="n">
        <v>45086</v>
      </c>
      <c r="F1771" s="4" t="s">
        <v>3186</v>
      </c>
      <c r="G1771" s="4" t="str">
        <f aca="false">INDEX(PurchaseOrders!$B$2:$B$3001,MATCH(B1771,PurchaseOrders!$A$2:$A$3001,0))</f>
        <v>V012</v>
      </c>
    </row>
    <row r="1772" customFormat="false" ht="15" hidden="false" customHeight="true" outlineLevel="0" collapsed="false">
      <c r="A1772" s="4" t="s">
        <v>4959</v>
      </c>
      <c r="B1772" s="4" t="s">
        <v>1948</v>
      </c>
      <c r="C1772" s="4" t="n">
        <v>350</v>
      </c>
      <c r="D1772" s="4" t="n">
        <v>5</v>
      </c>
      <c r="E1772" s="13" t="n">
        <v>45495</v>
      </c>
      <c r="F1772" s="4" t="s">
        <v>3190</v>
      </c>
      <c r="G1772" s="4" t="str">
        <f aca="false">INDEX(PurchaseOrders!$B$2:$B$3001,MATCH(B1772,PurchaseOrders!$A$2:$A$3001,0))</f>
        <v>V004</v>
      </c>
    </row>
    <row r="1773" customFormat="false" ht="15" hidden="false" customHeight="true" outlineLevel="0" collapsed="false">
      <c r="A1773" s="4" t="s">
        <v>4960</v>
      </c>
      <c r="B1773" s="4" t="s">
        <v>1949</v>
      </c>
      <c r="C1773" s="4" t="n">
        <v>1500</v>
      </c>
      <c r="D1773" s="4" t="n">
        <v>108</v>
      </c>
      <c r="E1773" s="13" t="n">
        <v>45218</v>
      </c>
      <c r="F1773" s="4" t="s">
        <v>3186</v>
      </c>
      <c r="G1773" s="4" t="str">
        <f aca="false">INDEX(PurchaseOrders!$B$2:$B$3001,MATCH(B1773,PurchaseOrders!$A$2:$A$3001,0))</f>
        <v>V028</v>
      </c>
    </row>
    <row r="1774" customFormat="false" ht="15" hidden="false" customHeight="true" outlineLevel="0" collapsed="false">
      <c r="A1774" s="4" t="s">
        <v>4961</v>
      </c>
      <c r="B1774" s="4" t="s">
        <v>1950</v>
      </c>
      <c r="C1774" s="4" t="n">
        <v>226</v>
      </c>
      <c r="D1774" s="4" t="n">
        <v>26</v>
      </c>
      <c r="E1774" s="13" t="n">
        <v>44963</v>
      </c>
      <c r="F1774" s="4" t="s">
        <v>3184</v>
      </c>
      <c r="G1774" s="4" t="str">
        <f aca="false">INDEX(PurchaseOrders!$B$2:$B$3001,MATCH(B1774,PurchaseOrders!$A$2:$A$3001,0))</f>
        <v>V036</v>
      </c>
    </row>
    <row r="1775" customFormat="false" ht="15" hidden="false" customHeight="true" outlineLevel="0" collapsed="false">
      <c r="A1775" s="4" t="s">
        <v>4962</v>
      </c>
      <c r="B1775" s="4" t="s">
        <v>1951</v>
      </c>
      <c r="C1775" s="4" t="n">
        <v>1995</v>
      </c>
      <c r="D1775" s="4" t="n">
        <v>91</v>
      </c>
      <c r="E1775" s="13" t="n">
        <v>45067</v>
      </c>
      <c r="F1775" s="4" t="s">
        <v>3190</v>
      </c>
      <c r="G1775" s="4" t="str">
        <f aca="false">INDEX(PurchaseOrders!$B$2:$B$3001,MATCH(B1775,PurchaseOrders!$A$2:$A$3001,0))</f>
        <v>V027</v>
      </c>
    </row>
    <row r="1776" customFormat="false" ht="15" hidden="false" customHeight="true" outlineLevel="0" collapsed="false">
      <c r="A1776" s="4" t="s">
        <v>4963</v>
      </c>
      <c r="B1776" s="4" t="s">
        <v>1952</v>
      </c>
      <c r="C1776" s="4" t="n">
        <v>1669</v>
      </c>
      <c r="D1776" s="4" t="n">
        <v>23</v>
      </c>
      <c r="E1776" s="13" t="n">
        <v>45496</v>
      </c>
      <c r="F1776" s="4" t="s">
        <v>3202</v>
      </c>
      <c r="G1776" s="4" t="str">
        <f aca="false">INDEX(PurchaseOrders!$B$2:$B$3001,MATCH(B1776,PurchaseOrders!$A$2:$A$3001,0))</f>
        <v>V034</v>
      </c>
    </row>
    <row r="1777" customFormat="false" ht="15" hidden="false" customHeight="true" outlineLevel="0" collapsed="false">
      <c r="A1777" s="4" t="s">
        <v>4964</v>
      </c>
      <c r="B1777" s="4" t="s">
        <v>1953</v>
      </c>
      <c r="C1777" s="4" t="n">
        <v>38</v>
      </c>
      <c r="D1777" s="4" t="n">
        <v>3</v>
      </c>
      <c r="E1777" s="13" t="n">
        <v>45024</v>
      </c>
      <c r="F1777" s="4" t="s">
        <v>3190</v>
      </c>
      <c r="G1777" s="4" t="str">
        <f aca="false">INDEX(PurchaseOrders!$B$2:$B$3001,MATCH(B1777,PurchaseOrders!$A$2:$A$3001,0))</f>
        <v>V009</v>
      </c>
    </row>
    <row r="1778" customFormat="false" ht="15" hidden="false" customHeight="true" outlineLevel="0" collapsed="false">
      <c r="A1778" s="4" t="s">
        <v>4965</v>
      </c>
      <c r="B1778" s="4" t="s">
        <v>1954</v>
      </c>
      <c r="C1778" s="4" t="n">
        <v>1204</v>
      </c>
      <c r="D1778" s="4" t="n">
        <v>0</v>
      </c>
      <c r="E1778" s="13" t="n">
        <v>45123</v>
      </c>
      <c r="F1778" s="4"/>
      <c r="G1778" s="4" t="str">
        <f aca="false">INDEX(PurchaseOrders!$B$2:$B$3001,MATCH(B1778,PurchaseOrders!$A$2:$A$3001,0))</f>
        <v>V022</v>
      </c>
    </row>
    <row r="1779" customFormat="false" ht="15" hidden="false" customHeight="true" outlineLevel="0" collapsed="false">
      <c r="A1779" s="4" t="s">
        <v>4966</v>
      </c>
      <c r="B1779" s="4" t="s">
        <v>1955</v>
      </c>
      <c r="C1779" s="4" t="n">
        <v>1519</v>
      </c>
      <c r="D1779" s="4" t="n">
        <v>39</v>
      </c>
      <c r="E1779" s="13" t="n">
        <v>45086</v>
      </c>
      <c r="F1779" s="4" t="s">
        <v>3186</v>
      </c>
      <c r="G1779" s="4" t="str">
        <f aca="false">INDEX(PurchaseOrders!$B$2:$B$3001,MATCH(B1779,PurchaseOrders!$A$2:$A$3001,0))</f>
        <v>V045</v>
      </c>
    </row>
    <row r="1780" customFormat="false" ht="15" hidden="false" customHeight="true" outlineLevel="0" collapsed="false">
      <c r="A1780" s="4" t="s">
        <v>4967</v>
      </c>
      <c r="B1780" s="4" t="s">
        <v>1956</v>
      </c>
      <c r="C1780" s="4" t="n">
        <v>921</v>
      </c>
      <c r="D1780" s="4" t="n">
        <v>52</v>
      </c>
      <c r="E1780" s="13" t="n">
        <v>45573</v>
      </c>
      <c r="F1780" s="4" t="s">
        <v>3202</v>
      </c>
      <c r="G1780" s="4" t="str">
        <f aca="false">INDEX(PurchaseOrders!$B$2:$B$3001,MATCH(B1780,PurchaseOrders!$A$2:$A$3001,0))</f>
        <v>V034</v>
      </c>
    </row>
    <row r="1781" customFormat="false" ht="15" hidden="false" customHeight="true" outlineLevel="0" collapsed="false">
      <c r="A1781" s="4" t="s">
        <v>4968</v>
      </c>
      <c r="B1781" s="4" t="s">
        <v>1957</v>
      </c>
      <c r="C1781" s="4" t="n">
        <v>333</v>
      </c>
      <c r="D1781" s="4" t="n">
        <v>13</v>
      </c>
      <c r="E1781" s="13" t="n">
        <v>44978</v>
      </c>
      <c r="F1781" s="4" t="s">
        <v>3186</v>
      </c>
      <c r="G1781" s="4" t="str">
        <f aca="false">INDEX(PurchaseOrders!$B$2:$B$3001,MATCH(B1781,PurchaseOrders!$A$2:$A$3001,0))</f>
        <v>V031</v>
      </c>
    </row>
    <row r="1782" customFormat="false" ht="15" hidden="false" customHeight="true" outlineLevel="0" collapsed="false">
      <c r="A1782" s="4" t="s">
        <v>4969</v>
      </c>
      <c r="B1782" s="4" t="s">
        <v>1958</v>
      </c>
      <c r="C1782" s="4" t="n">
        <v>1725</v>
      </c>
      <c r="D1782" s="4" t="n">
        <v>143</v>
      </c>
      <c r="E1782" s="13" t="n">
        <v>45007</v>
      </c>
      <c r="F1782" s="4" t="s">
        <v>3190</v>
      </c>
      <c r="G1782" s="4" t="str">
        <f aca="false">INDEX(PurchaseOrders!$B$2:$B$3001,MATCH(B1782,PurchaseOrders!$A$2:$A$3001,0))</f>
        <v>V034</v>
      </c>
    </row>
    <row r="1783" customFormat="false" ht="15" hidden="false" customHeight="true" outlineLevel="0" collapsed="false">
      <c r="A1783" s="4" t="s">
        <v>4970</v>
      </c>
      <c r="B1783" s="4" t="s">
        <v>1959</v>
      </c>
      <c r="C1783" s="4" t="n">
        <v>170</v>
      </c>
      <c r="D1783" s="4" t="n">
        <v>11</v>
      </c>
      <c r="E1783" s="13" t="n">
        <v>45376</v>
      </c>
      <c r="F1783" s="4" t="s">
        <v>3184</v>
      </c>
      <c r="G1783" s="4" t="str">
        <f aca="false">INDEX(PurchaseOrders!$B$2:$B$3001,MATCH(B1783,PurchaseOrders!$A$2:$A$3001,0))</f>
        <v>V013</v>
      </c>
    </row>
    <row r="1784" customFormat="false" ht="15" hidden="false" customHeight="true" outlineLevel="0" collapsed="false">
      <c r="A1784" s="4" t="s">
        <v>4971</v>
      </c>
      <c r="B1784" s="4" t="s">
        <v>1960</v>
      </c>
      <c r="C1784" s="4" t="n">
        <v>255</v>
      </c>
      <c r="D1784" s="4" t="n">
        <v>26</v>
      </c>
      <c r="E1784" s="13" t="n">
        <v>45264</v>
      </c>
      <c r="F1784" s="4" t="s">
        <v>3190</v>
      </c>
      <c r="G1784" s="4" t="str">
        <f aca="false">INDEX(PurchaseOrders!$B$2:$B$3001,MATCH(B1784,PurchaseOrders!$A$2:$A$3001,0))</f>
        <v>V036</v>
      </c>
    </row>
    <row r="1785" customFormat="false" ht="15" hidden="false" customHeight="true" outlineLevel="0" collapsed="false">
      <c r="A1785" s="4" t="s">
        <v>4972</v>
      </c>
      <c r="B1785" s="4" t="s">
        <v>1961</v>
      </c>
      <c r="C1785" s="4" t="n">
        <v>890</v>
      </c>
      <c r="D1785" s="4" t="n">
        <v>4</v>
      </c>
      <c r="E1785" s="13" t="n">
        <v>45621</v>
      </c>
      <c r="F1785" s="4" t="s">
        <v>3186</v>
      </c>
      <c r="G1785" s="4" t="str">
        <f aca="false">INDEX(PurchaseOrders!$B$2:$B$3001,MATCH(B1785,PurchaseOrders!$A$2:$A$3001,0))</f>
        <v>V011</v>
      </c>
    </row>
    <row r="1786" customFormat="false" ht="15" hidden="false" customHeight="true" outlineLevel="0" collapsed="false">
      <c r="A1786" s="4" t="s">
        <v>4973</v>
      </c>
      <c r="B1786" s="4" t="s">
        <v>1962</v>
      </c>
      <c r="C1786" s="4" t="n">
        <v>1052</v>
      </c>
      <c r="D1786" s="4" t="n">
        <v>37</v>
      </c>
      <c r="E1786" s="13" t="n">
        <v>45096</v>
      </c>
      <c r="F1786" s="4" t="s">
        <v>3186</v>
      </c>
      <c r="G1786" s="4" t="str">
        <f aca="false">INDEX(PurchaseOrders!$B$2:$B$3001,MATCH(B1786,PurchaseOrders!$A$2:$A$3001,0))</f>
        <v>V017</v>
      </c>
    </row>
    <row r="1787" customFormat="false" ht="15" hidden="false" customHeight="true" outlineLevel="0" collapsed="false">
      <c r="A1787" s="4" t="s">
        <v>4974</v>
      </c>
      <c r="B1787" s="4" t="s">
        <v>1963</v>
      </c>
      <c r="C1787" s="4" t="n">
        <v>4</v>
      </c>
      <c r="D1787" s="4" t="n">
        <v>0</v>
      </c>
      <c r="E1787" s="13" t="n">
        <v>45642</v>
      </c>
      <c r="F1787" s="4"/>
      <c r="G1787" s="4" t="str">
        <f aca="false">INDEX(PurchaseOrders!$B$2:$B$3001,MATCH(B1787,PurchaseOrders!$A$2:$A$3001,0))</f>
        <v>V054</v>
      </c>
    </row>
    <row r="1788" customFormat="false" ht="15" hidden="false" customHeight="true" outlineLevel="0" collapsed="false">
      <c r="A1788" s="4" t="s">
        <v>4975</v>
      </c>
      <c r="B1788" s="4" t="s">
        <v>1964</v>
      </c>
      <c r="C1788" s="4" t="n">
        <v>263</v>
      </c>
      <c r="D1788" s="4" t="n">
        <v>14</v>
      </c>
      <c r="E1788" s="13" t="n">
        <v>45644</v>
      </c>
      <c r="F1788" s="4" t="s">
        <v>3202</v>
      </c>
      <c r="G1788" s="4" t="str">
        <f aca="false">INDEX(PurchaseOrders!$B$2:$B$3001,MATCH(B1788,PurchaseOrders!$A$2:$A$3001,0))</f>
        <v>V012</v>
      </c>
    </row>
    <row r="1789" customFormat="false" ht="15" hidden="false" customHeight="true" outlineLevel="0" collapsed="false">
      <c r="A1789" s="4" t="s">
        <v>4976</v>
      </c>
      <c r="B1789" s="4" t="s">
        <v>1965</v>
      </c>
      <c r="C1789" s="4" t="n">
        <v>3611</v>
      </c>
      <c r="D1789" s="4" t="n">
        <v>47</v>
      </c>
      <c r="E1789" s="13" t="n">
        <v>45201</v>
      </c>
      <c r="F1789" s="4" t="s">
        <v>3190</v>
      </c>
      <c r="G1789" s="4" t="str">
        <f aca="false">INDEX(PurchaseOrders!$B$2:$B$3001,MATCH(B1789,PurchaseOrders!$A$2:$A$3001,0))</f>
        <v>V058</v>
      </c>
    </row>
    <row r="1790" customFormat="false" ht="15" hidden="false" customHeight="true" outlineLevel="0" collapsed="false">
      <c r="A1790" s="4" t="s">
        <v>4977</v>
      </c>
      <c r="B1790" s="4" t="s">
        <v>1966</v>
      </c>
      <c r="C1790" s="4" t="n">
        <v>220</v>
      </c>
      <c r="D1790" s="4" t="n">
        <v>16</v>
      </c>
      <c r="E1790" s="13" t="n">
        <v>44953</v>
      </c>
      <c r="F1790" s="4" t="s">
        <v>3188</v>
      </c>
      <c r="G1790" s="4" t="str">
        <f aca="false">INDEX(PurchaseOrders!$B$2:$B$3001,MATCH(B1790,PurchaseOrders!$A$2:$A$3001,0))</f>
        <v>V060</v>
      </c>
    </row>
    <row r="1791" customFormat="false" ht="15" hidden="false" customHeight="true" outlineLevel="0" collapsed="false">
      <c r="A1791" s="4" t="s">
        <v>4978</v>
      </c>
      <c r="B1791" s="4" t="s">
        <v>1967</v>
      </c>
      <c r="C1791" s="4" t="n">
        <v>824</v>
      </c>
      <c r="D1791" s="4" t="n">
        <v>73</v>
      </c>
      <c r="E1791" s="13" t="n">
        <v>45085</v>
      </c>
      <c r="F1791" s="4" t="s">
        <v>3186</v>
      </c>
      <c r="G1791" s="4" t="str">
        <f aca="false">INDEX(PurchaseOrders!$B$2:$B$3001,MATCH(B1791,PurchaseOrders!$A$2:$A$3001,0))</f>
        <v>V028</v>
      </c>
    </row>
    <row r="1792" customFormat="false" ht="15" hidden="false" customHeight="true" outlineLevel="0" collapsed="false">
      <c r="A1792" s="4" t="s">
        <v>4979</v>
      </c>
      <c r="B1792" s="4" t="s">
        <v>1968</v>
      </c>
      <c r="C1792" s="4" t="n">
        <v>2312</v>
      </c>
      <c r="D1792" s="4" t="n">
        <v>290</v>
      </c>
      <c r="E1792" s="13" t="n">
        <v>45339</v>
      </c>
      <c r="F1792" s="4" t="s">
        <v>3184</v>
      </c>
      <c r="G1792" s="4" t="str">
        <f aca="false">INDEX(PurchaseOrders!$B$2:$B$3001,MATCH(B1792,PurchaseOrders!$A$2:$A$3001,0))</f>
        <v>V032</v>
      </c>
    </row>
    <row r="1793" customFormat="false" ht="15" hidden="false" customHeight="true" outlineLevel="0" collapsed="false">
      <c r="A1793" s="4" t="s">
        <v>4980</v>
      </c>
      <c r="B1793" s="4" t="s">
        <v>1969</v>
      </c>
      <c r="C1793" s="4" t="n">
        <v>9</v>
      </c>
      <c r="D1793" s="4" t="n">
        <v>1</v>
      </c>
      <c r="E1793" s="13" t="n">
        <v>45651</v>
      </c>
      <c r="F1793" s="4" t="s">
        <v>3184</v>
      </c>
      <c r="G1793" s="4" t="str">
        <f aca="false">INDEX(PurchaseOrders!$B$2:$B$3001,MATCH(B1793,PurchaseOrders!$A$2:$A$3001,0))</f>
        <v>V054</v>
      </c>
    </row>
    <row r="1794" customFormat="false" ht="15" hidden="false" customHeight="true" outlineLevel="0" collapsed="false">
      <c r="A1794" s="4" t="s">
        <v>4981</v>
      </c>
      <c r="B1794" s="4" t="s">
        <v>1970</v>
      </c>
      <c r="C1794" s="4" t="n">
        <v>629</v>
      </c>
      <c r="D1794" s="4" t="n">
        <v>140</v>
      </c>
      <c r="E1794" s="13" t="n">
        <v>45370</v>
      </c>
      <c r="F1794" s="4" t="s">
        <v>3202</v>
      </c>
      <c r="G1794" s="4" t="str">
        <f aca="false">INDEX(PurchaseOrders!$B$2:$B$3001,MATCH(B1794,PurchaseOrders!$A$2:$A$3001,0))</f>
        <v>V039</v>
      </c>
    </row>
    <row r="1795" customFormat="false" ht="15" hidden="false" customHeight="true" outlineLevel="0" collapsed="false">
      <c r="A1795" s="4" t="s">
        <v>4982</v>
      </c>
      <c r="B1795" s="4" t="s">
        <v>1971</v>
      </c>
      <c r="C1795" s="4" t="n">
        <v>1003</v>
      </c>
      <c r="D1795" s="4" t="n">
        <v>0</v>
      </c>
      <c r="E1795" s="13" t="n">
        <v>45090</v>
      </c>
      <c r="F1795" s="4"/>
      <c r="G1795" s="4" t="str">
        <f aca="false">INDEX(PurchaseOrders!$B$2:$B$3001,MATCH(B1795,PurchaseOrders!$A$2:$A$3001,0))</f>
        <v>V035</v>
      </c>
    </row>
    <row r="1796" customFormat="false" ht="15" hidden="false" customHeight="true" outlineLevel="0" collapsed="false">
      <c r="A1796" s="4" t="s">
        <v>4983</v>
      </c>
      <c r="B1796" s="4" t="s">
        <v>1972</v>
      </c>
      <c r="C1796" s="4" t="n">
        <v>8</v>
      </c>
      <c r="D1796" s="4" t="n">
        <v>1</v>
      </c>
      <c r="E1796" s="13" t="n">
        <v>45099</v>
      </c>
      <c r="F1796" s="4" t="s">
        <v>3186</v>
      </c>
      <c r="G1796" s="4" t="str">
        <f aca="false">INDEX(PurchaseOrders!$B$2:$B$3001,MATCH(B1796,PurchaseOrders!$A$2:$A$3001,0))</f>
        <v>V042</v>
      </c>
    </row>
    <row r="1797" customFormat="false" ht="15" hidden="false" customHeight="true" outlineLevel="0" collapsed="false">
      <c r="A1797" s="4" t="s">
        <v>4984</v>
      </c>
      <c r="B1797" s="4" t="s">
        <v>1973</v>
      </c>
      <c r="C1797" s="4" t="n">
        <v>6</v>
      </c>
      <c r="D1797" s="4" t="n">
        <v>1</v>
      </c>
      <c r="E1797" s="13" t="n">
        <v>45408</v>
      </c>
      <c r="F1797" s="4" t="s">
        <v>3186</v>
      </c>
      <c r="G1797" s="4" t="str">
        <f aca="false">INDEX(PurchaseOrders!$B$2:$B$3001,MATCH(B1797,PurchaseOrders!$A$2:$A$3001,0))</f>
        <v>V042</v>
      </c>
    </row>
    <row r="1798" customFormat="false" ht="15" hidden="false" customHeight="true" outlineLevel="0" collapsed="false">
      <c r="A1798" s="4" t="s">
        <v>4985</v>
      </c>
      <c r="B1798" s="4" t="s">
        <v>1974</v>
      </c>
      <c r="C1798" s="4" t="n">
        <v>17</v>
      </c>
      <c r="D1798" s="4" t="n">
        <v>1</v>
      </c>
      <c r="E1798" s="13" t="n">
        <v>45058</v>
      </c>
      <c r="F1798" s="4" t="s">
        <v>3184</v>
      </c>
      <c r="G1798" s="4" t="str">
        <f aca="false">INDEX(PurchaseOrders!$B$2:$B$3001,MATCH(B1798,PurchaseOrders!$A$2:$A$3001,0))</f>
        <v>V023</v>
      </c>
    </row>
    <row r="1799" customFormat="false" ht="15" hidden="false" customHeight="true" outlineLevel="0" collapsed="false">
      <c r="A1799" s="4" t="s">
        <v>4986</v>
      </c>
      <c r="B1799" s="4" t="s">
        <v>1975</v>
      </c>
      <c r="C1799" s="4" t="n">
        <v>1493</v>
      </c>
      <c r="D1799" s="4" t="n">
        <v>377</v>
      </c>
      <c r="E1799" s="13" t="n">
        <v>45256</v>
      </c>
      <c r="F1799" s="4" t="s">
        <v>3190</v>
      </c>
      <c r="G1799" s="4" t="str">
        <f aca="false">INDEX(PurchaseOrders!$B$2:$B$3001,MATCH(B1799,PurchaseOrders!$A$2:$A$3001,0))</f>
        <v>V039</v>
      </c>
    </row>
    <row r="1800" customFormat="false" ht="15" hidden="false" customHeight="true" outlineLevel="0" collapsed="false">
      <c r="A1800" s="4" t="s">
        <v>4987</v>
      </c>
      <c r="B1800" s="4" t="s">
        <v>1976</v>
      </c>
      <c r="C1800" s="4" t="n">
        <v>898</v>
      </c>
      <c r="D1800" s="4" t="n">
        <v>124</v>
      </c>
      <c r="E1800" s="13" t="n">
        <v>45279</v>
      </c>
      <c r="F1800" s="4" t="s">
        <v>3192</v>
      </c>
      <c r="G1800" s="4" t="str">
        <f aca="false">INDEX(PurchaseOrders!$B$2:$B$3001,MATCH(B1800,PurchaseOrders!$A$2:$A$3001,0))</f>
        <v>V025</v>
      </c>
    </row>
    <row r="1801" customFormat="false" ht="15" hidden="false" customHeight="true" outlineLevel="0" collapsed="false">
      <c r="A1801" s="4" t="s">
        <v>4988</v>
      </c>
      <c r="B1801" s="4" t="s">
        <v>1977</v>
      </c>
      <c r="C1801" s="4" t="n">
        <v>440</v>
      </c>
      <c r="D1801" s="4" t="n">
        <v>15</v>
      </c>
      <c r="E1801" s="13" t="n">
        <v>45322</v>
      </c>
      <c r="F1801" s="4" t="s">
        <v>3192</v>
      </c>
      <c r="G1801" s="4" t="str">
        <f aca="false">INDEX(PurchaseOrders!$B$2:$B$3001,MATCH(B1801,PurchaseOrders!$A$2:$A$3001,0))</f>
        <v>V020</v>
      </c>
    </row>
    <row r="1802" customFormat="false" ht="15" hidden="false" customHeight="true" outlineLevel="0" collapsed="false">
      <c r="A1802" s="4" t="s">
        <v>4989</v>
      </c>
      <c r="B1802" s="4" t="s">
        <v>1978</v>
      </c>
      <c r="C1802" s="4" t="n">
        <v>1952</v>
      </c>
      <c r="D1802" s="4" t="n">
        <v>338</v>
      </c>
      <c r="E1802" s="13" t="n">
        <v>45315</v>
      </c>
      <c r="F1802" s="4" t="s">
        <v>3184</v>
      </c>
      <c r="G1802" s="4" t="str">
        <f aca="false">INDEX(PurchaseOrders!$B$2:$B$3001,MATCH(B1802,PurchaseOrders!$A$2:$A$3001,0))</f>
        <v>V025</v>
      </c>
    </row>
    <row r="1803" customFormat="false" ht="15" hidden="false" customHeight="true" outlineLevel="0" collapsed="false">
      <c r="A1803" s="4" t="s">
        <v>4990</v>
      </c>
      <c r="B1803" s="4" t="s">
        <v>1979</v>
      </c>
      <c r="C1803" s="4" t="n">
        <v>1530</v>
      </c>
      <c r="D1803" s="4" t="n">
        <v>0</v>
      </c>
      <c r="E1803" s="13" t="n">
        <v>45402</v>
      </c>
      <c r="F1803" s="4"/>
      <c r="G1803" s="4" t="str">
        <f aca="false">INDEX(PurchaseOrders!$B$2:$B$3001,MATCH(B1803,PurchaseOrders!$A$2:$A$3001,0))</f>
        <v>V002</v>
      </c>
    </row>
    <row r="1804" customFormat="false" ht="15" hidden="false" customHeight="true" outlineLevel="0" collapsed="false">
      <c r="A1804" s="4" t="s">
        <v>4991</v>
      </c>
      <c r="B1804" s="4" t="s">
        <v>1980</v>
      </c>
      <c r="C1804" s="4" t="n">
        <v>127</v>
      </c>
      <c r="D1804" s="4" t="n">
        <v>15</v>
      </c>
      <c r="E1804" s="13" t="n">
        <v>45138</v>
      </c>
      <c r="F1804" s="4" t="s">
        <v>3192</v>
      </c>
      <c r="G1804" s="4" t="str">
        <f aca="false">INDEX(PurchaseOrders!$B$2:$B$3001,MATCH(B1804,PurchaseOrders!$A$2:$A$3001,0))</f>
        <v>V043</v>
      </c>
    </row>
    <row r="1805" customFormat="false" ht="15" hidden="false" customHeight="true" outlineLevel="0" collapsed="false">
      <c r="A1805" s="4" t="s">
        <v>4992</v>
      </c>
      <c r="B1805" s="4" t="s">
        <v>1981</v>
      </c>
      <c r="C1805" s="4" t="n">
        <v>14</v>
      </c>
      <c r="D1805" s="4" t="n">
        <v>2</v>
      </c>
      <c r="E1805" s="13" t="n">
        <v>45306</v>
      </c>
      <c r="F1805" s="4" t="s">
        <v>3188</v>
      </c>
      <c r="G1805" s="4" t="str">
        <f aca="false">INDEX(PurchaseOrders!$B$2:$B$3001,MATCH(B1805,PurchaseOrders!$A$2:$A$3001,0))</f>
        <v>V042</v>
      </c>
    </row>
    <row r="1806" customFormat="false" ht="15" hidden="false" customHeight="true" outlineLevel="0" collapsed="false">
      <c r="A1806" s="4" t="s">
        <v>4993</v>
      </c>
      <c r="B1806" s="4" t="s">
        <v>1982</v>
      </c>
      <c r="C1806" s="4" t="n">
        <v>267</v>
      </c>
      <c r="D1806" s="4" t="n">
        <v>23</v>
      </c>
      <c r="E1806" s="13" t="n">
        <v>45060</v>
      </c>
      <c r="F1806" s="4" t="s">
        <v>3190</v>
      </c>
      <c r="G1806" s="4" t="str">
        <f aca="false">INDEX(PurchaseOrders!$B$2:$B$3001,MATCH(B1806,PurchaseOrders!$A$2:$A$3001,0))</f>
        <v>V030</v>
      </c>
    </row>
    <row r="1807" customFormat="false" ht="15" hidden="false" customHeight="true" outlineLevel="0" collapsed="false">
      <c r="A1807" s="4" t="s">
        <v>4994</v>
      </c>
      <c r="B1807" s="4" t="s">
        <v>1983</v>
      </c>
      <c r="C1807" s="4" t="n">
        <v>366</v>
      </c>
      <c r="D1807" s="4" t="n">
        <v>29</v>
      </c>
      <c r="E1807" s="13" t="n">
        <v>45426</v>
      </c>
      <c r="F1807" s="4" t="s">
        <v>3188</v>
      </c>
      <c r="G1807" s="4" t="str">
        <f aca="false">INDEX(PurchaseOrders!$B$2:$B$3001,MATCH(B1807,PurchaseOrders!$A$2:$A$3001,0))</f>
        <v>V043</v>
      </c>
    </row>
    <row r="1808" customFormat="false" ht="15" hidden="false" customHeight="true" outlineLevel="0" collapsed="false">
      <c r="A1808" s="4" t="s">
        <v>4995</v>
      </c>
      <c r="B1808" s="4" t="s">
        <v>1984</v>
      </c>
      <c r="C1808" s="4" t="n">
        <v>226</v>
      </c>
      <c r="D1808" s="4" t="n">
        <v>21</v>
      </c>
      <c r="E1808" s="13" t="n">
        <v>45048</v>
      </c>
      <c r="F1808" s="4" t="s">
        <v>3190</v>
      </c>
      <c r="G1808" s="4" t="str">
        <f aca="false">INDEX(PurchaseOrders!$B$2:$B$3001,MATCH(B1808,PurchaseOrders!$A$2:$A$3001,0))</f>
        <v>V009</v>
      </c>
    </row>
    <row r="1809" customFormat="false" ht="15" hidden="false" customHeight="true" outlineLevel="0" collapsed="false">
      <c r="A1809" s="4" t="s">
        <v>4996</v>
      </c>
      <c r="B1809" s="4" t="s">
        <v>1985</v>
      </c>
      <c r="C1809" s="4" t="n">
        <v>16</v>
      </c>
      <c r="D1809" s="4" t="n">
        <v>1</v>
      </c>
      <c r="E1809" s="13" t="n">
        <v>45488</v>
      </c>
      <c r="F1809" s="4" t="s">
        <v>3202</v>
      </c>
      <c r="G1809" s="4" t="str">
        <f aca="false">INDEX(PurchaseOrders!$B$2:$B$3001,MATCH(B1809,PurchaseOrders!$A$2:$A$3001,0))</f>
        <v>V023</v>
      </c>
    </row>
    <row r="1810" customFormat="false" ht="15" hidden="false" customHeight="true" outlineLevel="0" collapsed="false">
      <c r="A1810" s="4" t="s">
        <v>4997</v>
      </c>
      <c r="B1810" s="4" t="s">
        <v>1986</v>
      </c>
      <c r="C1810" s="4" t="n">
        <v>76</v>
      </c>
      <c r="D1810" s="4" t="n">
        <v>3</v>
      </c>
      <c r="E1810" s="13" t="n">
        <v>45011</v>
      </c>
      <c r="F1810" s="4" t="s">
        <v>3202</v>
      </c>
      <c r="G1810" s="4" t="str">
        <f aca="false">INDEX(PurchaseOrders!$B$2:$B$3001,MATCH(B1810,PurchaseOrders!$A$2:$A$3001,0))</f>
        <v>V024</v>
      </c>
    </row>
    <row r="1811" customFormat="false" ht="15" hidden="false" customHeight="true" outlineLevel="0" collapsed="false">
      <c r="A1811" s="4" t="s">
        <v>4998</v>
      </c>
      <c r="B1811" s="4" t="s">
        <v>1987</v>
      </c>
      <c r="C1811" s="4" t="n">
        <v>135</v>
      </c>
      <c r="D1811" s="4" t="n">
        <v>1</v>
      </c>
      <c r="E1811" s="13" t="n">
        <v>45237</v>
      </c>
      <c r="F1811" s="4" t="s">
        <v>3192</v>
      </c>
      <c r="G1811" s="4" t="str">
        <f aca="false">INDEX(PurchaseOrders!$B$2:$B$3001,MATCH(B1811,PurchaseOrders!$A$2:$A$3001,0))</f>
        <v>V024</v>
      </c>
    </row>
    <row r="1812" customFormat="false" ht="15" hidden="false" customHeight="true" outlineLevel="0" collapsed="false">
      <c r="A1812" s="4" t="s">
        <v>4999</v>
      </c>
      <c r="B1812" s="4" t="s">
        <v>1988</v>
      </c>
      <c r="C1812" s="4" t="n">
        <v>218</v>
      </c>
      <c r="D1812" s="4" t="n">
        <v>4</v>
      </c>
      <c r="E1812" s="13" t="n">
        <v>45420</v>
      </c>
      <c r="F1812" s="4" t="s">
        <v>3186</v>
      </c>
      <c r="G1812" s="4" t="str">
        <f aca="false">INDEX(PurchaseOrders!$B$2:$B$3001,MATCH(B1812,PurchaseOrders!$A$2:$A$3001,0))</f>
        <v>V024</v>
      </c>
    </row>
    <row r="1813" customFormat="false" ht="15" hidden="false" customHeight="true" outlineLevel="0" collapsed="false">
      <c r="A1813" s="4" t="s">
        <v>5000</v>
      </c>
      <c r="B1813" s="4" t="s">
        <v>1989</v>
      </c>
      <c r="C1813" s="4" t="n">
        <v>167</v>
      </c>
      <c r="D1813" s="4" t="n">
        <v>18</v>
      </c>
      <c r="E1813" s="13" t="n">
        <v>45186</v>
      </c>
      <c r="F1813" s="4" t="s">
        <v>3188</v>
      </c>
      <c r="G1813" s="4" t="str">
        <f aca="false">INDEX(PurchaseOrders!$B$2:$B$3001,MATCH(B1813,PurchaseOrders!$A$2:$A$3001,0))</f>
        <v>V009</v>
      </c>
    </row>
    <row r="1814" customFormat="false" ht="15" hidden="false" customHeight="true" outlineLevel="0" collapsed="false">
      <c r="A1814" s="4" t="s">
        <v>5001</v>
      </c>
      <c r="B1814" s="4" t="s">
        <v>1990</v>
      </c>
      <c r="C1814" s="4" t="n">
        <v>345</v>
      </c>
      <c r="D1814" s="4" t="n">
        <v>8</v>
      </c>
      <c r="E1814" s="13" t="n">
        <v>45110</v>
      </c>
      <c r="F1814" s="4" t="s">
        <v>3188</v>
      </c>
      <c r="G1814" s="4" t="str">
        <f aca="false">INDEX(PurchaseOrders!$B$2:$B$3001,MATCH(B1814,PurchaseOrders!$A$2:$A$3001,0))</f>
        <v>V006</v>
      </c>
    </row>
    <row r="1815" customFormat="false" ht="15" hidden="false" customHeight="true" outlineLevel="0" collapsed="false">
      <c r="A1815" s="4" t="s">
        <v>5002</v>
      </c>
      <c r="B1815" s="4" t="s">
        <v>1991</v>
      </c>
      <c r="C1815" s="4" t="n">
        <v>3753</v>
      </c>
      <c r="D1815" s="4" t="n">
        <v>135</v>
      </c>
      <c r="E1815" s="13" t="n">
        <v>45253</v>
      </c>
      <c r="F1815" s="4" t="s">
        <v>3202</v>
      </c>
      <c r="G1815" s="4" t="str">
        <f aca="false">INDEX(PurchaseOrders!$B$2:$B$3001,MATCH(B1815,PurchaseOrders!$A$2:$A$3001,0))</f>
        <v>V056</v>
      </c>
    </row>
    <row r="1816" customFormat="false" ht="15" hidden="false" customHeight="true" outlineLevel="0" collapsed="false">
      <c r="A1816" s="4" t="s">
        <v>5003</v>
      </c>
      <c r="B1816" s="4" t="s">
        <v>1992</v>
      </c>
      <c r="C1816" s="4" t="n">
        <v>4223</v>
      </c>
      <c r="D1816" s="4" t="n">
        <v>242</v>
      </c>
      <c r="E1816" s="13" t="n">
        <v>45584</v>
      </c>
      <c r="F1816" s="4" t="s">
        <v>3188</v>
      </c>
      <c r="G1816" s="4" t="str">
        <f aca="false">INDEX(PurchaseOrders!$B$2:$B$3001,MATCH(B1816,PurchaseOrders!$A$2:$A$3001,0))</f>
        <v>V028</v>
      </c>
    </row>
    <row r="1817" customFormat="false" ht="15" hidden="false" customHeight="true" outlineLevel="0" collapsed="false">
      <c r="A1817" s="4" t="s">
        <v>5004</v>
      </c>
      <c r="B1817" s="4" t="s">
        <v>1993</v>
      </c>
      <c r="C1817" s="4" t="n">
        <v>3658</v>
      </c>
      <c r="D1817" s="4" t="n">
        <v>200</v>
      </c>
      <c r="E1817" s="13" t="n">
        <v>45229</v>
      </c>
      <c r="F1817" s="4" t="s">
        <v>3188</v>
      </c>
      <c r="G1817" s="4" t="str">
        <f aca="false">INDEX(PurchaseOrders!$B$2:$B$3001,MATCH(B1817,PurchaseOrders!$A$2:$A$3001,0))</f>
        <v>V056</v>
      </c>
    </row>
    <row r="1818" customFormat="false" ht="15" hidden="false" customHeight="true" outlineLevel="0" collapsed="false">
      <c r="A1818" s="4" t="s">
        <v>5005</v>
      </c>
      <c r="B1818" s="4" t="s">
        <v>1994</v>
      </c>
      <c r="C1818" s="4" t="n">
        <v>410</v>
      </c>
      <c r="D1818" s="4" t="n">
        <v>40</v>
      </c>
      <c r="E1818" s="13" t="n">
        <v>45422</v>
      </c>
      <c r="F1818" s="4" t="s">
        <v>3192</v>
      </c>
      <c r="G1818" s="4" t="str">
        <f aca="false">INDEX(PurchaseOrders!$B$2:$B$3001,MATCH(B1818,PurchaseOrders!$A$2:$A$3001,0))</f>
        <v>V013</v>
      </c>
    </row>
    <row r="1819" customFormat="false" ht="15" hidden="false" customHeight="true" outlineLevel="0" collapsed="false">
      <c r="A1819" s="4" t="s">
        <v>5006</v>
      </c>
      <c r="B1819" s="4" t="s">
        <v>1995</v>
      </c>
      <c r="C1819" s="4" t="n">
        <v>1908</v>
      </c>
      <c r="D1819" s="4" t="n">
        <v>108</v>
      </c>
      <c r="E1819" s="13" t="n">
        <v>45526</v>
      </c>
      <c r="F1819" s="4" t="s">
        <v>3202</v>
      </c>
      <c r="G1819" s="4" t="str">
        <f aca="false">INDEX(PurchaseOrders!$B$2:$B$3001,MATCH(B1819,PurchaseOrders!$A$2:$A$3001,0))</f>
        <v>V022</v>
      </c>
    </row>
    <row r="1820" customFormat="false" ht="15" hidden="false" customHeight="true" outlineLevel="0" collapsed="false">
      <c r="A1820" s="4" t="s">
        <v>5007</v>
      </c>
      <c r="B1820" s="4" t="s">
        <v>1996</v>
      </c>
      <c r="C1820" s="4" t="n">
        <v>38</v>
      </c>
      <c r="D1820" s="4" t="n">
        <v>0</v>
      </c>
      <c r="E1820" s="13" t="n">
        <v>45125</v>
      </c>
      <c r="F1820" s="4"/>
      <c r="G1820" s="4" t="str">
        <f aca="false">INDEX(PurchaseOrders!$B$2:$B$3001,MATCH(B1820,PurchaseOrders!$A$2:$A$3001,0))</f>
        <v>V046</v>
      </c>
    </row>
    <row r="1821" customFormat="false" ht="15" hidden="false" customHeight="true" outlineLevel="0" collapsed="false">
      <c r="A1821" s="4" t="s">
        <v>5008</v>
      </c>
      <c r="B1821" s="4" t="s">
        <v>1997</v>
      </c>
      <c r="C1821" s="4" t="n">
        <v>241</v>
      </c>
      <c r="D1821" s="4" t="n">
        <v>16</v>
      </c>
      <c r="E1821" s="13" t="n">
        <v>45151</v>
      </c>
      <c r="F1821" s="4" t="s">
        <v>3186</v>
      </c>
      <c r="G1821" s="4" t="str">
        <f aca="false">INDEX(PurchaseOrders!$B$2:$B$3001,MATCH(B1821,PurchaseOrders!$A$2:$A$3001,0))</f>
        <v>V033</v>
      </c>
    </row>
    <row r="1822" customFormat="false" ht="15" hidden="false" customHeight="true" outlineLevel="0" collapsed="false">
      <c r="A1822" s="4" t="s">
        <v>5009</v>
      </c>
      <c r="B1822" s="4" t="s">
        <v>1998</v>
      </c>
      <c r="C1822" s="4" t="n">
        <v>1327</v>
      </c>
      <c r="D1822" s="4" t="n">
        <v>80</v>
      </c>
      <c r="E1822" s="13" t="n">
        <v>45037</v>
      </c>
      <c r="F1822" s="4" t="s">
        <v>3190</v>
      </c>
      <c r="G1822" s="4" t="str">
        <f aca="false">INDEX(PurchaseOrders!$B$2:$B$3001,MATCH(B1822,PurchaseOrders!$A$2:$A$3001,0))</f>
        <v>V034</v>
      </c>
    </row>
    <row r="1823" customFormat="false" ht="15" hidden="false" customHeight="true" outlineLevel="0" collapsed="false">
      <c r="A1823" s="4" t="s">
        <v>5010</v>
      </c>
      <c r="B1823" s="4" t="s">
        <v>1999</v>
      </c>
      <c r="C1823" s="4" t="n">
        <v>10</v>
      </c>
      <c r="D1823" s="4" t="n">
        <v>0</v>
      </c>
      <c r="E1823" s="13" t="n">
        <v>45572</v>
      </c>
      <c r="F1823" s="4"/>
      <c r="G1823" s="4" t="str">
        <f aca="false">INDEX(PurchaseOrders!$B$2:$B$3001,MATCH(B1823,PurchaseOrders!$A$2:$A$3001,0))</f>
        <v>V023</v>
      </c>
    </row>
    <row r="1824" customFormat="false" ht="15" hidden="false" customHeight="true" outlineLevel="0" collapsed="false">
      <c r="A1824" s="4" t="s">
        <v>5011</v>
      </c>
      <c r="B1824" s="4" t="s">
        <v>2000</v>
      </c>
      <c r="C1824" s="4" t="n">
        <v>3099</v>
      </c>
      <c r="D1824" s="4" t="n">
        <v>269</v>
      </c>
      <c r="E1824" s="13" t="n">
        <v>45324</v>
      </c>
      <c r="F1824" s="4" t="s">
        <v>3202</v>
      </c>
      <c r="G1824" s="4" t="str">
        <f aca="false">INDEX(PurchaseOrders!$B$2:$B$3001,MATCH(B1824,PurchaseOrders!$A$2:$A$3001,0))</f>
        <v>V057</v>
      </c>
    </row>
    <row r="1825" customFormat="false" ht="15" hidden="false" customHeight="true" outlineLevel="0" collapsed="false">
      <c r="A1825" s="4" t="s">
        <v>5012</v>
      </c>
      <c r="B1825" s="4" t="s">
        <v>2001</v>
      </c>
      <c r="C1825" s="4" t="n">
        <v>9</v>
      </c>
      <c r="D1825" s="4" t="n">
        <v>1</v>
      </c>
      <c r="E1825" s="13" t="n">
        <v>44995</v>
      </c>
      <c r="F1825" s="4" t="s">
        <v>3190</v>
      </c>
      <c r="G1825" s="4" t="str">
        <f aca="false">INDEX(PurchaseOrders!$B$2:$B$3001,MATCH(B1825,PurchaseOrders!$A$2:$A$3001,0))</f>
        <v>V016</v>
      </c>
    </row>
    <row r="1826" customFormat="false" ht="15" hidden="false" customHeight="true" outlineLevel="0" collapsed="false">
      <c r="A1826" s="4" t="s">
        <v>5013</v>
      </c>
      <c r="B1826" s="4" t="s">
        <v>2002</v>
      </c>
      <c r="C1826" s="4" t="n">
        <v>1684</v>
      </c>
      <c r="D1826" s="4" t="n">
        <v>206</v>
      </c>
      <c r="E1826" s="13" t="n">
        <v>45124</v>
      </c>
      <c r="F1826" s="4" t="s">
        <v>3184</v>
      </c>
      <c r="G1826" s="4" t="str">
        <f aca="false">INDEX(PurchaseOrders!$B$2:$B$3001,MATCH(B1826,PurchaseOrders!$A$2:$A$3001,0))</f>
        <v>V044</v>
      </c>
    </row>
    <row r="1827" customFormat="false" ht="15" hidden="false" customHeight="true" outlineLevel="0" collapsed="false">
      <c r="A1827" s="4" t="s">
        <v>5014</v>
      </c>
      <c r="B1827" s="4" t="s">
        <v>2003</v>
      </c>
      <c r="C1827" s="4" t="n">
        <v>3999</v>
      </c>
      <c r="D1827" s="4" t="n">
        <v>373</v>
      </c>
      <c r="E1827" s="13" t="n">
        <v>45050</v>
      </c>
      <c r="F1827" s="4" t="s">
        <v>3186</v>
      </c>
      <c r="G1827" s="4" t="str">
        <f aca="false">INDEX(PurchaseOrders!$B$2:$B$3001,MATCH(B1827,PurchaseOrders!$A$2:$A$3001,0))</f>
        <v>V028</v>
      </c>
    </row>
    <row r="1828" customFormat="false" ht="15" hidden="false" customHeight="true" outlineLevel="0" collapsed="false">
      <c r="A1828" s="4" t="s">
        <v>5015</v>
      </c>
      <c r="B1828" s="4" t="s">
        <v>2004</v>
      </c>
      <c r="C1828" s="4" t="n">
        <v>481</v>
      </c>
      <c r="D1828" s="4" t="n">
        <v>28</v>
      </c>
      <c r="E1828" s="13" t="n">
        <v>45643</v>
      </c>
      <c r="F1828" s="4" t="s">
        <v>3188</v>
      </c>
      <c r="G1828" s="4" t="str">
        <f aca="false">INDEX(PurchaseOrders!$B$2:$B$3001,MATCH(B1828,PurchaseOrders!$A$2:$A$3001,0))</f>
        <v>V005</v>
      </c>
    </row>
    <row r="1829" customFormat="false" ht="15" hidden="false" customHeight="true" outlineLevel="0" collapsed="false">
      <c r="A1829" s="4" t="s">
        <v>5016</v>
      </c>
      <c r="B1829" s="4" t="s">
        <v>2005</v>
      </c>
      <c r="C1829" s="4" t="n">
        <v>377</v>
      </c>
      <c r="D1829" s="4" t="n">
        <v>7</v>
      </c>
      <c r="E1829" s="13" t="n">
        <v>45034</v>
      </c>
      <c r="F1829" s="4" t="s">
        <v>3192</v>
      </c>
      <c r="G1829" s="4" t="str">
        <f aca="false">INDEX(PurchaseOrders!$B$2:$B$3001,MATCH(B1829,PurchaseOrders!$A$2:$A$3001,0))</f>
        <v>V024</v>
      </c>
    </row>
    <row r="1830" customFormat="false" ht="15" hidden="false" customHeight="true" outlineLevel="0" collapsed="false">
      <c r="A1830" s="4" t="s">
        <v>5017</v>
      </c>
      <c r="B1830" s="4" t="s">
        <v>2006</v>
      </c>
      <c r="C1830" s="4" t="n">
        <v>4</v>
      </c>
      <c r="D1830" s="4" t="n">
        <v>0</v>
      </c>
      <c r="E1830" s="13" t="n">
        <v>45216</v>
      </c>
      <c r="F1830" s="4"/>
      <c r="G1830" s="4" t="str">
        <f aca="false">INDEX(PurchaseOrders!$B$2:$B$3001,MATCH(B1830,PurchaseOrders!$A$2:$A$3001,0))</f>
        <v>V019</v>
      </c>
    </row>
    <row r="1831" customFormat="false" ht="15" hidden="false" customHeight="true" outlineLevel="0" collapsed="false">
      <c r="A1831" s="4" t="s">
        <v>5018</v>
      </c>
      <c r="B1831" s="4" t="s">
        <v>2007</v>
      </c>
      <c r="C1831" s="4" t="n">
        <v>825</v>
      </c>
      <c r="D1831" s="4" t="n">
        <v>123</v>
      </c>
      <c r="E1831" s="13" t="n">
        <v>45442</v>
      </c>
      <c r="F1831" s="4" t="s">
        <v>3186</v>
      </c>
      <c r="G1831" s="4" t="str">
        <f aca="false">INDEX(PurchaseOrders!$B$2:$B$3001,MATCH(B1831,PurchaseOrders!$A$2:$A$3001,0))</f>
        <v>V025</v>
      </c>
    </row>
    <row r="1832" customFormat="false" ht="15" hidden="false" customHeight="true" outlineLevel="0" collapsed="false">
      <c r="A1832" s="4" t="s">
        <v>5019</v>
      </c>
      <c r="B1832" s="4" t="s">
        <v>2008</v>
      </c>
      <c r="C1832" s="4" t="n">
        <v>1543</v>
      </c>
      <c r="D1832" s="4" t="n">
        <v>29</v>
      </c>
      <c r="E1832" s="13" t="n">
        <v>45017</v>
      </c>
      <c r="F1832" s="4" t="s">
        <v>3190</v>
      </c>
      <c r="G1832" s="4" t="str">
        <f aca="false">INDEX(PurchaseOrders!$B$2:$B$3001,MATCH(B1832,PurchaseOrders!$A$2:$A$3001,0))</f>
        <v>V020</v>
      </c>
    </row>
    <row r="1833" customFormat="false" ht="15" hidden="false" customHeight="true" outlineLevel="0" collapsed="false">
      <c r="A1833" s="4" t="s">
        <v>5020</v>
      </c>
      <c r="B1833" s="4" t="s">
        <v>2009</v>
      </c>
      <c r="C1833" s="4" t="n">
        <v>1175</v>
      </c>
      <c r="D1833" s="4" t="n">
        <v>57</v>
      </c>
      <c r="E1833" s="13" t="n">
        <v>44945</v>
      </c>
      <c r="F1833" s="4" t="s">
        <v>3184</v>
      </c>
      <c r="G1833" s="4" t="str">
        <f aca="false">INDEX(PurchaseOrders!$B$2:$B$3001,MATCH(B1833,PurchaseOrders!$A$2:$A$3001,0))</f>
        <v>V014</v>
      </c>
    </row>
    <row r="1834" customFormat="false" ht="15" hidden="false" customHeight="true" outlineLevel="0" collapsed="false">
      <c r="A1834" s="4" t="s">
        <v>5021</v>
      </c>
      <c r="B1834" s="4" t="s">
        <v>2010</v>
      </c>
      <c r="C1834" s="4" t="n">
        <v>711</v>
      </c>
      <c r="D1834" s="4" t="n">
        <v>186</v>
      </c>
      <c r="E1834" s="13" t="n">
        <v>45617</v>
      </c>
      <c r="F1834" s="4" t="s">
        <v>3188</v>
      </c>
      <c r="G1834" s="4" t="str">
        <f aca="false">INDEX(PurchaseOrders!$B$2:$B$3001,MATCH(B1834,PurchaseOrders!$A$2:$A$3001,0))</f>
        <v>V039</v>
      </c>
    </row>
    <row r="1835" customFormat="false" ht="15" hidden="false" customHeight="true" outlineLevel="0" collapsed="false">
      <c r="A1835" s="4" t="s">
        <v>5022</v>
      </c>
      <c r="B1835" s="4" t="s">
        <v>2011</v>
      </c>
      <c r="C1835" s="4" t="n">
        <v>110</v>
      </c>
      <c r="D1835" s="4" t="n">
        <v>3</v>
      </c>
      <c r="E1835" s="13" t="n">
        <v>45476</v>
      </c>
      <c r="F1835" s="4" t="s">
        <v>3184</v>
      </c>
      <c r="G1835" s="4" t="str">
        <f aca="false">INDEX(PurchaseOrders!$B$2:$B$3001,MATCH(B1835,PurchaseOrders!$A$2:$A$3001,0))</f>
        <v>V060</v>
      </c>
    </row>
    <row r="1836" customFormat="false" ht="15" hidden="false" customHeight="true" outlineLevel="0" collapsed="false">
      <c r="A1836" s="4" t="s">
        <v>5023</v>
      </c>
      <c r="B1836" s="4" t="s">
        <v>2012</v>
      </c>
      <c r="C1836" s="4" t="n">
        <v>1060</v>
      </c>
      <c r="D1836" s="4" t="n">
        <v>151</v>
      </c>
      <c r="E1836" s="13" t="n">
        <v>45487</v>
      </c>
      <c r="F1836" s="4" t="s">
        <v>3186</v>
      </c>
      <c r="G1836" s="4" t="str">
        <f aca="false">INDEX(PurchaseOrders!$B$2:$B$3001,MATCH(B1836,PurchaseOrders!$A$2:$A$3001,0))</f>
        <v>V025</v>
      </c>
    </row>
    <row r="1837" customFormat="false" ht="15" hidden="false" customHeight="true" outlineLevel="0" collapsed="false">
      <c r="A1837" s="4" t="s">
        <v>5024</v>
      </c>
      <c r="B1837" s="4" t="s">
        <v>2013</v>
      </c>
      <c r="C1837" s="4" t="n">
        <v>3368</v>
      </c>
      <c r="D1837" s="4" t="n">
        <v>262</v>
      </c>
      <c r="E1837" s="13" t="n">
        <v>45515</v>
      </c>
      <c r="F1837" s="4" t="s">
        <v>3184</v>
      </c>
      <c r="G1837" s="4" t="str">
        <f aca="false">INDEX(PurchaseOrders!$B$2:$B$3001,MATCH(B1837,PurchaseOrders!$A$2:$A$3001,0))</f>
        <v>V001</v>
      </c>
    </row>
    <row r="1838" customFormat="false" ht="15" hidden="false" customHeight="true" outlineLevel="0" collapsed="false">
      <c r="A1838" s="4" t="s">
        <v>5025</v>
      </c>
      <c r="B1838" s="4" t="s">
        <v>2014</v>
      </c>
      <c r="C1838" s="4" t="n">
        <v>252</v>
      </c>
      <c r="D1838" s="4" t="n">
        <v>10</v>
      </c>
      <c r="E1838" s="13" t="n">
        <v>45549</v>
      </c>
      <c r="F1838" s="4" t="s">
        <v>3192</v>
      </c>
      <c r="G1838" s="4" t="str">
        <f aca="false">INDEX(PurchaseOrders!$B$2:$B$3001,MATCH(B1838,PurchaseOrders!$A$2:$A$3001,0))</f>
        <v>V046</v>
      </c>
    </row>
    <row r="1839" customFormat="false" ht="15" hidden="false" customHeight="true" outlineLevel="0" collapsed="false">
      <c r="A1839" s="4" t="s">
        <v>5026</v>
      </c>
      <c r="B1839" s="4" t="s">
        <v>2015</v>
      </c>
      <c r="C1839" s="4" t="n">
        <v>1772</v>
      </c>
      <c r="D1839" s="4" t="n">
        <v>77</v>
      </c>
      <c r="E1839" s="13" t="n">
        <v>44975</v>
      </c>
      <c r="F1839" s="4" t="s">
        <v>3192</v>
      </c>
      <c r="G1839" s="4" t="str">
        <f aca="false">INDEX(PurchaseOrders!$B$2:$B$3001,MATCH(B1839,PurchaseOrders!$A$2:$A$3001,0))</f>
        <v>V034</v>
      </c>
    </row>
    <row r="1840" customFormat="false" ht="15" hidden="false" customHeight="true" outlineLevel="0" collapsed="false">
      <c r="A1840" s="4" t="s">
        <v>5027</v>
      </c>
      <c r="B1840" s="4" t="s">
        <v>2016</v>
      </c>
      <c r="C1840" s="4" t="n">
        <v>3880</v>
      </c>
      <c r="D1840" s="4" t="n">
        <v>300</v>
      </c>
      <c r="E1840" s="13" t="n">
        <v>44988</v>
      </c>
      <c r="F1840" s="4" t="s">
        <v>3184</v>
      </c>
      <c r="G1840" s="4" t="str">
        <f aca="false">INDEX(PurchaseOrders!$B$2:$B$3001,MATCH(B1840,PurchaseOrders!$A$2:$A$3001,0))</f>
        <v>V028</v>
      </c>
    </row>
    <row r="1841" customFormat="false" ht="15" hidden="false" customHeight="true" outlineLevel="0" collapsed="false">
      <c r="A1841" s="4" t="s">
        <v>5028</v>
      </c>
      <c r="B1841" s="4" t="s">
        <v>2017</v>
      </c>
      <c r="C1841" s="4" t="n">
        <v>4581</v>
      </c>
      <c r="D1841" s="4" t="n">
        <v>155</v>
      </c>
      <c r="E1841" s="13" t="n">
        <v>45548</v>
      </c>
      <c r="F1841" s="4" t="s">
        <v>3192</v>
      </c>
      <c r="G1841" s="4" t="str">
        <f aca="false">INDEX(PurchaseOrders!$B$2:$B$3001,MATCH(B1841,PurchaseOrders!$A$2:$A$3001,0))</f>
        <v>V002</v>
      </c>
    </row>
    <row r="1842" customFormat="false" ht="15" hidden="false" customHeight="true" outlineLevel="0" collapsed="false">
      <c r="A1842" s="4" t="s">
        <v>5029</v>
      </c>
      <c r="B1842" s="4" t="s">
        <v>2018</v>
      </c>
      <c r="C1842" s="4" t="n">
        <v>9</v>
      </c>
      <c r="D1842" s="4" t="n">
        <v>0</v>
      </c>
      <c r="E1842" s="13" t="n">
        <v>45135</v>
      </c>
      <c r="F1842" s="4"/>
      <c r="G1842" s="4" t="str">
        <f aca="false">INDEX(PurchaseOrders!$B$2:$B$3001,MATCH(B1842,PurchaseOrders!$A$2:$A$3001,0))</f>
        <v>V053</v>
      </c>
    </row>
    <row r="1843" customFormat="false" ht="15" hidden="false" customHeight="true" outlineLevel="0" collapsed="false">
      <c r="A1843" s="4" t="s">
        <v>5030</v>
      </c>
      <c r="B1843" s="4" t="s">
        <v>2019</v>
      </c>
      <c r="C1843" s="4" t="n">
        <v>3820</v>
      </c>
      <c r="D1843" s="4" t="n">
        <v>339</v>
      </c>
      <c r="E1843" s="13" t="n">
        <v>45077</v>
      </c>
      <c r="F1843" s="4" t="s">
        <v>3186</v>
      </c>
      <c r="G1843" s="4" t="str">
        <f aca="false">INDEX(PurchaseOrders!$B$2:$B$3001,MATCH(B1843,PurchaseOrders!$A$2:$A$3001,0))</f>
        <v>V028</v>
      </c>
    </row>
    <row r="1844" customFormat="false" ht="15" hidden="false" customHeight="true" outlineLevel="0" collapsed="false">
      <c r="A1844" s="4" t="s">
        <v>5031</v>
      </c>
      <c r="B1844" s="4" t="s">
        <v>2020</v>
      </c>
      <c r="C1844" s="4" t="n">
        <v>349</v>
      </c>
      <c r="D1844" s="4" t="n">
        <v>0</v>
      </c>
      <c r="E1844" s="13" t="n">
        <v>45416</v>
      </c>
      <c r="F1844" s="4"/>
      <c r="G1844" s="4" t="str">
        <f aca="false">INDEX(PurchaseOrders!$B$2:$B$3001,MATCH(B1844,PurchaseOrders!$A$2:$A$3001,0))</f>
        <v>V029</v>
      </c>
    </row>
    <row r="1845" customFormat="false" ht="15" hidden="false" customHeight="true" outlineLevel="0" collapsed="false">
      <c r="A1845" s="4" t="s">
        <v>5032</v>
      </c>
      <c r="B1845" s="4" t="s">
        <v>2021</v>
      </c>
      <c r="C1845" s="4" t="n">
        <v>130</v>
      </c>
      <c r="D1845" s="4" t="n">
        <v>16</v>
      </c>
      <c r="E1845" s="13" t="n">
        <v>45288</v>
      </c>
      <c r="F1845" s="4" t="s">
        <v>3192</v>
      </c>
      <c r="G1845" s="4" t="str">
        <f aca="false">INDEX(PurchaseOrders!$B$2:$B$3001,MATCH(B1845,PurchaseOrders!$A$2:$A$3001,0))</f>
        <v>V049</v>
      </c>
    </row>
    <row r="1846" customFormat="false" ht="15" hidden="false" customHeight="true" outlineLevel="0" collapsed="false">
      <c r="A1846" s="4" t="s">
        <v>5033</v>
      </c>
      <c r="B1846" s="4" t="s">
        <v>2022</v>
      </c>
      <c r="C1846" s="4" t="n">
        <v>86</v>
      </c>
      <c r="D1846" s="4" t="n">
        <v>6</v>
      </c>
      <c r="E1846" s="13" t="n">
        <v>45448</v>
      </c>
      <c r="F1846" s="4" t="s">
        <v>3190</v>
      </c>
      <c r="G1846" s="4" t="str">
        <f aca="false">INDEX(PurchaseOrders!$B$2:$B$3001,MATCH(B1846,PurchaseOrders!$A$2:$A$3001,0))</f>
        <v>V033</v>
      </c>
    </row>
    <row r="1847" customFormat="false" ht="15" hidden="false" customHeight="true" outlineLevel="0" collapsed="false">
      <c r="A1847" s="4" t="s">
        <v>5034</v>
      </c>
      <c r="B1847" s="4" t="s">
        <v>2023</v>
      </c>
      <c r="C1847" s="4" t="n">
        <v>91</v>
      </c>
      <c r="D1847" s="4" t="n">
        <v>0</v>
      </c>
      <c r="E1847" s="13" t="n">
        <v>45473</v>
      </c>
      <c r="F1847" s="4"/>
      <c r="G1847" s="4" t="str">
        <f aca="false">INDEX(PurchaseOrders!$B$2:$B$3001,MATCH(B1847,PurchaseOrders!$A$2:$A$3001,0))</f>
        <v>V046</v>
      </c>
    </row>
    <row r="1848" customFormat="false" ht="15" hidden="false" customHeight="true" outlineLevel="0" collapsed="false">
      <c r="A1848" s="4" t="s">
        <v>5035</v>
      </c>
      <c r="B1848" s="4" t="s">
        <v>2024</v>
      </c>
      <c r="C1848" s="4" t="n">
        <v>449</v>
      </c>
      <c r="D1848" s="4" t="n">
        <v>44</v>
      </c>
      <c r="E1848" s="13" t="n">
        <v>45005</v>
      </c>
      <c r="F1848" s="4" t="s">
        <v>3184</v>
      </c>
      <c r="G1848" s="4" t="str">
        <f aca="false">INDEX(PurchaseOrders!$B$2:$B$3001,MATCH(B1848,PurchaseOrders!$A$2:$A$3001,0))</f>
        <v>V013</v>
      </c>
    </row>
    <row r="1849" customFormat="false" ht="15" hidden="false" customHeight="true" outlineLevel="0" collapsed="false">
      <c r="A1849" s="4" t="s">
        <v>5036</v>
      </c>
      <c r="B1849" s="4" t="s">
        <v>2025</v>
      </c>
      <c r="C1849" s="4" t="n">
        <v>7</v>
      </c>
      <c r="D1849" s="4" t="n">
        <v>0</v>
      </c>
      <c r="E1849" s="13" t="n">
        <v>45566</v>
      </c>
      <c r="F1849" s="4"/>
      <c r="G1849" s="4" t="str">
        <f aca="false">INDEX(PurchaseOrders!$B$2:$B$3001,MATCH(B1849,PurchaseOrders!$A$2:$A$3001,0))</f>
        <v>V016</v>
      </c>
    </row>
    <row r="1850" customFormat="false" ht="15" hidden="false" customHeight="true" outlineLevel="0" collapsed="false">
      <c r="A1850" s="4" t="s">
        <v>5037</v>
      </c>
      <c r="B1850" s="4" t="s">
        <v>2026</v>
      </c>
      <c r="C1850" s="4" t="n">
        <v>439</v>
      </c>
      <c r="D1850" s="4" t="n">
        <v>0</v>
      </c>
      <c r="E1850" s="13" t="n">
        <v>44959</v>
      </c>
      <c r="F1850" s="4"/>
      <c r="G1850" s="4" t="str">
        <f aca="false">INDEX(PurchaseOrders!$B$2:$B$3001,MATCH(B1850,PurchaseOrders!$A$2:$A$3001,0))</f>
        <v>V060</v>
      </c>
    </row>
    <row r="1851" customFormat="false" ht="15" hidden="false" customHeight="true" outlineLevel="0" collapsed="false">
      <c r="A1851" s="4" t="s">
        <v>5038</v>
      </c>
      <c r="B1851" s="4" t="s">
        <v>2027</v>
      </c>
      <c r="C1851" s="4" t="n">
        <v>900</v>
      </c>
      <c r="D1851" s="4" t="n">
        <v>64</v>
      </c>
      <c r="E1851" s="13" t="n">
        <v>45369</v>
      </c>
      <c r="F1851" s="4" t="s">
        <v>3186</v>
      </c>
      <c r="G1851" s="4" t="str">
        <f aca="false">INDEX(PurchaseOrders!$B$2:$B$3001,MATCH(B1851,PurchaseOrders!$A$2:$A$3001,0))</f>
        <v>V017</v>
      </c>
    </row>
    <row r="1852" customFormat="false" ht="15" hidden="false" customHeight="true" outlineLevel="0" collapsed="false">
      <c r="A1852" s="4" t="s">
        <v>5039</v>
      </c>
      <c r="B1852" s="4" t="s">
        <v>2028</v>
      </c>
      <c r="C1852" s="4" t="n">
        <v>612</v>
      </c>
      <c r="D1852" s="4" t="n">
        <v>51</v>
      </c>
      <c r="E1852" s="13" t="n">
        <v>45386</v>
      </c>
      <c r="F1852" s="4" t="s">
        <v>3184</v>
      </c>
      <c r="G1852" s="4" t="str">
        <f aca="false">INDEX(PurchaseOrders!$B$2:$B$3001,MATCH(B1852,PurchaseOrders!$A$2:$A$3001,0))</f>
        <v>V007</v>
      </c>
    </row>
    <row r="1853" customFormat="false" ht="15" hidden="false" customHeight="true" outlineLevel="0" collapsed="false">
      <c r="A1853" s="4" t="s">
        <v>5040</v>
      </c>
      <c r="B1853" s="4" t="s">
        <v>2029</v>
      </c>
      <c r="C1853" s="4" t="n">
        <v>15</v>
      </c>
      <c r="D1853" s="4" t="n">
        <v>1</v>
      </c>
      <c r="E1853" s="13" t="n">
        <v>45259</v>
      </c>
      <c r="F1853" s="4" t="s">
        <v>3184</v>
      </c>
      <c r="G1853" s="4" t="str">
        <f aca="false">INDEX(PurchaseOrders!$B$2:$B$3001,MATCH(B1853,PurchaseOrders!$A$2:$A$3001,0))</f>
        <v>V042</v>
      </c>
    </row>
    <row r="1854" customFormat="false" ht="15" hidden="false" customHeight="true" outlineLevel="0" collapsed="false">
      <c r="A1854" s="4" t="s">
        <v>5041</v>
      </c>
      <c r="B1854" s="4" t="s">
        <v>2030</v>
      </c>
      <c r="C1854" s="4" t="n">
        <v>917</v>
      </c>
      <c r="D1854" s="4" t="n">
        <v>0</v>
      </c>
      <c r="E1854" s="13" t="n">
        <v>45421</v>
      </c>
      <c r="F1854" s="4"/>
      <c r="G1854" s="4" t="str">
        <f aca="false">INDEX(PurchaseOrders!$B$2:$B$3001,MATCH(B1854,PurchaseOrders!$A$2:$A$3001,0))</f>
        <v>V035</v>
      </c>
    </row>
    <row r="1855" customFormat="false" ht="15" hidden="false" customHeight="true" outlineLevel="0" collapsed="false">
      <c r="A1855" s="4" t="s">
        <v>5042</v>
      </c>
      <c r="B1855" s="4" t="s">
        <v>2031</v>
      </c>
      <c r="C1855" s="4" t="n">
        <v>1033</v>
      </c>
      <c r="D1855" s="4" t="n">
        <v>74</v>
      </c>
      <c r="E1855" s="13" t="n">
        <v>45137</v>
      </c>
      <c r="F1855" s="4" t="s">
        <v>3186</v>
      </c>
      <c r="G1855" s="4" t="str">
        <f aca="false">INDEX(PurchaseOrders!$B$2:$B$3001,MATCH(B1855,PurchaseOrders!$A$2:$A$3001,0))</f>
        <v>V027</v>
      </c>
    </row>
    <row r="1856" customFormat="false" ht="15" hidden="false" customHeight="true" outlineLevel="0" collapsed="false">
      <c r="A1856" s="4" t="s">
        <v>5043</v>
      </c>
      <c r="B1856" s="4" t="s">
        <v>2032</v>
      </c>
      <c r="C1856" s="4" t="n">
        <v>219</v>
      </c>
      <c r="D1856" s="4" t="n">
        <v>20</v>
      </c>
      <c r="E1856" s="13" t="n">
        <v>45255</v>
      </c>
      <c r="F1856" s="4" t="s">
        <v>3202</v>
      </c>
      <c r="G1856" s="4" t="str">
        <f aca="false">INDEX(PurchaseOrders!$B$2:$B$3001,MATCH(B1856,PurchaseOrders!$A$2:$A$3001,0))</f>
        <v>V036</v>
      </c>
    </row>
    <row r="1857" customFormat="false" ht="15" hidden="false" customHeight="true" outlineLevel="0" collapsed="false">
      <c r="A1857" s="4" t="s">
        <v>5044</v>
      </c>
      <c r="B1857" s="4" t="s">
        <v>2033</v>
      </c>
      <c r="C1857" s="4" t="n">
        <v>236</v>
      </c>
      <c r="D1857" s="4" t="n">
        <v>42</v>
      </c>
      <c r="E1857" s="13" t="n">
        <v>44940</v>
      </c>
      <c r="F1857" s="4" t="s">
        <v>3190</v>
      </c>
      <c r="G1857" s="4" t="str">
        <f aca="false">INDEX(PurchaseOrders!$B$2:$B$3001,MATCH(B1857,PurchaseOrders!$A$2:$A$3001,0))</f>
        <v>V025</v>
      </c>
    </row>
    <row r="1858" customFormat="false" ht="15" hidden="false" customHeight="true" outlineLevel="0" collapsed="false">
      <c r="A1858" s="4" t="s">
        <v>5045</v>
      </c>
      <c r="B1858" s="4" t="s">
        <v>2034</v>
      </c>
      <c r="C1858" s="4" t="n">
        <v>2157</v>
      </c>
      <c r="D1858" s="4" t="n">
        <v>254</v>
      </c>
      <c r="E1858" s="13" t="n">
        <v>45048</v>
      </c>
      <c r="F1858" s="4" t="s">
        <v>3190</v>
      </c>
      <c r="G1858" s="4" t="str">
        <f aca="false">INDEX(PurchaseOrders!$B$2:$B$3001,MATCH(B1858,PurchaseOrders!$A$2:$A$3001,0))</f>
        <v>V032</v>
      </c>
    </row>
    <row r="1859" customFormat="false" ht="15" hidden="false" customHeight="true" outlineLevel="0" collapsed="false">
      <c r="A1859" s="4" t="s">
        <v>5046</v>
      </c>
      <c r="B1859" s="4" t="s">
        <v>2035</v>
      </c>
      <c r="C1859" s="4" t="n">
        <v>2699</v>
      </c>
      <c r="D1859" s="4" t="n">
        <v>458</v>
      </c>
      <c r="E1859" s="13" t="n">
        <v>45532</v>
      </c>
      <c r="F1859" s="4" t="s">
        <v>3202</v>
      </c>
      <c r="G1859" s="4" t="str">
        <f aca="false">INDEX(PurchaseOrders!$B$2:$B$3001,MATCH(B1859,PurchaseOrders!$A$2:$A$3001,0))</f>
        <v>V026</v>
      </c>
    </row>
    <row r="1860" customFormat="false" ht="15" hidden="false" customHeight="true" outlineLevel="0" collapsed="false">
      <c r="A1860" s="4" t="s">
        <v>5047</v>
      </c>
      <c r="B1860" s="4" t="s">
        <v>2036</v>
      </c>
      <c r="C1860" s="4" t="n">
        <v>10</v>
      </c>
      <c r="D1860" s="4" t="n">
        <v>1</v>
      </c>
      <c r="E1860" s="13" t="n">
        <v>44986</v>
      </c>
      <c r="F1860" s="4" t="s">
        <v>3184</v>
      </c>
      <c r="G1860" s="4" t="str">
        <f aca="false">INDEX(PurchaseOrders!$B$2:$B$3001,MATCH(B1860,PurchaseOrders!$A$2:$A$3001,0))</f>
        <v>V019</v>
      </c>
    </row>
    <row r="1861" customFormat="false" ht="15" hidden="false" customHeight="true" outlineLevel="0" collapsed="false">
      <c r="A1861" s="4" t="s">
        <v>5048</v>
      </c>
      <c r="B1861" s="4" t="s">
        <v>2037</v>
      </c>
      <c r="C1861" s="4" t="n">
        <v>3637</v>
      </c>
      <c r="D1861" s="4" t="n">
        <v>160</v>
      </c>
      <c r="E1861" s="13" t="n">
        <v>44958</v>
      </c>
      <c r="F1861" s="4" t="s">
        <v>3186</v>
      </c>
      <c r="G1861" s="4" t="str">
        <f aca="false">INDEX(PurchaseOrders!$B$2:$B$3001,MATCH(B1861,PurchaseOrders!$A$2:$A$3001,0))</f>
        <v>V014</v>
      </c>
    </row>
    <row r="1862" customFormat="false" ht="15" hidden="false" customHeight="true" outlineLevel="0" collapsed="false">
      <c r="A1862" s="4" t="s">
        <v>5049</v>
      </c>
      <c r="B1862" s="4" t="s">
        <v>2038</v>
      </c>
      <c r="C1862" s="4" t="n">
        <v>350</v>
      </c>
      <c r="D1862" s="4" t="n">
        <v>28</v>
      </c>
      <c r="E1862" s="13" t="n">
        <v>45247</v>
      </c>
      <c r="F1862" s="4" t="s">
        <v>3186</v>
      </c>
      <c r="G1862" s="4" t="str">
        <f aca="false">INDEX(PurchaseOrders!$B$2:$B$3001,MATCH(B1862,PurchaseOrders!$A$2:$A$3001,0))</f>
        <v>V021</v>
      </c>
    </row>
    <row r="1863" customFormat="false" ht="15" hidden="false" customHeight="true" outlineLevel="0" collapsed="false">
      <c r="A1863" s="4" t="s">
        <v>5050</v>
      </c>
      <c r="B1863" s="4" t="s">
        <v>2039</v>
      </c>
      <c r="C1863" s="4" t="n">
        <v>100</v>
      </c>
      <c r="D1863" s="4" t="n">
        <v>10</v>
      </c>
      <c r="E1863" s="13" t="n">
        <v>45209</v>
      </c>
      <c r="F1863" s="4" t="s">
        <v>3192</v>
      </c>
      <c r="G1863" s="4" t="str">
        <f aca="false">INDEX(PurchaseOrders!$B$2:$B$3001,MATCH(B1863,PurchaseOrders!$A$2:$A$3001,0))</f>
        <v>V049</v>
      </c>
    </row>
    <row r="1864" customFormat="false" ht="15" hidden="false" customHeight="true" outlineLevel="0" collapsed="false">
      <c r="A1864" s="4" t="s">
        <v>5051</v>
      </c>
      <c r="B1864" s="4" t="s">
        <v>2040</v>
      </c>
      <c r="C1864" s="4" t="n">
        <v>250</v>
      </c>
      <c r="D1864" s="4" t="n">
        <v>7</v>
      </c>
      <c r="E1864" s="13" t="n">
        <v>45613</v>
      </c>
      <c r="F1864" s="4" t="s">
        <v>3184</v>
      </c>
      <c r="G1864" s="4" t="str">
        <f aca="false">INDEX(PurchaseOrders!$B$2:$B$3001,MATCH(B1864,PurchaseOrders!$A$2:$A$3001,0))</f>
        <v>V010</v>
      </c>
    </row>
    <row r="1865" customFormat="false" ht="15" hidden="false" customHeight="true" outlineLevel="0" collapsed="false">
      <c r="A1865" s="4" t="s">
        <v>5052</v>
      </c>
      <c r="B1865" s="4" t="s">
        <v>2041</v>
      </c>
      <c r="C1865" s="4" t="n">
        <v>207</v>
      </c>
      <c r="D1865" s="4" t="n">
        <v>4</v>
      </c>
      <c r="E1865" s="13" t="n">
        <v>45598</v>
      </c>
      <c r="F1865" s="4" t="s">
        <v>3192</v>
      </c>
      <c r="G1865" s="4" t="str">
        <f aca="false">INDEX(PurchaseOrders!$B$2:$B$3001,MATCH(B1865,PurchaseOrders!$A$2:$A$3001,0))</f>
        <v>V031</v>
      </c>
    </row>
    <row r="1866" customFormat="false" ht="15" hidden="false" customHeight="true" outlineLevel="0" collapsed="false">
      <c r="A1866" s="4" t="s">
        <v>5053</v>
      </c>
      <c r="B1866" s="4" t="s">
        <v>2042</v>
      </c>
      <c r="C1866" s="4" t="n">
        <v>86</v>
      </c>
      <c r="D1866" s="4" t="n">
        <v>5</v>
      </c>
      <c r="E1866" s="13" t="n">
        <v>45439</v>
      </c>
      <c r="F1866" s="4" t="s">
        <v>3188</v>
      </c>
      <c r="G1866" s="4" t="str">
        <f aca="false">INDEX(PurchaseOrders!$B$2:$B$3001,MATCH(B1866,PurchaseOrders!$A$2:$A$3001,0))</f>
        <v>V013</v>
      </c>
    </row>
    <row r="1867" customFormat="false" ht="15" hidden="false" customHeight="true" outlineLevel="0" collapsed="false">
      <c r="A1867" s="4" t="s">
        <v>5054</v>
      </c>
      <c r="B1867" s="4" t="s">
        <v>2043</v>
      </c>
      <c r="C1867" s="4" t="n">
        <v>550</v>
      </c>
      <c r="D1867" s="4" t="n">
        <v>50</v>
      </c>
      <c r="E1867" s="13" t="n">
        <v>45243</v>
      </c>
      <c r="F1867" s="4" t="s">
        <v>3188</v>
      </c>
      <c r="G1867" s="4" t="str">
        <f aca="false">INDEX(PurchaseOrders!$B$2:$B$3001,MATCH(B1867,PurchaseOrders!$A$2:$A$3001,0))</f>
        <v>V005</v>
      </c>
    </row>
    <row r="1868" customFormat="false" ht="15" hidden="false" customHeight="true" outlineLevel="0" collapsed="false">
      <c r="A1868" s="4" t="s">
        <v>5055</v>
      </c>
      <c r="B1868" s="4" t="s">
        <v>2044</v>
      </c>
      <c r="C1868" s="4" t="n">
        <v>1467</v>
      </c>
      <c r="D1868" s="4" t="n">
        <v>63</v>
      </c>
      <c r="E1868" s="13" t="n">
        <v>45300</v>
      </c>
      <c r="F1868" s="4" t="s">
        <v>3184</v>
      </c>
      <c r="G1868" s="4" t="str">
        <f aca="false">INDEX(PurchaseOrders!$B$2:$B$3001,MATCH(B1868,PurchaseOrders!$A$2:$A$3001,0))</f>
        <v>V045</v>
      </c>
    </row>
    <row r="1869" customFormat="false" ht="15" hidden="false" customHeight="true" outlineLevel="0" collapsed="false">
      <c r="A1869" s="4" t="s">
        <v>5056</v>
      </c>
      <c r="B1869" s="4" t="s">
        <v>2045</v>
      </c>
      <c r="C1869" s="4" t="n">
        <v>44</v>
      </c>
      <c r="D1869" s="4" t="n">
        <v>1</v>
      </c>
      <c r="E1869" s="13" t="n">
        <v>45135</v>
      </c>
      <c r="F1869" s="4" t="s">
        <v>3190</v>
      </c>
      <c r="G1869" s="4" t="str">
        <f aca="false">INDEX(PurchaseOrders!$B$2:$B$3001,MATCH(B1869,PurchaseOrders!$A$2:$A$3001,0))</f>
        <v>V052</v>
      </c>
    </row>
    <row r="1870" customFormat="false" ht="15" hidden="false" customHeight="true" outlineLevel="0" collapsed="false">
      <c r="A1870" s="4" t="s">
        <v>5057</v>
      </c>
      <c r="B1870" s="4" t="s">
        <v>2046</v>
      </c>
      <c r="C1870" s="4" t="n">
        <v>1841</v>
      </c>
      <c r="D1870" s="4" t="n">
        <v>229</v>
      </c>
      <c r="E1870" s="13" t="n">
        <v>45120</v>
      </c>
      <c r="F1870" s="4" t="s">
        <v>3188</v>
      </c>
      <c r="G1870" s="4" t="str">
        <f aca="false">INDEX(PurchaseOrders!$B$2:$B$3001,MATCH(B1870,PurchaseOrders!$A$2:$A$3001,0))</f>
        <v>V027</v>
      </c>
    </row>
    <row r="1871" customFormat="false" ht="15" hidden="false" customHeight="true" outlineLevel="0" collapsed="false">
      <c r="A1871" s="4" t="s">
        <v>5058</v>
      </c>
      <c r="B1871" s="4" t="s">
        <v>2047</v>
      </c>
      <c r="C1871" s="4" t="n">
        <v>1189</v>
      </c>
      <c r="D1871" s="4" t="n">
        <v>66</v>
      </c>
      <c r="E1871" s="13" t="n">
        <v>44942</v>
      </c>
      <c r="F1871" s="4" t="s">
        <v>3192</v>
      </c>
      <c r="G1871" s="4" t="str">
        <f aca="false">INDEX(PurchaseOrders!$B$2:$B$3001,MATCH(B1871,PurchaseOrders!$A$2:$A$3001,0))</f>
        <v>V048</v>
      </c>
    </row>
    <row r="1872" customFormat="false" ht="15" hidden="false" customHeight="true" outlineLevel="0" collapsed="false">
      <c r="A1872" s="4" t="s">
        <v>5059</v>
      </c>
      <c r="B1872" s="4" t="s">
        <v>2048</v>
      </c>
      <c r="C1872" s="4" t="n">
        <v>62</v>
      </c>
      <c r="D1872" s="4" t="n">
        <v>7</v>
      </c>
      <c r="E1872" s="13" t="n">
        <v>45391</v>
      </c>
      <c r="F1872" s="4" t="s">
        <v>3186</v>
      </c>
      <c r="G1872" s="4" t="str">
        <f aca="false">INDEX(PurchaseOrders!$B$2:$B$3001,MATCH(B1872,PurchaseOrders!$A$2:$A$3001,0))</f>
        <v>V055</v>
      </c>
    </row>
    <row r="1873" customFormat="false" ht="15" hidden="false" customHeight="true" outlineLevel="0" collapsed="false">
      <c r="A1873" s="4" t="s">
        <v>5060</v>
      </c>
      <c r="B1873" s="4" t="s">
        <v>2049</v>
      </c>
      <c r="C1873" s="4" t="n">
        <v>203</v>
      </c>
      <c r="D1873" s="4" t="n">
        <v>22</v>
      </c>
      <c r="E1873" s="13" t="n">
        <v>45028</v>
      </c>
      <c r="F1873" s="4" t="s">
        <v>3190</v>
      </c>
      <c r="G1873" s="4" t="str">
        <f aca="false">INDEX(PurchaseOrders!$B$2:$B$3001,MATCH(B1873,PurchaseOrders!$A$2:$A$3001,0))</f>
        <v>V009</v>
      </c>
    </row>
    <row r="1874" customFormat="false" ht="15" hidden="false" customHeight="true" outlineLevel="0" collapsed="false">
      <c r="A1874" s="4" t="s">
        <v>5061</v>
      </c>
      <c r="B1874" s="4" t="s">
        <v>2050</v>
      </c>
      <c r="C1874" s="4" t="n">
        <v>603</v>
      </c>
      <c r="D1874" s="4" t="n">
        <v>52</v>
      </c>
      <c r="E1874" s="13" t="n">
        <v>45659</v>
      </c>
      <c r="F1874" s="4" t="s">
        <v>3184</v>
      </c>
      <c r="G1874" s="4" t="str">
        <f aca="false">INDEX(PurchaseOrders!$B$2:$B$3001,MATCH(B1874,PurchaseOrders!$A$2:$A$3001,0))</f>
        <v>V005</v>
      </c>
    </row>
    <row r="1875" customFormat="false" ht="15" hidden="false" customHeight="true" outlineLevel="0" collapsed="false">
      <c r="A1875" s="4" t="s">
        <v>5062</v>
      </c>
      <c r="B1875" s="4" t="s">
        <v>2051</v>
      </c>
      <c r="C1875" s="4" t="n">
        <v>15</v>
      </c>
      <c r="D1875" s="4" t="n">
        <v>1</v>
      </c>
      <c r="E1875" s="13" t="n">
        <v>45003</v>
      </c>
      <c r="F1875" s="4" t="s">
        <v>3192</v>
      </c>
      <c r="G1875" s="4" t="str">
        <f aca="false">INDEX(PurchaseOrders!$B$2:$B$3001,MATCH(B1875,PurchaseOrders!$A$2:$A$3001,0))</f>
        <v>V041</v>
      </c>
    </row>
    <row r="1876" customFormat="false" ht="15" hidden="false" customHeight="true" outlineLevel="0" collapsed="false">
      <c r="A1876" s="4" t="s">
        <v>5063</v>
      </c>
      <c r="B1876" s="4" t="s">
        <v>2052</v>
      </c>
      <c r="C1876" s="4" t="n">
        <v>2897</v>
      </c>
      <c r="D1876" s="4" t="n">
        <v>122</v>
      </c>
      <c r="E1876" s="13" t="n">
        <v>45029</v>
      </c>
      <c r="F1876" s="4" t="s">
        <v>3202</v>
      </c>
      <c r="G1876" s="4" t="str">
        <f aca="false">INDEX(PurchaseOrders!$B$2:$B$3001,MATCH(B1876,PurchaseOrders!$A$2:$A$3001,0))</f>
        <v>V058</v>
      </c>
    </row>
    <row r="1877" customFormat="false" ht="15" hidden="false" customHeight="true" outlineLevel="0" collapsed="false">
      <c r="A1877" s="4" t="s">
        <v>5064</v>
      </c>
      <c r="B1877" s="4" t="s">
        <v>2053</v>
      </c>
      <c r="C1877" s="4" t="n">
        <v>3538</v>
      </c>
      <c r="D1877" s="4" t="n">
        <v>237</v>
      </c>
      <c r="E1877" s="13" t="n">
        <v>45463</v>
      </c>
      <c r="F1877" s="4" t="s">
        <v>3202</v>
      </c>
      <c r="G1877" s="4" t="str">
        <f aca="false">INDEX(PurchaseOrders!$B$2:$B$3001,MATCH(B1877,PurchaseOrders!$A$2:$A$3001,0))</f>
        <v>V056</v>
      </c>
    </row>
    <row r="1878" customFormat="false" ht="15" hidden="false" customHeight="true" outlineLevel="0" collapsed="false">
      <c r="A1878" s="4" t="s">
        <v>5065</v>
      </c>
      <c r="B1878" s="4" t="s">
        <v>2054</v>
      </c>
      <c r="C1878" s="4" t="n">
        <v>277</v>
      </c>
      <c r="D1878" s="4" t="n">
        <v>34</v>
      </c>
      <c r="E1878" s="13" t="n">
        <v>45066</v>
      </c>
      <c r="F1878" s="4" t="s">
        <v>3202</v>
      </c>
      <c r="G1878" s="4" t="str">
        <f aca="false">INDEX(PurchaseOrders!$B$2:$B$3001,MATCH(B1878,PurchaseOrders!$A$2:$A$3001,0))</f>
        <v>V043</v>
      </c>
    </row>
    <row r="1879" customFormat="false" ht="15" hidden="false" customHeight="true" outlineLevel="0" collapsed="false">
      <c r="A1879" s="4" t="s">
        <v>5066</v>
      </c>
      <c r="B1879" s="4" t="s">
        <v>2055</v>
      </c>
      <c r="C1879" s="4" t="n">
        <v>217</v>
      </c>
      <c r="D1879" s="4" t="n">
        <v>12</v>
      </c>
      <c r="E1879" s="13" t="n">
        <v>45506</v>
      </c>
      <c r="F1879" s="4" t="s">
        <v>3202</v>
      </c>
      <c r="G1879" s="4" t="str">
        <f aca="false">INDEX(PurchaseOrders!$B$2:$B$3001,MATCH(B1879,PurchaseOrders!$A$2:$A$3001,0))</f>
        <v>V018</v>
      </c>
    </row>
    <row r="1880" customFormat="false" ht="15" hidden="false" customHeight="true" outlineLevel="0" collapsed="false">
      <c r="A1880" s="4" t="s">
        <v>5067</v>
      </c>
      <c r="B1880" s="4" t="s">
        <v>2056</v>
      </c>
      <c r="C1880" s="4" t="n">
        <v>181</v>
      </c>
      <c r="D1880" s="4" t="n">
        <v>20</v>
      </c>
      <c r="E1880" s="13" t="n">
        <v>45433</v>
      </c>
      <c r="F1880" s="4" t="s">
        <v>3192</v>
      </c>
      <c r="G1880" s="4" t="str">
        <f aca="false">INDEX(PurchaseOrders!$B$2:$B$3001,MATCH(B1880,PurchaseOrders!$A$2:$A$3001,0))</f>
        <v>V049</v>
      </c>
    </row>
    <row r="1881" customFormat="false" ht="15" hidden="false" customHeight="true" outlineLevel="0" collapsed="false">
      <c r="A1881" s="4" t="s">
        <v>5068</v>
      </c>
      <c r="B1881" s="4" t="s">
        <v>2057</v>
      </c>
      <c r="C1881" s="4" t="n">
        <v>107</v>
      </c>
      <c r="D1881" s="4" t="n">
        <v>4</v>
      </c>
      <c r="E1881" s="13" t="n">
        <v>45616</v>
      </c>
      <c r="F1881" s="4" t="s">
        <v>3190</v>
      </c>
      <c r="G1881" s="4" t="str">
        <f aca="false">INDEX(PurchaseOrders!$B$2:$B$3001,MATCH(B1881,PurchaseOrders!$A$2:$A$3001,0))</f>
        <v>V037</v>
      </c>
    </row>
    <row r="1882" customFormat="false" ht="15" hidden="false" customHeight="true" outlineLevel="0" collapsed="false">
      <c r="A1882" s="4" t="s">
        <v>5069</v>
      </c>
      <c r="B1882" s="4" t="s">
        <v>2058</v>
      </c>
      <c r="C1882" s="4" t="n">
        <v>2290</v>
      </c>
      <c r="D1882" s="4" t="n">
        <v>143</v>
      </c>
      <c r="E1882" s="13" t="n">
        <v>45387</v>
      </c>
      <c r="F1882" s="4" t="s">
        <v>3192</v>
      </c>
      <c r="G1882" s="4" t="str">
        <f aca="false">INDEX(PurchaseOrders!$B$2:$B$3001,MATCH(B1882,PurchaseOrders!$A$2:$A$3001,0))</f>
        <v>V003</v>
      </c>
    </row>
    <row r="1883" customFormat="false" ht="15" hidden="false" customHeight="true" outlineLevel="0" collapsed="false">
      <c r="A1883" s="4" t="s">
        <v>5070</v>
      </c>
      <c r="B1883" s="4" t="s">
        <v>2059</v>
      </c>
      <c r="C1883" s="4" t="n">
        <v>1181</v>
      </c>
      <c r="D1883" s="4" t="n">
        <v>84</v>
      </c>
      <c r="E1883" s="13" t="n">
        <v>45065</v>
      </c>
      <c r="F1883" s="4" t="s">
        <v>3192</v>
      </c>
      <c r="G1883" s="4" t="str">
        <f aca="false">INDEX(PurchaseOrders!$B$2:$B$3001,MATCH(B1883,PurchaseOrders!$A$2:$A$3001,0))</f>
        <v>V011</v>
      </c>
    </row>
    <row r="1884" customFormat="false" ht="15" hidden="false" customHeight="true" outlineLevel="0" collapsed="false">
      <c r="A1884" s="4" t="s">
        <v>5071</v>
      </c>
      <c r="B1884" s="4" t="s">
        <v>2060</v>
      </c>
      <c r="C1884" s="4" t="n">
        <v>354</v>
      </c>
      <c r="D1884" s="4" t="n">
        <v>39</v>
      </c>
      <c r="E1884" s="13" t="n">
        <v>45527</v>
      </c>
      <c r="F1884" s="4" t="s">
        <v>3186</v>
      </c>
      <c r="G1884" s="4" t="str">
        <f aca="false">INDEX(PurchaseOrders!$B$2:$B$3001,MATCH(B1884,PurchaseOrders!$A$2:$A$3001,0))</f>
        <v>V055</v>
      </c>
    </row>
    <row r="1885" customFormat="false" ht="15" hidden="false" customHeight="true" outlineLevel="0" collapsed="false">
      <c r="A1885" s="4" t="s">
        <v>5072</v>
      </c>
      <c r="B1885" s="4" t="s">
        <v>2061</v>
      </c>
      <c r="C1885" s="4" t="n">
        <v>1928</v>
      </c>
      <c r="D1885" s="4" t="n">
        <v>0</v>
      </c>
      <c r="E1885" s="13" t="n">
        <v>45186</v>
      </c>
      <c r="F1885" s="4"/>
      <c r="G1885" s="4" t="str">
        <f aca="false">INDEX(PurchaseOrders!$B$2:$B$3001,MATCH(B1885,PurchaseOrders!$A$2:$A$3001,0))</f>
        <v>V020</v>
      </c>
    </row>
    <row r="1886" customFormat="false" ht="15" hidden="false" customHeight="true" outlineLevel="0" collapsed="false">
      <c r="A1886" s="4" t="s">
        <v>5073</v>
      </c>
      <c r="B1886" s="4" t="s">
        <v>2062</v>
      </c>
      <c r="C1886" s="4" t="n">
        <v>7</v>
      </c>
      <c r="D1886" s="4" t="n">
        <v>1</v>
      </c>
      <c r="E1886" s="13" t="n">
        <v>45225</v>
      </c>
      <c r="F1886" s="4" t="s">
        <v>3192</v>
      </c>
      <c r="G1886" s="4" t="str">
        <f aca="false">INDEX(PurchaseOrders!$B$2:$B$3001,MATCH(B1886,PurchaseOrders!$A$2:$A$3001,0))</f>
        <v>V042</v>
      </c>
    </row>
    <row r="1887" customFormat="false" ht="15" hidden="false" customHeight="true" outlineLevel="0" collapsed="false">
      <c r="A1887" s="4" t="s">
        <v>5074</v>
      </c>
      <c r="B1887" s="4" t="s">
        <v>2063</v>
      </c>
      <c r="C1887" s="4" t="n">
        <v>3605</v>
      </c>
      <c r="D1887" s="4" t="n">
        <v>132</v>
      </c>
      <c r="E1887" s="13" t="n">
        <v>45018</v>
      </c>
      <c r="F1887" s="4" t="s">
        <v>3186</v>
      </c>
      <c r="G1887" s="4" t="str">
        <f aca="false">INDEX(PurchaseOrders!$B$2:$B$3001,MATCH(B1887,PurchaseOrders!$A$2:$A$3001,0))</f>
        <v>V003</v>
      </c>
    </row>
    <row r="1888" customFormat="false" ht="15" hidden="false" customHeight="true" outlineLevel="0" collapsed="false">
      <c r="A1888" s="4" t="s">
        <v>5075</v>
      </c>
      <c r="B1888" s="4" t="s">
        <v>2064</v>
      </c>
      <c r="C1888" s="4" t="n">
        <v>213</v>
      </c>
      <c r="D1888" s="4" t="n">
        <v>22</v>
      </c>
      <c r="E1888" s="13" t="n">
        <v>45445</v>
      </c>
      <c r="F1888" s="4" t="s">
        <v>3190</v>
      </c>
      <c r="G1888" s="4" t="str">
        <f aca="false">INDEX(PurchaseOrders!$B$2:$B$3001,MATCH(B1888,PurchaseOrders!$A$2:$A$3001,0))</f>
        <v>V043</v>
      </c>
    </row>
    <row r="1889" customFormat="false" ht="15" hidden="false" customHeight="true" outlineLevel="0" collapsed="false">
      <c r="A1889" s="4" t="s">
        <v>5076</v>
      </c>
      <c r="B1889" s="4" t="s">
        <v>2065</v>
      </c>
      <c r="C1889" s="4" t="n">
        <v>436</v>
      </c>
      <c r="D1889" s="4" t="n">
        <v>0</v>
      </c>
      <c r="E1889" s="13" t="n">
        <v>45188</v>
      </c>
      <c r="F1889" s="4"/>
      <c r="G1889" s="4" t="str">
        <f aca="false">INDEX(PurchaseOrders!$B$2:$B$3001,MATCH(B1889,PurchaseOrders!$A$2:$A$3001,0))</f>
        <v>V047</v>
      </c>
    </row>
    <row r="1890" customFormat="false" ht="15" hidden="false" customHeight="true" outlineLevel="0" collapsed="false">
      <c r="A1890" s="4" t="s">
        <v>5077</v>
      </c>
      <c r="B1890" s="4" t="s">
        <v>2066</v>
      </c>
      <c r="C1890" s="4" t="n">
        <v>47</v>
      </c>
      <c r="D1890" s="4" t="n">
        <v>3</v>
      </c>
      <c r="E1890" s="13" t="n">
        <v>45361</v>
      </c>
      <c r="F1890" s="4" t="s">
        <v>3190</v>
      </c>
      <c r="G1890" s="4" t="str">
        <f aca="false">INDEX(PurchaseOrders!$B$2:$B$3001,MATCH(B1890,PurchaseOrders!$A$2:$A$3001,0))</f>
        <v>V009</v>
      </c>
    </row>
    <row r="1891" customFormat="false" ht="15" hidden="false" customHeight="true" outlineLevel="0" collapsed="false">
      <c r="A1891" s="4" t="s">
        <v>5078</v>
      </c>
      <c r="B1891" s="4" t="s">
        <v>2067</v>
      </c>
      <c r="C1891" s="4" t="n">
        <v>4716</v>
      </c>
      <c r="D1891" s="4" t="n">
        <v>221</v>
      </c>
      <c r="E1891" s="13" t="n">
        <v>45341</v>
      </c>
      <c r="F1891" s="4" t="s">
        <v>3192</v>
      </c>
      <c r="G1891" s="4" t="str">
        <f aca="false">INDEX(PurchaseOrders!$B$2:$B$3001,MATCH(B1891,PurchaseOrders!$A$2:$A$3001,0))</f>
        <v>V003</v>
      </c>
    </row>
    <row r="1892" customFormat="false" ht="15" hidden="false" customHeight="true" outlineLevel="0" collapsed="false">
      <c r="A1892" s="4" t="s">
        <v>5079</v>
      </c>
      <c r="B1892" s="4" t="s">
        <v>2068</v>
      </c>
      <c r="C1892" s="4" t="n">
        <v>336</v>
      </c>
      <c r="D1892" s="4" t="n">
        <v>12</v>
      </c>
      <c r="E1892" s="13" t="n">
        <v>45547</v>
      </c>
      <c r="F1892" s="4" t="s">
        <v>3192</v>
      </c>
      <c r="G1892" s="4" t="str">
        <f aca="false">INDEX(PurchaseOrders!$B$2:$B$3001,MATCH(B1892,PurchaseOrders!$A$2:$A$3001,0))</f>
        <v>V033</v>
      </c>
    </row>
    <row r="1893" customFormat="false" ht="15" hidden="false" customHeight="true" outlineLevel="0" collapsed="false">
      <c r="A1893" s="4" t="s">
        <v>5080</v>
      </c>
      <c r="B1893" s="4" t="s">
        <v>2069</v>
      </c>
      <c r="C1893" s="4" t="n">
        <v>1963</v>
      </c>
      <c r="D1893" s="4" t="n">
        <v>255</v>
      </c>
      <c r="E1893" s="13" t="n">
        <v>45639</v>
      </c>
      <c r="F1893" s="4" t="s">
        <v>3186</v>
      </c>
      <c r="G1893" s="4" t="str">
        <f aca="false">INDEX(PurchaseOrders!$B$2:$B$3001,MATCH(B1893,PurchaseOrders!$A$2:$A$3001,0))</f>
        <v>V044</v>
      </c>
    </row>
    <row r="1894" customFormat="false" ht="15" hidden="false" customHeight="true" outlineLevel="0" collapsed="false">
      <c r="A1894" s="4" t="s">
        <v>5081</v>
      </c>
      <c r="B1894" s="4" t="s">
        <v>2070</v>
      </c>
      <c r="C1894" s="4" t="n">
        <v>4273</v>
      </c>
      <c r="D1894" s="4" t="n">
        <v>293</v>
      </c>
      <c r="E1894" s="13" t="n">
        <v>45123</v>
      </c>
      <c r="F1894" s="4" t="s">
        <v>3184</v>
      </c>
      <c r="G1894" s="4" t="str">
        <f aca="false">INDEX(PurchaseOrders!$B$2:$B$3001,MATCH(B1894,PurchaseOrders!$A$2:$A$3001,0))</f>
        <v>V017</v>
      </c>
    </row>
    <row r="1895" customFormat="false" ht="15" hidden="false" customHeight="true" outlineLevel="0" collapsed="false">
      <c r="A1895" s="4" t="s">
        <v>5082</v>
      </c>
      <c r="B1895" s="4" t="s">
        <v>2071</v>
      </c>
      <c r="C1895" s="4" t="n">
        <v>145</v>
      </c>
      <c r="D1895" s="4" t="n">
        <v>0</v>
      </c>
      <c r="E1895" s="13" t="n">
        <v>45347</v>
      </c>
      <c r="F1895" s="4"/>
      <c r="G1895" s="4" t="str">
        <f aca="false">INDEX(PurchaseOrders!$B$2:$B$3001,MATCH(B1895,PurchaseOrders!$A$2:$A$3001,0))</f>
        <v>V008</v>
      </c>
    </row>
    <row r="1896" customFormat="false" ht="15" hidden="false" customHeight="true" outlineLevel="0" collapsed="false">
      <c r="A1896" s="4" t="s">
        <v>5083</v>
      </c>
      <c r="B1896" s="4" t="s">
        <v>2072</v>
      </c>
      <c r="C1896" s="4" t="n">
        <v>154</v>
      </c>
      <c r="D1896" s="4" t="n">
        <v>18</v>
      </c>
      <c r="E1896" s="13" t="n">
        <v>45252</v>
      </c>
      <c r="F1896" s="4" t="s">
        <v>3188</v>
      </c>
      <c r="G1896" s="4" t="str">
        <f aca="false">INDEX(PurchaseOrders!$B$2:$B$3001,MATCH(B1896,PurchaseOrders!$A$2:$A$3001,0))</f>
        <v>V036</v>
      </c>
    </row>
    <row r="1897" customFormat="false" ht="15" hidden="false" customHeight="true" outlineLevel="0" collapsed="false">
      <c r="A1897" s="4" t="s">
        <v>5084</v>
      </c>
      <c r="B1897" s="4" t="s">
        <v>2073</v>
      </c>
      <c r="C1897" s="4" t="n">
        <v>360</v>
      </c>
      <c r="D1897" s="4" t="n">
        <v>13</v>
      </c>
      <c r="E1897" s="13" t="n">
        <v>45022</v>
      </c>
      <c r="F1897" s="4" t="s">
        <v>3184</v>
      </c>
      <c r="G1897" s="4" t="str">
        <f aca="false">INDEX(PurchaseOrders!$B$2:$B$3001,MATCH(B1897,PurchaseOrders!$A$2:$A$3001,0))</f>
        <v>V018</v>
      </c>
    </row>
    <row r="1898" customFormat="false" ht="15" hidden="false" customHeight="true" outlineLevel="0" collapsed="false">
      <c r="A1898" s="4" t="s">
        <v>5085</v>
      </c>
      <c r="B1898" s="4" t="s">
        <v>2074</v>
      </c>
      <c r="C1898" s="4" t="n">
        <v>1108</v>
      </c>
      <c r="D1898" s="4" t="n">
        <v>55</v>
      </c>
      <c r="E1898" s="13" t="n">
        <v>45250</v>
      </c>
      <c r="F1898" s="4" t="s">
        <v>3188</v>
      </c>
      <c r="G1898" s="4" t="str">
        <f aca="false">INDEX(PurchaseOrders!$B$2:$B$3001,MATCH(B1898,PurchaseOrders!$A$2:$A$3001,0))</f>
        <v>V001</v>
      </c>
    </row>
    <row r="1899" customFormat="false" ht="15" hidden="false" customHeight="true" outlineLevel="0" collapsed="false">
      <c r="A1899" s="4" t="s">
        <v>5086</v>
      </c>
      <c r="B1899" s="4" t="s">
        <v>2075</v>
      </c>
      <c r="C1899" s="4" t="n">
        <v>1226</v>
      </c>
      <c r="D1899" s="4" t="n">
        <v>101</v>
      </c>
      <c r="E1899" s="13" t="n">
        <v>45265</v>
      </c>
      <c r="F1899" s="4" t="s">
        <v>3192</v>
      </c>
      <c r="G1899" s="4" t="str">
        <f aca="false">INDEX(PurchaseOrders!$B$2:$B$3001,MATCH(B1899,PurchaseOrders!$A$2:$A$3001,0))</f>
        <v>V027</v>
      </c>
    </row>
    <row r="1900" customFormat="false" ht="15" hidden="false" customHeight="true" outlineLevel="0" collapsed="false">
      <c r="A1900" s="4" t="s">
        <v>5087</v>
      </c>
      <c r="B1900" s="4" t="s">
        <v>2076</v>
      </c>
      <c r="C1900" s="4" t="n">
        <v>3280</v>
      </c>
      <c r="D1900" s="4" t="n">
        <v>188</v>
      </c>
      <c r="E1900" s="13" t="n">
        <v>45006</v>
      </c>
      <c r="F1900" s="4" t="s">
        <v>3186</v>
      </c>
      <c r="G1900" s="4" t="str">
        <f aca="false">INDEX(PurchaseOrders!$B$2:$B$3001,MATCH(B1900,PurchaseOrders!$A$2:$A$3001,0))</f>
        <v>V056</v>
      </c>
    </row>
    <row r="1901" customFormat="false" ht="15" hidden="false" customHeight="true" outlineLevel="0" collapsed="false">
      <c r="A1901" s="4" t="s">
        <v>5088</v>
      </c>
      <c r="B1901" s="4" t="s">
        <v>2077</v>
      </c>
      <c r="C1901" s="4" t="n">
        <v>2151</v>
      </c>
      <c r="D1901" s="4" t="n">
        <v>93</v>
      </c>
      <c r="E1901" s="13" t="n">
        <v>45157</v>
      </c>
      <c r="F1901" s="4" t="s">
        <v>3184</v>
      </c>
      <c r="G1901" s="4" t="str">
        <f aca="false">INDEX(PurchaseOrders!$B$2:$B$3001,MATCH(B1901,PurchaseOrders!$A$2:$A$3001,0))</f>
        <v>V001</v>
      </c>
    </row>
    <row r="1902" customFormat="false" ht="15" hidden="false" customHeight="true" outlineLevel="0" collapsed="false">
      <c r="A1902" s="4" t="s">
        <v>5089</v>
      </c>
      <c r="B1902" s="4" t="s">
        <v>2078</v>
      </c>
      <c r="C1902" s="4" t="n">
        <v>2920</v>
      </c>
      <c r="D1902" s="4" t="n">
        <v>0</v>
      </c>
      <c r="E1902" s="13" t="n">
        <v>45114</v>
      </c>
      <c r="F1902" s="4"/>
      <c r="G1902" s="4" t="str">
        <f aca="false">INDEX(PurchaseOrders!$B$2:$B$3001,MATCH(B1902,PurchaseOrders!$A$2:$A$3001,0))</f>
        <v>V015</v>
      </c>
    </row>
    <row r="1903" customFormat="false" ht="15" hidden="false" customHeight="true" outlineLevel="0" collapsed="false">
      <c r="A1903" s="4" t="s">
        <v>5090</v>
      </c>
      <c r="B1903" s="4" t="s">
        <v>2079</v>
      </c>
      <c r="C1903" s="4" t="n">
        <v>487</v>
      </c>
      <c r="D1903" s="4" t="n">
        <v>116</v>
      </c>
      <c r="E1903" s="13" t="n">
        <v>45641</v>
      </c>
      <c r="F1903" s="4" t="s">
        <v>3192</v>
      </c>
      <c r="G1903" s="4" t="str">
        <f aca="false">INDEX(PurchaseOrders!$B$2:$B$3001,MATCH(B1903,PurchaseOrders!$A$2:$A$3001,0))</f>
        <v>V039</v>
      </c>
    </row>
    <row r="1904" customFormat="false" ht="15" hidden="false" customHeight="true" outlineLevel="0" collapsed="false">
      <c r="A1904" s="4" t="s">
        <v>5091</v>
      </c>
      <c r="B1904" s="4" t="s">
        <v>2080</v>
      </c>
      <c r="C1904" s="4" t="n">
        <v>181</v>
      </c>
      <c r="D1904" s="4" t="n">
        <v>13</v>
      </c>
      <c r="E1904" s="13" t="n">
        <v>45373</v>
      </c>
      <c r="F1904" s="4" t="s">
        <v>3184</v>
      </c>
      <c r="G1904" s="4" t="str">
        <f aca="false">INDEX(PurchaseOrders!$B$2:$B$3001,MATCH(B1904,PurchaseOrders!$A$2:$A$3001,0))</f>
        <v>V030</v>
      </c>
    </row>
    <row r="1905" customFormat="false" ht="15" hidden="false" customHeight="true" outlineLevel="0" collapsed="false">
      <c r="A1905" s="4" t="s">
        <v>5092</v>
      </c>
      <c r="B1905" s="4" t="s">
        <v>2081</v>
      </c>
      <c r="C1905" s="4" t="n">
        <v>752</v>
      </c>
      <c r="D1905" s="4" t="n">
        <v>13</v>
      </c>
      <c r="E1905" s="13" t="n">
        <v>45090</v>
      </c>
      <c r="F1905" s="4" t="s">
        <v>3188</v>
      </c>
      <c r="G1905" s="4" t="str">
        <f aca="false">INDEX(PurchaseOrders!$B$2:$B$3001,MATCH(B1905,PurchaseOrders!$A$2:$A$3001,0))</f>
        <v>V002</v>
      </c>
    </row>
    <row r="1906" customFormat="false" ht="15" hidden="false" customHeight="true" outlineLevel="0" collapsed="false">
      <c r="A1906" s="4" t="s">
        <v>5093</v>
      </c>
      <c r="B1906" s="4" t="s">
        <v>2082</v>
      </c>
      <c r="C1906" s="4" t="n">
        <v>690</v>
      </c>
      <c r="D1906" s="4" t="n">
        <v>1</v>
      </c>
      <c r="E1906" s="13" t="n">
        <v>45286</v>
      </c>
      <c r="F1906" s="4" t="s">
        <v>3190</v>
      </c>
      <c r="G1906" s="4" t="str">
        <f aca="false">INDEX(PurchaseOrders!$B$2:$B$3001,MATCH(B1906,PurchaseOrders!$A$2:$A$3001,0))</f>
        <v>V035</v>
      </c>
    </row>
    <row r="1907" customFormat="false" ht="15" hidden="false" customHeight="true" outlineLevel="0" collapsed="false">
      <c r="A1907" s="4" t="s">
        <v>5094</v>
      </c>
      <c r="B1907" s="4" t="s">
        <v>2083</v>
      </c>
      <c r="C1907" s="4" t="n">
        <v>163</v>
      </c>
      <c r="D1907" s="4" t="n">
        <v>14</v>
      </c>
      <c r="E1907" s="13" t="n">
        <v>45533</v>
      </c>
      <c r="F1907" s="4" t="s">
        <v>3192</v>
      </c>
      <c r="G1907" s="4" t="str">
        <f aca="false">INDEX(PurchaseOrders!$B$2:$B$3001,MATCH(B1907,PurchaseOrders!$A$2:$A$3001,0))</f>
        <v>V043</v>
      </c>
    </row>
    <row r="1908" customFormat="false" ht="15" hidden="false" customHeight="true" outlineLevel="0" collapsed="false">
      <c r="A1908" s="4" t="s">
        <v>5095</v>
      </c>
      <c r="B1908" s="4" t="s">
        <v>2084</v>
      </c>
      <c r="C1908" s="4" t="n">
        <v>11</v>
      </c>
      <c r="D1908" s="4" t="n">
        <v>1</v>
      </c>
      <c r="E1908" s="13" t="n">
        <v>45643</v>
      </c>
      <c r="F1908" s="4" t="s">
        <v>3190</v>
      </c>
      <c r="G1908" s="4" t="str">
        <f aca="false">INDEX(PurchaseOrders!$B$2:$B$3001,MATCH(B1908,PurchaseOrders!$A$2:$A$3001,0))</f>
        <v>V041</v>
      </c>
    </row>
    <row r="1909" customFormat="false" ht="15" hidden="false" customHeight="true" outlineLevel="0" collapsed="false">
      <c r="A1909" s="4" t="s">
        <v>5096</v>
      </c>
      <c r="B1909" s="4" t="s">
        <v>2085</v>
      </c>
      <c r="C1909" s="4" t="n">
        <v>1086</v>
      </c>
      <c r="D1909" s="4" t="n">
        <v>56</v>
      </c>
      <c r="E1909" s="13" t="n">
        <v>44982</v>
      </c>
      <c r="F1909" s="4" t="s">
        <v>3192</v>
      </c>
      <c r="G1909" s="4" t="str">
        <f aca="false">INDEX(PurchaseOrders!$B$2:$B$3001,MATCH(B1909,PurchaseOrders!$A$2:$A$3001,0))</f>
        <v>V021</v>
      </c>
    </row>
    <row r="1910" customFormat="false" ht="15" hidden="false" customHeight="true" outlineLevel="0" collapsed="false">
      <c r="A1910" s="4" t="s">
        <v>5097</v>
      </c>
      <c r="B1910" s="4" t="s">
        <v>2086</v>
      </c>
      <c r="C1910" s="4" t="n">
        <v>3</v>
      </c>
      <c r="D1910" s="4" t="n">
        <v>0</v>
      </c>
      <c r="E1910" s="13" t="n">
        <v>45117</v>
      </c>
      <c r="F1910" s="4"/>
      <c r="G1910" s="4" t="str">
        <f aca="false">INDEX(PurchaseOrders!$B$2:$B$3001,MATCH(B1910,PurchaseOrders!$A$2:$A$3001,0))</f>
        <v>V054</v>
      </c>
    </row>
    <row r="1911" customFormat="false" ht="15" hidden="false" customHeight="true" outlineLevel="0" collapsed="false">
      <c r="A1911" s="4" t="s">
        <v>5098</v>
      </c>
      <c r="B1911" s="4" t="s">
        <v>2087</v>
      </c>
      <c r="C1911" s="4" t="n">
        <v>1072</v>
      </c>
      <c r="D1911" s="4" t="n">
        <v>58</v>
      </c>
      <c r="E1911" s="13" t="n">
        <v>45649</v>
      </c>
      <c r="F1911" s="4" t="s">
        <v>3202</v>
      </c>
      <c r="G1911" s="4" t="str">
        <f aca="false">INDEX(PurchaseOrders!$B$2:$B$3001,MATCH(B1911,PurchaseOrders!$A$2:$A$3001,0))</f>
        <v>V034</v>
      </c>
    </row>
    <row r="1912" customFormat="false" ht="15" hidden="false" customHeight="true" outlineLevel="0" collapsed="false">
      <c r="A1912" s="4" t="s">
        <v>5099</v>
      </c>
      <c r="B1912" s="4" t="s">
        <v>2088</v>
      </c>
      <c r="C1912" s="4" t="n">
        <v>62</v>
      </c>
      <c r="D1912" s="4" t="n">
        <v>1</v>
      </c>
      <c r="E1912" s="13" t="n">
        <v>45135</v>
      </c>
      <c r="F1912" s="4" t="s">
        <v>3192</v>
      </c>
      <c r="G1912" s="4" t="str">
        <f aca="false">INDEX(PurchaseOrders!$B$2:$B$3001,MATCH(B1912,PurchaseOrders!$A$2:$A$3001,0))</f>
        <v>V008</v>
      </c>
    </row>
    <row r="1913" customFormat="false" ht="15" hidden="false" customHeight="true" outlineLevel="0" collapsed="false">
      <c r="A1913" s="4" t="s">
        <v>5100</v>
      </c>
      <c r="B1913" s="4" t="s">
        <v>2089</v>
      </c>
      <c r="C1913" s="4" t="n">
        <v>2</v>
      </c>
      <c r="D1913" s="4" t="n">
        <v>0</v>
      </c>
      <c r="E1913" s="13" t="n">
        <v>45330</v>
      </c>
      <c r="F1913" s="4"/>
      <c r="G1913" s="4" t="str">
        <f aca="false">INDEX(PurchaseOrders!$B$2:$B$3001,MATCH(B1913,PurchaseOrders!$A$2:$A$3001,0))</f>
        <v>V019</v>
      </c>
    </row>
    <row r="1914" customFormat="false" ht="15" hidden="false" customHeight="true" outlineLevel="0" collapsed="false">
      <c r="A1914" s="4" t="s">
        <v>5101</v>
      </c>
      <c r="B1914" s="4" t="s">
        <v>2090</v>
      </c>
      <c r="C1914" s="4" t="n">
        <v>159</v>
      </c>
      <c r="D1914" s="4" t="n">
        <v>6</v>
      </c>
      <c r="E1914" s="13" t="n">
        <v>45327</v>
      </c>
      <c r="F1914" s="4" t="s">
        <v>3188</v>
      </c>
      <c r="G1914" s="4" t="str">
        <f aca="false">INDEX(PurchaseOrders!$B$2:$B$3001,MATCH(B1914,PurchaseOrders!$A$2:$A$3001,0))</f>
        <v>V043</v>
      </c>
    </row>
    <row r="1915" customFormat="false" ht="15" hidden="false" customHeight="true" outlineLevel="0" collapsed="false">
      <c r="A1915" s="4" t="s">
        <v>5102</v>
      </c>
      <c r="B1915" s="4" t="s">
        <v>2091</v>
      </c>
      <c r="C1915" s="4" t="n">
        <v>14</v>
      </c>
      <c r="D1915" s="4" t="n">
        <v>1</v>
      </c>
      <c r="E1915" s="13" t="n">
        <v>45238</v>
      </c>
      <c r="F1915" s="4" t="s">
        <v>3192</v>
      </c>
      <c r="G1915" s="4" t="str">
        <f aca="false">INDEX(PurchaseOrders!$B$2:$B$3001,MATCH(B1915,PurchaseOrders!$A$2:$A$3001,0))</f>
        <v>V023</v>
      </c>
    </row>
    <row r="1916" customFormat="false" ht="15" hidden="false" customHeight="true" outlineLevel="0" collapsed="false">
      <c r="A1916" s="4" t="s">
        <v>5103</v>
      </c>
      <c r="B1916" s="4" t="s">
        <v>2092</v>
      </c>
      <c r="C1916" s="4" t="n">
        <v>420</v>
      </c>
      <c r="D1916" s="4" t="n">
        <v>0</v>
      </c>
      <c r="E1916" s="13" t="n">
        <v>45230</v>
      </c>
      <c r="F1916" s="4"/>
      <c r="G1916" s="4" t="str">
        <f aca="false">INDEX(PurchaseOrders!$B$2:$B$3001,MATCH(B1916,PurchaseOrders!$A$2:$A$3001,0))</f>
        <v>V024</v>
      </c>
    </row>
    <row r="1917" customFormat="false" ht="15" hidden="false" customHeight="true" outlineLevel="0" collapsed="false">
      <c r="A1917" s="4" t="s">
        <v>5104</v>
      </c>
      <c r="B1917" s="4" t="s">
        <v>2093</v>
      </c>
      <c r="C1917" s="4" t="n">
        <v>390</v>
      </c>
      <c r="D1917" s="4" t="n">
        <v>11</v>
      </c>
      <c r="E1917" s="13" t="n">
        <v>45528</v>
      </c>
      <c r="F1917" s="4" t="s">
        <v>3184</v>
      </c>
      <c r="G1917" s="4" t="str">
        <f aca="false">INDEX(PurchaseOrders!$B$2:$B$3001,MATCH(B1917,PurchaseOrders!$A$2:$A$3001,0))</f>
        <v>V004</v>
      </c>
    </row>
    <row r="1918" customFormat="false" ht="15" hidden="false" customHeight="true" outlineLevel="0" collapsed="false">
      <c r="A1918" s="4" t="s">
        <v>5105</v>
      </c>
      <c r="B1918" s="4" t="s">
        <v>2094</v>
      </c>
      <c r="C1918" s="4" t="n">
        <v>190</v>
      </c>
      <c r="D1918" s="4" t="n">
        <v>23</v>
      </c>
      <c r="E1918" s="13" t="n">
        <v>45451</v>
      </c>
      <c r="F1918" s="4" t="s">
        <v>3190</v>
      </c>
      <c r="G1918" s="4" t="str">
        <f aca="false">INDEX(PurchaseOrders!$B$2:$B$3001,MATCH(B1918,PurchaseOrders!$A$2:$A$3001,0))</f>
        <v>V055</v>
      </c>
    </row>
    <row r="1919" customFormat="false" ht="15" hidden="false" customHeight="true" outlineLevel="0" collapsed="false">
      <c r="A1919" s="4" t="s">
        <v>5106</v>
      </c>
      <c r="B1919" s="4" t="s">
        <v>2095</v>
      </c>
      <c r="C1919" s="4" t="n">
        <v>362</v>
      </c>
      <c r="D1919" s="4" t="n">
        <v>0</v>
      </c>
      <c r="E1919" s="13" t="n">
        <v>45386</v>
      </c>
      <c r="F1919" s="4"/>
      <c r="G1919" s="4" t="str">
        <f aca="false">INDEX(PurchaseOrders!$B$2:$B$3001,MATCH(B1919,PurchaseOrders!$A$2:$A$3001,0))</f>
        <v>V008</v>
      </c>
    </row>
    <row r="1920" customFormat="false" ht="15" hidden="false" customHeight="true" outlineLevel="0" collapsed="false">
      <c r="A1920" s="4" t="s">
        <v>5107</v>
      </c>
      <c r="B1920" s="4" t="s">
        <v>2096</v>
      </c>
      <c r="C1920" s="4" t="n">
        <v>224</v>
      </c>
      <c r="D1920" s="4" t="n">
        <v>7</v>
      </c>
      <c r="E1920" s="13" t="n">
        <v>45531</v>
      </c>
      <c r="F1920" s="4" t="s">
        <v>3186</v>
      </c>
      <c r="G1920" s="4" t="str">
        <f aca="false">INDEX(PurchaseOrders!$B$2:$B$3001,MATCH(B1920,PurchaseOrders!$A$2:$A$3001,0))</f>
        <v>V024</v>
      </c>
    </row>
    <row r="1921" customFormat="false" ht="15" hidden="false" customHeight="true" outlineLevel="0" collapsed="false">
      <c r="A1921" s="4" t="s">
        <v>5108</v>
      </c>
      <c r="B1921" s="4" t="s">
        <v>2097</v>
      </c>
      <c r="C1921" s="4" t="n">
        <v>2073</v>
      </c>
      <c r="D1921" s="4" t="n">
        <v>98</v>
      </c>
      <c r="E1921" s="13" t="n">
        <v>45585</v>
      </c>
      <c r="F1921" s="4" t="s">
        <v>3184</v>
      </c>
      <c r="G1921" s="4" t="str">
        <f aca="false">INDEX(PurchaseOrders!$B$2:$B$3001,MATCH(B1921,PurchaseOrders!$A$2:$A$3001,0))</f>
        <v>V001</v>
      </c>
    </row>
    <row r="1922" customFormat="false" ht="15" hidden="false" customHeight="true" outlineLevel="0" collapsed="false">
      <c r="A1922" s="4" t="s">
        <v>5109</v>
      </c>
      <c r="B1922" s="4" t="s">
        <v>2098</v>
      </c>
      <c r="C1922" s="4" t="n">
        <v>288</v>
      </c>
      <c r="D1922" s="4" t="n">
        <v>13</v>
      </c>
      <c r="E1922" s="13" t="n">
        <v>45313</v>
      </c>
      <c r="F1922" s="4" t="s">
        <v>3186</v>
      </c>
      <c r="G1922" s="4" t="str">
        <f aca="false">INDEX(PurchaseOrders!$B$2:$B$3001,MATCH(B1922,PurchaseOrders!$A$2:$A$3001,0))</f>
        <v>V021</v>
      </c>
    </row>
    <row r="1923" customFormat="false" ht="15" hidden="false" customHeight="true" outlineLevel="0" collapsed="false">
      <c r="A1923" s="4" t="s">
        <v>5110</v>
      </c>
      <c r="B1923" s="4" t="s">
        <v>2099</v>
      </c>
      <c r="C1923" s="4" t="n">
        <v>3633</v>
      </c>
      <c r="D1923" s="4" t="n">
        <v>348</v>
      </c>
      <c r="E1923" s="13" t="n">
        <v>45053</v>
      </c>
      <c r="F1923" s="4" t="s">
        <v>3190</v>
      </c>
      <c r="G1923" s="4" t="str">
        <f aca="false">INDEX(PurchaseOrders!$B$2:$B$3001,MATCH(B1923,PurchaseOrders!$A$2:$A$3001,0))</f>
        <v>V032</v>
      </c>
    </row>
    <row r="1924" customFormat="false" ht="15" hidden="false" customHeight="true" outlineLevel="0" collapsed="false">
      <c r="A1924" s="4" t="s">
        <v>5111</v>
      </c>
      <c r="B1924" s="4" t="s">
        <v>2100</v>
      </c>
      <c r="C1924" s="4" t="n">
        <v>7</v>
      </c>
      <c r="D1924" s="4" t="n">
        <v>1</v>
      </c>
      <c r="E1924" s="13" t="n">
        <v>45503</v>
      </c>
      <c r="F1924" s="4" t="s">
        <v>3192</v>
      </c>
      <c r="G1924" s="4" t="str">
        <f aca="false">INDEX(PurchaseOrders!$B$2:$B$3001,MATCH(B1924,PurchaseOrders!$A$2:$A$3001,0))</f>
        <v>V053</v>
      </c>
    </row>
    <row r="1925" customFormat="false" ht="15" hidden="false" customHeight="true" outlineLevel="0" collapsed="false">
      <c r="A1925" s="4" t="s">
        <v>5112</v>
      </c>
      <c r="B1925" s="4" t="s">
        <v>2101</v>
      </c>
      <c r="C1925" s="4" t="n">
        <v>276</v>
      </c>
      <c r="D1925" s="4" t="n">
        <v>29</v>
      </c>
      <c r="E1925" s="13" t="n">
        <v>45201</v>
      </c>
      <c r="F1925" s="4" t="s">
        <v>3192</v>
      </c>
      <c r="G1925" s="4" t="str">
        <f aca="false">INDEX(PurchaseOrders!$B$2:$B$3001,MATCH(B1925,PurchaseOrders!$A$2:$A$3001,0))</f>
        <v>V049</v>
      </c>
    </row>
    <row r="1926" customFormat="false" ht="15" hidden="false" customHeight="true" outlineLevel="0" collapsed="false">
      <c r="A1926" s="4" t="s">
        <v>5113</v>
      </c>
      <c r="B1926" s="4" t="s">
        <v>2102</v>
      </c>
      <c r="C1926" s="4" t="n">
        <v>222</v>
      </c>
      <c r="D1926" s="4" t="n">
        <v>1</v>
      </c>
      <c r="E1926" s="13" t="n">
        <v>45461</v>
      </c>
      <c r="F1926" s="4" t="s">
        <v>3186</v>
      </c>
      <c r="G1926" s="4" t="str">
        <f aca="false">INDEX(PurchaseOrders!$B$2:$B$3001,MATCH(B1926,PurchaseOrders!$A$2:$A$3001,0))</f>
        <v>V029</v>
      </c>
    </row>
    <row r="1927" customFormat="false" ht="15" hidden="false" customHeight="true" outlineLevel="0" collapsed="false">
      <c r="A1927" s="4" t="s">
        <v>5114</v>
      </c>
      <c r="B1927" s="4" t="s">
        <v>2103</v>
      </c>
      <c r="C1927" s="4" t="n">
        <v>3136</v>
      </c>
      <c r="D1927" s="4" t="n">
        <v>262</v>
      </c>
      <c r="E1927" s="13" t="n">
        <v>45612</v>
      </c>
      <c r="F1927" s="4" t="s">
        <v>3186</v>
      </c>
      <c r="G1927" s="4" t="str">
        <f aca="false">INDEX(PurchaseOrders!$B$2:$B$3001,MATCH(B1927,PurchaseOrders!$A$2:$A$3001,0))</f>
        <v>V032</v>
      </c>
    </row>
    <row r="1928" customFormat="false" ht="15" hidden="false" customHeight="true" outlineLevel="0" collapsed="false">
      <c r="A1928" s="4" t="s">
        <v>5115</v>
      </c>
      <c r="B1928" s="4" t="s">
        <v>2104</v>
      </c>
      <c r="C1928" s="4" t="n">
        <v>51</v>
      </c>
      <c r="D1928" s="4" t="n">
        <v>5</v>
      </c>
      <c r="E1928" s="13" t="n">
        <v>45374</v>
      </c>
      <c r="F1928" s="4" t="s">
        <v>3188</v>
      </c>
      <c r="G1928" s="4" t="str">
        <f aca="false">INDEX(PurchaseOrders!$B$2:$B$3001,MATCH(B1928,PurchaseOrders!$A$2:$A$3001,0))</f>
        <v>V030</v>
      </c>
    </row>
    <row r="1929" customFormat="false" ht="15" hidden="false" customHeight="true" outlineLevel="0" collapsed="false">
      <c r="A1929" s="4" t="s">
        <v>5116</v>
      </c>
      <c r="B1929" s="4" t="s">
        <v>2105</v>
      </c>
      <c r="C1929" s="4" t="n">
        <v>362</v>
      </c>
      <c r="D1929" s="4" t="n">
        <v>1</v>
      </c>
      <c r="E1929" s="13" t="n">
        <v>45309</v>
      </c>
      <c r="F1929" s="4" t="s">
        <v>3186</v>
      </c>
      <c r="G1929" s="4" t="str">
        <f aca="false">INDEX(PurchaseOrders!$B$2:$B$3001,MATCH(B1929,PurchaseOrders!$A$2:$A$3001,0))</f>
        <v>V035</v>
      </c>
    </row>
    <row r="1930" customFormat="false" ht="15" hidden="false" customHeight="true" outlineLevel="0" collapsed="false">
      <c r="A1930" s="4" t="s">
        <v>5117</v>
      </c>
      <c r="B1930" s="4" t="s">
        <v>2106</v>
      </c>
      <c r="C1930" s="4" t="n">
        <v>3355</v>
      </c>
      <c r="D1930" s="4" t="n">
        <v>186</v>
      </c>
      <c r="E1930" s="13" t="n">
        <v>45658</v>
      </c>
      <c r="F1930" s="4" t="s">
        <v>3202</v>
      </c>
      <c r="G1930" s="4" t="str">
        <f aca="false">INDEX(PurchaseOrders!$B$2:$B$3001,MATCH(B1930,PurchaseOrders!$A$2:$A$3001,0))</f>
        <v>V003</v>
      </c>
    </row>
    <row r="1931" customFormat="false" ht="15" hidden="false" customHeight="true" outlineLevel="0" collapsed="false">
      <c r="A1931" s="4" t="s">
        <v>5118</v>
      </c>
      <c r="B1931" s="4" t="s">
        <v>2107</v>
      </c>
      <c r="C1931" s="4" t="n">
        <v>3093</v>
      </c>
      <c r="D1931" s="4" t="n">
        <v>4</v>
      </c>
      <c r="E1931" s="13" t="n">
        <v>45557</v>
      </c>
      <c r="F1931" s="4" t="s">
        <v>3184</v>
      </c>
      <c r="G1931" s="4" t="str">
        <f aca="false">INDEX(PurchaseOrders!$B$2:$B$3001,MATCH(B1931,PurchaseOrders!$A$2:$A$3001,0))</f>
        <v>V015</v>
      </c>
    </row>
    <row r="1932" customFormat="false" ht="15" hidden="false" customHeight="true" outlineLevel="0" collapsed="false">
      <c r="A1932" s="4" t="s">
        <v>5119</v>
      </c>
      <c r="B1932" s="4" t="s">
        <v>2108</v>
      </c>
      <c r="C1932" s="4" t="n">
        <v>798</v>
      </c>
      <c r="D1932" s="4" t="n">
        <v>74</v>
      </c>
      <c r="E1932" s="13" t="n">
        <v>45560</v>
      </c>
      <c r="F1932" s="4" t="s">
        <v>3188</v>
      </c>
      <c r="G1932" s="4" t="str">
        <f aca="false">INDEX(PurchaseOrders!$B$2:$B$3001,MATCH(B1932,PurchaseOrders!$A$2:$A$3001,0))</f>
        <v>V001</v>
      </c>
    </row>
    <row r="1933" customFormat="false" ht="15" hidden="false" customHeight="true" outlineLevel="0" collapsed="false">
      <c r="A1933" s="4" t="s">
        <v>5120</v>
      </c>
      <c r="B1933" s="4" t="s">
        <v>2109</v>
      </c>
      <c r="C1933" s="4" t="n">
        <v>3333</v>
      </c>
      <c r="D1933" s="4" t="n">
        <v>157</v>
      </c>
      <c r="E1933" s="13" t="n">
        <v>45217</v>
      </c>
      <c r="F1933" s="4" t="s">
        <v>3186</v>
      </c>
      <c r="G1933" s="4" t="str">
        <f aca="false">INDEX(PurchaseOrders!$B$2:$B$3001,MATCH(B1933,PurchaseOrders!$A$2:$A$3001,0))</f>
        <v>V014</v>
      </c>
    </row>
    <row r="1934" customFormat="false" ht="15" hidden="false" customHeight="true" outlineLevel="0" collapsed="false">
      <c r="A1934" s="4" t="s">
        <v>5121</v>
      </c>
      <c r="B1934" s="4" t="s">
        <v>2110</v>
      </c>
      <c r="C1934" s="4" t="n">
        <v>308</v>
      </c>
      <c r="D1934" s="4" t="n">
        <v>0</v>
      </c>
      <c r="E1934" s="13" t="n">
        <v>45510</v>
      </c>
      <c r="F1934" s="4"/>
      <c r="G1934" s="4" t="str">
        <f aca="false">INDEX(PurchaseOrders!$B$2:$B$3001,MATCH(B1934,PurchaseOrders!$A$2:$A$3001,0))</f>
        <v>V060</v>
      </c>
    </row>
    <row r="1935" customFormat="false" ht="15" hidden="false" customHeight="true" outlineLevel="0" collapsed="false">
      <c r="A1935" s="4" t="s">
        <v>5122</v>
      </c>
      <c r="B1935" s="4" t="s">
        <v>2111</v>
      </c>
      <c r="C1935" s="4" t="n">
        <v>912</v>
      </c>
      <c r="D1935" s="4" t="n">
        <v>136</v>
      </c>
      <c r="E1935" s="13" t="n">
        <v>45178</v>
      </c>
      <c r="F1935" s="4" t="s">
        <v>3190</v>
      </c>
      <c r="G1935" s="4" t="str">
        <f aca="false">INDEX(PurchaseOrders!$B$2:$B$3001,MATCH(B1935,PurchaseOrders!$A$2:$A$3001,0))</f>
        <v>V044</v>
      </c>
    </row>
    <row r="1936" customFormat="false" ht="15" hidden="false" customHeight="true" outlineLevel="0" collapsed="false">
      <c r="A1936" s="4" t="s">
        <v>5123</v>
      </c>
      <c r="B1936" s="4" t="s">
        <v>2112</v>
      </c>
      <c r="C1936" s="4" t="n">
        <v>1423</v>
      </c>
      <c r="D1936" s="4" t="n">
        <v>63</v>
      </c>
      <c r="E1936" s="13" t="n">
        <v>44982</v>
      </c>
      <c r="F1936" s="4" t="s">
        <v>3192</v>
      </c>
      <c r="G1936" s="4" t="str">
        <f aca="false">INDEX(PurchaseOrders!$B$2:$B$3001,MATCH(B1936,PurchaseOrders!$A$2:$A$3001,0))</f>
        <v>V051</v>
      </c>
    </row>
    <row r="1937" customFormat="false" ht="15" hidden="false" customHeight="true" outlineLevel="0" collapsed="false">
      <c r="A1937" s="4" t="s">
        <v>5124</v>
      </c>
      <c r="B1937" s="4" t="s">
        <v>2113</v>
      </c>
      <c r="C1937" s="4" t="n">
        <v>1468</v>
      </c>
      <c r="D1937" s="4" t="n">
        <v>256</v>
      </c>
      <c r="E1937" s="13" t="n">
        <v>45304</v>
      </c>
      <c r="F1937" s="4" t="s">
        <v>3192</v>
      </c>
      <c r="G1937" s="4" t="str">
        <f aca="false">INDEX(PurchaseOrders!$B$2:$B$3001,MATCH(B1937,PurchaseOrders!$A$2:$A$3001,0))</f>
        <v>V025</v>
      </c>
    </row>
    <row r="1938" customFormat="false" ht="15" hidden="false" customHeight="true" outlineLevel="0" collapsed="false">
      <c r="A1938" s="4" t="s">
        <v>5125</v>
      </c>
      <c r="B1938" s="4" t="s">
        <v>2114</v>
      </c>
      <c r="C1938" s="4" t="n">
        <v>3366</v>
      </c>
      <c r="D1938" s="4" t="n">
        <v>65</v>
      </c>
      <c r="E1938" s="13" t="n">
        <v>45195</v>
      </c>
      <c r="F1938" s="4" t="s">
        <v>3202</v>
      </c>
      <c r="G1938" s="4" t="str">
        <f aca="false">INDEX(PurchaseOrders!$B$2:$B$3001,MATCH(B1938,PurchaseOrders!$A$2:$A$3001,0))</f>
        <v>V002</v>
      </c>
    </row>
    <row r="1939" customFormat="false" ht="15" hidden="false" customHeight="true" outlineLevel="0" collapsed="false">
      <c r="A1939" s="4" t="s">
        <v>5126</v>
      </c>
      <c r="B1939" s="4" t="s">
        <v>2115</v>
      </c>
      <c r="C1939" s="4" t="n">
        <v>547</v>
      </c>
      <c r="D1939" s="4" t="n">
        <v>24</v>
      </c>
      <c r="E1939" s="13" t="n">
        <v>45177</v>
      </c>
      <c r="F1939" s="4" t="s">
        <v>3190</v>
      </c>
      <c r="G1939" s="4" t="str">
        <f aca="false">INDEX(PurchaseOrders!$B$2:$B$3001,MATCH(B1939,PurchaseOrders!$A$2:$A$3001,0))</f>
        <v>V051</v>
      </c>
    </row>
    <row r="1940" customFormat="false" ht="15" hidden="false" customHeight="true" outlineLevel="0" collapsed="false">
      <c r="A1940" s="4" t="s">
        <v>5127</v>
      </c>
      <c r="B1940" s="4" t="s">
        <v>2116</v>
      </c>
      <c r="C1940" s="4" t="n">
        <v>16</v>
      </c>
      <c r="D1940" s="4" t="n">
        <v>2</v>
      </c>
      <c r="E1940" s="13" t="n">
        <v>45491</v>
      </c>
      <c r="F1940" s="4" t="s">
        <v>3192</v>
      </c>
      <c r="G1940" s="4" t="str">
        <f aca="false">INDEX(PurchaseOrders!$B$2:$B$3001,MATCH(B1940,PurchaseOrders!$A$2:$A$3001,0))</f>
        <v>V042</v>
      </c>
    </row>
    <row r="1941" customFormat="false" ht="15" hidden="false" customHeight="true" outlineLevel="0" collapsed="false">
      <c r="A1941" s="4" t="s">
        <v>5128</v>
      </c>
      <c r="B1941" s="4" t="s">
        <v>2117</v>
      </c>
      <c r="C1941" s="4" t="n">
        <v>3434</v>
      </c>
      <c r="D1941" s="4" t="n">
        <v>135</v>
      </c>
      <c r="E1941" s="13" t="n">
        <v>45458</v>
      </c>
      <c r="F1941" s="4" t="s">
        <v>3188</v>
      </c>
      <c r="G1941" s="4" t="str">
        <f aca="false">INDEX(PurchaseOrders!$B$2:$B$3001,MATCH(B1941,PurchaseOrders!$A$2:$A$3001,0))</f>
        <v>V050</v>
      </c>
    </row>
    <row r="1942" customFormat="false" ht="15" hidden="false" customHeight="true" outlineLevel="0" collapsed="false">
      <c r="A1942" s="4" t="s">
        <v>5129</v>
      </c>
      <c r="B1942" s="4" t="s">
        <v>2118</v>
      </c>
      <c r="C1942" s="4" t="n">
        <v>417</v>
      </c>
      <c r="D1942" s="4" t="n">
        <v>19</v>
      </c>
      <c r="E1942" s="13" t="n">
        <v>45009</v>
      </c>
      <c r="F1942" s="4" t="s">
        <v>3186</v>
      </c>
      <c r="G1942" s="4" t="str">
        <f aca="false">INDEX(PurchaseOrders!$B$2:$B$3001,MATCH(B1942,PurchaseOrders!$A$2:$A$3001,0))</f>
        <v>V022</v>
      </c>
    </row>
    <row r="1943" customFormat="false" ht="15" hidden="false" customHeight="true" outlineLevel="0" collapsed="false">
      <c r="A1943" s="4" t="s">
        <v>5130</v>
      </c>
      <c r="B1943" s="4" t="s">
        <v>2119</v>
      </c>
      <c r="C1943" s="4" t="n">
        <v>2691</v>
      </c>
      <c r="D1943" s="4" t="n">
        <v>102</v>
      </c>
      <c r="E1943" s="13" t="n">
        <v>45023</v>
      </c>
      <c r="F1943" s="4" t="s">
        <v>3192</v>
      </c>
      <c r="G1943" s="4" t="str">
        <f aca="false">INDEX(PurchaseOrders!$B$2:$B$3001,MATCH(B1943,PurchaseOrders!$A$2:$A$3001,0))</f>
        <v>V058</v>
      </c>
    </row>
    <row r="1944" customFormat="false" ht="15" hidden="false" customHeight="true" outlineLevel="0" collapsed="false">
      <c r="A1944" s="4" t="s">
        <v>5131</v>
      </c>
      <c r="B1944" s="4" t="s">
        <v>2120</v>
      </c>
      <c r="C1944" s="4" t="n">
        <v>183</v>
      </c>
      <c r="D1944" s="4" t="n">
        <v>8</v>
      </c>
      <c r="E1944" s="13" t="n">
        <v>45077</v>
      </c>
      <c r="F1944" s="4" t="s">
        <v>3186</v>
      </c>
      <c r="G1944" s="4" t="str">
        <f aca="false">INDEX(PurchaseOrders!$B$2:$B$3001,MATCH(B1944,PurchaseOrders!$A$2:$A$3001,0))</f>
        <v>V029</v>
      </c>
    </row>
    <row r="1945" customFormat="false" ht="15" hidden="false" customHeight="true" outlineLevel="0" collapsed="false">
      <c r="A1945" s="4" t="s">
        <v>5132</v>
      </c>
      <c r="B1945" s="4" t="s">
        <v>2121</v>
      </c>
      <c r="C1945" s="4" t="n">
        <v>3653</v>
      </c>
      <c r="D1945" s="4" t="n">
        <v>202</v>
      </c>
      <c r="E1945" s="13" t="n">
        <v>45038</v>
      </c>
      <c r="F1945" s="4" t="s">
        <v>3186</v>
      </c>
      <c r="G1945" s="4" t="str">
        <f aca="false">INDEX(PurchaseOrders!$B$2:$B$3001,MATCH(B1945,PurchaseOrders!$A$2:$A$3001,0))</f>
        <v>V056</v>
      </c>
    </row>
    <row r="1946" customFormat="false" ht="15" hidden="false" customHeight="true" outlineLevel="0" collapsed="false">
      <c r="A1946" s="4" t="s">
        <v>5133</v>
      </c>
      <c r="B1946" s="4" t="s">
        <v>2122</v>
      </c>
      <c r="C1946" s="4" t="n">
        <v>1468</v>
      </c>
      <c r="D1946" s="4" t="n">
        <v>84</v>
      </c>
      <c r="E1946" s="13" t="n">
        <v>45664</v>
      </c>
      <c r="F1946" s="4" t="s">
        <v>3188</v>
      </c>
      <c r="G1946" s="4" t="str">
        <f aca="false">INDEX(PurchaseOrders!$B$2:$B$3001,MATCH(B1946,PurchaseOrders!$A$2:$A$3001,0))</f>
        <v>V022</v>
      </c>
    </row>
    <row r="1947" customFormat="false" ht="15" hidden="false" customHeight="true" outlineLevel="0" collapsed="false">
      <c r="A1947" s="4" t="s">
        <v>5134</v>
      </c>
      <c r="B1947" s="4" t="s">
        <v>2123</v>
      </c>
      <c r="C1947" s="4" t="n">
        <v>105</v>
      </c>
      <c r="D1947" s="4" t="n">
        <v>8</v>
      </c>
      <c r="E1947" s="13" t="n">
        <v>45301</v>
      </c>
      <c r="F1947" s="4" t="s">
        <v>3186</v>
      </c>
      <c r="G1947" s="4" t="str">
        <f aca="false">INDEX(PurchaseOrders!$B$2:$B$3001,MATCH(B1947,PurchaseOrders!$A$2:$A$3001,0))</f>
        <v>V013</v>
      </c>
    </row>
    <row r="1948" customFormat="false" ht="15" hidden="false" customHeight="true" outlineLevel="0" collapsed="false">
      <c r="A1948" s="4" t="s">
        <v>5135</v>
      </c>
      <c r="B1948" s="4" t="s">
        <v>2124</v>
      </c>
      <c r="C1948" s="4" t="n">
        <v>189</v>
      </c>
      <c r="D1948" s="4" t="n">
        <v>11</v>
      </c>
      <c r="E1948" s="13" t="n">
        <v>45056</v>
      </c>
      <c r="F1948" s="4" t="s">
        <v>3184</v>
      </c>
      <c r="G1948" s="4" t="str">
        <f aca="false">INDEX(PurchaseOrders!$B$2:$B$3001,MATCH(B1948,PurchaseOrders!$A$2:$A$3001,0))</f>
        <v>V024</v>
      </c>
    </row>
    <row r="1949" customFormat="false" ht="15" hidden="false" customHeight="true" outlineLevel="0" collapsed="false">
      <c r="A1949" s="4" t="s">
        <v>5136</v>
      </c>
      <c r="B1949" s="4" t="s">
        <v>2125</v>
      </c>
      <c r="C1949" s="4" t="n">
        <v>1769</v>
      </c>
      <c r="D1949" s="4" t="n">
        <v>130</v>
      </c>
      <c r="E1949" s="13" t="n">
        <v>45321</v>
      </c>
      <c r="F1949" s="4" t="s">
        <v>3192</v>
      </c>
      <c r="G1949" s="4" t="str">
        <f aca="false">INDEX(PurchaseOrders!$B$2:$B$3001,MATCH(B1949,PurchaseOrders!$A$2:$A$3001,0))</f>
        <v>V034</v>
      </c>
    </row>
    <row r="1950" customFormat="false" ht="15" hidden="false" customHeight="true" outlineLevel="0" collapsed="false">
      <c r="A1950" s="4" t="s">
        <v>5137</v>
      </c>
      <c r="B1950" s="4" t="s">
        <v>2126</v>
      </c>
      <c r="C1950" s="4" t="n">
        <v>57</v>
      </c>
      <c r="D1950" s="4" t="n">
        <v>3</v>
      </c>
      <c r="E1950" s="13" t="n">
        <v>45152</v>
      </c>
      <c r="F1950" s="4" t="s">
        <v>3190</v>
      </c>
      <c r="G1950" s="4" t="str">
        <f aca="false">INDEX(PurchaseOrders!$B$2:$B$3001,MATCH(B1950,PurchaseOrders!$A$2:$A$3001,0))</f>
        <v>V037</v>
      </c>
    </row>
    <row r="1951" customFormat="false" ht="15" hidden="false" customHeight="true" outlineLevel="0" collapsed="false">
      <c r="A1951" s="4" t="s">
        <v>5138</v>
      </c>
      <c r="B1951" s="4" t="s">
        <v>2127</v>
      </c>
      <c r="C1951" s="4" t="n">
        <v>4598</v>
      </c>
      <c r="D1951" s="4" t="n">
        <v>175</v>
      </c>
      <c r="E1951" s="13" t="n">
        <v>45598</v>
      </c>
      <c r="F1951" s="4" t="s">
        <v>3192</v>
      </c>
      <c r="G1951" s="4" t="str">
        <f aca="false">INDEX(PurchaseOrders!$B$2:$B$3001,MATCH(B1951,PurchaseOrders!$A$2:$A$3001,0))</f>
        <v>V050</v>
      </c>
    </row>
    <row r="1952" customFormat="false" ht="15" hidden="false" customHeight="true" outlineLevel="0" collapsed="false">
      <c r="A1952" s="4" t="s">
        <v>5139</v>
      </c>
      <c r="B1952" s="4" t="s">
        <v>2128</v>
      </c>
      <c r="C1952" s="4" t="n">
        <v>173</v>
      </c>
      <c r="D1952" s="4" t="n">
        <v>14</v>
      </c>
      <c r="E1952" s="13" t="n">
        <v>45381</v>
      </c>
      <c r="F1952" s="4" t="s">
        <v>3202</v>
      </c>
      <c r="G1952" s="4" t="str">
        <f aca="false">INDEX(PurchaseOrders!$B$2:$B$3001,MATCH(B1952,PurchaseOrders!$A$2:$A$3001,0))</f>
        <v>V043</v>
      </c>
    </row>
    <row r="1953" customFormat="false" ht="15" hidden="false" customHeight="true" outlineLevel="0" collapsed="false">
      <c r="A1953" s="4" t="s">
        <v>5140</v>
      </c>
      <c r="B1953" s="4" t="s">
        <v>2129</v>
      </c>
      <c r="C1953" s="4" t="n">
        <v>214</v>
      </c>
      <c r="D1953" s="4" t="n">
        <v>1</v>
      </c>
      <c r="E1953" s="13" t="n">
        <v>45362</v>
      </c>
      <c r="F1953" s="4" t="s">
        <v>3188</v>
      </c>
      <c r="G1953" s="4" t="str">
        <f aca="false">INDEX(PurchaseOrders!$B$2:$B$3001,MATCH(B1953,PurchaseOrders!$A$2:$A$3001,0))</f>
        <v>V008</v>
      </c>
    </row>
    <row r="1954" customFormat="false" ht="15" hidden="false" customHeight="true" outlineLevel="0" collapsed="false">
      <c r="A1954" s="4" t="s">
        <v>5141</v>
      </c>
      <c r="B1954" s="4" t="s">
        <v>2130</v>
      </c>
      <c r="C1954" s="4" t="n">
        <v>650</v>
      </c>
      <c r="D1954" s="4" t="n">
        <v>27</v>
      </c>
      <c r="E1954" s="13" t="n">
        <v>45576</v>
      </c>
      <c r="F1954" s="4" t="s">
        <v>3192</v>
      </c>
      <c r="G1954" s="4" t="str">
        <f aca="false">INDEX(PurchaseOrders!$B$2:$B$3001,MATCH(B1954,PurchaseOrders!$A$2:$A$3001,0))</f>
        <v>V034</v>
      </c>
    </row>
    <row r="1955" customFormat="false" ht="15" hidden="false" customHeight="true" outlineLevel="0" collapsed="false">
      <c r="A1955" s="4" t="s">
        <v>5142</v>
      </c>
      <c r="B1955" s="4" t="s">
        <v>2131</v>
      </c>
      <c r="C1955" s="4" t="n">
        <v>1372</v>
      </c>
      <c r="D1955" s="4" t="n">
        <v>326</v>
      </c>
      <c r="E1955" s="13" t="n">
        <v>44991</v>
      </c>
      <c r="F1955" s="4" t="s">
        <v>3190</v>
      </c>
      <c r="G1955" s="4" t="str">
        <f aca="false">INDEX(PurchaseOrders!$B$2:$B$3001,MATCH(B1955,PurchaseOrders!$A$2:$A$3001,0))</f>
        <v>V039</v>
      </c>
    </row>
    <row r="1956" customFormat="false" ht="15" hidden="false" customHeight="true" outlineLevel="0" collapsed="false">
      <c r="A1956" s="4" t="s">
        <v>5143</v>
      </c>
      <c r="B1956" s="4" t="s">
        <v>2132</v>
      </c>
      <c r="C1956" s="4" t="n">
        <v>953</v>
      </c>
      <c r="D1956" s="4" t="n">
        <v>249</v>
      </c>
      <c r="E1956" s="13" t="n">
        <v>45275</v>
      </c>
      <c r="F1956" s="4" t="s">
        <v>3202</v>
      </c>
      <c r="G1956" s="4" t="str">
        <f aca="false">INDEX(PurchaseOrders!$B$2:$B$3001,MATCH(B1956,PurchaseOrders!$A$2:$A$3001,0))</f>
        <v>V039</v>
      </c>
    </row>
    <row r="1957" customFormat="false" ht="15" hidden="false" customHeight="true" outlineLevel="0" collapsed="false">
      <c r="A1957" s="4" t="s">
        <v>5144</v>
      </c>
      <c r="B1957" s="4" t="s">
        <v>2133</v>
      </c>
      <c r="C1957" s="4" t="n">
        <v>267</v>
      </c>
      <c r="D1957" s="4" t="n">
        <v>2</v>
      </c>
      <c r="E1957" s="13" t="n">
        <v>45042</v>
      </c>
      <c r="F1957" s="4" t="s">
        <v>3202</v>
      </c>
      <c r="G1957" s="4" t="str">
        <f aca="false">INDEX(PurchaseOrders!$B$2:$B$3001,MATCH(B1957,PurchaseOrders!$A$2:$A$3001,0))</f>
        <v>V020</v>
      </c>
    </row>
    <row r="1958" customFormat="false" ht="15" hidden="false" customHeight="true" outlineLevel="0" collapsed="false">
      <c r="A1958" s="4" t="s">
        <v>5145</v>
      </c>
      <c r="B1958" s="4" t="s">
        <v>2134</v>
      </c>
      <c r="C1958" s="4" t="n">
        <v>302</v>
      </c>
      <c r="D1958" s="4" t="n">
        <v>13</v>
      </c>
      <c r="E1958" s="13" t="n">
        <v>45159</v>
      </c>
      <c r="F1958" s="4" t="s">
        <v>3190</v>
      </c>
      <c r="G1958" s="4" t="str">
        <f aca="false">INDEX(PurchaseOrders!$B$2:$B$3001,MATCH(B1958,PurchaseOrders!$A$2:$A$3001,0))</f>
        <v>V024</v>
      </c>
    </row>
    <row r="1959" customFormat="false" ht="15" hidden="false" customHeight="true" outlineLevel="0" collapsed="false">
      <c r="A1959" s="4" t="s">
        <v>5146</v>
      </c>
      <c r="B1959" s="4" t="s">
        <v>2135</v>
      </c>
      <c r="C1959" s="4" t="n">
        <v>1931</v>
      </c>
      <c r="D1959" s="4" t="n">
        <v>81</v>
      </c>
      <c r="E1959" s="13" t="n">
        <v>45127</v>
      </c>
      <c r="F1959" s="4" t="s">
        <v>3190</v>
      </c>
      <c r="G1959" s="4" t="str">
        <f aca="false">INDEX(PurchaseOrders!$B$2:$B$3001,MATCH(B1959,PurchaseOrders!$A$2:$A$3001,0))</f>
        <v>V010</v>
      </c>
    </row>
    <row r="1960" customFormat="false" ht="15" hidden="false" customHeight="true" outlineLevel="0" collapsed="false">
      <c r="A1960" s="4" t="s">
        <v>5147</v>
      </c>
      <c r="B1960" s="4" t="s">
        <v>2136</v>
      </c>
      <c r="C1960" s="4" t="n">
        <v>12</v>
      </c>
      <c r="D1960" s="4" t="n">
        <v>1</v>
      </c>
      <c r="E1960" s="13" t="n">
        <v>45051</v>
      </c>
      <c r="F1960" s="4" t="s">
        <v>3192</v>
      </c>
      <c r="G1960" s="4" t="str">
        <f aca="false">INDEX(PurchaseOrders!$B$2:$B$3001,MATCH(B1960,PurchaseOrders!$A$2:$A$3001,0))</f>
        <v>V053</v>
      </c>
    </row>
    <row r="1961" customFormat="false" ht="15" hidden="false" customHeight="true" outlineLevel="0" collapsed="false">
      <c r="A1961" s="4" t="s">
        <v>5148</v>
      </c>
      <c r="B1961" s="4" t="s">
        <v>2137</v>
      </c>
      <c r="C1961" s="4" t="n">
        <v>477</v>
      </c>
      <c r="D1961" s="4" t="n">
        <v>13</v>
      </c>
      <c r="E1961" s="13" t="n">
        <v>45599</v>
      </c>
      <c r="F1961" s="4" t="s">
        <v>3186</v>
      </c>
      <c r="G1961" s="4" t="str">
        <f aca="false">INDEX(PurchaseOrders!$B$2:$B$3001,MATCH(B1961,PurchaseOrders!$A$2:$A$3001,0))</f>
        <v>V002</v>
      </c>
    </row>
    <row r="1962" customFormat="false" ht="15" hidden="false" customHeight="true" outlineLevel="0" collapsed="false">
      <c r="A1962" s="4" t="s">
        <v>5149</v>
      </c>
      <c r="B1962" s="4" t="s">
        <v>2138</v>
      </c>
      <c r="C1962" s="4" t="n">
        <v>1629</v>
      </c>
      <c r="D1962" s="4" t="n">
        <v>13</v>
      </c>
      <c r="E1962" s="13" t="n">
        <v>45052</v>
      </c>
      <c r="F1962" s="4" t="s">
        <v>3188</v>
      </c>
      <c r="G1962" s="4" t="str">
        <f aca="false">INDEX(PurchaseOrders!$B$2:$B$3001,MATCH(B1962,PurchaseOrders!$A$2:$A$3001,0))</f>
        <v>V035</v>
      </c>
    </row>
    <row r="1963" customFormat="false" ht="15" hidden="false" customHeight="true" outlineLevel="0" collapsed="false">
      <c r="A1963" s="4" t="s">
        <v>5150</v>
      </c>
      <c r="B1963" s="4" t="s">
        <v>2139</v>
      </c>
      <c r="C1963" s="4" t="n">
        <v>2390</v>
      </c>
      <c r="D1963" s="4" t="n">
        <v>378</v>
      </c>
      <c r="E1963" s="13" t="n">
        <v>45411</v>
      </c>
      <c r="F1963" s="4" t="s">
        <v>3190</v>
      </c>
      <c r="G1963" s="4" t="str">
        <f aca="false">INDEX(PurchaseOrders!$B$2:$B$3001,MATCH(B1963,PurchaseOrders!$A$2:$A$3001,0))</f>
        <v>V038</v>
      </c>
    </row>
    <row r="1964" customFormat="false" ht="15" hidden="false" customHeight="true" outlineLevel="0" collapsed="false">
      <c r="A1964" s="4" t="s">
        <v>5151</v>
      </c>
      <c r="B1964" s="4" t="s">
        <v>2140</v>
      </c>
      <c r="C1964" s="4" t="n">
        <v>205</v>
      </c>
      <c r="D1964" s="4" t="n">
        <v>20</v>
      </c>
      <c r="E1964" s="13" t="n">
        <v>45132</v>
      </c>
      <c r="F1964" s="4" t="s">
        <v>3192</v>
      </c>
      <c r="G1964" s="4" t="str">
        <f aca="false">INDEX(PurchaseOrders!$B$2:$B$3001,MATCH(B1964,PurchaseOrders!$A$2:$A$3001,0))</f>
        <v>V012</v>
      </c>
    </row>
    <row r="1965" customFormat="false" ht="15" hidden="false" customHeight="true" outlineLevel="0" collapsed="false">
      <c r="A1965" s="4" t="s">
        <v>5152</v>
      </c>
      <c r="B1965" s="4" t="s">
        <v>2141</v>
      </c>
      <c r="C1965" s="4" t="n">
        <v>273</v>
      </c>
      <c r="D1965" s="4" t="n">
        <v>3</v>
      </c>
      <c r="E1965" s="13" t="n">
        <v>45505</v>
      </c>
      <c r="F1965" s="4" t="s">
        <v>3184</v>
      </c>
      <c r="G1965" s="4" t="str">
        <f aca="false">INDEX(PurchaseOrders!$B$2:$B$3001,MATCH(B1965,PurchaseOrders!$A$2:$A$3001,0))</f>
        <v>V037</v>
      </c>
    </row>
    <row r="1966" customFormat="false" ht="15" hidden="false" customHeight="true" outlineLevel="0" collapsed="false">
      <c r="A1966" s="4" t="s">
        <v>5153</v>
      </c>
      <c r="B1966" s="4" t="s">
        <v>2142</v>
      </c>
      <c r="C1966" s="4" t="n">
        <v>2399</v>
      </c>
      <c r="D1966" s="4" t="n">
        <v>100</v>
      </c>
      <c r="E1966" s="13" t="n">
        <v>45266</v>
      </c>
      <c r="F1966" s="4" t="s">
        <v>3190</v>
      </c>
      <c r="G1966" s="4" t="str">
        <f aca="false">INDEX(PurchaseOrders!$B$2:$B$3001,MATCH(B1966,PurchaseOrders!$A$2:$A$3001,0))</f>
        <v>V058</v>
      </c>
    </row>
    <row r="1967" customFormat="false" ht="15" hidden="false" customHeight="true" outlineLevel="0" collapsed="false">
      <c r="A1967" s="4" t="s">
        <v>5154</v>
      </c>
      <c r="B1967" s="4" t="s">
        <v>2143</v>
      </c>
      <c r="C1967" s="4" t="n">
        <v>3841</v>
      </c>
      <c r="D1967" s="4" t="n">
        <v>228</v>
      </c>
      <c r="E1967" s="13" t="n">
        <v>45631</v>
      </c>
      <c r="F1967" s="4" t="s">
        <v>3192</v>
      </c>
      <c r="G1967" s="4" t="str">
        <f aca="false">INDEX(PurchaseOrders!$B$2:$B$3001,MATCH(B1967,PurchaseOrders!$A$2:$A$3001,0))</f>
        <v>V003</v>
      </c>
    </row>
    <row r="1968" customFormat="false" ht="15" hidden="false" customHeight="true" outlineLevel="0" collapsed="false">
      <c r="A1968" s="4" t="s">
        <v>5155</v>
      </c>
      <c r="B1968" s="4" t="s">
        <v>2144</v>
      </c>
      <c r="C1968" s="4" t="n">
        <v>8</v>
      </c>
      <c r="D1968" s="4" t="n">
        <v>0</v>
      </c>
      <c r="E1968" s="13" t="n">
        <v>45152</v>
      </c>
      <c r="F1968" s="4"/>
      <c r="G1968" s="4" t="str">
        <f aca="false">INDEX(PurchaseOrders!$B$2:$B$3001,MATCH(B1968,PurchaseOrders!$A$2:$A$3001,0))</f>
        <v>V019</v>
      </c>
    </row>
    <row r="1969" customFormat="false" ht="15" hidden="false" customHeight="true" outlineLevel="0" collapsed="false">
      <c r="A1969" s="4" t="s">
        <v>5156</v>
      </c>
      <c r="B1969" s="4" t="s">
        <v>2145</v>
      </c>
      <c r="C1969" s="4" t="n">
        <v>38</v>
      </c>
      <c r="D1969" s="4" t="n">
        <v>0</v>
      </c>
      <c r="E1969" s="13" t="n">
        <v>45170</v>
      </c>
      <c r="F1969" s="4"/>
      <c r="G1969" s="4" t="str">
        <f aca="false">INDEX(PurchaseOrders!$B$2:$B$3001,MATCH(B1969,PurchaseOrders!$A$2:$A$3001,0))</f>
        <v>V052</v>
      </c>
    </row>
    <row r="1970" customFormat="false" ht="15" hidden="false" customHeight="true" outlineLevel="0" collapsed="false">
      <c r="A1970" s="4" t="s">
        <v>5157</v>
      </c>
      <c r="B1970" s="4" t="s">
        <v>2146</v>
      </c>
      <c r="C1970" s="4" t="n">
        <v>1243</v>
      </c>
      <c r="D1970" s="4" t="n">
        <v>41</v>
      </c>
      <c r="E1970" s="13" t="n">
        <v>44975</v>
      </c>
      <c r="F1970" s="4" t="s">
        <v>3184</v>
      </c>
      <c r="G1970" s="4" t="str">
        <f aca="false">INDEX(PurchaseOrders!$B$2:$B$3001,MATCH(B1970,PurchaseOrders!$A$2:$A$3001,0))</f>
        <v>V011</v>
      </c>
    </row>
    <row r="1971" customFormat="false" ht="15" hidden="false" customHeight="true" outlineLevel="0" collapsed="false">
      <c r="A1971" s="4" t="s">
        <v>5158</v>
      </c>
      <c r="B1971" s="4" t="s">
        <v>2147</v>
      </c>
      <c r="C1971" s="4" t="n">
        <v>4350</v>
      </c>
      <c r="D1971" s="4" t="n">
        <v>194</v>
      </c>
      <c r="E1971" s="13" t="n">
        <v>45577</v>
      </c>
      <c r="F1971" s="4" t="s">
        <v>3190</v>
      </c>
      <c r="G1971" s="4" t="str">
        <f aca="false">INDEX(PurchaseOrders!$B$2:$B$3001,MATCH(B1971,PurchaseOrders!$A$2:$A$3001,0))</f>
        <v>V017</v>
      </c>
    </row>
    <row r="1972" customFormat="false" ht="15" hidden="false" customHeight="true" outlineLevel="0" collapsed="false">
      <c r="A1972" s="4" t="s">
        <v>5159</v>
      </c>
      <c r="B1972" s="4" t="s">
        <v>2148</v>
      </c>
      <c r="C1972" s="4" t="n">
        <v>3</v>
      </c>
      <c r="D1972" s="4" t="n">
        <v>0</v>
      </c>
      <c r="E1972" s="13" t="n">
        <v>45440</v>
      </c>
      <c r="F1972" s="4"/>
      <c r="G1972" s="4" t="str">
        <f aca="false">INDEX(PurchaseOrders!$B$2:$B$3001,MATCH(B1972,PurchaseOrders!$A$2:$A$3001,0))</f>
        <v>V023</v>
      </c>
    </row>
    <row r="1973" customFormat="false" ht="15" hidden="false" customHeight="true" outlineLevel="0" collapsed="false">
      <c r="A1973" s="4" t="s">
        <v>5160</v>
      </c>
      <c r="B1973" s="4" t="s">
        <v>2149</v>
      </c>
      <c r="C1973" s="4" t="n">
        <v>260</v>
      </c>
      <c r="D1973" s="4" t="n">
        <v>9</v>
      </c>
      <c r="E1973" s="13" t="n">
        <v>45061</v>
      </c>
      <c r="F1973" s="4" t="s">
        <v>3202</v>
      </c>
      <c r="G1973" s="4" t="str">
        <f aca="false">INDEX(PurchaseOrders!$B$2:$B$3001,MATCH(B1973,PurchaseOrders!$A$2:$A$3001,0))</f>
        <v>V037</v>
      </c>
    </row>
    <row r="1974" customFormat="false" ht="15" hidden="false" customHeight="true" outlineLevel="0" collapsed="false">
      <c r="A1974" s="4" t="s">
        <v>5161</v>
      </c>
      <c r="B1974" s="4" t="s">
        <v>2150</v>
      </c>
      <c r="C1974" s="4" t="n">
        <v>1906</v>
      </c>
      <c r="D1974" s="4" t="n">
        <v>128</v>
      </c>
      <c r="E1974" s="13" t="n">
        <v>45121</v>
      </c>
      <c r="F1974" s="4" t="s">
        <v>3188</v>
      </c>
      <c r="G1974" s="4" t="str">
        <f aca="false">INDEX(PurchaseOrders!$B$2:$B$3001,MATCH(B1974,PurchaseOrders!$A$2:$A$3001,0))</f>
        <v>V005</v>
      </c>
    </row>
    <row r="1975" customFormat="false" ht="15" hidden="false" customHeight="true" outlineLevel="0" collapsed="false">
      <c r="A1975" s="4" t="s">
        <v>5162</v>
      </c>
      <c r="B1975" s="4" t="s">
        <v>2151</v>
      </c>
      <c r="C1975" s="4" t="n">
        <v>4581</v>
      </c>
      <c r="D1975" s="4" t="n">
        <v>829</v>
      </c>
      <c r="E1975" s="13" t="n">
        <v>45211</v>
      </c>
      <c r="F1975" s="4" t="s">
        <v>3192</v>
      </c>
      <c r="G1975" s="4" t="str">
        <f aca="false">INDEX(PurchaseOrders!$B$2:$B$3001,MATCH(B1975,PurchaseOrders!$A$2:$A$3001,0))</f>
        <v>V026</v>
      </c>
    </row>
    <row r="1976" customFormat="false" ht="15" hidden="false" customHeight="true" outlineLevel="0" collapsed="false">
      <c r="A1976" s="4" t="s">
        <v>5163</v>
      </c>
      <c r="B1976" s="4" t="s">
        <v>2152</v>
      </c>
      <c r="C1976" s="4" t="n">
        <v>615</v>
      </c>
      <c r="D1976" s="4" t="n">
        <v>34</v>
      </c>
      <c r="E1976" s="13" t="n">
        <v>45651</v>
      </c>
      <c r="F1976" s="4" t="s">
        <v>3190</v>
      </c>
      <c r="G1976" s="4" t="str">
        <f aca="false">INDEX(PurchaseOrders!$B$2:$B$3001,MATCH(B1976,PurchaseOrders!$A$2:$A$3001,0))</f>
        <v>V045</v>
      </c>
    </row>
    <row r="1977" customFormat="false" ht="15" hidden="false" customHeight="true" outlineLevel="0" collapsed="false">
      <c r="A1977" s="4" t="s">
        <v>5164</v>
      </c>
      <c r="B1977" s="4" t="s">
        <v>2153</v>
      </c>
      <c r="C1977" s="4" t="n">
        <v>1446</v>
      </c>
      <c r="D1977" s="4" t="n">
        <v>44</v>
      </c>
      <c r="E1977" s="13" t="n">
        <v>45162</v>
      </c>
      <c r="F1977" s="4" t="s">
        <v>3188</v>
      </c>
      <c r="G1977" s="4" t="str">
        <f aca="false">INDEX(PurchaseOrders!$B$2:$B$3001,MATCH(B1977,PurchaseOrders!$A$2:$A$3001,0))</f>
        <v>V014</v>
      </c>
    </row>
    <row r="1978" customFormat="false" ht="15" hidden="false" customHeight="true" outlineLevel="0" collapsed="false">
      <c r="A1978" s="4" t="s">
        <v>5165</v>
      </c>
      <c r="B1978" s="4" t="s">
        <v>2154</v>
      </c>
      <c r="C1978" s="4" t="n">
        <v>1767</v>
      </c>
      <c r="D1978" s="4" t="n">
        <v>42</v>
      </c>
      <c r="E1978" s="13" t="n">
        <v>45180</v>
      </c>
      <c r="F1978" s="4" t="s">
        <v>3186</v>
      </c>
      <c r="G1978" s="4" t="str">
        <f aca="false">INDEX(PurchaseOrders!$B$2:$B$3001,MATCH(B1978,PurchaseOrders!$A$2:$A$3001,0))</f>
        <v>V035</v>
      </c>
    </row>
    <row r="1979" customFormat="false" ht="15" hidden="false" customHeight="true" outlineLevel="0" collapsed="false">
      <c r="A1979" s="4" t="s">
        <v>5166</v>
      </c>
      <c r="B1979" s="4" t="s">
        <v>2155</v>
      </c>
      <c r="C1979" s="4" t="n">
        <v>6</v>
      </c>
      <c r="D1979" s="4" t="n">
        <v>0</v>
      </c>
      <c r="E1979" s="13" t="n">
        <v>45549</v>
      </c>
      <c r="F1979" s="4"/>
      <c r="G1979" s="4" t="str">
        <f aca="false">INDEX(PurchaseOrders!$B$2:$B$3001,MATCH(B1979,PurchaseOrders!$A$2:$A$3001,0))</f>
        <v>V019</v>
      </c>
    </row>
    <row r="1980" customFormat="false" ht="15" hidden="false" customHeight="true" outlineLevel="0" collapsed="false">
      <c r="A1980" s="4" t="s">
        <v>5167</v>
      </c>
      <c r="B1980" s="4" t="s">
        <v>2156</v>
      </c>
      <c r="C1980" s="4" t="n">
        <v>309</v>
      </c>
      <c r="D1980" s="4" t="n">
        <v>0</v>
      </c>
      <c r="E1980" s="13" t="n">
        <v>45441</v>
      </c>
      <c r="F1980" s="4"/>
      <c r="G1980" s="4" t="str">
        <f aca="false">INDEX(PurchaseOrders!$B$2:$B$3001,MATCH(B1980,PurchaseOrders!$A$2:$A$3001,0))</f>
        <v>V035</v>
      </c>
    </row>
    <row r="1981" customFormat="false" ht="15" hidden="false" customHeight="true" outlineLevel="0" collapsed="false">
      <c r="A1981" s="4" t="s">
        <v>5168</v>
      </c>
      <c r="B1981" s="4" t="s">
        <v>2157</v>
      </c>
      <c r="C1981" s="4" t="n">
        <v>137</v>
      </c>
      <c r="D1981" s="4" t="n">
        <v>0</v>
      </c>
      <c r="E1981" s="13" t="n">
        <v>45189</v>
      </c>
      <c r="F1981" s="4"/>
      <c r="G1981" s="4" t="str">
        <f aca="false">INDEX(PurchaseOrders!$B$2:$B$3001,MATCH(B1981,PurchaseOrders!$A$2:$A$3001,0))</f>
        <v>V052</v>
      </c>
    </row>
    <row r="1982" customFormat="false" ht="15" hidden="false" customHeight="true" outlineLevel="0" collapsed="false">
      <c r="A1982" s="4" t="s">
        <v>5169</v>
      </c>
      <c r="B1982" s="4" t="s">
        <v>2158</v>
      </c>
      <c r="C1982" s="4" t="n">
        <v>823</v>
      </c>
      <c r="D1982" s="4" t="n">
        <v>50</v>
      </c>
      <c r="E1982" s="13" t="n">
        <v>45547</v>
      </c>
      <c r="F1982" s="4" t="s">
        <v>3190</v>
      </c>
      <c r="G1982" s="4" t="str">
        <f aca="false">INDEX(PurchaseOrders!$B$2:$B$3001,MATCH(B1982,PurchaseOrders!$A$2:$A$3001,0))</f>
        <v>V027</v>
      </c>
    </row>
    <row r="1983" customFormat="false" ht="15" hidden="false" customHeight="true" outlineLevel="0" collapsed="false">
      <c r="A1983" s="4" t="s">
        <v>5170</v>
      </c>
      <c r="B1983" s="4" t="s">
        <v>2159</v>
      </c>
      <c r="C1983" s="4" t="n">
        <v>164</v>
      </c>
      <c r="D1983" s="4" t="n">
        <v>0</v>
      </c>
      <c r="E1983" s="13" t="n">
        <v>45434</v>
      </c>
      <c r="F1983" s="4"/>
      <c r="G1983" s="4" t="str">
        <f aca="false">INDEX(PurchaseOrders!$B$2:$B$3001,MATCH(B1983,PurchaseOrders!$A$2:$A$3001,0))</f>
        <v>V008</v>
      </c>
    </row>
    <row r="1984" customFormat="false" ht="15" hidden="false" customHeight="true" outlineLevel="0" collapsed="false">
      <c r="A1984" s="4" t="s">
        <v>5171</v>
      </c>
      <c r="B1984" s="4" t="s">
        <v>2160</v>
      </c>
      <c r="C1984" s="4" t="n">
        <v>411</v>
      </c>
      <c r="D1984" s="4" t="n">
        <v>23</v>
      </c>
      <c r="E1984" s="13" t="n">
        <v>45043</v>
      </c>
      <c r="F1984" s="4" t="s">
        <v>3190</v>
      </c>
      <c r="G1984" s="4" t="str">
        <f aca="false">INDEX(PurchaseOrders!$B$2:$B$3001,MATCH(B1984,PurchaseOrders!$A$2:$A$3001,0))</f>
        <v>V018</v>
      </c>
    </row>
    <row r="1985" customFormat="false" ht="15" hidden="false" customHeight="true" outlineLevel="0" collapsed="false">
      <c r="A1985" s="4" t="s">
        <v>5172</v>
      </c>
      <c r="B1985" s="4" t="s">
        <v>2161</v>
      </c>
      <c r="C1985" s="4" t="n">
        <v>289</v>
      </c>
      <c r="D1985" s="4" t="n">
        <v>9</v>
      </c>
      <c r="E1985" s="13" t="n">
        <v>45326</v>
      </c>
      <c r="F1985" s="4" t="s">
        <v>3184</v>
      </c>
      <c r="G1985" s="4" t="str">
        <f aca="false">INDEX(PurchaseOrders!$B$2:$B$3001,MATCH(B1985,PurchaseOrders!$A$2:$A$3001,0))</f>
        <v>V033</v>
      </c>
    </row>
    <row r="1986" customFormat="false" ht="15" hidden="false" customHeight="true" outlineLevel="0" collapsed="false">
      <c r="A1986" s="4" t="s">
        <v>5173</v>
      </c>
      <c r="B1986" s="4" t="s">
        <v>2162</v>
      </c>
      <c r="C1986" s="4" t="n">
        <v>2668</v>
      </c>
      <c r="D1986" s="4" t="n">
        <v>64</v>
      </c>
      <c r="E1986" s="13" t="n">
        <v>45618</v>
      </c>
      <c r="F1986" s="4" t="s">
        <v>3202</v>
      </c>
      <c r="G1986" s="4" t="str">
        <f aca="false">INDEX(PurchaseOrders!$B$2:$B$3001,MATCH(B1986,PurchaseOrders!$A$2:$A$3001,0))</f>
        <v>V001</v>
      </c>
    </row>
    <row r="1987" customFormat="false" ht="15" hidden="false" customHeight="true" outlineLevel="0" collapsed="false">
      <c r="A1987" s="4" t="s">
        <v>5174</v>
      </c>
      <c r="B1987" s="4" t="s">
        <v>2163</v>
      </c>
      <c r="C1987" s="4" t="n">
        <v>22</v>
      </c>
      <c r="D1987" s="4" t="n">
        <v>3</v>
      </c>
      <c r="E1987" s="13" t="n">
        <v>45016</v>
      </c>
      <c r="F1987" s="4" t="s">
        <v>3188</v>
      </c>
      <c r="G1987" s="4" t="str">
        <f aca="false">INDEX(PurchaseOrders!$B$2:$B$3001,MATCH(B1987,PurchaseOrders!$A$2:$A$3001,0))</f>
        <v>V036</v>
      </c>
    </row>
    <row r="1988" customFormat="false" ht="15" hidden="false" customHeight="true" outlineLevel="0" collapsed="false">
      <c r="A1988" s="4" t="s">
        <v>5175</v>
      </c>
      <c r="B1988" s="4" t="s">
        <v>2164</v>
      </c>
      <c r="C1988" s="4" t="n">
        <v>1294</v>
      </c>
      <c r="D1988" s="4" t="n">
        <v>79</v>
      </c>
      <c r="E1988" s="13" t="n">
        <v>45024</v>
      </c>
      <c r="F1988" s="4" t="s">
        <v>3184</v>
      </c>
      <c r="G1988" s="4" t="str">
        <f aca="false">INDEX(PurchaseOrders!$B$2:$B$3001,MATCH(B1988,PurchaseOrders!$A$2:$A$3001,0))</f>
        <v>V007</v>
      </c>
    </row>
    <row r="1989" customFormat="false" ht="15" hidden="false" customHeight="true" outlineLevel="0" collapsed="false">
      <c r="A1989" s="4" t="s">
        <v>5176</v>
      </c>
      <c r="B1989" s="4" t="s">
        <v>2165</v>
      </c>
      <c r="C1989" s="4" t="n">
        <v>113</v>
      </c>
      <c r="D1989" s="4" t="n">
        <v>6</v>
      </c>
      <c r="E1989" s="13" t="n">
        <v>45203</v>
      </c>
      <c r="F1989" s="4" t="s">
        <v>3202</v>
      </c>
      <c r="G1989" s="4" t="str">
        <f aca="false">INDEX(PurchaseOrders!$B$2:$B$3001,MATCH(B1989,PurchaseOrders!$A$2:$A$3001,0))</f>
        <v>V018</v>
      </c>
    </row>
    <row r="1990" customFormat="false" ht="15" hidden="false" customHeight="true" outlineLevel="0" collapsed="false">
      <c r="A1990" s="4" t="s">
        <v>5177</v>
      </c>
      <c r="B1990" s="4" t="s">
        <v>2166</v>
      </c>
      <c r="C1990" s="4" t="n">
        <v>4133</v>
      </c>
      <c r="D1990" s="4" t="n">
        <v>318</v>
      </c>
      <c r="E1990" s="13" t="n">
        <v>45346</v>
      </c>
      <c r="F1990" s="4" t="s">
        <v>3184</v>
      </c>
      <c r="G1990" s="4" t="str">
        <f aca="false">INDEX(PurchaseOrders!$B$2:$B$3001,MATCH(B1990,PurchaseOrders!$A$2:$A$3001,0))</f>
        <v>V056</v>
      </c>
    </row>
    <row r="1991" customFormat="false" ht="15" hidden="false" customHeight="true" outlineLevel="0" collapsed="false">
      <c r="A1991" s="4" t="s">
        <v>5178</v>
      </c>
      <c r="B1991" s="4" t="s">
        <v>2167</v>
      </c>
      <c r="C1991" s="4" t="n">
        <v>1347</v>
      </c>
      <c r="D1991" s="4" t="n">
        <v>55</v>
      </c>
      <c r="E1991" s="13" t="n">
        <v>45502</v>
      </c>
      <c r="F1991" s="4" t="s">
        <v>3184</v>
      </c>
      <c r="G1991" s="4" t="str">
        <f aca="false">INDEX(PurchaseOrders!$B$2:$B$3001,MATCH(B1991,PurchaseOrders!$A$2:$A$3001,0))</f>
        <v>V034</v>
      </c>
    </row>
    <row r="1992" customFormat="false" ht="15" hidden="false" customHeight="true" outlineLevel="0" collapsed="false">
      <c r="A1992" s="4" t="s">
        <v>5179</v>
      </c>
      <c r="B1992" s="4" t="s">
        <v>2168</v>
      </c>
      <c r="C1992" s="4" t="n">
        <v>189</v>
      </c>
      <c r="D1992" s="4" t="n">
        <v>0</v>
      </c>
      <c r="E1992" s="13" t="n">
        <v>45197</v>
      </c>
      <c r="F1992" s="4"/>
      <c r="G1992" s="4" t="str">
        <f aca="false">INDEX(PurchaseOrders!$B$2:$B$3001,MATCH(B1992,PurchaseOrders!$A$2:$A$3001,0))</f>
        <v>V031</v>
      </c>
    </row>
    <row r="1993" customFormat="false" ht="15" hidden="false" customHeight="true" outlineLevel="0" collapsed="false">
      <c r="A1993" s="4" t="s">
        <v>5180</v>
      </c>
      <c r="B1993" s="4" t="s">
        <v>2169</v>
      </c>
      <c r="C1993" s="4" t="n">
        <v>47</v>
      </c>
      <c r="D1993" s="4" t="n">
        <v>0</v>
      </c>
      <c r="E1993" s="13" t="n">
        <v>45542</v>
      </c>
      <c r="F1993" s="4"/>
      <c r="G1993" s="4" t="str">
        <f aca="false">INDEX(PurchaseOrders!$B$2:$B$3001,MATCH(B1993,PurchaseOrders!$A$2:$A$3001,0))</f>
        <v>V040</v>
      </c>
    </row>
    <row r="1994" customFormat="false" ht="15" hidden="false" customHeight="true" outlineLevel="0" collapsed="false">
      <c r="A1994" s="4" t="s">
        <v>5181</v>
      </c>
      <c r="B1994" s="4" t="s">
        <v>2170</v>
      </c>
      <c r="C1994" s="4" t="n">
        <v>626</v>
      </c>
      <c r="D1994" s="4" t="n">
        <v>41</v>
      </c>
      <c r="E1994" s="13" t="n">
        <v>45313</v>
      </c>
      <c r="F1994" s="4" t="s">
        <v>3186</v>
      </c>
      <c r="G1994" s="4" t="str">
        <f aca="false">INDEX(PurchaseOrders!$B$2:$B$3001,MATCH(B1994,PurchaseOrders!$A$2:$A$3001,0))</f>
        <v>V044</v>
      </c>
    </row>
    <row r="1995" customFormat="false" ht="15" hidden="false" customHeight="true" outlineLevel="0" collapsed="false">
      <c r="A1995" s="4" t="s">
        <v>5182</v>
      </c>
      <c r="B1995" s="4" t="s">
        <v>2171</v>
      </c>
      <c r="C1995" s="4" t="n">
        <v>2</v>
      </c>
      <c r="D1995" s="4" t="n">
        <v>0</v>
      </c>
      <c r="E1995" s="13" t="n">
        <v>45154</v>
      </c>
      <c r="F1995" s="4"/>
      <c r="G1995" s="4" t="str">
        <f aca="false">INDEX(PurchaseOrders!$B$2:$B$3001,MATCH(B1995,PurchaseOrders!$A$2:$A$3001,0))</f>
        <v>V042</v>
      </c>
    </row>
    <row r="1996" customFormat="false" ht="15" hidden="false" customHeight="true" outlineLevel="0" collapsed="false">
      <c r="A1996" s="4" t="s">
        <v>5183</v>
      </c>
      <c r="B1996" s="4" t="s">
        <v>2172</v>
      </c>
      <c r="C1996" s="4" t="n">
        <v>4482</v>
      </c>
      <c r="D1996" s="4" t="n">
        <v>702</v>
      </c>
      <c r="E1996" s="13" t="n">
        <v>45636</v>
      </c>
      <c r="F1996" s="4" t="s">
        <v>3184</v>
      </c>
      <c r="G1996" s="4" t="str">
        <f aca="false">INDEX(PurchaseOrders!$B$2:$B$3001,MATCH(B1996,PurchaseOrders!$A$2:$A$3001,0))</f>
        <v>V026</v>
      </c>
    </row>
    <row r="1997" customFormat="false" ht="15" hidden="false" customHeight="true" outlineLevel="0" collapsed="false">
      <c r="A1997" s="4" t="s">
        <v>5184</v>
      </c>
      <c r="B1997" s="4" t="s">
        <v>2173</v>
      </c>
      <c r="C1997" s="4" t="n">
        <v>8</v>
      </c>
      <c r="D1997" s="4" t="n">
        <v>0</v>
      </c>
      <c r="E1997" s="13" t="n">
        <v>45018</v>
      </c>
      <c r="F1997" s="4"/>
      <c r="G1997" s="4" t="str">
        <f aca="false">INDEX(PurchaseOrders!$B$2:$B$3001,MATCH(B1997,PurchaseOrders!$A$2:$A$3001,0))</f>
        <v>V023</v>
      </c>
    </row>
    <row r="1998" customFormat="false" ht="15" hidden="false" customHeight="true" outlineLevel="0" collapsed="false">
      <c r="A1998" s="4" t="s">
        <v>5185</v>
      </c>
      <c r="B1998" s="4" t="s">
        <v>2174</v>
      </c>
      <c r="C1998" s="4" t="n">
        <v>1</v>
      </c>
      <c r="D1998" s="4" t="n">
        <v>0</v>
      </c>
      <c r="E1998" s="13" t="n">
        <v>45474</v>
      </c>
      <c r="F1998" s="4"/>
      <c r="G1998" s="4" t="str">
        <f aca="false">INDEX(PurchaseOrders!$B$2:$B$3001,MATCH(B1998,PurchaseOrders!$A$2:$A$3001,0))</f>
        <v>V041</v>
      </c>
    </row>
    <row r="1999" customFormat="false" ht="15" hidden="false" customHeight="true" outlineLevel="0" collapsed="false">
      <c r="A1999" s="4" t="s">
        <v>5186</v>
      </c>
      <c r="B1999" s="4" t="s">
        <v>2175</v>
      </c>
      <c r="C1999" s="4" t="n">
        <v>1293</v>
      </c>
      <c r="D1999" s="4" t="n">
        <v>159</v>
      </c>
      <c r="E1999" s="13" t="n">
        <v>45369</v>
      </c>
      <c r="F1999" s="4" t="s">
        <v>3192</v>
      </c>
      <c r="G1999" s="4" t="str">
        <f aca="false">INDEX(PurchaseOrders!$B$2:$B$3001,MATCH(B1999,PurchaseOrders!$A$2:$A$3001,0))</f>
        <v>V027</v>
      </c>
    </row>
    <row r="2000" customFormat="false" ht="15" hidden="false" customHeight="true" outlineLevel="0" collapsed="false">
      <c r="A2000" s="4" t="s">
        <v>5187</v>
      </c>
      <c r="B2000" s="4" t="s">
        <v>2176</v>
      </c>
      <c r="C2000" s="4" t="n">
        <v>419</v>
      </c>
      <c r="D2000" s="4" t="n">
        <v>8</v>
      </c>
      <c r="E2000" s="13" t="n">
        <v>45519</v>
      </c>
      <c r="F2000" s="4" t="s">
        <v>3202</v>
      </c>
      <c r="G2000" s="4" t="str">
        <f aca="false">INDEX(PurchaseOrders!$B$2:$B$3001,MATCH(B2000,PurchaseOrders!$A$2:$A$3001,0))</f>
        <v>V029</v>
      </c>
    </row>
    <row r="2001" customFormat="false" ht="15" hidden="false" customHeight="true" outlineLevel="0" collapsed="false">
      <c r="A2001" s="4" t="s">
        <v>5188</v>
      </c>
      <c r="B2001" s="4" t="s">
        <v>2177</v>
      </c>
      <c r="C2001" s="4" t="n">
        <v>50</v>
      </c>
      <c r="D2001" s="4" t="n">
        <v>5</v>
      </c>
      <c r="E2001" s="13" t="n">
        <v>45442</v>
      </c>
      <c r="F2001" s="4" t="s">
        <v>3192</v>
      </c>
      <c r="G2001" s="4" t="str">
        <f aca="false">INDEX(PurchaseOrders!$B$2:$B$3001,MATCH(B2001,PurchaseOrders!$A$2:$A$3001,0))</f>
        <v>V030</v>
      </c>
    </row>
    <row r="2002" customFormat="false" ht="15" hidden="false" customHeight="true" outlineLevel="0" collapsed="false">
      <c r="A2002" s="4" t="s">
        <v>5189</v>
      </c>
      <c r="B2002" s="4" t="s">
        <v>2178</v>
      </c>
      <c r="C2002" s="4" t="n">
        <v>245</v>
      </c>
      <c r="D2002" s="4" t="n">
        <v>19</v>
      </c>
      <c r="E2002" s="13" t="n">
        <v>45640</v>
      </c>
      <c r="F2002" s="4" t="s">
        <v>3192</v>
      </c>
      <c r="G2002" s="4" t="str">
        <f aca="false">INDEX(PurchaseOrders!$B$2:$B$3001,MATCH(B2002,PurchaseOrders!$A$2:$A$3001,0))</f>
        <v>V037</v>
      </c>
    </row>
    <row r="2003" customFormat="false" ht="15" hidden="false" customHeight="true" outlineLevel="0" collapsed="false">
      <c r="A2003" s="4" t="s">
        <v>5190</v>
      </c>
      <c r="B2003" s="4" t="s">
        <v>2179</v>
      </c>
      <c r="C2003" s="4" t="n">
        <v>1483</v>
      </c>
      <c r="D2003" s="4" t="n">
        <v>325</v>
      </c>
      <c r="E2003" s="13" t="n">
        <v>45132</v>
      </c>
      <c r="F2003" s="4" t="s">
        <v>3184</v>
      </c>
      <c r="G2003" s="4" t="str">
        <f aca="false">INDEX(PurchaseOrders!$B$2:$B$3001,MATCH(B2003,PurchaseOrders!$A$2:$A$3001,0))</f>
        <v>V039</v>
      </c>
    </row>
    <row r="2004" customFormat="false" ht="15" hidden="false" customHeight="true" outlineLevel="0" collapsed="false">
      <c r="A2004" s="4" t="s">
        <v>5191</v>
      </c>
      <c r="B2004" s="4" t="s">
        <v>2180</v>
      </c>
      <c r="C2004" s="4" t="n">
        <v>2061</v>
      </c>
      <c r="D2004" s="4" t="n">
        <v>32</v>
      </c>
      <c r="E2004" s="13" t="n">
        <v>45609</v>
      </c>
      <c r="F2004" s="4" t="s">
        <v>3188</v>
      </c>
      <c r="G2004" s="4" t="str">
        <f aca="false">INDEX(PurchaseOrders!$B$2:$B$3001,MATCH(B2004,PurchaseOrders!$A$2:$A$3001,0))</f>
        <v>V015</v>
      </c>
    </row>
    <row r="2005" customFormat="false" ht="15" hidden="false" customHeight="true" outlineLevel="0" collapsed="false">
      <c r="A2005" s="4" t="s">
        <v>5192</v>
      </c>
      <c r="B2005" s="4" t="s">
        <v>2181</v>
      </c>
      <c r="C2005" s="4" t="n">
        <v>1187</v>
      </c>
      <c r="D2005" s="4" t="n">
        <v>248</v>
      </c>
      <c r="E2005" s="13" t="n">
        <v>45399</v>
      </c>
      <c r="F2005" s="4" t="s">
        <v>3192</v>
      </c>
      <c r="G2005" s="4" t="str">
        <f aca="false">INDEX(PurchaseOrders!$B$2:$B$3001,MATCH(B2005,PurchaseOrders!$A$2:$A$3001,0))</f>
        <v>V039</v>
      </c>
    </row>
    <row r="2006" customFormat="false" ht="15" hidden="false" customHeight="true" outlineLevel="0" collapsed="false">
      <c r="A2006" s="4" t="s">
        <v>5193</v>
      </c>
      <c r="B2006" s="4" t="s">
        <v>2182</v>
      </c>
      <c r="C2006" s="4" t="n">
        <v>150</v>
      </c>
      <c r="D2006" s="4" t="n">
        <v>15</v>
      </c>
      <c r="E2006" s="13" t="n">
        <v>45099</v>
      </c>
      <c r="F2006" s="4" t="s">
        <v>3192</v>
      </c>
      <c r="G2006" s="4" t="str">
        <f aca="false">INDEX(PurchaseOrders!$B$2:$B$3001,MATCH(B2006,PurchaseOrders!$A$2:$A$3001,0))</f>
        <v>V043</v>
      </c>
    </row>
    <row r="2007" customFormat="false" ht="15" hidden="false" customHeight="true" outlineLevel="0" collapsed="false">
      <c r="A2007" s="4" t="s">
        <v>5194</v>
      </c>
      <c r="B2007" s="4" t="s">
        <v>2183</v>
      </c>
      <c r="C2007" s="4" t="n">
        <v>125</v>
      </c>
      <c r="D2007" s="4" t="n">
        <v>10</v>
      </c>
      <c r="E2007" s="13" t="n">
        <v>45073</v>
      </c>
      <c r="F2007" s="4" t="s">
        <v>3186</v>
      </c>
      <c r="G2007" s="4" t="str">
        <f aca="false">INDEX(PurchaseOrders!$B$2:$B$3001,MATCH(B2007,PurchaseOrders!$A$2:$A$3001,0))</f>
        <v>V013</v>
      </c>
    </row>
    <row r="2008" customFormat="false" ht="15" hidden="false" customHeight="true" outlineLevel="0" collapsed="false">
      <c r="A2008" s="4" t="s">
        <v>5195</v>
      </c>
      <c r="B2008" s="4" t="s">
        <v>2184</v>
      </c>
      <c r="C2008" s="4" t="n">
        <v>1550</v>
      </c>
      <c r="D2008" s="4" t="n">
        <v>82</v>
      </c>
      <c r="E2008" s="13" t="n">
        <v>45560</v>
      </c>
      <c r="F2008" s="4" t="s">
        <v>3202</v>
      </c>
      <c r="G2008" s="4" t="str">
        <f aca="false">INDEX(PurchaseOrders!$B$2:$B$3001,MATCH(B2008,PurchaseOrders!$A$2:$A$3001,0))</f>
        <v>V034</v>
      </c>
    </row>
    <row r="2009" customFormat="false" ht="15" hidden="false" customHeight="true" outlineLevel="0" collapsed="false">
      <c r="A2009" s="4" t="s">
        <v>5196</v>
      </c>
      <c r="B2009" s="4" t="s">
        <v>2185</v>
      </c>
      <c r="C2009" s="4" t="n">
        <v>1036</v>
      </c>
      <c r="D2009" s="4" t="n">
        <v>17</v>
      </c>
      <c r="E2009" s="13" t="n">
        <v>44993</v>
      </c>
      <c r="F2009" s="4" t="s">
        <v>3202</v>
      </c>
      <c r="G2009" s="4" t="str">
        <f aca="false">INDEX(PurchaseOrders!$B$2:$B$3001,MATCH(B2009,PurchaseOrders!$A$2:$A$3001,0))</f>
        <v>V022</v>
      </c>
    </row>
    <row r="2010" customFormat="false" ht="15" hidden="false" customHeight="true" outlineLevel="0" collapsed="false">
      <c r="A2010" s="4" t="s">
        <v>5197</v>
      </c>
      <c r="B2010" s="4" t="s">
        <v>2186</v>
      </c>
      <c r="C2010" s="4" t="n">
        <v>356</v>
      </c>
      <c r="D2010" s="4" t="n">
        <v>17</v>
      </c>
      <c r="E2010" s="13" t="n">
        <v>45571</v>
      </c>
      <c r="F2010" s="4" t="s">
        <v>3190</v>
      </c>
      <c r="G2010" s="4" t="str">
        <f aca="false">INDEX(PurchaseOrders!$B$2:$B$3001,MATCH(B2010,PurchaseOrders!$A$2:$A$3001,0))</f>
        <v>V024</v>
      </c>
    </row>
    <row r="2011" customFormat="false" ht="15" hidden="false" customHeight="true" outlineLevel="0" collapsed="false">
      <c r="A2011" s="4" t="s">
        <v>5198</v>
      </c>
      <c r="B2011" s="4" t="s">
        <v>2187</v>
      </c>
      <c r="C2011" s="4" t="n">
        <v>50</v>
      </c>
      <c r="D2011" s="4" t="n">
        <v>1</v>
      </c>
      <c r="E2011" s="13" t="n">
        <v>45008</v>
      </c>
      <c r="F2011" s="4" t="s">
        <v>3190</v>
      </c>
      <c r="G2011" s="4" t="str">
        <f aca="false">INDEX(PurchaseOrders!$B$2:$B$3001,MATCH(B2011,PurchaseOrders!$A$2:$A$3001,0))</f>
        <v>V029</v>
      </c>
    </row>
    <row r="2012" customFormat="false" ht="15" hidden="false" customHeight="true" outlineLevel="0" collapsed="false">
      <c r="A2012" s="4" t="s">
        <v>5199</v>
      </c>
      <c r="B2012" s="4" t="s">
        <v>2188</v>
      </c>
      <c r="C2012" s="4" t="n">
        <v>280</v>
      </c>
      <c r="D2012" s="4" t="n">
        <v>1</v>
      </c>
      <c r="E2012" s="13" t="n">
        <v>45114</v>
      </c>
      <c r="F2012" s="4" t="s">
        <v>3186</v>
      </c>
      <c r="G2012" s="4" t="str">
        <f aca="false">INDEX(PurchaseOrders!$B$2:$B$3001,MATCH(B2012,PurchaseOrders!$A$2:$A$3001,0))</f>
        <v>V060</v>
      </c>
    </row>
    <row r="2013" customFormat="false" ht="15" hidden="false" customHeight="true" outlineLevel="0" collapsed="false">
      <c r="A2013" s="4" t="s">
        <v>5200</v>
      </c>
      <c r="B2013" s="4" t="s">
        <v>2189</v>
      </c>
      <c r="C2013" s="4" t="n">
        <v>2479</v>
      </c>
      <c r="D2013" s="4" t="n">
        <v>323</v>
      </c>
      <c r="E2013" s="13" t="n">
        <v>45027</v>
      </c>
      <c r="F2013" s="4" t="s">
        <v>3192</v>
      </c>
      <c r="G2013" s="4" t="str">
        <f aca="false">INDEX(PurchaseOrders!$B$2:$B$3001,MATCH(B2013,PurchaseOrders!$A$2:$A$3001,0))</f>
        <v>V038</v>
      </c>
    </row>
    <row r="2014" customFormat="false" ht="15" hidden="false" customHeight="true" outlineLevel="0" collapsed="false">
      <c r="A2014" s="4" t="s">
        <v>5201</v>
      </c>
      <c r="B2014" s="4" t="s">
        <v>2190</v>
      </c>
      <c r="C2014" s="4" t="n">
        <v>2</v>
      </c>
      <c r="D2014" s="4" t="n">
        <v>0</v>
      </c>
      <c r="E2014" s="13" t="n">
        <v>45259</v>
      </c>
      <c r="F2014" s="4"/>
      <c r="G2014" s="4" t="str">
        <f aca="false">INDEX(PurchaseOrders!$B$2:$B$3001,MATCH(B2014,PurchaseOrders!$A$2:$A$3001,0))</f>
        <v>V023</v>
      </c>
    </row>
    <row r="2015" customFormat="false" ht="15" hidden="false" customHeight="true" outlineLevel="0" collapsed="false">
      <c r="A2015" s="4" t="s">
        <v>5202</v>
      </c>
      <c r="B2015" s="4" t="s">
        <v>2191</v>
      </c>
      <c r="C2015" s="4" t="n">
        <v>511</v>
      </c>
      <c r="D2015" s="4" t="n">
        <v>21</v>
      </c>
      <c r="E2015" s="13" t="n">
        <v>45661</v>
      </c>
      <c r="F2015" s="4" t="s">
        <v>3202</v>
      </c>
      <c r="G2015" s="4" t="str">
        <f aca="false">INDEX(PurchaseOrders!$B$2:$B$3001,MATCH(B2015,PurchaseOrders!$A$2:$A$3001,0))</f>
        <v>V010</v>
      </c>
    </row>
    <row r="2016" customFormat="false" ht="15" hidden="false" customHeight="true" outlineLevel="0" collapsed="false">
      <c r="A2016" s="4" t="s">
        <v>5203</v>
      </c>
      <c r="B2016" s="4" t="s">
        <v>2192</v>
      </c>
      <c r="C2016" s="4" t="n">
        <v>150</v>
      </c>
      <c r="D2016" s="4" t="n">
        <v>8</v>
      </c>
      <c r="E2016" s="13" t="n">
        <v>45233</v>
      </c>
      <c r="F2016" s="4" t="s">
        <v>3188</v>
      </c>
      <c r="G2016" s="4" t="str">
        <f aca="false">INDEX(PurchaseOrders!$B$2:$B$3001,MATCH(B2016,PurchaseOrders!$A$2:$A$3001,0))</f>
        <v>V029</v>
      </c>
    </row>
    <row r="2017" customFormat="false" ht="15" hidden="false" customHeight="true" outlineLevel="0" collapsed="false">
      <c r="A2017" s="4" t="s">
        <v>5204</v>
      </c>
      <c r="B2017" s="4" t="s">
        <v>2193</v>
      </c>
      <c r="C2017" s="4" t="n">
        <v>3428</v>
      </c>
      <c r="D2017" s="4" t="n">
        <v>263</v>
      </c>
      <c r="E2017" s="13" t="n">
        <v>45398</v>
      </c>
      <c r="F2017" s="4" t="s">
        <v>3202</v>
      </c>
      <c r="G2017" s="4" t="str">
        <f aca="false">INDEX(PurchaseOrders!$B$2:$B$3001,MATCH(B2017,PurchaseOrders!$A$2:$A$3001,0))</f>
        <v>V014</v>
      </c>
    </row>
    <row r="2018" customFormat="false" ht="15" hidden="false" customHeight="true" outlineLevel="0" collapsed="false">
      <c r="A2018" s="4" t="s">
        <v>5205</v>
      </c>
      <c r="B2018" s="4" t="s">
        <v>2194</v>
      </c>
      <c r="C2018" s="4" t="n">
        <v>216</v>
      </c>
      <c r="D2018" s="4" t="n">
        <v>26</v>
      </c>
      <c r="E2018" s="13" t="n">
        <v>45471</v>
      </c>
      <c r="F2018" s="4" t="s">
        <v>3186</v>
      </c>
      <c r="G2018" s="4" t="str">
        <f aca="false">INDEX(PurchaseOrders!$B$2:$B$3001,MATCH(B2018,PurchaseOrders!$A$2:$A$3001,0))</f>
        <v>V036</v>
      </c>
    </row>
    <row r="2019" customFormat="false" ht="15" hidden="false" customHeight="true" outlineLevel="0" collapsed="false">
      <c r="A2019" s="4" t="s">
        <v>5206</v>
      </c>
      <c r="B2019" s="4" t="s">
        <v>2195</v>
      </c>
      <c r="C2019" s="4" t="n">
        <v>101</v>
      </c>
      <c r="D2019" s="4" t="n">
        <v>7</v>
      </c>
      <c r="E2019" s="13" t="n">
        <v>45585</v>
      </c>
      <c r="F2019" s="4" t="s">
        <v>3192</v>
      </c>
      <c r="G2019" s="4" t="str">
        <f aca="false">INDEX(PurchaseOrders!$B$2:$B$3001,MATCH(B2019,PurchaseOrders!$A$2:$A$3001,0))</f>
        <v>V030</v>
      </c>
    </row>
    <row r="2020" customFormat="false" ht="15" hidden="false" customHeight="true" outlineLevel="0" collapsed="false">
      <c r="A2020" s="4" t="s">
        <v>5207</v>
      </c>
      <c r="B2020" s="4" t="s">
        <v>2196</v>
      </c>
      <c r="C2020" s="4" t="n">
        <v>629</v>
      </c>
      <c r="D2020" s="4" t="n">
        <v>47</v>
      </c>
      <c r="E2020" s="13" t="n">
        <v>45143</v>
      </c>
      <c r="F2020" s="4" t="s">
        <v>3184</v>
      </c>
      <c r="G2020" s="4" t="str">
        <f aca="false">INDEX(PurchaseOrders!$B$2:$B$3001,MATCH(B2020,PurchaseOrders!$A$2:$A$3001,0))</f>
        <v>V007</v>
      </c>
    </row>
    <row r="2021" customFormat="false" ht="15" hidden="false" customHeight="true" outlineLevel="0" collapsed="false">
      <c r="A2021" s="4" t="s">
        <v>5208</v>
      </c>
      <c r="B2021" s="4" t="s">
        <v>2197</v>
      </c>
      <c r="C2021" s="4" t="n">
        <v>92</v>
      </c>
      <c r="D2021" s="4" t="n">
        <v>7</v>
      </c>
      <c r="E2021" s="13" t="n">
        <v>45186</v>
      </c>
      <c r="F2021" s="4" t="s">
        <v>3184</v>
      </c>
      <c r="G2021" s="4" t="str">
        <f aca="false">INDEX(PurchaseOrders!$B$2:$B$3001,MATCH(B2021,PurchaseOrders!$A$2:$A$3001,0))</f>
        <v>V012</v>
      </c>
    </row>
    <row r="2022" customFormat="false" ht="15" hidden="false" customHeight="true" outlineLevel="0" collapsed="false">
      <c r="A2022" s="4" t="s">
        <v>5209</v>
      </c>
      <c r="B2022" s="4" t="s">
        <v>2198</v>
      </c>
      <c r="C2022" s="4" t="n">
        <v>106</v>
      </c>
      <c r="D2022" s="4" t="n">
        <v>1</v>
      </c>
      <c r="E2022" s="13" t="n">
        <v>45644</v>
      </c>
      <c r="F2022" s="4" t="s">
        <v>3186</v>
      </c>
      <c r="G2022" s="4" t="str">
        <f aca="false">INDEX(PurchaseOrders!$B$2:$B$3001,MATCH(B2022,PurchaseOrders!$A$2:$A$3001,0))</f>
        <v>V029</v>
      </c>
    </row>
    <row r="2023" customFormat="false" ht="15" hidden="false" customHeight="true" outlineLevel="0" collapsed="false">
      <c r="A2023" s="4" t="s">
        <v>5210</v>
      </c>
      <c r="B2023" s="4" t="s">
        <v>2199</v>
      </c>
      <c r="C2023" s="4" t="n">
        <v>2441</v>
      </c>
      <c r="D2023" s="4" t="n">
        <v>56</v>
      </c>
      <c r="E2023" s="13" t="n">
        <v>45191</v>
      </c>
      <c r="F2023" s="4" t="s">
        <v>3184</v>
      </c>
      <c r="G2023" s="4" t="str">
        <f aca="false">INDEX(PurchaseOrders!$B$2:$B$3001,MATCH(B2023,PurchaseOrders!$A$2:$A$3001,0))</f>
        <v>V058</v>
      </c>
    </row>
    <row r="2024" customFormat="false" ht="15" hidden="false" customHeight="true" outlineLevel="0" collapsed="false">
      <c r="A2024" s="4" t="s">
        <v>5211</v>
      </c>
      <c r="B2024" s="4" t="s">
        <v>2200</v>
      </c>
      <c r="C2024" s="4" t="n">
        <v>14</v>
      </c>
      <c r="D2024" s="4" t="n">
        <v>1</v>
      </c>
      <c r="E2024" s="13" t="n">
        <v>45122</v>
      </c>
      <c r="F2024" s="4" t="s">
        <v>3192</v>
      </c>
      <c r="G2024" s="4" t="str">
        <f aca="false">INDEX(PurchaseOrders!$B$2:$B$3001,MATCH(B2024,PurchaseOrders!$A$2:$A$3001,0))</f>
        <v>V041</v>
      </c>
    </row>
    <row r="2025" customFormat="false" ht="15" hidden="false" customHeight="true" outlineLevel="0" collapsed="false">
      <c r="A2025" s="4" t="s">
        <v>5212</v>
      </c>
      <c r="B2025" s="4" t="s">
        <v>2201</v>
      </c>
      <c r="C2025" s="4" t="n">
        <v>4</v>
      </c>
      <c r="D2025" s="4" t="n">
        <v>0</v>
      </c>
      <c r="E2025" s="13" t="n">
        <v>45541</v>
      </c>
      <c r="F2025" s="4"/>
      <c r="G2025" s="4" t="str">
        <f aca="false">INDEX(PurchaseOrders!$B$2:$B$3001,MATCH(B2025,PurchaseOrders!$A$2:$A$3001,0))</f>
        <v>V053</v>
      </c>
    </row>
    <row r="2026" customFormat="false" ht="15" hidden="false" customHeight="true" outlineLevel="0" collapsed="false">
      <c r="A2026" s="4" t="s">
        <v>5213</v>
      </c>
      <c r="B2026" s="4" t="s">
        <v>2202</v>
      </c>
      <c r="C2026" s="4" t="n">
        <v>104</v>
      </c>
      <c r="D2026" s="4" t="n">
        <v>0</v>
      </c>
      <c r="E2026" s="13" t="n">
        <v>45134</v>
      </c>
      <c r="F2026" s="4"/>
      <c r="G2026" s="4" t="str">
        <f aca="false">INDEX(PurchaseOrders!$B$2:$B$3001,MATCH(B2026,PurchaseOrders!$A$2:$A$3001,0))</f>
        <v>V060</v>
      </c>
    </row>
    <row r="2027" customFormat="false" ht="15" hidden="false" customHeight="true" outlineLevel="0" collapsed="false">
      <c r="A2027" s="4" t="s">
        <v>5214</v>
      </c>
      <c r="B2027" s="4" t="s">
        <v>2203</v>
      </c>
      <c r="C2027" s="4" t="n">
        <v>485</v>
      </c>
      <c r="D2027" s="4" t="n">
        <v>4</v>
      </c>
      <c r="E2027" s="13" t="n">
        <v>45227</v>
      </c>
      <c r="F2027" s="4" t="s">
        <v>3192</v>
      </c>
      <c r="G2027" s="4" t="str">
        <f aca="false">INDEX(PurchaseOrders!$B$2:$B$3001,MATCH(B2027,PurchaseOrders!$A$2:$A$3001,0))</f>
        <v>V024</v>
      </c>
    </row>
    <row r="2028" customFormat="false" ht="15" hidden="false" customHeight="true" outlineLevel="0" collapsed="false">
      <c r="A2028" s="4" t="s">
        <v>5215</v>
      </c>
      <c r="B2028" s="4" t="s">
        <v>2204</v>
      </c>
      <c r="C2028" s="4" t="n">
        <v>697</v>
      </c>
      <c r="D2028" s="4" t="n">
        <v>11</v>
      </c>
      <c r="E2028" s="13" t="n">
        <v>45355</v>
      </c>
      <c r="F2028" s="4" t="s">
        <v>3184</v>
      </c>
      <c r="G2028" s="4" t="str">
        <f aca="false">INDEX(PurchaseOrders!$B$2:$B$3001,MATCH(B2028,PurchaseOrders!$A$2:$A$3001,0))</f>
        <v>V021</v>
      </c>
    </row>
    <row r="2029" customFormat="false" ht="15" hidden="false" customHeight="true" outlineLevel="0" collapsed="false">
      <c r="A2029" s="4" t="s">
        <v>5216</v>
      </c>
      <c r="B2029" s="4" t="s">
        <v>2205</v>
      </c>
      <c r="C2029" s="4" t="n">
        <v>310</v>
      </c>
      <c r="D2029" s="4" t="n">
        <v>26</v>
      </c>
      <c r="E2029" s="13" t="n">
        <v>44999</v>
      </c>
      <c r="F2029" s="4" t="s">
        <v>3186</v>
      </c>
      <c r="G2029" s="4" t="str">
        <f aca="false">INDEX(PurchaseOrders!$B$2:$B$3001,MATCH(B2029,PurchaseOrders!$A$2:$A$3001,0))</f>
        <v>V013</v>
      </c>
    </row>
    <row r="2030" customFormat="false" ht="15" hidden="false" customHeight="true" outlineLevel="0" collapsed="false">
      <c r="A2030" s="4" t="s">
        <v>5217</v>
      </c>
      <c r="B2030" s="4" t="s">
        <v>2206</v>
      </c>
      <c r="C2030" s="4" t="n">
        <v>3395</v>
      </c>
      <c r="D2030" s="4" t="n">
        <v>229</v>
      </c>
      <c r="E2030" s="13" t="n">
        <v>44941</v>
      </c>
      <c r="F2030" s="4" t="s">
        <v>3184</v>
      </c>
      <c r="G2030" s="4" t="str">
        <f aca="false">INDEX(PurchaseOrders!$B$2:$B$3001,MATCH(B2030,PurchaseOrders!$A$2:$A$3001,0))</f>
        <v>V028</v>
      </c>
    </row>
    <row r="2031" customFormat="false" ht="15" hidden="false" customHeight="true" outlineLevel="0" collapsed="false">
      <c r="A2031" s="4" t="s">
        <v>5218</v>
      </c>
      <c r="B2031" s="4" t="s">
        <v>2207</v>
      </c>
      <c r="C2031" s="4" t="n">
        <v>754</v>
      </c>
      <c r="D2031" s="4" t="n">
        <v>21</v>
      </c>
      <c r="E2031" s="13" t="n">
        <v>45470</v>
      </c>
      <c r="F2031" s="4" t="s">
        <v>3186</v>
      </c>
      <c r="G2031" s="4" t="str">
        <f aca="false">INDEX(PurchaseOrders!$B$2:$B$3001,MATCH(B2031,PurchaseOrders!$A$2:$A$3001,0))</f>
        <v>V010</v>
      </c>
    </row>
    <row r="2032" customFormat="false" ht="15" hidden="false" customHeight="true" outlineLevel="0" collapsed="false">
      <c r="A2032" s="4" t="s">
        <v>5219</v>
      </c>
      <c r="B2032" s="4" t="s">
        <v>2208</v>
      </c>
      <c r="C2032" s="4" t="n">
        <v>1013</v>
      </c>
      <c r="D2032" s="4" t="n">
        <v>115</v>
      </c>
      <c r="E2032" s="13" t="n">
        <v>45263</v>
      </c>
      <c r="F2032" s="4" t="s">
        <v>3188</v>
      </c>
      <c r="G2032" s="4" t="str">
        <f aca="false">INDEX(PurchaseOrders!$B$2:$B$3001,MATCH(B2032,PurchaseOrders!$A$2:$A$3001,0))</f>
        <v>V027</v>
      </c>
    </row>
    <row r="2033" customFormat="false" ht="15" hidden="false" customHeight="true" outlineLevel="0" collapsed="false">
      <c r="A2033" s="4" t="s">
        <v>5220</v>
      </c>
      <c r="B2033" s="4" t="s">
        <v>2209</v>
      </c>
      <c r="C2033" s="4" t="n">
        <v>287</v>
      </c>
      <c r="D2033" s="4" t="n">
        <v>30</v>
      </c>
      <c r="E2033" s="13" t="n">
        <v>45535</v>
      </c>
      <c r="F2033" s="4" t="s">
        <v>3202</v>
      </c>
      <c r="G2033" s="4" t="str">
        <f aca="false">INDEX(PurchaseOrders!$B$2:$B$3001,MATCH(B2033,PurchaseOrders!$A$2:$A$3001,0))</f>
        <v>V030</v>
      </c>
    </row>
    <row r="2034" customFormat="false" ht="15" hidden="false" customHeight="true" outlineLevel="0" collapsed="false">
      <c r="A2034" s="4" t="s">
        <v>5221</v>
      </c>
      <c r="B2034" s="4" t="s">
        <v>2210</v>
      </c>
      <c r="C2034" s="4" t="n">
        <v>839</v>
      </c>
      <c r="D2034" s="4" t="n">
        <v>70</v>
      </c>
      <c r="E2034" s="13" t="n">
        <v>45379</v>
      </c>
      <c r="F2034" s="4" t="s">
        <v>3186</v>
      </c>
      <c r="G2034" s="4" t="str">
        <f aca="false">INDEX(PurchaseOrders!$B$2:$B$3001,MATCH(B2034,PurchaseOrders!$A$2:$A$3001,0))</f>
        <v>V048</v>
      </c>
    </row>
    <row r="2035" customFormat="false" ht="15" hidden="false" customHeight="true" outlineLevel="0" collapsed="false">
      <c r="A2035" s="4" t="s">
        <v>5222</v>
      </c>
      <c r="B2035" s="4" t="s">
        <v>2211</v>
      </c>
      <c r="C2035" s="4" t="n">
        <v>398</v>
      </c>
      <c r="D2035" s="4" t="n">
        <v>28</v>
      </c>
      <c r="E2035" s="13" t="n">
        <v>45108</v>
      </c>
      <c r="F2035" s="4" t="s">
        <v>3202</v>
      </c>
      <c r="G2035" s="4" t="str">
        <f aca="false">INDEX(PurchaseOrders!$B$2:$B$3001,MATCH(B2035,PurchaseOrders!$A$2:$A$3001,0))</f>
        <v>V031</v>
      </c>
    </row>
    <row r="2036" customFormat="false" ht="15" hidden="false" customHeight="true" outlineLevel="0" collapsed="false">
      <c r="A2036" s="4" t="s">
        <v>5223</v>
      </c>
      <c r="B2036" s="4" t="s">
        <v>2212</v>
      </c>
      <c r="C2036" s="4" t="n">
        <v>3930</v>
      </c>
      <c r="D2036" s="4" t="n">
        <v>97</v>
      </c>
      <c r="E2036" s="13" t="n">
        <v>45200</v>
      </c>
      <c r="F2036" s="4" t="s">
        <v>3190</v>
      </c>
      <c r="G2036" s="4" t="str">
        <f aca="false">INDEX(PurchaseOrders!$B$2:$B$3001,MATCH(B2036,PurchaseOrders!$A$2:$A$3001,0))</f>
        <v>V015</v>
      </c>
    </row>
    <row r="2037" customFormat="false" ht="15" hidden="false" customHeight="true" outlineLevel="0" collapsed="false">
      <c r="A2037" s="4" t="s">
        <v>5224</v>
      </c>
      <c r="B2037" s="4" t="s">
        <v>2213</v>
      </c>
      <c r="C2037" s="4" t="n">
        <v>685</v>
      </c>
      <c r="D2037" s="4" t="n">
        <v>27</v>
      </c>
      <c r="E2037" s="13" t="n">
        <v>45484</v>
      </c>
      <c r="F2037" s="4" t="s">
        <v>3188</v>
      </c>
      <c r="G2037" s="4" t="str">
        <f aca="false">INDEX(PurchaseOrders!$B$2:$B$3001,MATCH(B2037,PurchaseOrders!$A$2:$A$3001,0))</f>
        <v>V020</v>
      </c>
    </row>
    <row r="2038" customFormat="false" ht="15" hidden="false" customHeight="true" outlineLevel="0" collapsed="false">
      <c r="A2038" s="4" t="s">
        <v>5225</v>
      </c>
      <c r="B2038" s="4" t="s">
        <v>2214</v>
      </c>
      <c r="C2038" s="4" t="n">
        <v>1778</v>
      </c>
      <c r="D2038" s="4" t="n">
        <v>61</v>
      </c>
      <c r="E2038" s="13" t="n">
        <v>45020</v>
      </c>
      <c r="F2038" s="4" t="s">
        <v>3202</v>
      </c>
      <c r="G2038" s="4" t="str">
        <f aca="false">INDEX(PurchaseOrders!$B$2:$B$3001,MATCH(B2038,PurchaseOrders!$A$2:$A$3001,0))</f>
        <v>V021</v>
      </c>
    </row>
    <row r="2039" customFormat="false" ht="15" hidden="false" customHeight="true" outlineLevel="0" collapsed="false">
      <c r="A2039" s="4" t="s">
        <v>5226</v>
      </c>
      <c r="B2039" s="4" t="s">
        <v>2215</v>
      </c>
      <c r="C2039" s="4" t="n">
        <v>348</v>
      </c>
      <c r="D2039" s="4" t="n">
        <v>22</v>
      </c>
      <c r="E2039" s="13" t="n">
        <v>45603</v>
      </c>
      <c r="F2039" s="4" t="s">
        <v>3188</v>
      </c>
      <c r="G2039" s="4" t="str">
        <f aca="false">INDEX(PurchaseOrders!$B$2:$B$3001,MATCH(B2039,PurchaseOrders!$A$2:$A$3001,0))</f>
        <v>V018</v>
      </c>
    </row>
    <row r="2040" customFormat="false" ht="15" hidden="false" customHeight="true" outlineLevel="0" collapsed="false">
      <c r="A2040" s="4" t="s">
        <v>5227</v>
      </c>
      <c r="B2040" s="4" t="s">
        <v>2216</v>
      </c>
      <c r="C2040" s="4" t="n">
        <v>699</v>
      </c>
      <c r="D2040" s="4" t="n">
        <v>76</v>
      </c>
      <c r="E2040" s="13" t="n">
        <v>45538</v>
      </c>
      <c r="F2040" s="4" t="s">
        <v>3184</v>
      </c>
      <c r="G2040" s="4" t="str">
        <f aca="false">INDEX(PurchaseOrders!$B$2:$B$3001,MATCH(B2040,PurchaseOrders!$A$2:$A$3001,0))</f>
        <v>V032</v>
      </c>
    </row>
    <row r="2041" customFormat="false" ht="15" hidden="false" customHeight="true" outlineLevel="0" collapsed="false">
      <c r="A2041" s="4" t="s">
        <v>5228</v>
      </c>
      <c r="B2041" s="4" t="s">
        <v>2217</v>
      </c>
      <c r="C2041" s="4" t="n">
        <v>3317</v>
      </c>
      <c r="D2041" s="4" t="n">
        <v>191</v>
      </c>
      <c r="E2041" s="13" t="n">
        <v>45500</v>
      </c>
      <c r="F2041" s="4" t="s">
        <v>3184</v>
      </c>
      <c r="G2041" s="4" t="str">
        <f aca="false">INDEX(PurchaseOrders!$B$2:$B$3001,MATCH(B2041,PurchaseOrders!$A$2:$A$3001,0))</f>
        <v>V003</v>
      </c>
    </row>
    <row r="2042" customFormat="false" ht="15" hidden="false" customHeight="true" outlineLevel="0" collapsed="false">
      <c r="A2042" s="4" t="s">
        <v>5229</v>
      </c>
      <c r="B2042" s="4" t="s">
        <v>2218</v>
      </c>
      <c r="C2042" s="4" t="n">
        <v>262</v>
      </c>
      <c r="D2042" s="4" t="n">
        <v>34</v>
      </c>
      <c r="E2042" s="13" t="n">
        <v>45583</v>
      </c>
      <c r="F2042" s="4" t="s">
        <v>3186</v>
      </c>
      <c r="G2042" s="4" t="str">
        <f aca="false">INDEX(PurchaseOrders!$B$2:$B$3001,MATCH(B2042,PurchaseOrders!$A$2:$A$3001,0))</f>
        <v>V044</v>
      </c>
    </row>
    <row r="2043" customFormat="false" ht="15" hidden="false" customHeight="true" outlineLevel="0" collapsed="false">
      <c r="A2043" s="4" t="s">
        <v>5230</v>
      </c>
      <c r="B2043" s="4" t="s">
        <v>2219</v>
      </c>
      <c r="C2043" s="4" t="n">
        <v>844</v>
      </c>
      <c r="D2043" s="4" t="n">
        <v>23</v>
      </c>
      <c r="E2043" s="13" t="n">
        <v>45119</v>
      </c>
      <c r="F2043" s="4" t="s">
        <v>3192</v>
      </c>
      <c r="G2043" s="4" t="str">
        <f aca="false">INDEX(PurchaseOrders!$B$2:$B$3001,MATCH(B2043,PurchaseOrders!$A$2:$A$3001,0))</f>
        <v>V021</v>
      </c>
    </row>
    <row r="2044" customFormat="false" ht="15" hidden="false" customHeight="true" outlineLevel="0" collapsed="false">
      <c r="A2044" s="4" t="s">
        <v>5231</v>
      </c>
      <c r="B2044" s="4" t="s">
        <v>2220</v>
      </c>
      <c r="C2044" s="4" t="n">
        <v>827</v>
      </c>
      <c r="D2044" s="4" t="n">
        <v>16</v>
      </c>
      <c r="E2044" s="13" t="n">
        <v>45196</v>
      </c>
      <c r="F2044" s="4" t="s">
        <v>3190</v>
      </c>
      <c r="G2044" s="4" t="str">
        <f aca="false">INDEX(PurchaseOrders!$B$2:$B$3001,MATCH(B2044,PurchaseOrders!$A$2:$A$3001,0))</f>
        <v>V002</v>
      </c>
    </row>
    <row r="2045" customFormat="false" ht="15" hidden="false" customHeight="true" outlineLevel="0" collapsed="false">
      <c r="A2045" s="4" t="s">
        <v>5232</v>
      </c>
      <c r="B2045" s="4" t="s">
        <v>2221</v>
      </c>
      <c r="C2045" s="4" t="n">
        <v>18</v>
      </c>
      <c r="D2045" s="4" t="n">
        <v>3</v>
      </c>
      <c r="E2045" s="13" t="n">
        <v>45584</v>
      </c>
      <c r="F2045" s="4" t="s">
        <v>3184</v>
      </c>
      <c r="G2045" s="4" t="str">
        <f aca="false">INDEX(PurchaseOrders!$B$2:$B$3001,MATCH(B2045,PurchaseOrders!$A$2:$A$3001,0))</f>
        <v>V042</v>
      </c>
    </row>
    <row r="2046" customFormat="false" ht="15" hidden="false" customHeight="true" outlineLevel="0" collapsed="false">
      <c r="A2046" s="4" t="s">
        <v>5233</v>
      </c>
      <c r="B2046" s="4" t="s">
        <v>2222</v>
      </c>
      <c r="C2046" s="4" t="n">
        <v>1583</v>
      </c>
      <c r="D2046" s="4" t="n">
        <v>89</v>
      </c>
      <c r="E2046" s="13" t="n">
        <v>45049</v>
      </c>
      <c r="F2046" s="4" t="s">
        <v>3190</v>
      </c>
      <c r="G2046" s="4" t="str">
        <f aca="false">INDEX(PurchaseOrders!$B$2:$B$3001,MATCH(B2046,PurchaseOrders!$A$2:$A$3001,0))</f>
        <v>V022</v>
      </c>
    </row>
    <row r="2047" customFormat="false" ht="15" hidden="false" customHeight="true" outlineLevel="0" collapsed="false">
      <c r="A2047" s="4" t="s">
        <v>5234</v>
      </c>
      <c r="B2047" s="4" t="s">
        <v>2223</v>
      </c>
      <c r="C2047" s="4" t="n">
        <v>372</v>
      </c>
      <c r="D2047" s="4" t="n">
        <v>62</v>
      </c>
      <c r="E2047" s="13" t="n">
        <v>44972</v>
      </c>
      <c r="F2047" s="4" t="s">
        <v>3190</v>
      </c>
      <c r="G2047" s="4" t="str">
        <f aca="false">INDEX(PurchaseOrders!$B$2:$B$3001,MATCH(B2047,PurchaseOrders!$A$2:$A$3001,0))</f>
        <v>V025</v>
      </c>
    </row>
    <row r="2048" customFormat="false" ht="15" hidden="false" customHeight="true" outlineLevel="0" collapsed="false">
      <c r="A2048" s="4" t="s">
        <v>5235</v>
      </c>
      <c r="B2048" s="4" t="s">
        <v>2224</v>
      </c>
      <c r="C2048" s="4" t="n">
        <v>470</v>
      </c>
      <c r="D2048" s="4" t="n">
        <v>42</v>
      </c>
      <c r="E2048" s="13" t="n">
        <v>45568</v>
      </c>
      <c r="F2048" s="4" t="s">
        <v>3190</v>
      </c>
      <c r="G2048" s="4" t="str">
        <f aca="false">INDEX(PurchaseOrders!$B$2:$B$3001,MATCH(B2048,PurchaseOrders!$A$2:$A$3001,0))</f>
        <v>V004</v>
      </c>
    </row>
    <row r="2049" customFormat="false" ht="15" hidden="false" customHeight="true" outlineLevel="0" collapsed="false">
      <c r="A2049" s="4" t="s">
        <v>5236</v>
      </c>
      <c r="B2049" s="4" t="s">
        <v>2225</v>
      </c>
      <c r="C2049" s="4" t="n">
        <v>267</v>
      </c>
      <c r="D2049" s="4" t="n">
        <v>23</v>
      </c>
      <c r="E2049" s="13" t="n">
        <v>45294</v>
      </c>
      <c r="F2049" s="4" t="s">
        <v>3186</v>
      </c>
      <c r="G2049" s="4" t="str">
        <f aca="false">INDEX(PurchaseOrders!$B$2:$B$3001,MATCH(B2049,PurchaseOrders!$A$2:$A$3001,0))</f>
        <v>V048</v>
      </c>
    </row>
    <row r="2050" customFormat="false" ht="15" hidden="false" customHeight="true" outlineLevel="0" collapsed="false">
      <c r="A2050" s="4" t="s">
        <v>5237</v>
      </c>
      <c r="B2050" s="4" t="s">
        <v>2226</v>
      </c>
      <c r="C2050" s="4" t="n">
        <v>223</v>
      </c>
      <c r="D2050" s="4" t="n">
        <v>1</v>
      </c>
      <c r="E2050" s="13" t="n">
        <v>45015</v>
      </c>
      <c r="F2050" s="4" t="s">
        <v>3186</v>
      </c>
      <c r="G2050" s="4" t="str">
        <f aca="false">INDEX(PurchaseOrders!$B$2:$B$3001,MATCH(B2050,PurchaseOrders!$A$2:$A$3001,0))</f>
        <v>V008</v>
      </c>
    </row>
    <row r="2051" customFormat="false" ht="15" hidden="false" customHeight="true" outlineLevel="0" collapsed="false">
      <c r="A2051" s="4" t="s">
        <v>5238</v>
      </c>
      <c r="B2051" s="4" t="s">
        <v>2227</v>
      </c>
      <c r="C2051" s="4" t="n">
        <v>1294</v>
      </c>
      <c r="D2051" s="4" t="n">
        <v>233</v>
      </c>
      <c r="E2051" s="13" t="n">
        <v>44963</v>
      </c>
      <c r="F2051" s="4" t="s">
        <v>3186</v>
      </c>
      <c r="G2051" s="4" t="str">
        <f aca="false">INDEX(PurchaseOrders!$B$2:$B$3001,MATCH(B2051,PurchaseOrders!$A$2:$A$3001,0))</f>
        <v>V026</v>
      </c>
    </row>
    <row r="2052" customFormat="false" ht="15" hidden="false" customHeight="true" outlineLevel="0" collapsed="false">
      <c r="A2052" s="4" t="s">
        <v>5239</v>
      </c>
      <c r="B2052" s="4" t="s">
        <v>2228</v>
      </c>
      <c r="C2052" s="4" t="n">
        <v>139</v>
      </c>
      <c r="D2052" s="4" t="n">
        <v>12</v>
      </c>
      <c r="E2052" s="13" t="n">
        <v>45661</v>
      </c>
      <c r="F2052" s="4" t="s">
        <v>3192</v>
      </c>
      <c r="G2052" s="4" t="str">
        <f aca="false">INDEX(PurchaseOrders!$B$2:$B$3001,MATCH(B2052,PurchaseOrders!$A$2:$A$3001,0))</f>
        <v>V055</v>
      </c>
    </row>
    <row r="2053" customFormat="false" ht="15" hidden="false" customHeight="true" outlineLevel="0" collapsed="false">
      <c r="A2053" s="4" t="s">
        <v>5240</v>
      </c>
      <c r="B2053" s="4" t="s">
        <v>2229</v>
      </c>
      <c r="C2053" s="4" t="n">
        <v>382</v>
      </c>
      <c r="D2053" s="4" t="n">
        <v>0</v>
      </c>
      <c r="E2053" s="13" t="n">
        <v>45555</v>
      </c>
      <c r="F2053" s="4"/>
      <c r="G2053" s="4" t="str">
        <f aca="false">INDEX(PurchaseOrders!$B$2:$B$3001,MATCH(B2053,PurchaseOrders!$A$2:$A$3001,0))</f>
        <v>V021</v>
      </c>
    </row>
    <row r="2054" customFormat="false" ht="15" hidden="false" customHeight="true" outlineLevel="0" collapsed="false">
      <c r="A2054" s="4" t="s">
        <v>5241</v>
      </c>
      <c r="B2054" s="4" t="s">
        <v>2230</v>
      </c>
      <c r="C2054" s="4" t="n">
        <v>358</v>
      </c>
      <c r="D2054" s="4" t="n">
        <v>32</v>
      </c>
      <c r="E2054" s="13" t="n">
        <v>45331</v>
      </c>
      <c r="F2054" s="4" t="s">
        <v>3192</v>
      </c>
      <c r="G2054" s="4" t="str">
        <f aca="false">INDEX(PurchaseOrders!$B$2:$B$3001,MATCH(B2054,PurchaseOrders!$A$2:$A$3001,0))</f>
        <v>V030</v>
      </c>
    </row>
    <row r="2055" customFormat="false" ht="15" hidden="false" customHeight="true" outlineLevel="0" collapsed="false">
      <c r="A2055" s="4" t="s">
        <v>5242</v>
      </c>
      <c r="B2055" s="4" t="s">
        <v>2231</v>
      </c>
      <c r="C2055" s="4" t="n">
        <v>61</v>
      </c>
      <c r="D2055" s="4" t="n">
        <v>2</v>
      </c>
      <c r="E2055" s="13" t="n">
        <v>45370</v>
      </c>
      <c r="F2055" s="4" t="s">
        <v>3192</v>
      </c>
      <c r="G2055" s="4" t="str">
        <f aca="false">INDEX(PurchaseOrders!$B$2:$B$3001,MATCH(B2055,PurchaseOrders!$A$2:$A$3001,0))</f>
        <v>V052</v>
      </c>
    </row>
    <row r="2056" customFormat="false" ht="15" hidden="false" customHeight="true" outlineLevel="0" collapsed="false">
      <c r="A2056" s="4" t="s">
        <v>5243</v>
      </c>
      <c r="B2056" s="4" t="s">
        <v>2232</v>
      </c>
      <c r="C2056" s="4" t="n">
        <v>15</v>
      </c>
      <c r="D2056" s="4" t="n">
        <v>2</v>
      </c>
      <c r="E2056" s="13" t="n">
        <v>45604</v>
      </c>
      <c r="F2056" s="4" t="s">
        <v>3186</v>
      </c>
      <c r="G2056" s="4" t="str">
        <f aca="false">INDEX(PurchaseOrders!$B$2:$B$3001,MATCH(B2056,PurchaseOrders!$A$2:$A$3001,0))</f>
        <v>V042</v>
      </c>
    </row>
    <row r="2057" customFormat="false" ht="15" hidden="false" customHeight="true" outlineLevel="0" collapsed="false">
      <c r="A2057" s="4" t="s">
        <v>5244</v>
      </c>
      <c r="B2057" s="4" t="s">
        <v>2233</v>
      </c>
      <c r="C2057" s="4" t="n">
        <v>345</v>
      </c>
      <c r="D2057" s="4" t="n">
        <v>21</v>
      </c>
      <c r="E2057" s="13" t="n">
        <v>45075</v>
      </c>
      <c r="F2057" s="4" t="s">
        <v>3186</v>
      </c>
      <c r="G2057" s="4" t="str">
        <f aca="false">INDEX(PurchaseOrders!$B$2:$B$3001,MATCH(B2057,PurchaseOrders!$A$2:$A$3001,0))</f>
        <v>V024</v>
      </c>
    </row>
    <row r="2058" customFormat="false" ht="15" hidden="false" customHeight="true" outlineLevel="0" collapsed="false">
      <c r="A2058" s="4" t="s">
        <v>5245</v>
      </c>
      <c r="B2058" s="4" t="s">
        <v>2234</v>
      </c>
      <c r="C2058" s="4" t="n">
        <v>10</v>
      </c>
      <c r="D2058" s="4" t="n">
        <v>1</v>
      </c>
      <c r="E2058" s="13" t="n">
        <v>45405</v>
      </c>
      <c r="F2058" s="4" t="s">
        <v>3186</v>
      </c>
      <c r="G2058" s="4" t="str">
        <f aca="false">INDEX(PurchaseOrders!$B$2:$B$3001,MATCH(B2058,PurchaseOrders!$A$2:$A$3001,0))</f>
        <v>V041</v>
      </c>
    </row>
    <row r="2059" customFormat="false" ht="15" hidden="false" customHeight="true" outlineLevel="0" collapsed="false">
      <c r="A2059" s="4" t="s">
        <v>5246</v>
      </c>
      <c r="B2059" s="4" t="s">
        <v>2235</v>
      </c>
      <c r="C2059" s="4" t="n">
        <v>90</v>
      </c>
      <c r="D2059" s="4" t="n">
        <v>7</v>
      </c>
      <c r="E2059" s="13" t="n">
        <v>45069</v>
      </c>
      <c r="F2059" s="4" t="s">
        <v>3188</v>
      </c>
      <c r="G2059" s="4" t="str">
        <f aca="false">INDEX(PurchaseOrders!$B$2:$B$3001,MATCH(B2059,PurchaseOrders!$A$2:$A$3001,0))</f>
        <v>V043</v>
      </c>
    </row>
    <row r="2060" customFormat="false" ht="15" hidden="false" customHeight="true" outlineLevel="0" collapsed="false">
      <c r="A2060" s="4" t="s">
        <v>5247</v>
      </c>
      <c r="B2060" s="4" t="s">
        <v>2236</v>
      </c>
      <c r="C2060" s="4" t="n">
        <v>165</v>
      </c>
      <c r="D2060" s="4" t="n">
        <v>9</v>
      </c>
      <c r="E2060" s="13" t="n">
        <v>45440</v>
      </c>
      <c r="F2060" s="4" t="s">
        <v>3188</v>
      </c>
      <c r="G2060" s="4" t="str">
        <f aca="false">INDEX(PurchaseOrders!$B$2:$B$3001,MATCH(B2060,PurchaseOrders!$A$2:$A$3001,0))</f>
        <v>V029</v>
      </c>
    </row>
    <row r="2061" customFormat="false" ht="15" hidden="false" customHeight="true" outlineLevel="0" collapsed="false">
      <c r="A2061" s="4" t="s">
        <v>5248</v>
      </c>
      <c r="B2061" s="4" t="s">
        <v>2237</v>
      </c>
      <c r="C2061" s="4" t="n">
        <v>997</v>
      </c>
      <c r="D2061" s="4" t="n">
        <v>40</v>
      </c>
      <c r="E2061" s="13" t="n">
        <v>45507</v>
      </c>
      <c r="F2061" s="4" t="s">
        <v>3192</v>
      </c>
      <c r="G2061" s="4" t="str">
        <f aca="false">INDEX(PurchaseOrders!$B$2:$B$3001,MATCH(B2061,PurchaseOrders!$A$2:$A$3001,0))</f>
        <v>V003</v>
      </c>
    </row>
    <row r="2062" customFormat="false" ht="15" hidden="false" customHeight="true" outlineLevel="0" collapsed="false">
      <c r="A2062" s="4" t="s">
        <v>5249</v>
      </c>
      <c r="B2062" s="4" t="s">
        <v>2238</v>
      </c>
      <c r="C2062" s="4" t="n">
        <v>217</v>
      </c>
      <c r="D2062" s="4" t="n">
        <v>7</v>
      </c>
      <c r="E2062" s="13" t="n">
        <v>45184</v>
      </c>
      <c r="F2062" s="4" t="s">
        <v>3202</v>
      </c>
      <c r="G2062" s="4" t="str">
        <f aca="false">INDEX(PurchaseOrders!$B$2:$B$3001,MATCH(B2062,PurchaseOrders!$A$2:$A$3001,0))</f>
        <v>V037</v>
      </c>
    </row>
    <row r="2063" customFormat="false" ht="15" hidden="false" customHeight="true" outlineLevel="0" collapsed="false">
      <c r="A2063" s="4" t="s">
        <v>5250</v>
      </c>
      <c r="B2063" s="4" t="s">
        <v>2239</v>
      </c>
      <c r="C2063" s="4" t="n">
        <v>1705</v>
      </c>
      <c r="D2063" s="4" t="n">
        <v>69</v>
      </c>
      <c r="E2063" s="13" t="n">
        <v>45019</v>
      </c>
      <c r="F2063" s="4" t="s">
        <v>3188</v>
      </c>
      <c r="G2063" s="4" t="str">
        <f aca="false">INDEX(PurchaseOrders!$B$2:$B$3001,MATCH(B2063,PurchaseOrders!$A$2:$A$3001,0))</f>
        <v>V035</v>
      </c>
    </row>
    <row r="2064" customFormat="false" ht="15" hidden="false" customHeight="true" outlineLevel="0" collapsed="false">
      <c r="A2064" s="4" t="s">
        <v>5251</v>
      </c>
      <c r="B2064" s="4" t="s">
        <v>2240</v>
      </c>
      <c r="C2064" s="4" t="n">
        <v>237</v>
      </c>
      <c r="D2064" s="4" t="n">
        <v>2</v>
      </c>
      <c r="E2064" s="13" t="n">
        <v>45528</v>
      </c>
      <c r="F2064" s="4" t="s">
        <v>3190</v>
      </c>
      <c r="G2064" s="4" t="str">
        <f aca="false">INDEX(PurchaseOrders!$B$2:$B$3001,MATCH(B2064,PurchaseOrders!$A$2:$A$3001,0))</f>
        <v>V046</v>
      </c>
    </row>
    <row r="2065" customFormat="false" ht="15" hidden="false" customHeight="true" outlineLevel="0" collapsed="false">
      <c r="A2065" s="4" t="s">
        <v>5252</v>
      </c>
      <c r="B2065" s="4" t="s">
        <v>2241</v>
      </c>
      <c r="C2065" s="4" t="n">
        <v>276</v>
      </c>
      <c r="D2065" s="4" t="n">
        <v>18</v>
      </c>
      <c r="E2065" s="13" t="n">
        <v>45594</v>
      </c>
      <c r="F2065" s="4" t="s">
        <v>3202</v>
      </c>
      <c r="G2065" s="4" t="str">
        <f aca="false">INDEX(PurchaseOrders!$B$2:$B$3001,MATCH(B2065,PurchaseOrders!$A$2:$A$3001,0))</f>
        <v>V018</v>
      </c>
    </row>
    <row r="2066" customFormat="false" ht="15" hidden="false" customHeight="true" outlineLevel="0" collapsed="false">
      <c r="A2066" s="4" t="s">
        <v>5253</v>
      </c>
      <c r="B2066" s="4" t="s">
        <v>2242</v>
      </c>
      <c r="C2066" s="4" t="n">
        <v>79</v>
      </c>
      <c r="D2066" s="4" t="n">
        <v>2</v>
      </c>
      <c r="E2066" s="13" t="n">
        <v>45608</v>
      </c>
      <c r="F2066" s="4" t="s">
        <v>3188</v>
      </c>
      <c r="G2066" s="4" t="str">
        <f aca="false">INDEX(PurchaseOrders!$B$2:$B$3001,MATCH(B2066,PurchaseOrders!$A$2:$A$3001,0))</f>
        <v>V040</v>
      </c>
    </row>
    <row r="2067" customFormat="false" ht="15" hidden="false" customHeight="true" outlineLevel="0" collapsed="false">
      <c r="A2067" s="4" t="s">
        <v>5254</v>
      </c>
      <c r="B2067" s="4" t="s">
        <v>2243</v>
      </c>
      <c r="C2067" s="4" t="n">
        <v>2844</v>
      </c>
      <c r="D2067" s="4" t="n">
        <v>370</v>
      </c>
      <c r="E2067" s="13" t="n">
        <v>45374</v>
      </c>
      <c r="F2067" s="4" t="s">
        <v>3202</v>
      </c>
      <c r="G2067" s="4" t="str">
        <f aca="false">INDEX(PurchaseOrders!$B$2:$B$3001,MATCH(B2067,PurchaseOrders!$A$2:$A$3001,0))</f>
        <v>V038</v>
      </c>
    </row>
    <row r="2068" customFormat="false" ht="15" hidden="false" customHeight="true" outlineLevel="0" collapsed="false">
      <c r="A2068" s="4" t="s">
        <v>5255</v>
      </c>
      <c r="B2068" s="4" t="s">
        <v>2244</v>
      </c>
      <c r="C2068" s="4" t="n">
        <v>775</v>
      </c>
      <c r="D2068" s="4" t="n">
        <v>75</v>
      </c>
      <c r="E2068" s="13" t="n">
        <v>45332</v>
      </c>
      <c r="F2068" s="4" t="s">
        <v>3190</v>
      </c>
      <c r="G2068" s="4" t="str">
        <f aca="false">INDEX(PurchaseOrders!$B$2:$B$3001,MATCH(B2068,PurchaseOrders!$A$2:$A$3001,0))</f>
        <v>V007</v>
      </c>
    </row>
    <row r="2069" customFormat="false" ht="15" hidden="false" customHeight="true" outlineLevel="0" collapsed="false">
      <c r="A2069" s="4" t="s">
        <v>5256</v>
      </c>
      <c r="B2069" s="4" t="s">
        <v>2245</v>
      </c>
      <c r="C2069" s="4" t="n">
        <v>1160</v>
      </c>
      <c r="D2069" s="4" t="n">
        <v>188</v>
      </c>
      <c r="E2069" s="13" t="n">
        <v>45307</v>
      </c>
      <c r="F2069" s="4" t="s">
        <v>3188</v>
      </c>
      <c r="G2069" s="4" t="str">
        <f aca="false">INDEX(PurchaseOrders!$B$2:$B$3001,MATCH(B2069,PurchaseOrders!$A$2:$A$3001,0))</f>
        <v>V057</v>
      </c>
    </row>
    <row r="2070" customFormat="false" ht="15" hidden="false" customHeight="true" outlineLevel="0" collapsed="false">
      <c r="A2070" s="4" t="s">
        <v>5257</v>
      </c>
      <c r="B2070" s="4" t="s">
        <v>2246</v>
      </c>
      <c r="C2070" s="4" t="n">
        <v>169</v>
      </c>
      <c r="D2070" s="4" t="n">
        <v>13</v>
      </c>
      <c r="E2070" s="13" t="n">
        <v>45594</v>
      </c>
      <c r="F2070" s="4" t="s">
        <v>3192</v>
      </c>
      <c r="G2070" s="4" t="str">
        <f aca="false">INDEX(PurchaseOrders!$B$2:$B$3001,MATCH(B2070,PurchaseOrders!$A$2:$A$3001,0))</f>
        <v>V037</v>
      </c>
    </row>
    <row r="2071" customFormat="false" ht="15" hidden="false" customHeight="true" outlineLevel="0" collapsed="false">
      <c r="A2071" s="4" t="s">
        <v>5258</v>
      </c>
      <c r="B2071" s="4" t="s">
        <v>2247</v>
      </c>
      <c r="C2071" s="4" t="n">
        <v>283</v>
      </c>
      <c r="D2071" s="4" t="n">
        <v>17</v>
      </c>
      <c r="E2071" s="13" t="n">
        <v>45598</v>
      </c>
      <c r="F2071" s="4" t="s">
        <v>3202</v>
      </c>
      <c r="G2071" s="4" t="str">
        <f aca="false">INDEX(PurchaseOrders!$B$2:$B$3001,MATCH(B2071,PurchaseOrders!$A$2:$A$3001,0))</f>
        <v>V004</v>
      </c>
    </row>
    <row r="2072" customFormat="false" ht="15" hidden="false" customHeight="true" outlineLevel="0" collapsed="false">
      <c r="A2072" s="4" t="s">
        <v>5259</v>
      </c>
      <c r="B2072" s="4" t="s">
        <v>2248</v>
      </c>
      <c r="C2072" s="4" t="n">
        <v>408</v>
      </c>
      <c r="D2072" s="4" t="n">
        <v>0</v>
      </c>
      <c r="E2072" s="13" t="n">
        <v>45155</v>
      </c>
      <c r="F2072" s="4"/>
      <c r="G2072" s="4" t="str">
        <f aca="false">INDEX(PurchaseOrders!$B$2:$B$3001,MATCH(B2072,PurchaseOrders!$A$2:$A$3001,0))</f>
        <v>V029</v>
      </c>
    </row>
    <row r="2073" customFormat="false" ht="15" hidden="false" customHeight="true" outlineLevel="0" collapsed="false">
      <c r="A2073" s="4" t="s">
        <v>5260</v>
      </c>
      <c r="B2073" s="4" t="s">
        <v>2249</v>
      </c>
      <c r="C2073" s="4" t="n">
        <v>350</v>
      </c>
      <c r="D2073" s="4" t="n">
        <v>19</v>
      </c>
      <c r="E2073" s="13" t="n">
        <v>45283</v>
      </c>
      <c r="F2073" s="4" t="s">
        <v>3186</v>
      </c>
      <c r="G2073" s="4" t="str">
        <f aca="false">INDEX(PurchaseOrders!$B$2:$B$3001,MATCH(B2073,PurchaseOrders!$A$2:$A$3001,0))</f>
        <v>V006</v>
      </c>
    </row>
    <row r="2074" customFormat="false" ht="15" hidden="false" customHeight="true" outlineLevel="0" collapsed="false">
      <c r="A2074" s="4" t="s">
        <v>5261</v>
      </c>
      <c r="B2074" s="4" t="s">
        <v>2250</v>
      </c>
      <c r="C2074" s="4" t="n">
        <v>258</v>
      </c>
      <c r="D2074" s="4" t="n">
        <v>0</v>
      </c>
      <c r="E2074" s="13" t="n">
        <v>45045</v>
      </c>
      <c r="F2074" s="4"/>
      <c r="G2074" s="4" t="str">
        <f aca="false">INDEX(PurchaseOrders!$B$2:$B$3001,MATCH(B2074,PurchaseOrders!$A$2:$A$3001,0))</f>
        <v>V052</v>
      </c>
    </row>
    <row r="2075" customFormat="false" ht="15" hidden="false" customHeight="true" outlineLevel="0" collapsed="false">
      <c r="A2075" s="4" t="s">
        <v>5262</v>
      </c>
      <c r="B2075" s="4" t="s">
        <v>2251</v>
      </c>
      <c r="C2075" s="4" t="n">
        <v>107</v>
      </c>
      <c r="D2075" s="4" t="n">
        <v>10</v>
      </c>
      <c r="E2075" s="13" t="n">
        <v>45555</v>
      </c>
      <c r="F2075" s="4" t="s">
        <v>3202</v>
      </c>
      <c r="G2075" s="4" t="str">
        <f aca="false">INDEX(PurchaseOrders!$B$2:$B$3001,MATCH(B2075,PurchaseOrders!$A$2:$A$3001,0))</f>
        <v>V004</v>
      </c>
    </row>
    <row r="2076" customFormat="false" ht="15" hidden="false" customHeight="true" outlineLevel="0" collapsed="false">
      <c r="A2076" s="4" t="s">
        <v>5263</v>
      </c>
      <c r="B2076" s="4" t="s">
        <v>2252</v>
      </c>
      <c r="C2076" s="4" t="n">
        <v>164</v>
      </c>
      <c r="D2076" s="4" t="n">
        <v>7</v>
      </c>
      <c r="E2076" s="13" t="n">
        <v>45255</v>
      </c>
      <c r="F2076" s="4" t="s">
        <v>3188</v>
      </c>
      <c r="G2076" s="4" t="str">
        <f aca="false">INDEX(PurchaseOrders!$B$2:$B$3001,MATCH(B2076,PurchaseOrders!$A$2:$A$3001,0))</f>
        <v>V037</v>
      </c>
    </row>
    <row r="2077" customFormat="false" ht="15" hidden="false" customHeight="true" outlineLevel="0" collapsed="false">
      <c r="A2077" s="4" t="s">
        <v>5264</v>
      </c>
      <c r="B2077" s="4" t="s">
        <v>2253</v>
      </c>
      <c r="C2077" s="4" t="n">
        <v>976</v>
      </c>
      <c r="D2077" s="4" t="n">
        <v>53</v>
      </c>
      <c r="E2077" s="13" t="n">
        <v>45093</v>
      </c>
      <c r="F2077" s="4" t="s">
        <v>3190</v>
      </c>
      <c r="G2077" s="4" t="str">
        <f aca="false">INDEX(PurchaseOrders!$B$2:$B$3001,MATCH(B2077,PurchaseOrders!$A$2:$A$3001,0))</f>
        <v>V001</v>
      </c>
    </row>
    <row r="2078" customFormat="false" ht="15" hidden="false" customHeight="true" outlineLevel="0" collapsed="false">
      <c r="A2078" s="4" t="s">
        <v>5265</v>
      </c>
      <c r="B2078" s="4" t="s">
        <v>2254</v>
      </c>
      <c r="C2078" s="4" t="n">
        <v>160</v>
      </c>
      <c r="D2078" s="4" t="n">
        <v>15</v>
      </c>
      <c r="E2078" s="13" t="n">
        <v>45567</v>
      </c>
      <c r="F2078" s="4" t="s">
        <v>3192</v>
      </c>
      <c r="G2078" s="4" t="str">
        <f aca="false">INDEX(PurchaseOrders!$B$2:$B$3001,MATCH(B2078,PurchaseOrders!$A$2:$A$3001,0))</f>
        <v>V037</v>
      </c>
    </row>
    <row r="2079" customFormat="false" ht="15" hidden="false" customHeight="true" outlineLevel="0" collapsed="false">
      <c r="A2079" s="4" t="s">
        <v>5266</v>
      </c>
      <c r="B2079" s="4" t="s">
        <v>2255</v>
      </c>
      <c r="C2079" s="4" t="n">
        <v>1750</v>
      </c>
      <c r="D2079" s="4" t="n">
        <v>209</v>
      </c>
      <c r="E2079" s="13" t="n">
        <v>45161</v>
      </c>
      <c r="F2079" s="4" t="s">
        <v>3184</v>
      </c>
      <c r="G2079" s="4" t="str">
        <f aca="false">INDEX(PurchaseOrders!$B$2:$B$3001,MATCH(B2079,PurchaseOrders!$A$2:$A$3001,0))</f>
        <v>V044</v>
      </c>
    </row>
    <row r="2080" customFormat="false" ht="15" hidden="false" customHeight="true" outlineLevel="0" collapsed="false">
      <c r="A2080" s="4" t="s">
        <v>5267</v>
      </c>
      <c r="B2080" s="4" t="s">
        <v>2256</v>
      </c>
      <c r="C2080" s="4" t="n">
        <v>3015</v>
      </c>
      <c r="D2080" s="4" t="n">
        <v>135</v>
      </c>
      <c r="E2080" s="13" t="n">
        <v>45037</v>
      </c>
      <c r="F2080" s="4" t="s">
        <v>3192</v>
      </c>
      <c r="G2080" s="4" t="str">
        <f aca="false">INDEX(PurchaseOrders!$B$2:$B$3001,MATCH(B2080,PurchaseOrders!$A$2:$A$3001,0))</f>
        <v>V002</v>
      </c>
    </row>
    <row r="2081" customFormat="false" ht="15" hidden="false" customHeight="true" outlineLevel="0" collapsed="false">
      <c r="A2081" s="4" t="s">
        <v>5268</v>
      </c>
      <c r="B2081" s="4" t="s">
        <v>2257</v>
      </c>
      <c r="C2081" s="4" t="n">
        <v>1340</v>
      </c>
      <c r="D2081" s="4" t="n">
        <v>74</v>
      </c>
      <c r="E2081" s="13" t="n">
        <v>45132</v>
      </c>
      <c r="F2081" s="4" t="s">
        <v>3186</v>
      </c>
      <c r="G2081" s="4" t="str">
        <f aca="false">INDEX(PurchaseOrders!$B$2:$B$3001,MATCH(B2081,PurchaseOrders!$A$2:$A$3001,0))</f>
        <v>V051</v>
      </c>
    </row>
    <row r="2082" customFormat="false" ht="15" hidden="false" customHeight="true" outlineLevel="0" collapsed="false">
      <c r="A2082" s="4" t="s">
        <v>5269</v>
      </c>
      <c r="B2082" s="4" t="s">
        <v>2258</v>
      </c>
      <c r="C2082" s="4" t="n">
        <v>1537</v>
      </c>
      <c r="D2082" s="4" t="n">
        <v>135</v>
      </c>
      <c r="E2082" s="13" t="n">
        <v>45518</v>
      </c>
      <c r="F2082" s="4" t="s">
        <v>3202</v>
      </c>
      <c r="G2082" s="4" t="str">
        <f aca="false">INDEX(PurchaseOrders!$B$2:$B$3001,MATCH(B2082,PurchaseOrders!$A$2:$A$3001,0))</f>
        <v>V007</v>
      </c>
    </row>
    <row r="2083" customFormat="false" ht="15" hidden="false" customHeight="true" outlineLevel="0" collapsed="false">
      <c r="A2083" s="4" t="s">
        <v>5270</v>
      </c>
      <c r="B2083" s="4" t="s">
        <v>2259</v>
      </c>
      <c r="C2083" s="4" t="n">
        <v>2802</v>
      </c>
      <c r="D2083" s="4" t="n">
        <v>116</v>
      </c>
      <c r="E2083" s="13" t="n">
        <v>45618</v>
      </c>
      <c r="F2083" s="4" t="s">
        <v>3188</v>
      </c>
      <c r="G2083" s="4" t="str">
        <f aca="false">INDEX(PurchaseOrders!$B$2:$B$3001,MATCH(B2083,PurchaseOrders!$A$2:$A$3001,0))</f>
        <v>V014</v>
      </c>
    </row>
    <row r="2084" customFormat="false" ht="15" hidden="false" customHeight="true" outlineLevel="0" collapsed="false">
      <c r="A2084" s="4" t="s">
        <v>5271</v>
      </c>
      <c r="B2084" s="4" t="s">
        <v>2260</v>
      </c>
      <c r="C2084" s="4" t="n">
        <v>2661</v>
      </c>
      <c r="D2084" s="4" t="n">
        <v>48</v>
      </c>
      <c r="E2084" s="13" t="n">
        <v>45417</v>
      </c>
      <c r="F2084" s="4" t="s">
        <v>3190</v>
      </c>
      <c r="G2084" s="4" t="str">
        <f aca="false">INDEX(PurchaseOrders!$B$2:$B$3001,MATCH(B2084,PurchaseOrders!$A$2:$A$3001,0))</f>
        <v>V002</v>
      </c>
    </row>
    <row r="2085" customFormat="false" ht="15" hidden="false" customHeight="true" outlineLevel="0" collapsed="false">
      <c r="A2085" s="4" t="s">
        <v>5272</v>
      </c>
      <c r="B2085" s="4" t="s">
        <v>2261</v>
      </c>
      <c r="C2085" s="4" t="n">
        <v>1817</v>
      </c>
      <c r="D2085" s="4" t="n">
        <v>19</v>
      </c>
      <c r="E2085" s="13" t="n">
        <v>45342</v>
      </c>
      <c r="F2085" s="4" t="s">
        <v>3192</v>
      </c>
      <c r="G2085" s="4" t="str">
        <f aca="false">INDEX(PurchaseOrders!$B$2:$B$3001,MATCH(B2085,PurchaseOrders!$A$2:$A$3001,0))</f>
        <v>V059</v>
      </c>
    </row>
    <row r="2086" customFormat="false" ht="15" hidden="false" customHeight="true" outlineLevel="0" collapsed="false">
      <c r="A2086" s="4" t="s">
        <v>5273</v>
      </c>
      <c r="B2086" s="4" t="s">
        <v>2262</v>
      </c>
      <c r="C2086" s="4" t="n">
        <v>1431</v>
      </c>
      <c r="D2086" s="4" t="n">
        <v>33</v>
      </c>
      <c r="E2086" s="13" t="n">
        <v>45559</v>
      </c>
      <c r="F2086" s="4" t="s">
        <v>3186</v>
      </c>
      <c r="G2086" s="4" t="str">
        <f aca="false">INDEX(PurchaseOrders!$B$2:$B$3001,MATCH(B2086,PurchaseOrders!$A$2:$A$3001,0))</f>
        <v>V051</v>
      </c>
    </row>
    <row r="2087" customFormat="false" ht="15" hidden="false" customHeight="true" outlineLevel="0" collapsed="false">
      <c r="A2087" s="4" t="s">
        <v>5274</v>
      </c>
      <c r="B2087" s="4" t="s">
        <v>2263</v>
      </c>
      <c r="C2087" s="4" t="n">
        <v>484</v>
      </c>
      <c r="D2087" s="4" t="n">
        <v>26</v>
      </c>
      <c r="E2087" s="13" t="n">
        <v>45492</v>
      </c>
      <c r="F2087" s="4" t="s">
        <v>3188</v>
      </c>
      <c r="G2087" s="4" t="str">
        <f aca="false">INDEX(PurchaseOrders!$B$2:$B$3001,MATCH(B2087,PurchaseOrders!$A$2:$A$3001,0))</f>
        <v>V034</v>
      </c>
    </row>
    <row r="2088" customFormat="false" ht="15" hidden="false" customHeight="true" outlineLevel="0" collapsed="false">
      <c r="A2088" s="4" t="s">
        <v>5275</v>
      </c>
      <c r="B2088" s="4" t="s">
        <v>2264</v>
      </c>
      <c r="C2088" s="4" t="n">
        <v>177</v>
      </c>
      <c r="D2088" s="4" t="n">
        <v>7</v>
      </c>
      <c r="E2088" s="13" t="n">
        <v>45278</v>
      </c>
      <c r="F2088" s="4" t="s">
        <v>3202</v>
      </c>
      <c r="G2088" s="4" t="str">
        <f aca="false">INDEX(PurchaseOrders!$B$2:$B$3001,MATCH(B2088,PurchaseOrders!$A$2:$A$3001,0))</f>
        <v>V052</v>
      </c>
    </row>
    <row r="2089" customFormat="false" ht="15" hidden="false" customHeight="true" outlineLevel="0" collapsed="false">
      <c r="A2089" s="4" t="s">
        <v>5276</v>
      </c>
      <c r="B2089" s="4" t="s">
        <v>2265</v>
      </c>
      <c r="C2089" s="4" t="n">
        <v>3819</v>
      </c>
      <c r="D2089" s="4" t="n">
        <v>207</v>
      </c>
      <c r="E2089" s="13" t="n">
        <v>45305</v>
      </c>
      <c r="F2089" s="4" t="s">
        <v>3186</v>
      </c>
      <c r="G2089" s="4" t="str">
        <f aca="false">INDEX(PurchaseOrders!$B$2:$B$3001,MATCH(B2089,PurchaseOrders!$A$2:$A$3001,0))</f>
        <v>V050</v>
      </c>
    </row>
    <row r="2090" customFormat="false" ht="15" hidden="false" customHeight="true" outlineLevel="0" collapsed="false">
      <c r="A2090" s="4" t="s">
        <v>5277</v>
      </c>
      <c r="B2090" s="4" t="s">
        <v>2266</v>
      </c>
      <c r="C2090" s="4" t="n">
        <v>832</v>
      </c>
      <c r="D2090" s="4" t="n">
        <v>39</v>
      </c>
      <c r="E2090" s="13" t="n">
        <v>45470</v>
      </c>
      <c r="F2090" s="4" t="s">
        <v>3188</v>
      </c>
      <c r="G2090" s="4" t="str">
        <f aca="false">INDEX(PurchaseOrders!$B$2:$B$3001,MATCH(B2090,PurchaseOrders!$A$2:$A$3001,0))</f>
        <v>V020</v>
      </c>
    </row>
    <row r="2091" customFormat="false" ht="15" hidden="false" customHeight="true" outlineLevel="0" collapsed="false">
      <c r="A2091" s="4" t="s">
        <v>5278</v>
      </c>
      <c r="B2091" s="4" t="s">
        <v>2267</v>
      </c>
      <c r="C2091" s="4" t="n">
        <v>392</v>
      </c>
      <c r="D2091" s="4" t="n">
        <v>46</v>
      </c>
      <c r="E2091" s="13" t="n">
        <v>45521</v>
      </c>
      <c r="F2091" s="4" t="s">
        <v>3186</v>
      </c>
      <c r="G2091" s="4" t="str">
        <f aca="false">INDEX(PurchaseOrders!$B$2:$B$3001,MATCH(B2091,PurchaseOrders!$A$2:$A$3001,0))</f>
        <v>V044</v>
      </c>
    </row>
    <row r="2092" customFormat="false" ht="15" hidden="false" customHeight="true" outlineLevel="0" collapsed="false">
      <c r="A2092" s="4" t="s">
        <v>5279</v>
      </c>
      <c r="B2092" s="4" t="s">
        <v>2268</v>
      </c>
      <c r="C2092" s="4" t="n">
        <v>243</v>
      </c>
      <c r="D2092" s="4" t="n">
        <v>0</v>
      </c>
      <c r="E2092" s="13" t="n">
        <v>45107</v>
      </c>
      <c r="F2092" s="4"/>
      <c r="G2092" s="4" t="str">
        <f aca="false">INDEX(PurchaseOrders!$B$2:$B$3001,MATCH(B2092,PurchaseOrders!$A$2:$A$3001,0))</f>
        <v>V031</v>
      </c>
    </row>
    <row r="2093" customFormat="false" ht="15" hidden="false" customHeight="true" outlineLevel="0" collapsed="false">
      <c r="A2093" s="4" t="s">
        <v>5280</v>
      </c>
      <c r="B2093" s="4" t="s">
        <v>2269</v>
      </c>
      <c r="C2093" s="4" t="n">
        <v>2695</v>
      </c>
      <c r="D2093" s="4" t="n">
        <v>132</v>
      </c>
      <c r="E2093" s="13" t="n">
        <v>45347</v>
      </c>
      <c r="F2093" s="4" t="s">
        <v>3184</v>
      </c>
      <c r="G2093" s="4" t="str">
        <f aca="false">INDEX(PurchaseOrders!$B$2:$B$3001,MATCH(B2093,PurchaseOrders!$A$2:$A$3001,0))</f>
        <v>V050</v>
      </c>
    </row>
    <row r="2094" customFormat="false" ht="15" hidden="false" customHeight="true" outlineLevel="0" collapsed="false">
      <c r="A2094" s="4" t="s">
        <v>5281</v>
      </c>
      <c r="B2094" s="4" t="s">
        <v>2270</v>
      </c>
      <c r="C2094" s="4" t="n">
        <v>989</v>
      </c>
      <c r="D2094" s="4" t="n">
        <v>48</v>
      </c>
      <c r="E2094" s="13" t="n">
        <v>44997</v>
      </c>
      <c r="F2094" s="4" t="s">
        <v>3184</v>
      </c>
      <c r="G2094" s="4" t="str">
        <f aca="false">INDEX(PurchaseOrders!$B$2:$B$3001,MATCH(B2094,PurchaseOrders!$A$2:$A$3001,0))</f>
        <v>V051</v>
      </c>
    </row>
    <row r="2095" customFormat="false" ht="15" hidden="false" customHeight="true" outlineLevel="0" collapsed="false">
      <c r="A2095" s="4" t="s">
        <v>5282</v>
      </c>
      <c r="B2095" s="4" t="s">
        <v>2271</v>
      </c>
      <c r="C2095" s="4" t="n">
        <v>347</v>
      </c>
      <c r="D2095" s="4" t="n">
        <v>7</v>
      </c>
      <c r="E2095" s="13" t="n">
        <v>45471</v>
      </c>
      <c r="F2095" s="4" t="s">
        <v>3186</v>
      </c>
      <c r="G2095" s="4" t="str">
        <f aca="false">INDEX(PurchaseOrders!$B$2:$B$3001,MATCH(B2095,PurchaseOrders!$A$2:$A$3001,0))</f>
        <v>V008</v>
      </c>
    </row>
    <row r="2096" customFormat="false" ht="15" hidden="false" customHeight="true" outlineLevel="0" collapsed="false">
      <c r="A2096" s="4" t="s">
        <v>5283</v>
      </c>
      <c r="B2096" s="4" t="s">
        <v>2272</v>
      </c>
      <c r="C2096" s="4" t="n">
        <v>752</v>
      </c>
      <c r="D2096" s="4" t="n">
        <v>60</v>
      </c>
      <c r="E2096" s="13" t="n">
        <v>45023</v>
      </c>
      <c r="F2096" s="4" t="s">
        <v>3186</v>
      </c>
      <c r="G2096" s="4" t="str">
        <f aca="false">INDEX(PurchaseOrders!$B$2:$B$3001,MATCH(B2096,PurchaseOrders!$A$2:$A$3001,0))</f>
        <v>V002</v>
      </c>
    </row>
    <row r="2097" customFormat="false" ht="15" hidden="false" customHeight="true" outlineLevel="0" collapsed="false">
      <c r="A2097" s="4" t="s">
        <v>5284</v>
      </c>
      <c r="B2097" s="4" t="s">
        <v>2273</v>
      </c>
      <c r="C2097" s="4" t="n">
        <v>1277</v>
      </c>
      <c r="D2097" s="4" t="n">
        <v>43</v>
      </c>
      <c r="E2097" s="13" t="n">
        <v>45342</v>
      </c>
      <c r="F2097" s="4" t="s">
        <v>3188</v>
      </c>
      <c r="G2097" s="4" t="str">
        <f aca="false">INDEX(PurchaseOrders!$B$2:$B$3001,MATCH(B2097,PurchaseOrders!$A$2:$A$3001,0))</f>
        <v>V045</v>
      </c>
    </row>
    <row r="2098" customFormat="false" ht="15" hidden="false" customHeight="true" outlineLevel="0" collapsed="false">
      <c r="A2098" s="4" t="s">
        <v>5285</v>
      </c>
      <c r="B2098" s="4" t="s">
        <v>2274</v>
      </c>
      <c r="C2098" s="4" t="n">
        <v>226</v>
      </c>
      <c r="D2098" s="4" t="n">
        <v>21</v>
      </c>
      <c r="E2098" s="13" t="n">
        <v>45558</v>
      </c>
      <c r="F2098" s="4" t="s">
        <v>3202</v>
      </c>
      <c r="G2098" s="4" t="str">
        <f aca="false">INDEX(PurchaseOrders!$B$2:$B$3001,MATCH(B2098,PurchaseOrders!$A$2:$A$3001,0))</f>
        <v>V004</v>
      </c>
    </row>
    <row r="2099" customFormat="false" ht="15" hidden="false" customHeight="true" outlineLevel="0" collapsed="false">
      <c r="A2099" s="4" t="s">
        <v>5286</v>
      </c>
      <c r="B2099" s="4" t="s">
        <v>2275</v>
      </c>
      <c r="C2099" s="4" t="n">
        <v>3755</v>
      </c>
      <c r="D2099" s="4" t="n">
        <v>493</v>
      </c>
      <c r="E2099" s="13" t="n">
        <v>45602</v>
      </c>
      <c r="F2099" s="4" t="s">
        <v>3192</v>
      </c>
      <c r="G2099" s="4" t="str">
        <f aca="false">INDEX(PurchaseOrders!$B$2:$B$3001,MATCH(B2099,PurchaseOrders!$A$2:$A$3001,0))</f>
        <v>V057</v>
      </c>
    </row>
    <row r="2100" customFormat="false" ht="15" hidden="false" customHeight="true" outlineLevel="0" collapsed="false">
      <c r="A2100" s="4" t="s">
        <v>5287</v>
      </c>
      <c r="B2100" s="4" t="s">
        <v>2276</v>
      </c>
      <c r="C2100" s="4" t="n">
        <v>1497</v>
      </c>
      <c r="D2100" s="4" t="n">
        <v>0</v>
      </c>
      <c r="E2100" s="13" t="n">
        <v>45654</v>
      </c>
      <c r="F2100" s="4"/>
      <c r="G2100" s="4" t="str">
        <f aca="false">INDEX(PurchaseOrders!$B$2:$B$3001,MATCH(B2100,PurchaseOrders!$A$2:$A$3001,0))</f>
        <v>V059</v>
      </c>
    </row>
    <row r="2101" customFormat="false" ht="15" hidden="false" customHeight="true" outlineLevel="0" collapsed="false">
      <c r="A2101" s="4" t="s">
        <v>5288</v>
      </c>
      <c r="B2101" s="4" t="s">
        <v>2277</v>
      </c>
      <c r="C2101" s="4" t="n">
        <v>49</v>
      </c>
      <c r="D2101" s="4" t="n">
        <v>4</v>
      </c>
      <c r="E2101" s="13" t="n">
        <v>45067</v>
      </c>
      <c r="F2101" s="4" t="s">
        <v>3186</v>
      </c>
      <c r="G2101" s="4" t="str">
        <f aca="false">INDEX(PurchaseOrders!$B$2:$B$3001,MATCH(B2101,PurchaseOrders!$A$2:$A$3001,0))</f>
        <v>V009</v>
      </c>
    </row>
    <row r="2102" customFormat="false" ht="15" hidden="false" customHeight="true" outlineLevel="0" collapsed="false">
      <c r="A2102" s="4" t="s">
        <v>5289</v>
      </c>
      <c r="B2102" s="4" t="s">
        <v>2278</v>
      </c>
      <c r="C2102" s="4" t="n">
        <v>4142</v>
      </c>
      <c r="D2102" s="4" t="n">
        <v>169</v>
      </c>
      <c r="E2102" s="13" t="n">
        <v>44996</v>
      </c>
      <c r="F2102" s="4" t="s">
        <v>3188</v>
      </c>
      <c r="G2102" s="4" t="str">
        <f aca="false">INDEX(PurchaseOrders!$B$2:$B$3001,MATCH(B2102,PurchaseOrders!$A$2:$A$3001,0))</f>
        <v>V017</v>
      </c>
    </row>
    <row r="2103" customFormat="false" ht="15" hidden="false" customHeight="true" outlineLevel="0" collapsed="false">
      <c r="A2103" s="4" t="s">
        <v>5290</v>
      </c>
      <c r="B2103" s="4" t="s">
        <v>2279</v>
      </c>
      <c r="C2103" s="4" t="n">
        <v>192</v>
      </c>
      <c r="D2103" s="4" t="n">
        <v>9</v>
      </c>
      <c r="E2103" s="13" t="n">
        <v>45056</v>
      </c>
      <c r="F2103" s="4" t="s">
        <v>3202</v>
      </c>
      <c r="G2103" s="4" t="str">
        <f aca="false">INDEX(PurchaseOrders!$B$2:$B$3001,MATCH(B2103,PurchaseOrders!$A$2:$A$3001,0))</f>
        <v>V031</v>
      </c>
    </row>
    <row r="2104" customFormat="false" ht="15" hidden="false" customHeight="true" outlineLevel="0" collapsed="false">
      <c r="A2104" s="4" t="s">
        <v>5291</v>
      </c>
      <c r="B2104" s="4" t="s">
        <v>2280</v>
      </c>
      <c r="C2104" s="4" t="n">
        <v>1668</v>
      </c>
      <c r="D2104" s="4" t="n">
        <v>92</v>
      </c>
      <c r="E2104" s="13" t="n">
        <v>45627</v>
      </c>
      <c r="F2104" s="4" t="s">
        <v>3188</v>
      </c>
      <c r="G2104" s="4" t="str">
        <f aca="false">INDEX(PurchaseOrders!$B$2:$B$3001,MATCH(B2104,PurchaseOrders!$A$2:$A$3001,0))</f>
        <v>V010</v>
      </c>
    </row>
    <row r="2105" customFormat="false" ht="15" hidden="false" customHeight="true" outlineLevel="0" collapsed="false">
      <c r="A2105" s="4" t="s">
        <v>5292</v>
      </c>
      <c r="B2105" s="4" t="s">
        <v>2281</v>
      </c>
      <c r="C2105" s="4" t="n">
        <v>2175</v>
      </c>
      <c r="D2105" s="4" t="n">
        <v>124</v>
      </c>
      <c r="E2105" s="13" t="n">
        <v>45374</v>
      </c>
      <c r="F2105" s="4" t="s">
        <v>3186</v>
      </c>
      <c r="G2105" s="4" t="str">
        <f aca="false">INDEX(PurchaseOrders!$B$2:$B$3001,MATCH(B2105,PurchaseOrders!$A$2:$A$3001,0))</f>
        <v>V001</v>
      </c>
    </row>
    <row r="2106" customFormat="false" ht="15" hidden="false" customHeight="true" outlineLevel="0" collapsed="false">
      <c r="A2106" s="4" t="s">
        <v>5293</v>
      </c>
      <c r="B2106" s="4" t="s">
        <v>2282</v>
      </c>
      <c r="C2106" s="4" t="n">
        <v>543</v>
      </c>
      <c r="D2106" s="4" t="n">
        <v>50</v>
      </c>
      <c r="E2106" s="13" t="n">
        <v>45570</v>
      </c>
      <c r="F2106" s="4" t="s">
        <v>3188</v>
      </c>
      <c r="G2106" s="4" t="str">
        <f aca="false">INDEX(PurchaseOrders!$B$2:$B$3001,MATCH(B2106,PurchaseOrders!$A$2:$A$3001,0))</f>
        <v>V005</v>
      </c>
    </row>
    <row r="2107" customFormat="false" ht="15" hidden="false" customHeight="true" outlineLevel="0" collapsed="false">
      <c r="A2107" s="4" t="s">
        <v>5294</v>
      </c>
      <c r="B2107" s="4" t="s">
        <v>2283</v>
      </c>
      <c r="C2107" s="4" t="n">
        <v>11</v>
      </c>
      <c r="D2107" s="4" t="n">
        <v>0</v>
      </c>
      <c r="E2107" s="13" t="n">
        <v>45424</v>
      </c>
      <c r="F2107" s="4"/>
      <c r="G2107" s="4" t="str">
        <f aca="false">INDEX(PurchaseOrders!$B$2:$B$3001,MATCH(B2107,PurchaseOrders!$A$2:$A$3001,0))</f>
        <v>V019</v>
      </c>
    </row>
    <row r="2108" customFormat="false" ht="15" hidden="false" customHeight="true" outlineLevel="0" collapsed="false">
      <c r="A2108" s="4" t="s">
        <v>5295</v>
      </c>
      <c r="B2108" s="4" t="s">
        <v>2284</v>
      </c>
      <c r="C2108" s="4" t="n">
        <v>3412</v>
      </c>
      <c r="D2108" s="4" t="n">
        <v>184</v>
      </c>
      <c r="E2108" s="13" t="n">
        <v>45381</v>
      </c>
      <c r="F2108" s="4" t="s">
        <v>3184</v>
      </c>
      <c r="G2108" s="4" t="str">
        <f aca="false">INDEX(PurchaseOrders!$B$2:$B$3001,MATCH(B2108,PurchaseOrders!$A$2:$A$3001,0))</f>
        <v>V058</v>
      </c>
    </row>
    <row r="2109" customFormat="false" ht="15" hidden="false" customHeight="true" outlineLevel="0" collapsed="false">
      <c r="A2109" s="4" t="s">
        <v>5296</v>
      </c>
      <c r="B2109" s="4" t="s">
        <v>2285</v>
      </c>
      <c r="C2109" s="4" t="n">
        <v>3194</v>
      </c>
      <c r="D2109" s="4" t="n">
        <v>193</v>
      </c>
      <c r="E2109" s="13" t="n">
        <v>45283</v>
      </c>
      <c r="F2109" s="4" t="s">
        <v>3202</v>
      </c>
      <c r="G2109" s="4" t="str">
        <f aca="false">INDEX(PurchaseOrders!$B$2:$B$3001,MATCH(B2109,PurchaseOrders!$A$2:$A$3001,0))</f>
        <v>V001</v>
      </c>
    </row>
    <row r="2110" customFormat="false" ht="15" hidden="false" customHeight="true" outlineLevel="0" collapsed="false">
      <c r="A2110" s="4" t="s">
        <v>5297</v>
      </c>
      <c r="B2110" s="4" t="s">
        <v>2286</v>
      </c>
      <c r="C2110" s="4" t="n">
        <v>5</v>
      </c>
      <c r="D2110" s="4" t="n">
        <v>0</v>
      </c>
      <c r="E2110" s="13" t="n">
        <v>45276</v>
      </c>
      <c r="F2110" s="4"/>
      <c r="G2110" s="4" t="str">
        <f aca="false">INDEX(PurchaseOrders!$B$2:$B$3001,MATCH(B2110,PurchaseOrders!$A$2:$A$3001,0))</f>
        <v>V053</v>
      </c>
    </row>
    <row r="2111" customFormat="false" ht="15" hidden="false" customHeight="true" outlineLevel="0" collapsed="false">
      <c r="A2111" s="4" t="s">
        <v>5298</v>
      </c>
      <c r="B2111" s="4" t="s">
        <v>2287</v>
      </c>
      <c r="C2111" s="4" t="n">
        <v>96</v>
      </c>
      <c r="D2111" s="4" t="n">
        <v>4</v>
      </c>
      <c r="E2111" s="13" t="n">
        <v>45536</v>
      </c>
      <c r="F2111" s="4" t="s">
        <v>3184</v>
      </c>
      <c r="G2111" s="4" t="str">
        <f aca="false">INDEX(PurchaseOrders!$B$2:$B$3001,MATCH(B2111,PurchaseOrders!$A$2:$A$3001,0))</f>
        <v>V037</v>
      </c>
    </row>
    <row r="2112" customFormat="false" ht="15" hidden="false" customHeight="true" outlineLevel="0" collapsed="false">
      <c r="A2112" s="4" t="s">
        <v>5299</v>
      </c>
      <c r="B2112" s="4" t="s">
        <v>2288</v>
      </c>
      <c r="C2112" s="4" t="n">
        <v>7</v>
      </c>
      <c r="D2112" s="4" t="n">
        <v>0</v>
      </c>
      <c r="E2112" s="13" t="n">
        <v>45224</v>
      </c>
      <c r="F2112" s="4"/>
      <c r="G2112" s="4" t="str">
        <f aca="false">INDEX(PurchaseOrders!$B$2:$B$3001,MATCH(B2112,PurchaseOrders!$A$2:$A$3001,0))</f>
        <v>V019</v>
      </c>
    </row>
    <row r="2113" customFormat="false" ht="15" hidden="false" customHeight="true" outlineLevel="0" collapsed="false">
      <c r="A2113" s="4" t="s">
        <v>5300</v>
      </c>
      <c r="B2113" s="4" t="s">
        <v>2289</v>
      </c>
      <c r="C2113" s="4" t="n">
        <v>153</v>
      </c>
      <c r="D2113" s="4" t="n">
        <v>0</v>
      </c>
      <c r="E2113" s="13" t="n">
        <v>45646</v>
      </c>
      <c r="F2113" s="4"/>
      <c r="G2113" s="4" t="str">
        <f aca="false">INDEX(PurchaseOrders!$B$2:$B$3001,MATCH(B2113,PurchaseOrders!$A$2:$A$3001,0))</f>
        <v>V046</v>
      </c>
    </row>
    <row r="2114" customFormat="false" ht="15" hidden="false" customHeight="true" outlineLevel="0" collapsed="false">
      <c r="A2114" s="4" t="s">
        <v>5301</v>
      </c>
      <c r="B2114" s="4" t="s">
        <v>2290</v>
      </c>
      <c r="C2114" s="4" t="n">
        <v>897</v>
      </c>
      <c r="D2114" s="4" t="n">
        <v>177</v>
      </c>
      <c r="E2114" s="13" t="n">
        <v>45109</v>
      </c>
      <c r="F2114" s="4" t="s">
        <v>3188</v>
      </c>
      <c r="G2114" s="4" t="str">
        <f aca="false">INDEX(PurchaseOrders!$B$2:$B$3001,MATCH(B2114,PurchaseOrders!$A$2:$A$3001,0))</f>
        <v>V026</v>
      </c>
    </row>
    <row r="2115" customFormat="false" ht="15" hidden="false" customHeight="true" outlineLevel="0" collapsed="false">
      <c r="A2115" s="4" t="s">
        <v>5302</v>
      </c>
      <c r="B2115" s="4" t="s">
        <v>2291</v>
      </c>
      <c r="C2115" s="4" t="n">
        <v>818</v>
      </c>
      <c r="D2115" s="4" t="n">
        <v>59</v>
      </c>
      <c r="E2115" s="13" t="n">
        <v>45022</v>
      </c>
      <c r="F2115" s="4" t="s">
        <v>3188</v>
      </c>
      <c r="G2115" s="4" t="str">
        <f aca="false">INDEX(PurchaseOrders!$B$2:$B$3001,MATCH(B2115,PurchaseOrders!$A$2:$A$3001,0))</f>
        <v>V001</v>
      </c>
    </row>
    <row r="2116" customFormat="false" ht="15" hidden="false" customHeight="true" outlineLevel="0" collapsed="false">
      <c r="A2116" s="4" t="s">
        <v>5303</v>
      </c>
      <c r="B2116" s="4" t="s">
        <v>2292</v>
      </c>
      <c r="C2116" s="4" t="n">
        <v>1439</v>
      </c>
      <c r="D2116" s="4" t="n">
        <v>38</v>
      </c>
      <c r="E2116" s="13" t="n">
        <v>45377</v>
      </c>
      <c r="F2116" s="4" t="s">
        <v>3192</v>
      </c>
      <c r="G2116" s="4" t="str">
        <f aca="false">INDEX(PurchaseOrders!$B$2:$B$3001,MATCH(B2116,PurchaseOrders!$A$2:$A$3001,0))</f>
        <v>V034</v>
      </c>
    </row>
    <row r="2117" customFormat="false" ht="15" hidden="false" customHeight="true" outlineLevel="0" collapsed="false">
      <c r="A2117" s="4" t="s">
        <v>5304</v>
      </c>
      <c r="B2117" s="4" t="s">
        <v>2293</v>
      </c>
      <c r="C2117" s="4" t="n">
        <v>118</v>
      </c>
      <c r="D2117" s="4" t="n">
        <v>3</v>
      </c>
      <c r="E2117" s="13" t="n">
        <v>45470</v>
      </c>
      <c r="F2117" s="4" t="s">
        <v>3192</v>
      </c>
      <c r="G2117" s="4" t="str">
        <f aca="false">INDEX(PurchaseOrders!$B$2:$B$3001,MATCH(B2117,PurchaseOrders!$A$2:$A$3001,0))</f>
        <v>V031</v>
      </c>
    </row>
    <row r="2118" customFormat="false" ht="15" hidden="false" customHeight="true" outlineLevel="0" collapsed="false">
      <c r="A2118" s="4" t="s">
        <v>5305</v>
      </c>
      <c r="B2118" s="4" t="s">
        <v>2294</v>
      </c>
      <c r="C2118" s="4" t="n">
        <v>3428</v>
      </c>
      <c r="D2118" s="4" t="n">
        <v>210</v>
      </c>
      <c r="E2118" s="13" t="n">
        <v>45200</v>
      </c>
      <c r="F2118" s="4" t="s">
        <v>3192</v>
      </c>
      <c r="G2118" s="4" t="str">
        <f aca="false">INDEX(PurchaseOrders!$B$2:$B$3001,MATCH(B2118,PurchaseOrders!$A$2:$A$3001,0))</f>
        <v>V028</v>
      </c>
    </row>
    <row r="2119" customFormat="false" ht="15" hidden="false" customHeight="true" outlineLevel="0" collapsed="false">
      <c r="A2119" s="4" t="s">
        <v>5306</v>
      </c>
      <c r="B2119" s="4" t="s">
        <v>2295</v>
      </c>
      <c r="C2119" s="4" t="n">
        <v>89</v>
      </c>
      <c r="D2119" s="4" t="n">
        <v>6</v>
      </c>
      <c r="E2119" s="13" t="n">
        <v>45467</v>
      </c>
      <c r="F2119" s="4" t="s">
        <v>3202</v>
      </c>
      <c r="G2119" s="4" t="str">
        <f aca="false">INDEX(PurchaseOrders!$B$2:$B$3001,MATCH(B2119,PurchaseOrders!$A$2:$A$3001,0))</f>
        <v>V013</v>
      </c>
    </row>
    <row r="2120" customFormat="false" ht="15" hidden="false" customHeight="true" outlineLevel="0" collapsed="false">
      <c r="A2120" s="4" t="s">
        <v>5307</v>
      </c>
      <c r="B2120" s="4" t="s">
        <v>2296</v>
      </c>
      <c r="C2120" s="4" t="n">
        <v>1999</v>
      </c>
      <c r="D2120" s="4" t="n">
        <v>69</v>
      </c>
      <c r="E2120" s="13" t="n">
        <v>45364</v>
      </c>
      <c r="F2120" s="4" t="s">
        <v>3186</v>
      </c>
      <c r="G2120" s="4" t="str">
        <f aca="false">INDEX(PurchaseOrders!$B$2:$B$3001,MATCH(B2120,PurchaseOrders!$A$2:$A$3001,0))</f>
        <v>V005</v>
      </c>
    </row>
    <row r="2121" customFormat="false" ht="15" hidden="false" customHeight="true" outlineLevel="0" collapsed="false">
      <c r="A2121" s="4" t="s">
        <v>5308</v>
      </c>
      <c r="B2121" s="4" t="s">
        <v>2297</v>
      </c>
      <c r="C2121" s="4" t="n">
        <v>1071</v>
      </c>
      <c r="D2121" s="4" t="n">
        <v>103</v>
      </c>
      <c r="E2121" s="13" t="n">
        <v>45376</v>
      </c>
      <c r="F2121" s="4" t="s">
        <v>3192</v>
      </c>
      <c r="G2121" s="4" t="str">
        <f aca="false">INDEX(PurchaseOrders!$B$2:$B$3001,MATCH(B2121,PurchaseOrders!$A$2:$A$3001,0))</f>
        <v>V005</v>
      </c>
    </row>
    <row r="2122" customFormat="false" ht="15" hidden="false" customHeight="true" outlineLevel="0" collapsed="false">
      <c r="A2122" s="4" t="s">
        <v>5309</v>
      </c>
      <c r="B2122" s="4" t="s">
        <v>2298</v>
      </c>
      <c r="C2122" s="4" t="n">
        <v>10</v>
      </c>
      <c r="D2122" s="4" t="n">
        <v>0</v>
      </c>
      <c r="E2122" s="13" t="n">
        <v>45060</v>
      </c>
      <c r="F2122" s="4"/>
      <c r="G2122" s="4" t="str">
        <f aca="false">INDEX(PurchaseOrders!$B$2:$B$3001,MATCH(B2122,PurchaseOrders!$A$2:$A$3001,0))</f>
        <v>V019</v>
      </c>
    </row>
    <row r="2123" customFormat="false" ht="15" hidden="false" customHeight="true" outlineLevel="0" collapsed="false">
      <c r="A2123" s="4" t="s">
        <v>5310</v>
      </c>
      <c r="B2123" s="4" t="s">
        <v>2299</v>
      </c>
      <c r="C2123" s="4" t="n">
        <v>152</v>
      </c>
      <c r="D2123" s="4" t="n">
        <v>12</v>
      </c>
      <c r="E2123" s="13" t="n">
        <v>45013</v>
      </c>
      <c r="F2123" s="4" t="s">
        <v>3184</v>
      </c>
      <c r="G2123" s="4" t="str">
        <f aca="false">INDEX(PurchaseOrders!$B$2:$B$3001,MATCH(B2123,PurchaseOrders!$A$2:$A$3001,0))</f>
        <v>V043</v>
      </c>
    </row>
    <row r="2124" customFormat="false" ht="15" hidden="false" customHeight="true" outlineLevel="0" collapsed="false">
      <c r="A2124" s="4" t="s">
        <v>5311</v>
      </c>
      <c r="B2124" s="4" t="s">
        <v>2300</v>
      </c>
      <c r="C2124" s="4" t="n">
        <v>10</v>
      </c>
      <c r="D2124" s="4" t="n">
        <v>0</v>
      </c>
      <c r="E2124" s="13" t="n">
        <v>45662</v>
      </c>
      <c r="F2124" s="4"/>
      <c r="G2124" s="4" t="str">
        <f aca="false">INDEX(PurchaseOrders!$B$2:$B$3001,MATCH(B2124,PurchaseOrders!$A$2:$A$3001,0))</f>
        <v>V023</v>
      </c>
    </row>
    <row r="2125" customFormat="false" ht="15" hidden="false" customHeight="true" outlineLevel="0" collapsed="false">
      <c r="A2125" s="4" t="s">
        <v>5312</v>
      </c>
      <c r="B2125" s="4" t="s">
        <v>2301</v>
      </c>
      <c r="C2125" s="4" t="n">
        <v>217</v>
      </c>
      <c r="D2125" s="4" t="n">
        <v>10</v>
      </c>
      <c r="E2125" s="13" t="n">
        <v>45625</v>
      </c>
      <c r="F2125" s="4" t="s">
        <v>3188</v>
      </c>
      <c r="G2125" s="4" t="str">
        <f aca="false">INDEX(PurchaseOrders!$B$2:$B$3001,MATCH(B2125,PurchaseOrders!$A$2:$A$3001,0))</f>
        <v>V004</v>
      </c>
    </row>
    <row r="2126" customFormat="false" ht="15" hidden="false" customHeight="true" outlineLevel="0" collapsed="false">
      <c r="A2126" s="4" t="s">
        <v>5313</v>
      </c>
      <c r="B2126" s="4" t="s">
        <v>2302</v>
      </c>
      <c r="C2126" s="4" t="n">
        <v>72</v>
      </c>
      <c r="D2126" s="4" t="n">
        <v>4</v>
      </c>
      <c r="E2126" s="13" t="n">
        <v>45186</v>
      </c>
      <c r="F2126" s="4" t="s">
        <v>3186</v>
      </c>
      <c r="G2126" s="4" t="str">
        <f aca="false">INDEX(PurchaseOrders!$B$2:$B$3001,MATCH(B2126,PurchaseOrders!$A$2:$A$3001,0))</f>
        <v>V037</v>
      </c>
    </row>
    <row r="2127" customFormat="false" ht="15" hidden="false" customHeight="true" outlineLevel="0" collapsed="false">
      <c r="A2127" s="4" t="s">
        <v>5314</v>
      </c>
      <c r="B2127" s="4" t="s">
        <v>2303</v>
      </c>
      <c r="C2127" s="4" t="n">
        <v>1051</v>
      </c>
      <c r="D2127" s="4" t="n">
        <v>0</v>
      </c>
      <c r="E2127" s="13" t="n">
        <v>45103</v>
      </c>
      <c r="F2127" s="4"/>
      <c r="G2127" s="4" t="str">
        <f aca="false">INDEX(PurchaseOrders!$B$2:$B$3001,MATCH(B2127,PurchaseOrders!$A$2:$A$3001,0))</f>
        <v>V059</v>
      </c>
    </row>
    <row r="2128" customFormat="false" ht="15" hidden="false" customHeight="true" outlineLevel="0" collapsed="false">
      <c r="A2128" s="4" t="s">
        <v>5315</v>
      </c>
      <c r="B2128" s="4" t="s">
        <v>2304</v>
      </c>
      <c r="C2128" s="4" t="n">
        <v>1342</v>
      </c>
      <c r="D2128" s="4" t="n">
        <v>39</v>
      </c>
      <c r="E2128" s="13" t="n">
        <v>45210</v>
      </c>
      <c r="F2128" s="4" t="s">
        <v>3188</v>
      </c>
      <c r="G2128" s="4" t="str">
        <f aca="false">INDEX(PurchaseOrders!$B$2:$B$3001,MATCH(B2128,PurchaseOrders!$A$2:$A$3001,0))</f>
        <v>V059</v>
      </c>
    </row>
    <row r="2129" customFormat="false" ht="15" hidden="false" customHeight="true" outlineLevel="0" collapsed="false">
      <c r="A2129" s="4" t="s">
        <v>5316</v>
      </c>
      <c r="B2129" s="4" t="s">
        <v>2305</v>
      </c>
      <c r="C2129" s="4" t="n">
        <v>893</v>
      </c>
      <c r="D2129" s="4" t="n">
        <v>127</v>
      </c>
      <c r="E2129" s="13" t="n">
        <v>45572</v>
      </c>
      <c r="F2129" s="4" t="s">
        <v>3186</v>
      </c>
      <c r="G2129" s="4" t="str">
        <f aca="false">INDEX(PurchaseOrders!$B$2:$B$3001,MATCH(B2129,PurchaseOrders!$A$2:$A$3001,0))</f>
        <v>V038</v>
      </c>
    </row>
    <row r="2130" customFormat="false" ht="15" hidden="false" customHeight="true" outlineLevel="0" collapsed="false">
      <c r="A2130" s="4" t="s">
        <v>5317</v>
      </c>
      <c r="B2130" s="4" t="s">
        <v>2306</v>
      </c>
      <c r="C2130" s="4" t="n">
        <v>1570</v>
      </c>
      <c r="D2130" s="4" t="n">
        <v>191</v>
      </c>
      <c r="E2130" s="13" t="n">
        <v>45571</v>
      </c>
      <c r="F2130" s="4" t="s">
        <v>3186</v>
      </c>
      <c r="G2130" s="4" t="str">
        <f aca="false">INDEX(PurchaseOrders!$B$2:$B$3001,MATCH(B2130,PurchaseOrders!$A$2:$A$3001,0))</f>
        <v>V038</v>
      </c>
    </row>
    <row r="2131" customFormat="false" ht="15" hidden="false" customHeight="true" outlineLevel="0" collapsed="false">
      <c r="A2131" s="4" t="s">
        <v>5318</v>
      </c>
      <c r="B2131" s="4" t="s">
        <v>2307</v>
      </c>
      <c r="C2131" s="4" t="n">
        <v>1254</v>
      </c>
      <c r="D2131" s="4" t="n">
        <v>62</v>
      </c>
      <c r="E2131" s="13" t="n">
        <v>45411</v>
      </c>
      <c r="F2131" s="4" t="s">
        <v>3188</v>
      </c>
      <c r="G2131" s="4" t="str">
        <f aca="false">INDEX(PurchaseOrders!$B$2:$B$3001,MATCH(B2131,PurchaseOrders!$A$2:$A$3001,0))</f>
        <v>V051</v>
      </c>
    </row>
    <row r="2132" customFormat="false" ht="15" hidden="false" customHeight="true" outlineLevel="0" collapsed="false">
      <c r="A2132" s="4" t="s">
        <v>5319</v>
      </c>
      <c r="B2132" s="4" t="s">
        <v>2308</v>
      </c>
      <c r="C2132" s="4" t="n">
        <v>167</v>
      </c>
      <c r="D2132" s="4" t="n">
        <v>2</v>
      </c>
      <c r="E2132" s="13" t="n">
        <v>45259</v>
      </c>
      <c r="F2132" s="4" t="s">
        <v>3184</v>
      </c>
      <c r="G2132" s="4" t="str">
        <f aca="false">INDEX(PurchaseOrders!$B$2:$B$3001,MATCH(B2132,PurchaseOrders!$A$2:$A$3001,0))</f>
        <v>V040</v>
      </c>
    </row>
    <row r="2133" customFormat="false" ht="15" hidden="false" customHeight="true" outlineLevel="0" collapsed="false">
      <c r="A2133" s="4" t="s">
        <v>5320</v>
      </c>
      <c r="B2133" s="4" t="s">
        <v>2309</v>
      </c>
      <c r="C2133" s="4" t="n">
        <v>454</v>
      </c>
      <c r="D2133" s="4" t="n">
        <v>12</v>
      </c>
      <c r="E2133" s="13" t="n">
        <v>45422</v>
      </c>
      <c r="F2133" s="4" t="s">
        <v>3190</v>
      </c>
      <c r="G2133" s="4" t="str">
        <f aca="false">INDEX(PurchaseOrders!$B$2:$B$3001,MATCH(B2133,PurchaseOrders!$A$2:$A$3001,0))</f>
        <v>V022</v>
      </c>
    </row>
    <row r="2134" customFormat="false" ht="15" hidden="false" customHeight="true" outlineLevel="0" collapsed="false">
      <c r="A2134" s="4" t="s">
        <v>5321</v>
      </c>
      <c r="B2134" s="4" t="s">
        <v>2310</v>
      </c>
      <c r="C2134" s="4" t="n">
        <v>5</v>
      </c>
      <c r="D2134" s="4" t="n">
        <v>0</v>
      </c>
      <c r="E2134" s="13" t="n">
        <v>45283</v>
      </c>
      <c r="F2134" s="4"/>
      <c r="G2134" s="4" t="str">
        <f aca="false">INDEX(PurchaseOrders!$B$2:$B$3001,MATCH(B2134,PurchaseOrders!$A$2:$A$3001,0))</f>
        <v>V053</v>
      </c>
    </row>
    <row r="2135" customFormat="false" ht="15" hidden="false" customHeight="true" outlineLevel="0" collapsed="false">
      <c r="A2135" s="4" t="s">
        <v>5322</v>
      </c>
      <c r="B2135" s="4" t="s">
        <v>2311</v>
      </c>
      <c r="C2135" s="4" t="n">
        <v>192</v>
      </c>
      <c r="D2135" s="4" t="n">
        <v>9</v>
      </c>
      <c r="E2135" s="13" t="n">
        <v>45620</v>
      </c>
      <c r="F2135" s="4" t="s">
        <v>3190</v>
      </c>
      <c r="G2135" s="4" t="str">
        <f aca="false">INDEX(PurchaseOrders!$B$2:$B$3001,MATCH(B2135,PurchaseOrders!$A$2:$A$3001,0))</f>
        <v>V004</v>
      </c>
    </row>
    <row r="2136" customFormat="false" ht="15" hidden="false" customHeight="true" outlineLevel="0" collapsed="false">
      <c r="A2136" s="4" t="s">
        <v>5323</v>
      </c>
      <c r="B2136" s="4" t="s">
        <v>2312</v>
      </c>
      <c r="C2136" s="4" t="n">
        <v>224</v>
      </c>
      <c r="D2136" s="4" t="n">
        <v>0</v>
      </c>
      <c r="E2136" s="13" t="n">
        <v>45025</v>
      </c>
      <c r="F2136" s="4"/>
      <c r="G2136" s="4" t="str">
        <f aca="false">INDEX(PurchaseOrders!$B$2:$B$3001,MATCH(B2136,PurchaseOrders!$A$2:$A$3001,0))</f>
        <v>V040</v>
      </c>
    </row>
    <row r="2137" customFormat="false" ht="15" hidden="false" customHeight="true" outlineLevel="0" collapsed="false">
      <c r="A2137" s="4" t="s">
        <v>5324</v>
      </c>
      <c r="B2137" s="4" t="s">
        <v>2313</v>
      </c>
      <c r="C2137" s="4" t="n">
        <v>816</v>
      </c>
      <c r="D2137" s="4" t="n">
        <v>50</v>
      </c>
      <c r="E2137" s="13" t="n">
        <v>45315</v>
      </c>
      <c r="F2137" s="4" t="s">
        <v>3192</v>
      </c>
      <c r="G2137" s="4" t="str">
        <f aca="false">INDEX(PurchaseOrders!$B$2:$B$3001,MATCH(B2137,PurchaseOrders!$A$2:$A$3001,0))</f>
        <v>V051</v>
      </c>
    </row>
    <row r="2138" customFormat="false" ht="15" hidden="false" customHeight="true" outlineLevel="0" collapsed="false">
      <c r="A2138" s="4" t="s">
        <v>5325</v>
      </c>
      <c r="B2138" s="4" t="s">
        <v>2314</v>
      </c>
      <c r="C2138" s="4" t="n">
        <v>952</v>
      </c>
      <c r="D2138" s="4" t="n">
        <v>56</v>
      </c>
      <c r="E2138" s="13" t="n">
        <v>45476</v>
      </c>
      <c r="F2138" s="4" t="s">
        <v>3202</v>
      </c>
      <c r="G2138" s="4" t="str">
        <f aca="false">INDEX(PurchaseOrders!$B$2:$B$3001,MATCH(B2138,PurchaseOrders!$A$2:$A$3001,0))</f>
        <v>V045</v>
      </c>
    </row>
    <row r="2139" customFormat="false" ht="15" hidden="false" customHeight="true" outlineLevel="0" collapsed="false">
      <c r="A2139" s="4" t="s">
        <v>5326</v>
      </c>
      <c r="B2139" s="4" t="s">
        <v>2315</v>
      </c>
      <c r="C2139" s="4" t="n">
        <v>60</v>
      </c>
      <c r="D2139" s="4" t="n">
        <v>1</v>
      </c>
      <c r="E2139" s="13" t="n">
        <v>45586</v>
      </c>
      <c r="F2139" s="4" t="s">
        <v>3184</v>
      </c>
      <c r="G2139" s="4" t="str">
        <f aca="false">INDEX(PurchaseOrders!$B$2:$B$3001,MATCH(B2139,PurchaseOrders!$A$2:$A$3001,0))</f>
        <v>V052</v>
      </c>
    </row>
    <row r="2140" customFormat="false" ht="15" hidden="false" customHeight="true" outlineLevel="0" collapsed="false">
      <c r="A2140" s="4" t="s">
        <v>5327</v>
      </c>
      <c r="B2140" s="4" t="s">
        <v>2316</v>
      </c>
      <c r="C2140" s="4" t="n">
        <v>947</v>
      </c>
      <c r="D2140" s="4" t="n">
        <v>7</v>
      </c>
      <c r="E2140" s="13" t="n">
        <v>45660</v>
      </c>
      <c r="F2140" s="4" t="s">
        <v>3188</v>
      </c>
      <c r="G2140" s="4" t="str">
        <f aca="false">INDEX(PurchaseOrders!$B$2:$B$3001,MATCH(B2140,PurchaseOrders!$A$2:$A$3001,0))</f>
        <v>V022</v>
      </c>
    </row>
    <row r="2141" customFormat="false" ht="15" hidden="false" customHeight="true" outlineLevel="0" collapsed="false">
      <c r="A2141" s="4" t="s">
        <v>5328</v>
      </c>
      <c r="B2141" s="4" t="s">
        <v>2317</v>
      </c>
      <c r="C2141" s="4" t="n">
        <v>42</v>
      </c>
      <c r="D2141" s="4" t="n">
        <v>0</v>
      </c>
      <c r="E2141" s="13" t="n">
        <v>45391</v>
      </c>
      <c r="F2141" s="4"/>
      <c r="G2141" s="4" t="str">
        <f aca="false">INDEX(PurchaseOrders!$B$2:$B$3001,MATCH(B2141,PurchaseOrders!$A$2:$A$3001,0))</f>
        <v>V046</v>
      </c>
    </row>
    <row r="2142" customFormat="false" ht="15" hidden="false" customHeight="true" outlineLevel="0" collapsed="false">
      <c r="A2142" s="4" t="s">
        <v>5329</v>
      </c>
      <c r="B2142" s="4" t="s">
        <v>2318</v>
      </c>
      <c r="C2142" s="4" t="n">
        <v>470</v>
      </c>
      <c r="D2142" s="4" t="n">
        <v>8</v>
      </c>
      <c r="E2142" s="13" t="n">
        <v>45095</v>
      </c>
      <c r="F2142" s="4" t="s">
        <v>3186</v>
      </c>
      <c r="G2142" s="4" t="str">
        <f aca="false">INDEX(PurchaseOrders!$B$2:$B$3001,MATCH(B2142,PurchaseOrders!$A$2:$A$3001,0))</f>
        <v>V020</v>
      </c>
    </row>
    <row r="2143" customFormat="false" ht="15" hidden="false" customHeight="true" outlineLevel="0" collapsed="false">
      <c r="A2143" s="4" t="s">
        <v>5330</v>
      </c>
      <c r="B2143" s="4" t="s">
        <v>2319</v>
      </c>
      <c r="C2143" s="4" t="n">
        <v>14</v>
      </c>
      <c r="D2143" s="4" t="n">
        <v>1</v>
      </c>
      <c r="E2143" s="13" t="n">
        <v>45659</v>
      </c>
      <c r="F2143" s="4" t="s">
        <v>3186</v>
      </c>
      <c r="G2143" s="4" t="str">
        <f aca="false">INDEX(PurchaseOrders!$B$2:$B$3001,MATCH(B2143,PurchaseOrders!$A$2:$A$3001,0))</f>
        <v>V041</v>
      </c>
    </row>
    <row r="2144" customFormat="false" ht="15" hidden="false" customHeight="true" outlineLevel="0" collapsed="false">
      <c r="A2144" s="4" t="s">
        <v>5331</v>
      </c>
      <c r="B2144" s="4" t="s">
        <v>2320</v>
      </c>
      <c r="C2144" s="4" t="n">
        <v>1631</v>
      </c>
      <c r="D2144" s="4" t="n">
        <v>163</v>
      </c>
      <c r="E2144" s="13" t="n">
        <v>45335</v>
      </c>
      <c r="F2144" s="4" t="s">
        <v>3192</v>
      </c>
      <c r="G2144" s="4" t="str">
        <f aca="false">INDEX(PurchaseOrders!$B$2:$B$3001,MATCH(B2144,PurchaseOrders!$A$2:$A$3001,0))</f>
        <v>V027</v>
      </c>
    </row>
    <row r="2145" customFormat="false" ht="15" hidden="false" customHeight="true" outlineLevel="0" collapsed="false">
      <c r="A2145" s="4" t="s">
        <v>5332</v>
      </c>
      <c r="B2145" s="4" t="s">
        <v>2321</v>
      </c>
      <c r="C2145" s="4" t="n">
        <v>2755</v>
      </c>
      <c r="D2145" s="4" t="n">
        <v>137</v>
      </c>
      <c r="E2145" s="13" t="n">
        <v>45096</v>
      </c>
      <c r="F2145" s="4" t="s">
        <v>3190</v>
      </c>
      <c r="G2145" s="4" t="str">
        <f aca="false">INDEX(PurchaseOrders!$B$2:$B$3001,MATCH(B2145,PurchaseOrders!$A$2:$A$3001,0))</f>
        <v>V050</v>
      </c>
    </row>
    <row r="2146" customFormat="false" ht="15" hidden="false" customHeight="true" outlineLevel="0" collapsed="false">
      <c r="A2146" s="4" t="s">
        <v>5333</v>
      </c>
      <c r="B2146" s="4" t="s">
        <v>2322</v>
      </c>
      <c r="C2146" s="4" t="n">
        <v>1771</v>
      </c>
      <c r="D2146" s="4" t="n">
        <v>209</v>
      </c>
      <c r="E2146" s="13" t="n">
        <v>44974</v>
      </c>
      <c r="F2146" s="4" t="s">
        <v>3186</v>
      </c>
      <c r="G2146" s="4" t="str">
        <f aca="false">INDEX(PurchaseOrders!$B$2:$B$3001,MATCH(B2146,PurchaseOrders!$A$2:$A$3001,0))</f>
        <v>V044</v>
      </c>
    </row>
    <row r="2147" customFormat="false" ht="15" hidden="false" customHeight="true" outlineLevel="0" collapsed="false">
      <c r="A2147" s="4" t="s">
        <v>5334</v>
      </c>
      <c r="B2147" s="4" t="s">
        <v>2323</v>
      </c>
      <c r="C2147" s="4" t="n">
        <v>906</v>
      </c>
      <c r="D2147" s="4" t="n">
        <v>28</v>
      </c>
      <c r="E2147" s="13" t="n">
        <v>45628</v>
      </c>
      <c r="F2147" s="4" t="s">
        <v>3184</v>
      </c>
      <c r="G2147" s="4" t="str">
        <f aca="false">INDEX(PurchaseOrders!$B$2:$B$3001,MATCH(B2147,PurchaseOrders!$A$2:$A$3001,0))</f>
        <v>V010</v>
      </c>
    </row>
    <row r="2148" customFormat="false" ht="15" hidden="false" customHeight="true" outlineLevel="0" collapsed="false">
      <c r="A2148" s="4" t="s">
        <v>5335</v>
      </c>
      <c r="B2148" s="4" t="s">
        <v>2324</v>
      </c>
      <c r="C2148" s="4" t="n">
        <v>374</v>
      </c>
      <c r="D2148" s="4" t="n">
        <v>22</v>
      </c>
      <c r="E2148" s="13" t="n">
        <v>45033</v>
      </c>
      <c r="F2148" s="4" t="s">
        <v>3188</v>
      </c>
      <c r="G2148" s="4" t="str">
        <f aca="false">INDEX(PurchaseOrders!$B$2:$B$3001,MATCH(B2148,PurchaseOrders!$A$2:$A$3001,0))</f>
        <v>V031</v>
      </c>
    </row>
    <row r="2149" customFormat="false" ht="15" hidden="false" customHeight="true" outlineLevel="0" collapsed="false">
      <c r="A2149" s="4" t="s">
        <v>5336</v>
      </c>
      <c r="B2149" s="4" t="s">
        <v>2325</v>
      </c>
      <c r="C2149" s="4" t="n">
        <v>455</v>
      </c>
      <c r="D2149" s="4" t="n">
        <v>34</v>
      </c>
      <c r="E2149" s="13" t="n">
        <v>45550</v>
      </c>
      <c r="F2149" s="4" t="s">
        <v>3192</v>
      </c>
      <c r="G2149" s="4" t="str">
        <f aca="false">INDEX(PurchaseOrders!$B$2:$B$3001,MATCH(B2149,PurchaseOrders!$A$2:$A$3001,0))</f>
        <v>V033</v>
      </c>
    </row>
    <row r="2150" customFormat="false" ht="15" hidden="false" customHeight="true" outlineLevel="0" collapsed="false">
      <c r="A2150" s="4" t="s">
        <v>5337</v>
      </c>
      <c r="B2150" s="4" t="s">
        <v>2326</v>
      </c>
      <c r="C2150" s="4" t="n">
        <v>854</v>
      </c>
      <c r="D2150" s="4" t="n">
        <v>76</v>
      </c>
      <c r="E2150" s="13" t="n">
        <v>45639</v>
      </c>
      <c r="F2150" s="4" t="s">
        <v>3186</v>
      </c>
      <c r="G2150" s="4" t="str">
        <f aca="false">INDEX(PurchaseOrders!$B$2:$B$3001,MATCH(B2150,PurchaseOrders!$A$2:$A$3001,0))</f>
        <v>V007</v>
      </c>
    </row>
    <row r="2151" customFormat="false" ht="15" hidden="false" customHeight="true" outlineLevel="0" collapsed="false">
      <c r="A2151" s="4" t="s">
        <v>5338</v>
      </c>
      <c r="B2151" s="4" t="s">
        <v>2327</v>
      </c>
      <c r="C2151" s="4" t="n">
        <v>1004</v>
      </c>
      <c r="D2151" s="4" t="n">
        <v>50</v>
      </c>
      <c r="E2151" s="13" t="n">
        <v>45482</v>
      </c>
      <c r="F2151" s="4" t="s">
        <v>3184</v>
      </c>
      <c r="G2151" s="4" t="str">
        <f aca="false">INDEX(PurchaseOrders!$B$2:$B$3001,MATCH(B2151,PurchaseOrders!$A$2:$A$3001,0))</f>
        <v>V002</v>
      </c>
    </row>
    <row r="2152" customFormat="false" ht="15" hidden="false" customHeight="true" outlineLevel="0" collapsed="false">
      <c r="A2152" s="4" t="s">
        <v>5339</v>
      </c>
      <c r="B2152" s="4" t="s">
        <v>2328</v>
      </c>
      <c r="C2152" s="4" t="n">
        <v>628</v>
      </c>
      <c r="D2152" s="4" t="n">
        <v>76</v>
      </c>
      <c r="E2152" s="13" t="n">
        <v>45172</v>
      </c>
      <c r="F2152" s="4" t="s">
        <v>3184</v>
      </c>
      <c r="G2152" s="4" t="str">
        <f aca="false">INDEX(PurchaseOrders!$B$2:$B$3001,MATCH(B2152,PurchaseOrders!$A$2:$A$3001,0))</f>
        <v>V027</v>
      </c>
    </row>
    <row r="2153" customFormat="false" ht="15" hidden="false" customHeight="true" outlineLevel="0" collapsed="false">
      <c r="A2153" s="4" t="s">
        <v>5340</v>
      </c>
      <c r="B2153" s="4" t="s">
        <v>2329</v>
      </c>
      <c r="C2153" s="4" t="n">
        <v>40</v>
      </c>
      <c r="D2153" s="4" t="n">
        <v>0</v>
      </c>
      <c r="E2153" s="13" t="n">
        <v>45663</v>
      </c>
      <c r="F2153" s="4"/>
      <c r="G2153" s="4" t="str">
        <f aca="false">INDEX(PurchaseOrders!$B$2:$B$3001,MATCH(B2153,PurchaseOrders!$A$2:$A$3001,0))</f>
        <v>V046</v>
      </c>
    </row>
    <row r="2154" customFormat="false" ht="15" hidden="false" customHeight="true" outlineLevel="0" collapsed="false">
      <c r="A2154" s="4" t="s">
        <v>5341</v>
      </c>
      <c r="B2154" s="4" t="s">
        <v>2330</v>
      </c>
      <c r="C2154" s="4" t="n">
        <v>3096</v>
      </c>
      <c r="D2154" s="4" t="n">
        <v>340</v>
      </c>
      <c r="E2154" s="13" t="n">
        <v>45452</v>
      </c>
      <c r="F2154" s="4" t="s">
        <v>3186</v>
      </c>
      <c r="G2154" s="4" t="str">
        <f aca="false">INDEX(PurchaseOrders!$B$2:$B$3001,MATCH(B2154,PurchaseOrders!$A$2:$A$3001,0))</f>
        <v>V032</v>
      </c>
    </row>
    <row r="2155" customFormat="false" ht="15" hidden="false" customHeight="true" outlineLevel="0" collapsed="false">
      <c r="A2155" s="4" t="s">
        <v>5342</v>
      </c>
      <c r="B2155" s="4" t="s">
        <v>2331</v>
      </c>
      <c r="C2155" s="4" t="n">
        <v>853</v>
      </c>
      <c r="D2155" s="4" t="n">
        <v>1</v>
      </c>
      <c r="E2155" s="13" t="n">
        <v>45024</v>
      </c>
      <c r="F2155" s="4" t="s">
        <v>3190</v>
      </c>
      <c r="G2155" s="4" t="str">
        <f aca="false">INDEX(PurchaseOrders!$B$2:$B$3001,MATCH(B2155,PurchaseOrders!$A$2:$A$3001,0))</f>
        <v>V017</v>
      </c>
    </row>
    <row r="2156" customFormat="false" ht="15" hidden="false" customHeight="true" outlineLevel="0" collapsed="false">
      <c r="A2156" s="4" t="s">
        <v>5343</v>
      </c>
      <c r="B2156" s="4" t="s">
        <v>2332</v>
      </c>
      <c r="C2156" s="4" t="n">
        <v>2482</v>
      </c>
      <c r="D2156" s="4" t="n">
        <v>289</v>
      </c>
      <c r="E2156" s="13" t="n">
        <v>45377</v>
      </c>
      <c r="F2156" s="4" t="s">
        <v>3192</v>
      </c>
      <c r="G2156" s="4" t="str">
        <f aca="false">INDEX(PurchaseOrders!$B$2:$B$3001,MATCH(B2156,PurchaseOrders!$A$2:$A$3001,0))</f>
        <v>V032</v>
      </c>
    </row>
    <row r="2157" customFormat="false" ht="15" hidden="false" customHeight="true" outlineLevel="0" collapsed="false">
      <c r="A2157" s="4" t="s">
        <v>5344</v>
      </c>
      <c r="B2157" s="4" t="s">
        <v>2333</v>
      </c>
      <c r="C2157" s="4" t="n">
        <v>2280</v>
      </c>
      <c r="D2157" s="4" t="n">
        <v>296</v>
      </c>
      <c r="E2157" s="13" t="n">
        <v>45047</v>
      </c>
      <c r="F2157" s="4" t="s">
        <v>3186</v>
      </c>
      <c r="G2157" s="4" t="str">
        <f aca="false">INDEX(PurchaseOrders!$B$2:$B$3001,MATCH(B2157,PurchaseOrders!$A$2:$A$3001,0))</f>
        <v>V057</v>
      </c>
    </row>
    <row r="2158" customFormat="false" ht="15" hidden="false" customHeight="true" outlineLevel="0" collapsed="false">
      <c r="A2158" s="4" t="s">
        <v>5345</v>
      </c>
      <c r="B2158" s="4" t="s">
        <v>2334</v>
      </c>
      <c r="C2158" s="4" t="n">
        <v>5</v>
      </c>
      <c r="D2158" s="4" t="n">
        <v>0</v>
      </c>
      <c r="E2158" s="13" t="n">
        <v>45331</v>
      </c>
      <c r="F2158" s="4"/>
      <c r="G2158" s="4" t="str">
        <f aca="false">INDEX(PurchaseOrders!$B$2:$B$3001,MATCH(B2158,PurchaseOrders!$A$2:$A$3001,0))</f>
        <v>V054</v>
      </c>
    </row>
    <row r="2159" customFormat="false" ht="15" hidden="false" customHeight="true" outlineLevel="0" collapsed="false">
      <c r="A2159" s="4" t="s">
        <v>5346</v>
      </c>
      <c r="B2159" s="4" t="s">
        <v>2335</v>
      </c>
      <c r="C2159" s="4" t="n">
        <v>177</v>
      </c>
      <c r="D2159" s="4" t="n">
        <v>0</v>
      </c>
      <c r="E2159" s="13" t="n">
        <v>45434</v>
      </c>
      <c r="F2159" s="4"/>
      <c r="G2159" s="4" t="str">
        <f aca="false">INDEX(PurchaseOrders!$B$2:$B$3001,MATCH(B2159,PurchaseOrders!$A$2:$A$3001,0))</f>
        <v>V047</v>
      </c>
    </row>
    <row r="2160" customFormat="false" ht="15" hidden="false" customHeight="true" outlineLevel="0" collapsed="false">
      <c r="A2160" s="4" t="s">
        <v>5347</v>
      </c>
      <c r="B2160" s="4" t="s">
        <v>2336</v>
      </c>
      <c r="C2160" s="4" t="n">
        <v>763</v>
      </c>
      <c r="D2160" s="4" t="n">
        <v>25</v>
      </c>
      <c r="E2160" s="13" t="n">
        <v>45442</v>
      </c>
      <c r="F2160" s="4" t="s">
        <v>3190</v>
      </c>
      <c r="G2160" s="4" t="str">
        <f aca="false">INDEX(PurchaseOrders!$B$2:$B$3001,MATCH(B2160,PurchaseOrders!$A$2:$A$3001,0))</f>
        <v>V051</v>
      </c>
    </row>
    <row r="2161" customFormat="false" ht="15" hidden="false" customHeight="true" outlineLevel="0" collapsed="false">
      <c r="A2161" s="4" t="s">
        <v>5348</v>
      </c>
      <c r="B2161" s="4" t="s">
        <v>2337</v>
      </c>
      <c r="C2161" s="4" t="n">
        <v>487</v>
      </c>
      <c r="D2161" s="4" t="n">
        <v>22</v>
      </c>
      <c r="E2161" s="13" t="n">
        <v>45013</v>
      </c>
      <c r="F2161" s="4" t="s">
        <v>3186</v>
      </c>
      <c r="G2161" s="4" t="str">
        <f aca="false">INDEX(PurchaseOrders!$B$2:$B$3001,MATCH(B2161,PurchaseOrders!$A$2:$A$3001,0))</f>
        <v>V056</v>
      </c>
    </row>
    <row r="2162" customFormat="false" ht="15" hidden="false" customHeight="true" outlineLevel="0" collapsed="false">
      <c r="A2162" s="4" t="s">
        <v>5349</v>
      </c>
      <c r="B2162" s="4" t="s">
        <v>2338</v>
      </c>
      <c r="C2162" s="4" t="n">
        <v>14</v>
      </c>
      <c r="D2162" s="4" t="n">
        <v>1</v>
      </c>
      <c r="E2162" s="13" t="n">
        <v>44985</v>
      </c>
      <c r="F2162" s="4" t="s">
        <v>3190</v>
      </c>
      <c r="G2162" s="4" t="str">
        <f aca="false">INDEX(PurchaseOrders!$B$2:$B$3001,MATCH(B2162,PurchaseOrders!$A$2:$A$3001,0))</f>
        <v>V042</v>
      </c>
    </row>
    <row r="2163" customFormat="false" ht="15" hidden="false" customHeight="true" outlineLevel="0" collapsed="false">
      <c r="A2163" s="4" t="s">
        <v>5350</v>
      </c>
      <c r="B2163" s="4" t="s">
        <v>2339</v>
      </c>
      <c r="C2163" s="4" t="n">
        <v>106</v>
      </c>
      <c r="D2163" s="4" t="n">
        <v>1</v>
      </c>
      <c r="E2163" s="13" t="n">
        <v>45008</v>
      </c>
      <c r="F2163" s="4" t="s">
        <v>3202</v>
      </c>
      <c r="G2163" s="4" t="str">
        <f aca="false">INDEX(PurchaseOrders!$B$2:$B$3001,MATCH(B2163,PurchaseOrders!$A$2:$A$3001,0))</f>
        <v>V046</v>
      </c>
    </row>
    <row r="2164" customFormat="false" ht="15" hidden="false" customHeight="true" outlineLevel="0" collapsed="false">
      <c r="A2164" s="4" t="s">
        <v>5351</v>
      </c>
      <c r="B2164" s="4" t="s">
        <v>2340</v>
      </c>
      <c r="C2164" s="4" t="n">
        <v>2159</v>
      </c>
      <c r="D2164" s="4" t="n">
        <v>100</v>
      </c>
      <c r="E2164" s="13" t="n">
        <v>45473</v>
      </c>
      <c r="F2164" s="4" t="s">
        <v>3184</v>
      </c>
      <c r="G2164" s="4" t="str">
        <f aca="false">INDEX(PurchaseOrders!$B$2:$B$3001,MATCH(B2164,PurchaseOrders!$A$2:$A$3001,0))</f>
        <v>V017</v>
      </c>
    </row>
    <row r="2165" customFormat="false" ht="15" hidden="false" customHeight="true" outlineLevel="0" collapsed="false">
      <c r="A2165" s="4" t="s">
        <v>5352</v>
      </c>
      <c r="B2165" s="4" t="s">
        <v>2341</v>
      </c>
      <c r="C2165" s="4" t="n">
        <v>133</v>
      </c>
      <c r="D2165" s="4" t="n">
        <v>14</v>
      </c>
      <c r="E2165" s="13" t="n">
        <v>45307</v>
      </c>
      <c r="F2165" s="4" t="s">
        <v>3186</v>
      </c>
      <c r="G2165" s="4" t="str">
        <f aca="false">INDEX(PurchaseOrders!$B$2:$B$3001,MATCH(B2165,PurchaseOrders!$A$2:$A$3001,0))</f>
        <v>V009</v>
      </c>
    </row>
    <row r="2166" customFormat="false" ht="15" hidden="false" customHeight="true" outlineLevel="0" collapsed="false">
      <c r="A2166" s="4" t="s">
        <v>5353</v>
      </c>
      <c r="B2166" s="4" t="s">
        <v>2342</v>
      </c>
      <c r="C2166" s="4" t="n">
        <v>1062</v>
      </c>
      <c r="D2166" s="4" t="n">
        <v>205</v>
      </c>
      <c r="E2166" s="13" t="n">
        <v>45656</v>
      </c>
      <c r="F2166" s="4" t="s">
        <v>3192</v>
      </c>
      <c r="G2166" s="4" t="str">
        <f aca="false">INDEX(PurchaseOrders!$B$2:$B$3001,MATCH(B2166,PurchaseOrders!$A$2:$A$3001,0))</f>
        <v>V025</v>
      </c>
    </row>
    <row r="2167" customFormat="false" ht="15" hidden="false" customHeight="true" outlineLevel="0" collapsed="false">
      <c r="A2167" s="4" t="s">
        <v>5354</v>
      </c>
      <c r="B2167" s="4" t="s">
        <v>2343</v>
      </c>
      <c r="C2167" s="4" t="n">
        <v>481</v>
      </c>
      <c r="D2167" s="4" t="n">
        <v>0</v>
      </c>
      <c r="E2167" s="13" t="n">
        <v>45445</v>
      </c>
      <c r="F2167" s="4"/>
      <c r="G2167" s="4" t="str">
        <f aca="false">INDEX(PurchaseOrders!$B$2:$B$3001,MATCH(B2167,PurchaseOrders!$A$2:$A$3001,0))</f>
        <v>V008</v>
      </c>
    </row>
    <row r="2168" customFormat="false" ht="15" hidden="false" customHeight="true" outlineLevel="0" collapsed="false">
      <c r="A2168" s="4" t="s">
        <v>5355</v>
      </c>
      <c r="B2168" s="4" t="s">
        <v>2344</v>
      </c>
      <c r="C2168" s="4" t="n">
        <v>2362</v>
      </c>
      <c r="D2168" s="4" t="n">
        <v>152</v>
      </c>
      <c r="E2168" s="13" t="n">
        <v>45295</v>
      </c>
      <c r="F2168" s="4" t="s">
        <v>3188</v>
      </c>
      <c r="G2168" s="4" t="str">
        <f aca="false">INDEX(PurchaseOrders!$B$2:$B$3001,MATCH(B2168,PurchaseOrders!$A$2:$A$3001,0))</f>
        <v>V056</v>
      </c>
    </row>
    <row r="2169" customFormat="false" ht="15" hidden="false" customHeight="true" outlineLevel="0" collapsed="false">
      <c r="A2169" s="4" t="s">
        <v>5356</v>
      </c>
      <c r="B2169" s="4" t="s">
        <v>2345</v>
      </c>
      <c r="C2169" s="4" t="n">
        <v>850</v>
      </c>
      <c r="D2169" s="4" t="n">
        <v>17</v>
      </c>
      <c r="E2169" s="13" t="n">
        <v>45174</v>
      </c>
      <c r="F2169" s="4" t="s">
        <v>3202</v>
      </c>
      <c r="G2169" s="4" t="str">
        <f aca="false">INDEX(PurchaseOrders!$B$2:$B$3001,MATCH(B2169,PurchaseOrders!$A$2:$A$3001,0))</f>
        <v>V021</v>
      </c>
    </row>
    <row r="2170" customFormat="false" ht="15" hidden="false" customHeight="true" outlineLevel="0" collapsed="false">
      <c r="A2170" s="4" t="s">
        <v>5357</v>
      </c>
      <c r="B2170" s="4" t="s">
        <v>2346</v>
      </c>
      <c r="C2170" s="4" t="n">
        <v>2854</v>
      </c>
      <c r="D2170" s="4" t="n">
        <v>88</v>
      </c>
      <c r="E2170" s="13" t="n">
        <v>45513</v>
      </c>
      <c r="F2170" s="4" t="s">
        <v>3184</v>
      </c>
      <c r="G2170" s="4" t="str">
        <f aca="false">INDEX(PurchaseOrders!$B$2:$B$3001,MATCH(B2170,PurchaseOrders!$A$2:$A$3001,0))</f>
        <v>V058</v>
      </c>
    </row>
    <row r="2171" customFormat="false" ht="15" hidden="false" customHeight="true" outlineLevel="0" collapsed="false">
      <c r="A2171" s="4" t="s">
        <v>5358</v>
      </c>
      <c r="B2171" s="4" t="s">
        <v>2347</v>
      </c>
      <c r="C2171" s="4" t="n">
        <v>723</v>
      </c>
      <c r="D2171" s="4" t="n">
        <v>35</v>
      </c>
      <c r="E2171" s="13" t="n">
        <v>44945</v>
      </c>
      <c r="F2171" s="4" t="s">
        <v>3202</v>
      </c>
      <c r="G2171" s="4" t="str">
        <f aca="false">INDEX(PurchaseOrders!$B$2:$B$3001,MATCH(B2171,PurchaseOrders!$A$2:$A$3001,0))</f>
        <v>V015</v>
      </c>
    </row>
    <row r="2172" customFormat="false" ht="15" hidden="false" customHeight="true" outlineLevel="0" collapsed="false">
      <c r="A2172" s="4" t="s">
        <v>5359</v>
      </c>
      <c r="B2172" s="4" t="s">
        <v>2348</v>
      </c>
      <c r="C2172" s="4" t="n">
        <v>1280</v>
      </c>
      <c r="D2172" s="4" t="n">
        <v>189</v>
      </c>
      <c r="E2172" s="13" t="n">
        <v>45103</v>
      </c>
      <c r="F2172" s="4" t="s">
        <v>3188</v>
      </c>
      <c r="G2172" s="4" t="str">
        <f aca="false">INDEX(PurchaseOrders!$B$2:$B$3001,MATCH(B2172,PurchaseOrders!$A$2:$A$3001,0))</f>
        <v>V025</v>
      </c>
    </row>
    <row r="2173" customFormat="false" ht="15" hidden="false" customHeight="true" outlineLevel="0" collapsed="false">
      <c r="A2173" s="4" t="s">
        <v>5360</v>
      </c>
      <c r="B2173" s="4" t="s">
        <v>2349</v>
      </c>
      <c r="C2173" s="4" t="n">
        <v>3769</v>
      </c>
      <c r="D2173" s="4" t="n">
        <v>234</v>
      </c>
      <c r="E2173" s="13" t="n">
        <v>45576</v>
      </c>
      <c r="F2173" s="4" t="s">
        <v>3188</v>
      </c>
      <c r="G2173" s="4" t="str">
        <f aca="false">INDEX(PurchaseOrders!$B$2:$B$3001,MATCH(B2173,PurchaseOrders!$A$2:$A$3001,0))</f>
        <v>V001</v>
      </c>
    </row>
    <row r="2174" customFormat="false" ht="15" hidden="false" customHeight="true" outlineLevel="0" collapsed="false">
      <c r="A2174" s="4" t="s">
        <v>5361</v>
      </c>
      <c r="B2174" s="4" t="s">
        <v>2350</v>
      </c>
      <c r="C2174" s="4" t="n">
        <v>2365</v>
      </c>
      <c r="D2174" s="4" t="n">
        <v>297</v>
      </c>
      <c r="E2174" s="13" t="n">
        <v>45509</v>
      </c>
      <c r="F2174" s="4" t="s">
        <v>3192</v>
      </c>
      <c r="G2174" s="4" t="str">
        <f aca="false">INDEX(PurchaseOrders!$B$2:$B$3001,MATCH(B2174,PurchaseOrders!$A$2:$A$3001,0))</f>
        <v>V057</v>
      </c>
    </row>
    <row r="2175" customFormat="false" ht="15" hidden="false" customHeight="true" outlineLevel="0" collapsed="false">
      <c r="A2175" s="4" t="s">
        <v>5362</v>
      </c>
      <c r="B2175" s="4" t="s">
        <v>2351</v>
      </c>
      <c r="C2175" s="4" t="n">
        <v>12</v>
      </c>
      <c r="D2175" s="4" t="n">
        <v>0</v>
      </c>
      <c r="E2175" s="13" t="n">
        <v>45563</v>
      </c>
      <c r="F2175" s="4"/>
      <c r="G2175" s="4" t="str">
        <f aca="false">INDEX(PurchaseOrders!$B$2:$B$3001,MATCH(B2175,PurchaseOrders!$A$2:$A$3001,0))</f>
        <v>V023</v>
      </c>
    </row>
    <row r="2176" customFormat="false" ht="15" hidden="false" customHeight="true" outlineLevel="0" collapsed="false">
      <c r="A2176" s="4" t="s">
        <v>5363</v>
      </c>
      <c r="B2176" s="4" t="s">
        <v>2352</v>
      </c>
      <c r="C2176" s="4" t="n">
        <v>2756</v>
      </c>
      <c r="D2176" s="4" t="n">
        <v>136</v>
      </c>
      <c r="E2176" s="13" t="n">
        <v>45150</v>
      </c>
      <c r="F2176" s="4" t="s">
        <v>3188</v>
      </c>
      <c r="G2176" s="4" t="str">
        <f aca="false">INDEX(PurchaseOrders!$B$2:$B$3001,MATCH(B2176,PurchaseOrders!$A$2:$A$3001,0))</f>
        <v>V050</v>
      </c>
    </row>
    <row r="2177" customFormat="false" ht="15" hidden="false" customHeight="true" outlineLevel="0" collapsed="false">
      <c r="A2177" s="4" t="s">
        <v>5364</v>
      </c>
      <c r="B2177" s="4" t="s">
        <v>2353</v>
      </c>
      <c r="C2177" s="4" t="n">
        <v>564</v>
      </c>
      <c r="D2177" s="4" t="n">
        <v>52</v>
      </c>
      <c r="E2177" s="13" t="n">
        <v>45248</v>
      </c>
      <c r="F2177" s="4" t="s">
        <v>3202</v>
      </c>
      <c r="G2177" s="4" t="str">
        <f aca="false">INDEX(PurchaseOrders!$B$2:$B$3001,MATCH(B2177,PurchaseOrders!$A$2:$A$3001,0))</f>
        <v>V027</v>
      </c>
    </row>
    <row r="2178" customFormat="false" ht="15" hidden="false" customHeight="true" outlineLevel="0" collapsed="false">
      <c r="A2178" s="4" t="s">
        <v>5365</v>
      </c>
      <c r="B2178" s="4" t="s">
        <v>2354</v>
      </c>
      <c r="C2178" s="4" t="n">
        <v>3</v>
      </c>
      <c r="D2178" s="4" t="n">
        <v>0</v>
      </c>
      <c r="E2178" s="13" t="n">
        <v>45208</v>
      </c>
      <c r="F2178" s="4"/>
      <c r="G2178" s="4" t="str">
        <f aca="false">INDEX(PurchaseOrders!$B$2:$B$3001,MATCH(B2178,PurchaseOrders!$A$2:$A$3001,0))</f>
        <v>V042</v>
      </c>
    </row>
    <row r="2179" customFormat="false" ht="15" hidden="false" customHeight="true" outlineLevel="0" collapsed="false">
      <c r="A2179" s="4" t="s">
        <v>5366</v>
      </c>
      <c r="B2179" s="4" t="s">
        <v>2355</v>
      </c>
      <c r="C2179" s="4" t="n">
        <v>728</v>
      </c>
      <c r="D2179" s="4" t="n">
        <v>41</v>
      </c>
      <c r="E2179" s="13" t="n">
        <v>45184</v>
      </c>
      <c r="F2179" s="4" t="s">
        <v>3184</v>
      </c>
      <c r="G2179" s="4" t="str">
        <f aca="false">INDEX(PurchaseOrders!$B$2:$B$3001,MATCH(B2179,PurchaseOrders!$A$2:$A$3001,0))</f>
        <v>V051</v>
      </c>
    </row>
    <row r="2180" customFormat="false" ht="15" hidden="false" customHeight="true" outlineLevel="0" collapsed="false">
      <c r="A2180" s="4" t="s">
        <v>5367</v>
      </c>
      <c r="B2180" s="4" t="s">
        <v>2356</v>
      </c>
      <c r="C2180" s="4" t="n">
        <v>1831</v>
      </c>
      <c r="D2180" s="4" t="n">
        <v>422</v>
      </c>
      <c r="E2180" s="13" t="n">
        <v>45138</v>
      </c>
      <c r="F2180" s="4" t="s">
        <v>3184</v>
      </c>
      <c r="G2180" s="4" t="str">
        <f aca="false">INDEX(PurchaseOrders!$B$2:$B$3001,MATCH(B2180,PurchaseOrders!$A$2:$A$3001,0))</f>
        <v>V039</v>
      </c>
    </row>
    <row r="2181" customFormat="false" ht="15" hidden="false" customHeight="true" outlineLevel="0" collapsed="false">
      <c r="A2181" s="4" t="s">
        <v>5368</v>
      </c>
      <c r="B2181" s="4" t="s">
        <v>2357</v>
      </c>
      <c r="C2181" s="4" t="n">
        <v>245</v>
      </c>
      <c r="D2181" s="4" t="n">
        <v>4</v>
      </c>
      <c r="E2181" s="13" t="n">
        <v>45130</v>
      </c>
      <c r="F2181" s="4" t="s">
        <v>3184</v>
      </c>
      <c r="G2181" s="4" t="str">
        <f aca="false">INDEX(PurchaseOrders!$B$2:$B$3001,MATCH(B2181,PurchaseOrders!$A$2:$A$3001,0))</f>
        <v>V046</v>
      </c>
    </row>
    <row r="2182" customFormat="false" ht="15" hidden="false" customHeight="true" outlineLevel="0" collapsed="false">
      <c r="A2182" s="4" t="s">
        <v>5369</v>
      </c>
      <c r="B2182" s="4" t="s">
        <v>2358</v>
      </c>
      <c r="C2182" s="4" t="n">
        <v>17</v>
      </c>
      <c r="D2182" s="4" t="n">
        <v>1</v>
      </c>
      <c r="E2182" s="13" t="n">
        <v>45314</v>
      </c>
      <c r="F2182" s="4" t="s">
        <v>3190</v>
      </c>
      <c r="G2182" s="4" t="str">
        <f aca="false">INDEX(PurchaseOrders!$B$2:$B$3001,MATCH(B2182,PurchaseOrders!$A$2:$A$3001,0))</f>
        <v>V023</v>
      </c>
    </row>
    <row r="2183" customFormat="false" ht="15" hidden="false" customHeight="true" outlineLevel="0" collapsed="false">
      <c r="A2183" s="4" t="s">
        <v>5370</v>
      </c>
      <c r="B2183" s="4" t="s">
        <v>2359</v>
      </c>
      <c r="C2183" s="4" t="n">
        <v>704</v>
      </c>
      <c r="D2183" s="4" t="n">
        <v>42</v>
      </c>
      <c r="E2183" s="13" t="n">
        <v>44948</v>
      </c>
      <c r="F2183" s="4" t="s">
        <v>3186</v>
      </c>
      <c r="G2183" s="4" t="str">
        <f aca="false">INDEX(PurchaseOrders!$B$2:$B$3001,MATCH(B2183,PurchaseOrders!$A$2:$A$3001,0))</f>
        <v>V056</v>
      </c>
    </row>
    <row r="2184" customFormat="false" ht="15" hidden="false" customHeight="true" outlineLevel="0" collapsed="false">
      <c r="A2184" s="4" t="s">
        <v>5371</v>
      </c>
      <c r="B2184" s="4" t="s">
        <v>2360</v>
      </c>
      <c r="C2184" s="4" t="n">
        <v>1694</v>
      </c>
      <c r="D2184" s="4" t="n">
        <v>71</v>
      </c>
      <c r="E2184" s="13" t="n">
        <v>45320</v>
      </c>
      <c r="F2184" s="4" t="s">
        <v>3202</v>
      </c>
      <c r="G2184" s="4" t="str">
        <f aca="false">INDEX(PurchaseOrders!$B$2:$B$3001,MATCH(B2184,PurchaseOrders!$A$2:$A$3001,0))</f>
        <v>V011</v>
      </c>
    </row>
    <row r="2185" customFormat="false" ht="15" hidden="false" customHeight="true" outlineLevel="0" collapsed="false">
      <c r="A2185" s="4" t="s">
        <v>5372</v>
      </c>
      <c r="B2185" s="4" t="s">
        <v>2361</v>
      </c>
      <c r="C2185" s="4" t="n">
        <v>3561</v>
      </c>
      <c r="D2185" s="4" t="n">
        <v>110</v>
      </c>
      <c r="E2185" s="13" t="n">
        <v>44954</v>
      </c>
      <c r="F2185" s="4" t="s">
        <v>3188</v>
      </c>
      <c r="G2185" s="4" t="str">
        <f aca="false">INDEX(PurchaseOrders!$B$2:$B$3001,MATCH(B2185,PurchaseOrders!$A$2:$A$3001,0))</f>
        <v>V014</v>
      </c>
    </row>
    <row r="2186" customFormat="false" ht="15" hidden="false" customHeight="true" outlineLevel="0" collapsed="false">
      <c r="A2186" s="4" t="s">
        <v>5373</v>
      </c>
      <c r="B2186" s="4" t="s">
        <v>2362</v>
      </c>
      <c r="C2186" s="4" t="n">
        <v>161</v>
      </c>
      <c r="D2186" s="4" t="n">
        <v>0</v>
      </c>
      <c r="E2186" s="13" t="n">
        <v>45025</v>
      </c>
      <c r="F2186" s="4"/>
      <c r="G2186" s="4" t="str">
        <f aca="false">INDEX(PurchaseOrders!$B$2:$B$3001,MATCH(B2186,PurchaseOrders!$A$2:$A$3001,0))</f>
        <v>V006</v>
      </c>
    </row>
    <row r="2187" customFormat="false" ht="15" hidden="false" customHeight="true" outlineLevel="0" collapsed="false">
      <c r="A2187" s="4" t="s">
        <v>5374</v>
      </c>
      <c r="B2187" s="4" t="s">
        <v>2363</v>
      </c>
      <c r="C2187" s="4" t="n">
        <v>639</v>
      </c>
      <c r="D2187" s="4" t="n">
        <v>27</v>
      </c>
      <c r="E2187" s="13" t="n">
        <v>45006</v>
      </c>
      <c r="F2187" s="4" t="s">
        <v>3190</v>
      </c>
      <c r="G2187" s="4" t="str">
        <f aca="false">INDEX(PurchaseOrders!$B$2:$B$3001,MATCH(B2187,PurchaseOrders!$A$2:$A$3001,0))</f>
        <v>V003</v>
      </c>
    </row>
    <row r="2188" customFormat="false" ht="15" hidden="false" customHeight="true" outlineLevel="0" collapsed="false">
      <c r="A2188" s="4" t="s">
        <v>5375</v>
      </c>
      <c r="B2188" s="4" t="s">
        <v>2364</v>
      </c>
      <c r="C2188" s="4" t="n">
        <v>426</v>
      </c>
      <c r="D2188" s="4" t="n">
        <v>20</v>
      </c>
      <c r="E2188" s="13" t="n">
        <v>45454</v>
      </c>
      <c r="F2188" s="4" t="s">
        <v>3186</v>
      </c>
      <c r="G2188" s="4" t="str">
        <f aca="false">INDEX(PurchaseOrders!$B$2:$B$3001,MATCH(B2188,PurchaseOrders!$A$2:$A$3001,0))</f>
        <v>V031</v>
      </c>
    </row>
    <row r="2189" customFormat="false" ht="15" hidden="false" customHeight="true" outlineLevel="0" collapsed="false">
      <c r="A2189" s="4" t="s">
        <v>5376</v>
      </c>
      <c r="B2189" s="4" t="s">
        <v>2365</v>
      </c>
      <c r="C2189" s="4" t="n">
        <v>40</v>
      </c>
      <c r="D2189" s="4" t="n">
        <v>0</v>
      </c>
      <c r="E2189" s="13" t="n">
        <v>45018</v>
      </c>
      <c r="F2189" s="4"/>
      <c r="G2189" s="4" t="str">
        <f aca="false">INDEX(PurchaseOrders!$B$2:$B$3001,MATCH(B2189,PurchaseOrders!$A$2:$A$3001,0))</f>
        <v>V037</v>
      </c>
    </row>
    <row r="2190" customFormat="false" ht="15" hidden="false" customHeight="true" outlineLevel="0" collapsed="false">
      <c r="A2190" s="4" t="s">
        <v>5377</v>
      </c>
      <c r="B2190" s="4" t="s">
        <v>2366</v>
      </c>
      <c r="C2190" s="4" t="n">
        <v>926</v>
      </c>
      <c r="D2190" s="4" t="n">
        <v>45</v>
      </c>
      <c r="E2190" s="13" t="n">
        <v>45567</v>
      </c>
      <c r="F2190" s="4" t="s">
        <v>3186</v>
      </c>
      <c r="G2190" s="4" t="str">
        <f aca="false">INDEX(PurchaseOrders!$B$2:$B$3001,MATCH(B2190,PurchaseOrders!$A$2:$A$3001,0))</f>
        <v>V056</v>
      </c>
    </row>
    <row r="2191" customFormat="false" ht="15" hidden="false" customHeight="true" outlineLevel="0" collapsed="false">
      <c r="A2191" s="4" t="s">
        <v>5378</v>
      </c>
      <c r="B2191" s="4" t="s">
        <v>2367</v>
      </c>
      <c r="C2191" s="4" t="n">
        <v>1863</v>
      </c>
      <c r="D2191" s="4" t="n">
        <v>92</v>
      </c>
      <c r="E2191" s="13" t="n">
        <v>45039</v>
      </c>
      <c r="F2191" s="4" t="s">
        <v>3190</v>
      </c>
      <c r="G2191" s="4" t="str">
        <f aca="false">INDEX(PurchaseOrders!$B$2:$B$3001,MATCH(B2191,PurchaseOrders!$A$2:$A$3001,0))</f>
        <v>V051</v>
      </c>
    </row>
    <row r="2192" customFormat="false" ht="15" hidden="false" customHeight="true" outlineLevel="0" collapsed="false">
      <c r="A2192" s="4" t="s">
        <v>5379</v>
      </c>
      <c r="B2192" s="4" t="s">
        <v>2368</v>
      </c>
      <c r="C2192" s="4" t="n">
        <v>976</v>
      </c>
      <c r="D2192" s="4" t="n">
        <v>131</v>
      </c>
      <c r="E2192" s="13" t="n">
        <v>45058</v>
      </c>
      <c r="F2192" s="4" t="s">
        <v>3188</v>
      </c>
      <c r="G2192" s="4" t="str">
        <f aca="false">INDEX(PurchaseOrders!$B$2:$B$3001,MATCH(B2192,PurchaseOrders!$A$2:$A$3001,0))</f>
        <v>V044</v>
      </c>
    </row>
    <row r="2193" customFormat="false" ht="15" hidden="false" customHeight="true" outlineLevel="0" collapsed="false">
      <c r="A2193" s="4" t="s">
        <v>5380</v>
      </c>
      <c r="B2193" s="4" t="s">
        <v>2369</v>
      </c>
      <c r="C2193" s="4" t="n">
        <v>3789</v>
      </c>
      <c r="D2193" s="4" t="n">
        <v>19</v>
      </c>
      <c r="E2193" s="13" t="n">
        <v>45350</v>
      </c>
      <c r="F2193" s="4" t="s">
        <v>3184</v>
      </c>
      <c r="G2193" s="4" t="str">
        <f aca="false">INDEX(PurchaseOrders!$B$2:$B$3001,MATCH(B2193,PurchaseOrders!$A$2:$A$3001,0))</f>
        <v>V015</v>
      </c>
    </row>
    <row r="2194" customFormat="false" ht="15" hidden="false" customHeight="true" outlineLevel="0" collapsed="false">
      <c r="A2194" s="4" t="s">
        <v>5381</v>
      </c>
      <c r="B2194" s="4" t="s">
        <v>2370</v>
      </c>
      <c r="C2194" s="4" t="n">
        <v>708</v>
      </c>
      <c r="D2194" s="4" t="n">
        <v>46</v>
      </c>
      <c r="E2194" s="13" t="n">
        <v>45024</v>
      </c>
      <c r="F2194" s="4" t="s">
        <v>3190</v>
      </c>
      <c r="G2194" s="4" t="str">
        <f aca="false">INDEX(PurchaseOrders!$B$2:$B$3001,MATCH(B2194,PurchaseOrders!$A$2:$A$3001,0))</f>
        <v>V007</v>
      </c>
    </row>
    <row r="2195" customFormat="false" ht="15" hidden="false" customHeight="true" outlineLevel="0" collapsed="false">
      <c r="A2195" s="4" t="s">
        <v>5382</v>
      </c>
      <c r="B2195" s="4" t="s">
        <v>2371</v>
      </c>
      <c r="C2195" s="4" t="n">
        <v>885</v>
      </c>
      <c r="D2195" s="4" t="n">
        <v>28</v>
      </c>
      <c r="E2195" s="13" t="n">
        <v>45341</v>
      </c>
      <c r="F2195" s="4" t="s">
        <v>3188</v>
      </c>
      <c r="G2195" s="4" t="str">
        <f aca="false">INDEX(PurchaseOrders!$B$2:$B$3001,MATCH(B2195,PurchaseOrders!$A$2:$A$3001,0))</f>
        <v>V034</v>
      </c>
    </row>
    <row r="2196" customFormat="false" ht="15" hidden="false" customHeight="true" outlineLevel="0" collapsed="false">
      <c r="A2196" s="4" t="s">
        <v>5383</v>
      </c>
      <c r="B2196" s="4" t="s">
        <v>2372</v>
      </c>
      <c r="C2196" s="4" t="n">
        <v>13</v>
      </c>
      <c r="D2196" s="4" t="n">
        <v>1</v>
      </c>
      <c r="E2196" s="13" t="n">
        <v>45510</v>
      </c>
      <c r="F2196" s="4" t="s">
        <v>3188</v>
      </c>
      <c r="G2196" s="4" t="str">
        <f aca="false">INDEX(PurchaseOrders!$B$2:$B$3001,MATCH(B2196,PurchaseOrders!$A$2:$A$3001,0))</f>
        <v>V054</v>
      </c>
    </row>
    <row r="2197" customFormat="false" ht="15" hidden="false" customHeight="true" outlineLevel="0" collapsed="false">
      <c r="A2197" s="4" t="s">
        <v>5384</v>
      </c>
      <c r="B2197" s="4" t="s">
        <v>2373</v>
      </c>
      <c r="C2197" s="4" t="n">
        <v>683</v>
      </c>
      <c r="D2197" s="4" t="n">
        <v>11</v>
      </c>
      <c r="E2197" s="13" t="n">
        <v>45641</v>
      </c>
      <c r="F2197" s="4" t="s">
        <v>3186</v>
      </c>
      <c r="G2197" s="4" t="str">
        <f aca="false">INDEX(PurchaseOrders!$B$2:$B$3001,MATCH(B2197,PurchaseOrders!$A$2:$A$3001,0))</f>
        <v>V020</v>
      </c>
    </row>
    <row r="2198" customFormat="false" ht="15" hidden="false" customHeight="true" outlineLevel="0" collapsed="false">
      <c r="A2198" s="4" t="s">
        <v>5385</v>
      </c>
      <c r="B2198" s="4" t="s">
        <v>2374</v>
      </c>
      <c r="C2198" s="4" t="n">
        <v>4202</v>
      </c>
      <c r="D2198" s="4" t="n">
        <v>0</v>
      </c>
      <c r="E2198" s="13" t="n">
        <v>45472</v>
      </c>
      <c r="F2198" s="4"/>
      <c r="G2198" s="4" t="str">
        <f aca="false">INDEX(PurchaseOrders!$B$2:$B$3001,MATCH(B2198,PurchaseOrders!$A$2:$A$3001,0))</f>
        <v>V002</v>
      </c>
    </row>
    <row r="2199" customFormat="false" ht="15" hidden="false" customHeight="true" outlineLevel="0" collapsed="false">
      <c r="A2199" s="4" t="s">
        <v>5386</v>
      </c>
      <c r="B2199" s="4" t="s">
        <v>2375</v>
      </c>
      <c r="C2199" s="4" t="n">
        <v>480</v>
      </c>
      <c r="D2199" s="4" t="n">
        <v>7</v>
      </c>
      <c r="E2199" s="13" t="n">
        <v>45460</v>
      </c>
      <c r="F2199" s="4" t="s">
        <v>3188</v>
      </c>
      <c r="G2199" s="4" t="str">
        <f aca="false">INDEX(PurchaseOrders!$B$2:$B$3001,MATCH(B2199,PurchaseOrders!$A$2:$A$3001,0))</f>
        <v>V060</v>
      </c>
    </row>
    <row r="2200" customFormat="false" ht="15" hidden="false" customHeight="true" outlineLevel="0" collapsed="false">
      <c r="A2200" s="4" t="s">
        <v>5387</v>
      </c>
      <c r="B2200" s="4" t="s">
        <v>2376</v>
      </c>
      <c r="C2200" s="4" t="n">
        <v>1373</v>
      </c>
      <c r="D2200" s="4" t="n">
        <v>121</v>
      </c>
      <c r="E2200" s="13" t="n">
        <v>45336</v>
      </c>
      <c r="F2200" s="4" t="s">
        <v>3190</v>
      </c>
      <c r="G2200" s="4" t="str">
        <f aca="false">INDEX(PurchaseOrders!$B$2:$B$3001,MATCH(B2200,PurchaseOrders!$A$2:$A$3001,0))</f>
        <v>V050</v>
      </c>
    </row>
    <row r="2201" customFormat="false" ht="15" hidden="false" customHeight="true" outlineLevel="0" collapsed="false">
      <c r="A2201" s="4" t="s">
        <v>5388</v>
      </c>
      <c r="B2201" s="4" t="s">
        <v>2377</v>
      </c>
      <c r="C2201" s="4" t="n">
        <v>231</v>
      </c>
      <c r="D2201" s="4" t="n">
        <v>21</v>
      </c>
      <c r="E2201" s="13" t="n">
        <v>45230</v>
      </c>
      <c r="F2201" s="4" t="s">
        <v>3192</v>
      </c>
      <c r="G2201" s="4" t="str">
        <f aca="false">INDEX(PurchaseOrders!$B$2:$B$3001,MATCH(B2201,PurchaseOrders!$A$2:$A$3001,0))</f>
        <v>V009</v>
      </c>
    </row>
    <row r="2202" customFormat="false" ht="15" hidden="false" customHeight="true" outlineLevel="0" collapsed="false">
      <c r="A2202" s="4" t="s">
        <v>5389</v>
      </c>
      <c r="B2202" s="4" t="s">
        <v>2378</v>
      </c>
      <c r="C2202" s="4" t="n">
        <v>3860</v>
      </c>
      <c r="D2202" s="4" t="n">
        <v>499</v>
      </c>
      <c r="E2202" s="13" t="n">
        <v>45266</v>
      </c>
      <c r="F2202" s="4" t="s">
        <v>3184</v>
      </c>
      <c r="G2202" s="4" t="str">
        <f aca="false">INDEX(PurchaseOrders!$B$2:$B$3001,MATCH(B2202,PurchaseOrders!$A$2:$A$3001,0))</f>
        <v>V057</v>
      </c>
    </row>
    <row r="2203" customFormat="false" ht="15" hidden="false" customHeight="true" outlineLevel="0" collapsed="false">
      <c r="A2203" s="4" t="s">
        <v>5390</v>
      </c>
      <c r="B2203" s="4" t="s">
        <v>2379</v>
      </c>
      <c r="C2203" s="4" t="n">
        <v>1290</v>
      </c>
      <c r="D2203" s="4" t="n">
        <v>231</v>
      </c>
      <c r="E2203" s="13" t="n">
        <v>45514</v>
      </c>
      <c r="F2203" s="4" t="s">
        <v>3188</v>
      </c>
      <c r="G2203" s="4" t="str">
        <f aca="false">INDEX(PurchaseOrders!$B$2:$B$3001,MATCH(B2203,PurchaseOrders!$A$2:$A$3001,0))</f>
        <v>V025</v>
      </c>
    </row>
    <row r="2204" customFormat="false" ht="15" hidden="false" customHeight="true" outlineLevel="0" collapsed="false">
      <c r="A2204" s="4" t="s">
        <v>5391</v>
      </c>
      <c r="B2204" s="4" t="s">
        <v>2380</v>
      </c>
      <c r="C2204" s="4" t="n">
        <v>8</v>
      </c>
      <c r="D2204" s="4" t="n">
        <v>1</v>
      </c>
      <c r="E2204" s="13" t="n">
        <v>45209</v>
      </c>
      <c r="F2204" s="4" t="s">
        <v>3188</v>
      </c>
      <c r="G2204" s="4" t="str">
        <f aca="false">INDEX(PurchaseOrders!$B$2:$B$3001,MATCH(B2204,PurchaseOrders!$A$2:$A$3001,0))</f>
        <v>V054</v>
      </c>
    </row>
    <row r="2205" customFormat="false" ht="15" hidden="false" customHeight="true" outlineLevel="0" collapsed="false">
      <c r="A2205" s="4" t="s">
        <v>5392</v>
      </c>
      <c r="B2205" s="4" t="s">
        <v>2381</v>
      </c>
      <c r="C2205" s="4" t="n">
        <v>183</v>
      </c>
      <c r="D2205" s="4" t="n">
        <v>5</v>
      </c>
      <c r="E2205" s="13" t="n">
        <v>45165</v>
      </c>
      <c r="F2205" s="4" t="s">
        <v>3190</v>
      </c>
      <c r="G2205" s="4" t="str">
        <f aca="false">INDEX(PurchaseOrders!$B$2:$B$3001,MATCH(B2205,PurchaseOrders!$A$2:$A$3001,0))</f>
        <v>V029</v>
      </c>
    </row>
    <row r="2206" customFormat="false" ht="15" hidden="false" customHeight="true" outlineLevel="0" collapsed="false">
      <c r="A2206" s="4" t="s">
        <v>5393</v>
      </c>
      <c r="B2206" s="4" t="s">
        <v>2382</v>
      </c>
      <c r="C2206" s="4" t="n">
        <v>398</v>
      </c>
      <c r="D2206" s="4" t="n">
        <v>31</v>
      </c>
      <c r="E2206" s="13" t="n">
        <v>45194</v>
      </c>
      <c r="F2206" s="4" t="s">
        <v>3188</v>
      </c>
      <c r="G2206" s="4" t="str">
        <f aca="false">INDEX(PurchaseOrders!$B$2:$B$3001,MATCH(B2206,PurchaseOrders!$A$2:$A$3001,0))</f>
        <v>V043</v>
      </c>
    </row>
    <row r="2207" customFormat="false" ht="15" hidden="false" customHeight="true" outlineLevel="0" collapsed="false">
      <c r="A2207" s="4" t="s">
        <v>5394</v>
      </c>
      <c r="B2207" s="4" t="s">
        <v>2383</v>
      </c>
      <c r="C2207" s="4" t="n">
        <v>2898</v>
      </c>
      <c r="D2207" s="4" t="n">
        <v>344</v>
      </c>
      <c r="E2207" s="13" t="n">
        <v>45310</v>
      </c>
      <c r="F2207" s="4" t="s">
        <v>3188</v>
      </c>
      <c r="G2207" s="4" t="str">
        <f aca="false">INDEX(PurchaseOrders!$B$2:$B$3001,MATCH(B2207,PurchaseOrders!$A$2:$A$3001,0))</f>
        <v>V032</v>
      </c>
    </row>
    <row r="2208" customFormat="false" ht="15" hidden="false" customHeight="true" outlineLevel="0" collapsed="false">
      <c r="A2208" s="4" t="s">
        <v>5395</v>
      </c>
      <c r="B2208" s="4" t="s">
        <v>2384</v>
      </c>
      <c r="C2208" s="4" t="n">
        <v>1376</v>
      </c>
      <c r="D2208" s="4" t="n">
        <v>90</v>
      </c>
      <c r="E2208" s="13" t="n">
        <v>45109</v>
      </c>
      <c r="F2208" s="4" t="s">
        <v>3188</v>
      </c>
      <c r="G2208" s="4" t="str">
        <f aca="false">INDEX(PurchaseOrders!$B$2:$B$3001,MATCH(B2208,PurchaseOrders!$A$2:$A$3001,0))</f>
        <v>V045</v>
      </c>
    </row>
    <row r="2209" customFormat="false" ht="15" hidden="false" customHeight="true" outlineLevel="0" collapsed="false">
      <c r="A2209" s="4" t="s">
        <v>5396</v>
      </c>
      <c r="B2209" s="4" t="s">
        <v>2385</v>
      </c>
      <c r="C2209" s="4" t="n">
        <v>1056</v>
      </c>
      <c r="D2209" s="4" t="n">
        <v>25</v>
      </c>
      <c r="E2209" s="13" t="n">
        <v>44975</v>
      </c>
      <c r="F2209" s="4" t="s">
        <v>3202</v>
      </c>
      <c r="G2209" s="4" t="str">
        <f aca="false">INDEX(PurchaseOrders!$B$2:$B$3001,MATCH(B2209,PurchaseOrders!$A$2:$A$3001,0))</f>
        <v>V035</v>
      </c>
    </row>
    <row r="2210" customFormat="false" ht="15" hidden="false" customHeight="true" outlineLevel="0" collapsed="false">
      <c r="A2210" s="4" t="s">
        <v>5397</v>
      </c>
      <c r="B2210" s="4" t="s">
        <v>2386</v>
      </c>
      <c r="C2210" s="4" t="n">
        <v>256</v>
      </c>
      <c r="D2210" s="4" t="n">
        <v>4</v>
      </c>
      <c r="E2210" s="13" t="n">
        <v>45038</v>
      </c>
      <c r="F2210" s="4" t="s">
        <v>3186</v>
      </c>
      <c r="G2210" s="4" t="str">
        <f aca="false">INDEX(PurchaseOrders!$B$2:$B$3001,MATCH(B2210,PurchaseOrders!$A$2:$A$3001,0))</f>
        <v>V060</v>
      </c>
    </row>
    <row r="2211" customFormat="false" ht="15" hidden="false" customHeight="true" outlineLevel="0" collapsed="false">
      <c r="A2211" s="4" t="s">
        <v>5398</v>
      </c>
      <c r="B2211" s="4" t="s">
        <v>2387</v>
      </c>
      <c r="C2211" s="4" t="n">
        <v>373</v>
      </c>
      <c r="D2211" s="4" t="n">
        <v>28</v>
      </c>
      <c r="E2211" s="13" t="n">
        <v>45454</v>
      </c>
      <c r="F2211" s="4" t="s">
        <v>3202</v>
      </c>
      <c r="G2211" s="4" t="str">
        <f aca="false">INDEX(PurchaseOrders!$B$2:$B$3001,MATCH(B2211,PurchaseOrders!$A$2:$A$3001,0))</f>
        <v>V012</v>
      </c>
    </row>
    <row r="2212" customFormat="false" ht="15" hidden="false" customHeight="true" outlineLevel="0" collapsed="false">
      <c r="A2212" s="4" t="s">
        <v>5399</v>
      </c>
      <c r="B2212" s="4" t="s">
        <v>2388</v>
      </c>
      <c r="C2212" s="4" t="n">
        <v>4123</v>
      </c>
      <c r="D2212" s="4" t="n">
        <v>0</v>
      </c>
      <c r="E2212" s="13" t="n">
        <v>45575</v>
      </c>
      <c r="F2212" s="4"/>
      <c r="G2212" s="4" t="str">
        <f aca="false">INDEX(PurchaseOrders!$B$2:$B$3001,MATCH(B2212,PurchaseOrders!$A$2:$A$3001,0))</f>
        <v>V002</v>
      </c>
    </row>
    <row r="2213" customFormat="false" ht="15" hidden="false" customHeight="true" outlineLevel="0" collapsed="false">
      <c r="A2213" s="4" t="s">
        <v>5400</v>
      </c>
      <c r="B2213" s="4" t="s">
        <v>2389</v>
      </c>
      <c r="C2213" s="4" t="n">
        <v>471</v>
      </c>
      <c r="D2213" s="4" t="n">
        <v>15</v>
      </c>
      <c r="E2213" s="13" t="n">
        <v>45022</v>
      </c>
      <c r="F2213" s="4" t="s">
        <v>3186</v>
      </c>
      <c r="G2213" s="4" t="str">
        <f aca="false">INDEX(PurchaseOrders!$B$2:$B$3001,MATCH(B2213,PurchaseOrders!$A$2:$A$3001,0))</f>
        <v>V033</v>
      </c>
    </row>
    <row r="2214" customFormat="false" ht="15" hidden="false" customHeight="true" outlineLevel="0" collapsed="false">
      <c r="A2214" s="4" t="s">
        <v>5401</v>
      </c>
      <c r="B2214" s="4" t="s">
        <v>2390</v>
      </c>
      <c r="C2214" s="4" t="n">
        <v>10</v>
      </c>
      <c r="D2214" s="4" t="n">
        <v>0</v>
      </c>
      <c r="E2214" s="13" t="n">
        <v>45566</v>
      </c>
      <c r="F2214" s="4"/>
      <c r="G2214" s="4" t="str">
        <f aca="false">INDEX(PurchaseOrders!$B$2:$B$3001,MATCH(B2214,PurchaseOrders!$A$2:$A$3001,0))</f>
        <v>V016</v>
      </c>
    </row>
    <row r="2215" customFormat="false" ht="15" hidden="false" customHeight="true" outlineLevel="0" collapsed="false">
      <c r="A2215" s="4" t="s">
        <v>5402</v>
      </c>
      <c r="B2215" s="4" t="s">
        <v>2391</v>
      </c>
      <c r="C2215" s="4" t="n">
        <v>2691</v>
      </c>
      <c r="D2215" s="4" t="n">
        <v>346</v>
      </c>
      <c r="E2215" s="13" t="n">
        <v>45330</v>
      </c>
      <c r="F2215" s="4" t="s">
        <v>3188</v>
      </c>
      <c r="G2215" s="4" t="str">
        <f aca="false">INDEX(PurchaseOrders!$B$2:$B$3001,MATCH(B2215,PurchaseOrders!$A$2:$A$3001,0))</f>
        <v>V038</v>
      </c>
    </row>
    <row r="2216" customFormat="false" ht="15" hidden="false" customHeight="true" outlineLevel="0" collapsed="false">
      <c r="A2216" s="4" t="s">
        <v>5403</v>
      </c>
      <c r="B2216" s="4" t="s">
        <v>2392</v>
      </c>
      <c r="C2216" s="4" t="n">
        <v>437</v>
      </c>
      <c r="D2216" s="4" t="n">
        <v>47</v>
      </c>
      <c r="E2216" s="13" t="n">
        <v>45177</v>
      </c>
      <c r="F2216" s="4" t="s">
        <v>3184</v>
      </c>
      <c r="G2216" s="4" t="str">
        <f aca="false">INDEX(PurchaseOrders!$B$2:$B$3001,MATCH(B2216,PurchaseOrders!$A$2:$A$3001,0))</f>
        <v>V049</v>
      </c>
    </row>
    <row r="2217" customFormat="false" ht="15" hidden="false" customHeight="true" outlineLevel="0" collapsed="false">
      <c r="A2217" s="4" t="s">
        <v>5404</v>
      </c>
      <c r="B2217" s="4" t="s">
        <v>2393</v>
      </c>
      <c r="C2217" s="4" t="n">
        <v>13</v>
      </c>
      <c r="D2217" s="4" t="n">
        <v>1</v>
      </c>
      <c r="E2217" s="13" t="n">
        <v>45141</v>
      </c>
      <c r="F2217" s="4" t="s">
        <v>3184</v>
      </c>
      <c r="G2217" s="4" t="str">
        <f aca="false">INDEX(PurchaseOrders!$B$2:$B$3001,MATCH(B2217,PurchaseOrders!$A$2:$A$3001,0))</f>
        <v>V054</v>
      </c>
    </row>
    <row r="2218" customFormat="false" ht="15" hidden="false" customHeight="true" outlineLevel="0" collapsed="false">
      <c r="A2218" s="4" t="s">
        <v>5405</v>
      </c>
      <c r="B2218" s="4" t="s">
        <v>2394</v>
      </c>
      <c r="C2218" s="4" t="n">
        <v>4101</v>
      </c>
      <c r="D2218" s="4" t="n">
        <v>143</v>
      </c>
      <c r="E2218" s="13" t="n">
        <v>45331</v>
      </c>
      <c r="F2218" s="4" t="s">
        <v>3190</v>
      </c>
      <c r="G2218" s="4" t="str">
        <f aca="false">INDEX(PurchaseOrders!$B$2:$B$3001,MATCH(B2218,PurchaseOrders!$A$2:$A$3001,0))</f>
        <v>V058</v>
      </c>
    </row>
    <row r="2219" customFormat="false" ht="15" hidden="false" customHeight="true" outlineLevel="0" collapsed="false">
      <c r="A2219" s="4" t="s">
        <v>5406</v>
      </c>
      <c r="B2219" s="4" t="s">
        <v>2395</v>
      </c>
      <c r="C2219" s="4" t="n">
        <v>4418</v>
      </c>
      <c r="D2219" s="4" t="n">
        <v>600</v>
      </c>
      <c r="E2219" s="13" t="n">
        <v>45017</v>
      </c>
      <c r="F2219" s="4" t="s">
        <v>3202</v>
      </c>
      <c r="G2219" s="4" t="str">
        <f aca="false">INDEX(PurchaseOrders!$B$2:$B$3001,MATCH(B2219,PurchaseOrders!$A$2:$A$3001,0))</f>
        <v>V057</v>
      </c>
    </row>
    <row r="2220" customFormat="false" ht="15" hidden="false" customHeight="true" outlineLevel="0" collapsed="false">
      <c r="A2220" s="4" t="s">
        <v>5407</v>
      </c>
      <c r="B2220" s="4" t="s">
        <v>2396</v>
      </c>
      <c r="C2220" s="4" t="n">
        <v>4743</v>
      </c>
      <c r="D2220" s="4" t="n">
        <v>623</v>
      </c>
      <c r="E2220" s="13" t="n">
        <v>45155</v>
      </c>
      <c r="F2220" s="4" t="s">
        <v>3186</v>
      </c>
      <c r="G2220" s="4" t="str">
        <f aca="false">INDEX(PurchaseOrders!$B$2:$B$3001,MATCH(B2220,PurchaseOrders!$A$2:$A$3001,0))</f>
        <v>V038</v>
      </c>
    </row>
    <row r="2221" customFormat="false" ht="15" hidden="false" customHeight="true" outlineLevel="0" collapsed="false">
      <c r="A2221" s="4" t="s">
        <v>5408</v>
      </c>
      <c r="B2221" s="4" t="s">
        <v>2397</v>
      </c>
      <c r="C2221" s="4" t="n">
        <v>127</v>
      </c>
      <c r="D2221" s="4" t="n">
        <v>13</v>
      </c>
      <c r="E2221" s="13" t="n">
        <v>45223</v>
      </c>
      <c r="F2221" s="4" t="s">
        <v>3184</v>
      </c>
      <c r="G2221" s="4" t="str">
        <f aca="false">INDEX(PurchaseOrders!$B$2:$B$3001,MATCH(B2221,PurchaseOrders!$A$2:$A$3001,0))</f>
        <v>V030</v>
      </c>
    </row>
    <row r="2222" customFormat="false" ht="15" hidden="false" customHeight="true" outlineLevel="0" collapsed="false">
      <c r="A2222" s="4" t="s">
        <v>5409</v>
      </c>
      <c r="B2222" s="4" t="s">
        <v>2398</v>
      </c>
      <c r="C2222" s="4" t="n">
        <v>1914</v>
      </c>
      <c r="D2222" s="4" t="n">
        <v>124</v>
      </c>
      <c r="E2222" s="13" t="n">
        <v>45178</v>
      </c>
      <c r="F2222" s="4" t="s">
        <v>3186</v>
      </c>
      <c r="G2222" s="4" t="str">
        <f aca="false">INDEX(PurchaseOrders!$B$2:$B$3001,MATCH(B2222,PurchaseOrders!$A$2:$A$3001,0))</f>
        <v>V045</v>
      </c>
    </row>
    <row r="2223" customFormat="false" ht="15" hidden="false" customHeight="true" outlineLevel="0" collapsed="false">
      <c r="A2223" s="4" t="s">
        <v>5410</v>
      </c>
      <c r="B2223" s="4" t="s">
        <v>2399</v>
      </c>
      <c r="C2223" s="4" t="n">
        <v>1161</v>
      </c>
      <c r="D2223" s="4" t="n">
        <v>89</v>
      </c>
      <c r="E2223" s="13" t="n">
        <v>45342</v>
      </c>
      <c r="F2223" s="4" t="s">
        <v>3188</v>
      </c>
      <c r="G2223" s="4" t="str">
        <f aca="false">INDEX(PurchaseOrders!$B$2:$B$3001,MATCH(B2223,PurchaseOrders!$A$2:$A$3001,0))</f>
        <v>V001</v>
      </c>
    </row>
    <row r="2224" customFormat="false" ht="15" hidden="false" customHeight="true" outlineLevel="0" collapsed="false">
      <c r="A2224" s="4" t="s">
        <v>5411</v>
      </c>
      <c r="B2224" s="4" t="s">
        <v>2400</v>
      </c>
      <c r="C2224" s="4" t="n">
        <v>1843</v>
      </c>
      <c r="D2224" s="4" t="n">
        <v>50</v>
      </c>
      <c r="E2224" s="13" t="n">
        <v>45559</v>
      </c>
      <c r="F2224" s="4" t="s">
        <v>3184</v>
      </c>
      <c r="G2224" s="4" t="str">
        <f aca="false">INDEX(PurchaseOrders!$B$2:$B$3001,MATCH(B2224,PurchaseOrders!$A$2:$A$3001,0))</f>
        <v>V051</v>
      </c>
    </row>
    <row r="2225" customFormat="false" ht="15" hidden="false" customHeight="true" outlineLevel="0" collapsed="false">
      <c r="A2225" s="4" t="s">
        <v>5412</v>
      </c>
      <c r="B2225" s="4" t="s">
        <v>2401</v>
      </c>
      <c r="C2225" s="4" t="n">
        <v>235</v>
      </c>
      <c r="D2225" s="4" t="n">
        <v>21</v>
      </c>
      <c r="E2225" s="13" t="n">
        <v>45066</v>
      </c>
      <c r="F2225" s="4" t="s">
        <v>3184</v>
      </c>
      <c r="G2225" s="4" t="str">
        <f aca="false">INDEX(PurchaseOrders!$B$2:$B$3001,MATCH(B2225,PurchaseOrders!$A$2:$A$3001,0))</f>
        <v>V036</v>
      </c>
    </row>
    <row r="2226" customFormat="false" ht="15" hidden="false" customHeight="true" outlineLevel="0" collapsed="false">
      <c r="A2226" s="4" t="s">
        <v>5413</v>
      </c>
      <c r="B2226" s="4" t="s">
        <v>2402</v>
      </c>
      <c r="C2226" s="4" t="n">
        <v>1905</v>
      </c>
      <c r="D2226" s="4" t="n">
        <v>135</v>
      </c>
      <c r="E2226" s="13" t="n">
        <v>45434</v>
      </c>
      <c r="F2226" s="4" t="s">
        <v>3190</v>
      </c>
      <c r="G2226" s="4" t="str">
        <f aca="false">INDEX(PurchaseOrders!$B$2:$B$3001,MATCH(B2226,PurchaseOrders!$A$2:$A$3001,0))</f>
        <v>V014</v>
      </c>
    </row>
    <row r="2227" customFormat="false" ht="15" hidden="false" customHeight="true" outlineLevel="0" collapsed="false">
      <c r="A2227" s="4" t="s">
        <v>5414</v>
      </c>
      <c r="B2227" s="4" t="s">
        <v>2403</v>
      </c>
      <c r="C2227" s="4" t="n">
        <v>429</v>
      </c>
      <c r="D2227" s="4" t="n">
        <v>10</v>
      </c>
      <c r="E2227" s="13" t="n">
        <v>45322</v>
      </c>
      <c r="F2227" s="4" t="s">
        <v>3192</v>
      </c>
      <c r="G2227" s="4" t="str">
        <f aca="false">INDEX(PurchaseOrders!$B$2:$B$3001,MATCH(B2227,PurchaseOrders!$A$2:$A$3001,0))</f>
        <v>V029</v>
      </c>
    </row>
    <row r="2228" customFormat="false" ht="15" hidden="false" customHeight="true" outlineLevel="0" collapsed="false">
      <c r="A2228" s="4" t="s">
        <v>5415</v>
      </c>
      <c r="B2228" s="4" t="s">
        <v>2404</v>
      </c>
      <c r="C2228" s="4" t="n">
        <v>1389</v>
      </c>
      <c r="D2228" s="4" t="n">
        <v>218</v>
      </c>
      <c r="E2228" s="13" t="n">
        <v>45636</v>
      </c>
      <c r="F2228" s="4" t="s">
        <v>3190</v>
      </c>
      <c r="G2228" s="4" t="str">
        <f aca="false">INDEX(PurchaseOrders!$B$2:$B$3001,MATCH(B2228,PurchaseOrders!$A$2:$A$3001,0))</f>
        <v>V025</v>
      </c>
    </row>
    <row r="2229" customFormat="false" ht="15" hidden="false" customHeight="true" outlineLevel="0" collapsed="false">
      <c r="A2229" s="4" t="s">
        <v>5416</v>
      </c>
      <c r="B2229" s="4" t="s">
        <v>2405</v>
      </c>
      <c r="C2229" s="4" t="n">
        <v>231</v>
      </c>
      <c r="D2229" s="4" t="n">
        <v>14</v>
      </c>
      <c r="E2229" s="13" t="n">
        <v>45147</v>
      </c>
      <c r="F2229" s="4" t="s">
        <v>3184</v>
      </c>
      <c r="G2229" s="4" t="str">
        <f aca="false">INDEX(PurchaseOrders!$B$2:$B$3001,MATCH(B2229,PurchaseOrders!$A$2:$A$3001,0))</f>
        <v>V018</v>
      </c>
    </row>
    <row r="2230" customFormat="false" ht="15" hidden="false" customHeight="true" outlineLevel="0" collapsed="false">
      <c r="A2230" s="4" t="s">
        <v>5417</v>
      </c>
      <c r="B2230" s="4" t="s">
        <v>2406</v>
      </c>
      <c r="C2230" s="4" t="n">
        <v>13</v>
      </c>
      <c r="D2230" s="4" t="n">
        <v>1</v>
      </c>
      <c r="E2230" s="13" t="n">
        <v>45512</v>
      </c>
      <c r="F2230" s="4" t="s">
        <v>3192</v>
      </c>
      <c r="G2230" s="4" t="str">
        <f aca="false">INDEX(PurchaseOrders!$B$2:$B$3001,MATCH(B2230,PurchaseOrders!$A$2:$A$3001,0))</f>
        <v>V041</v>
      </c>
    </row>
    <row r="2231" customFormat="false" ht="15" hidden="false" customHeight="true" outlineLevel="0" collapsed="false">
      <c r="A2231" s="4" t="s">
        <v>5418</v>
      </c>
      <c r="B2231" s="4" t="s">
        <v>2407</v>
      </c>
      <c r="C2231" s="4" t="n">
        <v>637</v>
      </c>
      <c r="D2231" s="4" t="n">
        <v>29</v>
      </c>
      <c r="E2231" s="13" t="n">
        <v>45258</v>
      </c>
      <c r="F2231" s="4" t="s">
        <v>3190</v>
      </c>
      <c r="G2231" s="4" t="str">
        <f aca="false">INDEX(PurchaseOrders!$B$2:$B$3001,MATCH(B2231,PurchaseOrders!$A$2:$A$3001,0))</f>
        <v>V035</v>
      </c>
    </row>
    <row r="2232" customFormat="false" ht="15" hidden="false" customHeight="true" outlineLevel="0" collapsed="false">
      <c r="A2232" s="4" t="s">
        <v>5419</v>
      </c>
      <c r="B2232" s="4" t="s">
        <v>2408</v>
      </c>
      <c r="C2232" s="4" t="n">
        <v>1776</v>
      </c>
      <c r="D2232" s="4" t="n">
        <v>68</v>
      </c>
      <c r="E2232" s="13" t="n">
        <v>45580</v>
      </c>
      <c r="F2232" s="4" t="s">
        <v>3192</v>
      </c>
      <c r="G2232" s="4" t="str">
        <f aca="false">INDEX(PurchaseOrders!$B$2:$B$3001,MATCH(B2232,PurchaseOrders!$A$2:$A$3001,0))</f>
        <v>V022</v>
      </c>
    </row>
    <row r="2233" customFormat="false" ht="15" hidden="false" customHeight="true" outlineLevel="0" collapsed="false">
      <c r="A2233" s="4" t="s">
        <v>5420</v>
      </c>
      <c r="B2233" s="4" t="s">
        <v>2409</v>
      </c>
      <c r="C2233" s="4" t="n">
        <v>2419</v>
      </c>
      <c r="D2233" s="4" t="n">
        <v>346</v>
      </c>
      <c r="E2233" s="13" t="n">
        <v>45507</v>
      </c>
      <c r="F2233" s="4" t="s">
        <v>3186</v>
      </c>
      <c r="G2233" s="4" t="str">
        <f aca="false">INDEX(PurchaseOrders!$B$2:$B$3001,MATCH(B2233,PurchaseOrders!$A$2:$A$3001,0))</f>
        <v>V057</v>
      </c>
    </row>
    <row r="2234" customFormat="false" ht="15" hidden="false" customHeight="true" outlineLevel="0" collapsed="false">
      <c r="A2234" s="4" t="s">
        <v>5421</v>
      </c>
      <c r="B2234" s="4" t="s">
        <v>2410</v>
      </c>
      <c r="C2234" s="4" t="n">
        <v>1531</v>
      </c>
      <c r="D2234" s="4" t="n">
        <v>16</v>
      </c>
      <c r="E2234" s="13" t="n">
        <v>45195</v>
      </c>
      <c r="F2234" s="4" t="s">
        <v>3202</v>
      </c>
      <c r="G2234" s="4" t="str">
        <f aca="false">INDEX(PurchaseOrders!$B$2:$B$3001,MATCH(B2234,PurchaseOrders!$A$2:$A$3001,0))</f>
        <v>V059</v>
      </c>
    </row>
    <row r="2235" customFormat="false" ht="15" hidden="false" customHeight="true" outlineLevel="0" collapsed="false">
      <c r="A2235" s="4" t="s">
        <v>5422</v>
      </c>
      <c r="B2235" s="4" t="s">
        <v>2411</v>
      </c>
      <c r="C2235" s="4" t="n">
        <v>161</v>
      </c>
      <c r="D2235" s="4" t="n">
        <v>17</v>
      </c>
      <c r="E2235" s="13" t="n">
        <v>45542</v>
      </c>
      <c r="F2235" s="4" t="s">
        <v>3186</v>
      </c>
      <c r="G2235" s="4" t="str">
        <f aca="false">INDEX(PurchaseOrders!$B$2:$B$3001,MATCH(B2235,PurchaseOrders!$A$2:$A$3001,0))</f>
        <v>V009</v>
      </c>
    </row>
    <row r="2236" customFormat="false" ht="15" hidden="false" customHeight="true" outlineLevel="0" collapsed="false">
      <c r="A2236" s="4" t="s">
        <v>5423</v>
      </c>
      <c r="B2236" s="4" t="s">
        <v>2412</v>
      </c>
      <c r="C2236" s="4" t="n">
        <v>495</v>
      </c>
      <c r="D2236" s="4" t="n">
        <v>0</v>
      </c>
      <c r="E2236" s="13" t="n">
        <v>45031</v>
      </c>
      <c r="F2236" s="4"/>
      <c r="G2236" s="4" t="str">
        <f aca="false">INDEX(PurchaseOrders!$B$2:$B$3001,MATCH(B2236,PurchaseOrders!$A$2:$A$3001,0))</f>
        <v>V022</v>
      </c>
    </row>
    <row r="2237" customFormat="false" ht="15" hidden="false" customHeight="true" outlineLevel="0" collapsed="false">
      <c r="A2237" s="4" t="s">
        <v>5424</v>
      </c>
      <c r="B2237" s="4" t="s">
        <v>2413</v>
      </c>
      <c r="C2237" s="4" t="n">
        <v>222</v>
      </c>
      <c r="D2237" s="4" t="n">
        <v>41</v>
      </c>
      <c r="E2237" s="13" t="n">
        <v>45595</v>
      </c>
      <c r="F2237" s="4" t="s">
        <v>3190</v>
      </c>
      <c r="G2237" s="4" t="str">
        <f aca="false">INDEX(PurchaseOrders!$B$2:$B$3001,MATCH(B2237,PurchaseOrders!$A$2:$A$3001,0))</f>
        <v>V039</v>
      </c>
    </row>
    <row r="2238" customFormat="false" ht="15" hidden="false" customHeight="true" outlineLevel="0" collapsed="false">
      <c r="A2238" s="4" t="s">
        <v>5425</v>
      </c>
      <c r="B2238" s="4" t="s">
        <v>2414</v>
      </c>
      <c r="C2238" s="4" t="n">
        <v>1651</v>
      </c>
      <c r="D2238" s="4" t="n">
        <v>93</v>
      </c>
      <c r="E2238" s="13" t="n">
        <v>45139</v>
      </c>
      <c r="F2238" s="4" t="s">
        <v>3202</v>
      </c>
      <c r="G2238" s="4" t="str">
        <f aca="false">INDEX(PurchaseOrders!$B$2:$B$3001,MATCH(B2238,PurchaseOrders!$A$2:$A$3001,0))</f>
        <v>V007</v>
      </c>
    </row>
    <row r="2239" customFormat="false" ht="15" hidden="false" customHeight="true" outlineLevel="0" collapsed="false">
      <c r="A2239" s="4" t="s">
        <v>5426</v>
      </c>
      <c r="B2239" s="4" t="s">
        <v>2415</v>
      </c>
      <c r="C2239" s="4" t="n">
        <v>2913</v>
      </c>
      <c r="D2239" s="4" t="n">
        <v>193</v>
      </c>
      <c r="E2239" s="13" t="n">
        <v>45649</v>
      </c>
      <c r="F2239" s="4" t="s">
        <v>3192</v>
      </c>
      <c r="G2239" s="4" t="str">
        <f aca="false">INDEX(PurchaseOrders!$B$2:$B$3001,MATCH(B2239,PurchaseOrders!$A$2:$A$3001,0))</f>
        <v>V014</v>
      </c>
    </row>
    <row r="2240" customFormat="false" ht="15" hidden="false" customHeight="true" outlineLevel="0" collapsed="false">
      <c r="A2240" s="4" t="s">
        <v>5427</v>
      </c>
      <c r="B2240" s="4" t="s">
        <v>2416</v>
      </c>
      <c r="C2240" s="4" t="n">
        <v>555</v>
      </c>
      <c r="D2240" s="4" t="n">
        <v>42</v>
      </c>
      <c r="E2240" s="13" t="n">
        <v>45044</v>
      </c>
      <c r="F2240" s="4" t="s">
        <v>3186</v>
      </c>
      <c r="G2240" s="4" t="str">
        <f aca="false">INDEX(PurchaseOrders!$B$2:$B$3001,MATCH(B2240,PurchaseOrders!$A$2:$A$3001,0))</f>
        <v>V056</v>
      </c>
    </row>
    <row r="2241" customFormat="false" ht="15" hidden="false" customHeight="true" outlineLevel="0" collapsed="false">
      <c r="A2241" s="4" t="s">
        <v>5428</v>
      </c>
      <c r="B2241" s="4" t="s">
        <v>2417</v>
      </c>
      <c r="C2241" s="4" t="n">
        <v>1137</v>
      </c>
      <c r="D2241" s="4" t="n">
        <v>116</v>
      </c>
      <c r="E2241" s="13" t="n">
        <v>45647</v>
      </c>
      <c r="F2241" s="4" t="s">
        <v>3192</v>
      </c>
      <c r="G2241" s="4" t="str">
        <f aca="false">INDEX(PurchaseOrders!$B$2:$B$3001,MATCH(B2241,PurchaseOrders!$A$2:$A$3001,0))</f>
        <v>V044</v>
      </c>
    </row>
    <row r="2242" customFormat="false" ht="15" hidden="false" customHeight="true" outlineLevel="0" collapsed="false">
      <c r="A2242" s="4" t="s">
        <v>5429</v>
      </c>
      <c r="B2242" s="4" t="s">
        <v>2418</v>
      </c>
      <c r="C2242" s="4" t="n">
        <v>1179</v>
      </c>
      <c r="D2242" s="4" t="n">
        <v>128</v>
      </c>
      <c r="E2242" s="13" t="n">
        <v>45330</v>
      </c>
      <c r="F2242" s="4" t="s">
        <v>3192</v>
      </c>
      <c r="G2242" s="4" t="str">
        <f aca="false">INDEX(PurchaseOrders!$B$2:$B$3001,MATCH(B2242,PurchaseOrders!$A$2:$A$3001,0))</f>
        <v>V051</v>
      </c>
    </row>
    <row r="2243" customFormat="false" ht="15" hidden="false" customHeight="true" outlineLevel="0" collapsed="false">
      <c r="A2243" s="4" t="s">
        <v>5430</v>
      </c>
      <c r="B2243" s="4" t="s">
        <v>2419</v>
      </c>
      <c r="C2243" s="4" t="n">
        <v>141</v>
      </c>
      <c r="D2243" s="4" t="n">
        <v>11</v>
      </c>
      <c r="E2243" s="13" t="n">
        <v>45361</v>
      </c>
      <c r="F2243" s="4" t="s">
        <v>3184</v>
      </c>
      <c r="G2243" s="4" t="str">
        <f aca="false">INDEX(PurchaseOrders!$B$2:$B$3001,MATCH(B2243,PurchaseOrders!$A$2:$A$3001,0))</f>
        <v>V030</v>
      </c>
    </row>
    <row r="2244" customFormat="false" ht="15" hidden="false" customHeight="true" outlineLevel="0" collapsed="false">
      <c r="A2244" s="4" t="s">
        <v>5431</v>
      </c>
      <c r="B2244" s="4" t="s">
        <v>2420</v>
      </c>
      <c r="C2244" s="4" t="n">
        <v>250</v>
      </c>
      <c r="D2244" s="4" t="n">
        <v>20</v>
      </c>
      <c r="E2244" s="13" t="n">
        <v>45535</v>
      </c>
      <c r="F2244" s="4" t="s">
        <v>3190</v>
      </c>
      <c r="G2244" s="4" t="str">
        <f aca="false">INDEX(PurchaseOrders!$B$2:$B$3001,MATCH(B2244,PurchaseOrders!$A$2:$A$3001,0))</f>
        <v>V012</v>
      </c>
    </row>
    <row r="2245" customFormat="false" ht="15" hidden="false" customHeight="true" outlineLevel="0" collapsed="false">
      <c r="A2245" s="4" t="s">
        <v>5432</v>
      </c>
      <c r="B2245" s="4" t="s">
        <v>2421</v>
      </c>
      <c r="C2245" s="4" t="n">
        <v>658</v>
      </c>
      <c r="D2245" s="4" t="n">
        <v>26</v>
      </c>
      <c r="E2245" s="13" t="n">
        <v>45306</v>
      </c>
      <c r="F2245" s="4" t="s">
        <v>3192</v>
      </c>
      <c r="G2245" s="4" t="str">
        <f aca="false">INDEX(PurchaseOrders!$B$2:$B$3001,MATCH(B2245,PurchaseOrders!$A$2:$A$3001,0))</f>
        <v>V059</v>
      </c>
    </row>
    <row r="2246" customFormat="false" ht="15" hidden="false" customHeight="true" outlineLevel="0" collapsed="false">
      <c r="A2246" s="4" t="s">
        <v>5433</v>
      </c>
      <c r="B2246" s="4" t="s">
        <v>2422</v>
      </c>
      <c r="C2246" s="4" t="n">
        <v>57</v>
      </c>
      <c r="D2246" s="4" t="n">
        <v>1</v>
      </c>
      <c r="E2246" s="13" t="n">
        <v>45435</v>
      </c>
      <c r="F2246" s="4" t="s">
        <v>3184</v>
      </c>
      <c r="G2246" s="4" t="str">
        <f aca="false">INDEX(PurchaseOrders!$B$2:$B$3001,MATCH(B2246,PurchaseOrders!$A$2:$A$3001,0))</f>
        <v>V006</v>
      </c>
    </row>
    <row r="2247" customFormat="false" ht="15" hidden="false" customHeight="true" outlineLevel="0" collapsed="false">
      <c r="A2247" s="4" t="s">
        <v>5434</v>
      </c>
      <c r="B2247" s="4" t="s">
        <v>2423</v>
      </c>
      <c r="C2247" s="4" t="n">
        <v>184</v>
      </c>
      <c r="D2247" s="4" t="n">
        <v>10</v>
      </c>
      <c r="E2247" s="13" t="n">
        <v>45195</v>
      </c>
      <c r="F2247" s="4" t="s">
        <v>3190</v>
      </c>
      <c r="G2247" s="4" t="str">
        <f aca="false">INDEX(PurchaseOrders!$B$2:$B$3001,MATCH(B2247,PurchaseOrders!$A$2:$A$3001,0))</f>
        <v>V004</v>
      </c>
    </row>
    <row r="2248" customFormat="false" ht="15" hidden="false" customHeight="true" outlineLevel="0" collapsed="false">
      <c r="A2248" s="4" t="s">
        <v>5435</v>
      </c>
      <c r="B2248" s="4" t="s">
        <v>2424</v>
      </c>
      <c r="C2248" s="4" t="n">
        <v>1115</v>
      </c>
      <c r="D2248" s="4" t="n">
        <v>113</v>
      </c>
      <c r="E2248" s="13" t="n">
        <v>44983</v>
      </c>
      <c r="F2248" s="4" t="s">
        <v>3184</v>
      </c>
      <c r="G2248" s="4" t="str">
        <f aca="false">INDEX(PurchaseOrders!$B$2:$B$3001,MATCH(B2248,PurchaseOrders!$A$2:$A$3001,0))</f>
        <v>V027</v>
      </c>
    </row>
    <row r="2249" customFormat="false" ht="15" hidden="false" customHeight="true" outlineLevel="0" collapsed="false">
      <c r="A2249" s="4" t="s">
        <v>5436</v>
      </c>
      <c r="B2249" s="4" t="s">
        <v>2425</v>
      </c>
      <c r="C2249" s="4" t="n">
        <v>725</v>
      </c>
      <c r="D2249" s="4" t="n">
        <v>103</v>
      </c>
      <c r="E2249" s="13" t="n">
        <v>44954</v>
      </c>
      <c r="F2249" s="4" t="s">
        <v>3186</v>
      </c>
      <c r="G2249" s="4" t="str">
        <f aca="false">INDEX(PurchaseOrders!$B$2:$B$3001,MATCH(B2249,PurchaseOrders!$A$2:$A$3001,0))</f>
        <v>V057</v>
      </c>
    </row>
    <row r="2250" customFormat="false" ht="15" hidden="false" customHeight="true" outlineLevel="0" collapsed="false">
      <c r="A2250" s="4" t="s">
        <v>5437</v>
      </c>
      <c r="B2250" s="4" t="s">
        <v>2426</v>
      </c>
      <c r="C2250" s="4" t="n">
        <v>1438</v>
      </c>
      <c r="D2250" s="4" t="n">
        <v>361</v>
      </c>
      <c r="E2250" s="13" t="n">
        <v>45328</v>
      </c>
      <c r="F2250" s="4" t="s">
        <v>3188</v>
      </c>
      <c r="G2250" s="4" t="str">
        <f aca="false">INDEX(PurchaseOrders!$B$2:$B$3001,MATCH(B2250,PurchaseOrders!$A$2:$A$3001,0))</f>
        <v>V039</v>
      </c>
    </row>
    <row r="2251" customFormat="false" ht="15" hidden="false" customHeight="true" outlineLevel="0" collapsed="false">
      <c r="A2251" s="4" t="s">
        <v>5438</v>
      </c>
      <c r="B2251" s="4" t="s">
        <v>2427</v>
      </c>
      <c r="C2251" s="4" t="n">
        <v>460</v>
      </c>
      <c r="D2251" s="4" t="n">
        <v>16</v>
      </c>
      <c r="E2251" s="13" t="n">
        <v>45282</v>
      </c>
      <c r="F2251" s="4" t="s">
        <v>3190</v>
      </c>
      <c r="G2251" s="4" t="str">
        <f aca="false">INDEX(PurchaseOrders!$B$2:$B$3001,MATCH(B2251,PurchaseOrders!$A$2:$A$3001,0))</f>
        <v>V029</v>
      </c>
    </row>
    <row r="2252" customFormat="false" ht="15" hidden="false" customHeight="true" outlineLevel="0" collapsed="false">
      <c r="A2252" s="4" t="s">
        <v>5439</v>
      </c>
      <c r="B2252" s="4" t="s">
        <v>2428</v>
      </c>
      <c r="C2252" s="4" t="n">
        <v>6</v>
      </c>
      <c r="D2252" s="4" t="n">
        <v>0</v>
      </c>
      <c r="E2252" s="13" t="n">
        <v>45155</v>
      </c>
      <c r="F2252" s="4"/>
      <c r="G2252" s="4" t="str">
        <f aca="false">INDEX(PurchaseOrders!$B$2:$B$3001,MATCH(B2252,PurchaseOrders!$A$2:$A$3001,0))</f>
        <v>V016</v>
      </c>
    </row>
    <row r="2253" customFormat="false" ht="15" hidden="false" customHeight="true" outlineLevel="0" collapsed="false">
      <c r="A2253" s="4" t="s">
        <v>5440</v>
      </c>
      <c r="B2253" s="4" t="s">
        <v>2429</v>
      </c>
      <c r="C2253" s="4" t="n">
        <v>3226</v>
      </c>
      <c r="D2253" s="4" t="n">
        <v>220</v>
      </c>
      <c r="E2253" s="13" t="n">
        <v>45615</v>
      </c>
      <c r="F2253" s="4" t="s">
        <v>3184</v>
      </c>
      <c r="G2253" s="4" t="str">
        <f aca="false">INDEX(PurchaseOrders!$B$2:$B$3001,MATCH(B2253,PurchaseOrders!$A$2:$A$3001,0))</f>
        <v>V058</v>
      </c>
    </row>
    <row r="2254" customFormat="false" ht="15" hidden="false" customHeight="true" outlineLevel="0" collapsed="false">
      <c r="A2254" s="4" t="s">
        <v>5441</v>
      </c>
      <c r="B2254" s="4" t="s">
        <v>2430</v>
      </c>
      <c r="C2254" s="4" t="n">
        <v>4044</v>
      </c>
      <c r="D2254" s="4" t="n">
        <v>229</v>
      </c>
      <c r="E2254" s="13" t="n">
        <v>45587</v>
      </c>
      <c r="F2254" s="4" t="s">
        <v>3188</v>
      </c>
      <c r="G2254" s="4" t="str">
        <f aca="false">INDEX(PurchaseOrders!$B$2:$B$3001,MATCH(B2254,PurchaseOrders!$A$2:$A$3001,0))</f>
        <v>V028</v>
      </c>
    </row>
    <row r="2255" customFormat="false" ht="15" hidden="false" customHeight="true" outlineLevel="0" collapsed="false">
      <c r="A2255" s="4" t="s">
        <v>5442</v>
      </c>
      <c r="B2255" s="4" t="s">
        <v>2431</v>
      </c>
      <c r="C2255" s="4" t="n">
        <v>331</v>
      </c>
      <c r="D2255" s="4" t="n">
        <v>3</v>
      </c>
      <c r="E2255" s="13" t="n">
        <v>45226</v>
      </c>
      <c r="F2255" s="4" t="s">
        <v>3184</v>
      </c>
      <c r="G2255" s="4" t="str">
        <f aca="false">INDEX(PurchaseOrders!$B$2:$B$3001,MATCH(B2255,PurchaseOrders!$A$2:$A$3001,0))</f>
        <v>V029</v>
      </c>
    </row>
    <row r="2256" customFormat="false" ht="15" hidden="false" customHeight="true" outlineLevel="0" collapsed="false">
      <c r="A2256" s="4" t="s">
        <v>5443</v>
      </c>
      <c r="B2256" s="4" t="s">
        <v>2432</v>
      </c>
      <c r="C2256" s="4" t="n">
        <v>796</v>
      </c>
      <c r="D2256" s="4" t="n">
        <v>33</v>
      </c>
      <c r="E2256" s="13" t="n">
        <v>45276</v>
      </c>
      <c r="F2256" s="4" t="s">
        <v>3184</v>
      </c>
      <c r="G2256" s="4" t="str">
        <f aca="false">INDEX(PurchaseOrders!$B$2:$B$3001,MATCH(B2256,PurchaseOrders!$A$2:$A$3001,0))</f>
        <v>V020</v>
      </c>
    </row>
    <row r="2257" customFormat="false" ht="15" hidden="false" customHeight="true" outlineLevel="0" collapsed="false">
      <c r="A2257" s="4" t="s">
        <v>5444</v>
      </c>
      <c r="B2257" s="4" t="s">
        <v>2433</v>
      </c>
      <c r="C2257" s="4" t="n">
        <v>306</v>
      </c>
      <c r="D2257" s="4" t="n">
        <v>0</v>
      </c>
      <c r="E2257" s="13" t="n">
        <v>45517</v>
      </c>
      <c r="F2257" s="4"/>
      <c r="G2257" s="4" t="str">
        <f aca="false">INDEX(PurchaseOrders!$B$2:$B$3001,MATCH(B2257,PurchaseOrders!$A$2:$A$3001,0))</f>
        <v>V060</v>
      </c>
    </row>
    <row r="2258" customFormat="false" ht="15" hidden="false" customHeight="true" outlineLevel="0" collapsed="false">
      <c r="A2258" s="4" t="s">
        <v>5445</v>
      </c>
      <c r="B2258" s="4" t="s">
        <v>2434</v>
      </c>
      <c r="C2258" s="4" t="n">
        <v>675</v>
      </c>
      <c r="D2258" s="4" t="n">
        <v>57</v>
      </c>
      <c r="E2258" s="13" t="n">
        <v>45051</v>
      </c>
      <c r="F2258" s="4" t="s">
        <v>3184</v>
      </c>
      <c r="G2258" s="4" t="str">
        <f aca="false">INDEX(PurchaseOrders!$B$2:$B$3001,MATCH(B2258,PurchaseOrders!$A$2:$A$3001,0))</f>
        <v>V056</v>
      </c>
    </row>
    <row r="2259" customFormat="false" ht="15" hidden="false" customHeight="true" outlineLevel="0" collapsed="false">
      <c r="A2259" s="4" t="s">
        <v>5446</v>
      </c>
      <c r="B2259" s="4" t="s">
        <v>2435</v>
      </c>
      <c r="C2259" s="4" t="n">
        <v>251</v>
      </c>
      <c r="D2259" s="4" t="n">
        <v>34</v>
      </c>
      <c r="E2259" s="13" t="n">
        <v>45008</v>
      </c>
      <c r="F2259" s="4" t="s">
        <v>3192</v>
      </c>
      <c r="G2259" s="4" t="str">
        <f aca="false">INDEX(PurchaseOrders!$B$2:$B$3001,MATCH(B2259,PurchaseOrders!$A$2:$A$3001,0))</f>
        <v>V044</v>
      </c>
    </row>
    <row r="2260" customFormat="false" ht="15" hidden="false" customHeight="true" outlineLevel="0" collapsed="false">
      <c r="A2260" s="4" t="s">
        <v>5447</v>
      </c>
      <c r="B2260" s="4" t="s">
        <v>2436</v>
      </c>
      <c r="C2260" s="4" t="n">
        <v>1109</v>
      </c>
      <c r="D2260" s="4" t="n">
        <v>58</v>
      </c>
      <c r="E2260" s="13" t="n">
        <v>45441</v>
      </c>
      <c r="F2260" s="4" t="s">
        <v>3186</v>
      </c>
      <c r="G2260" s="4" t="str">
        <f aca="false">INDEX(PurchaseOrders!$B$2:$B$3001,MATCH(B2260,PurchaseOrders!$A$2:$A$3001,0))</f>
        <v>V035</v>
      </c>
    </row>
    <row r="2261" customFormat="false" ht="15" hidden="false" customHeight="true" outlineLevel="0" collapsed="false">
      <c r="A2261" s="4" t="s">
        <v>5448</v>
      </c>
      <c r="B2261" s="4" t="s">
        <v>2437</v>
      </c>
      <c r="C2261" s="4" t="n">
        <v>240</v>
      </c>
      <c r="D2261" s="4" t="n">
        <v>23</v>
      </c>
      <c r="E2261" s="13" t="n">
        <v>45614</v>
      </c>
      <c r="F2261" s="4" t="s">
        <v>3192</v>
      </c>
      <c r="G2261" s="4" t="str">
        <f aca="false">INDEX(PurchaseOrders!$B$2:$B$3001,MATCH(B2261,PurchaseOrders!$A$2:$A$3001,0))</f>
        <v>V030</v>
      </c>
    </row>
    <row r="2262" customFormat="false" ht="15" hidden="false" customHeight="true" outlineLevel="0" collapsed="false">
      <c r="A2262" s="4" t="s">
        <v>5449</v>
      </c>
      <c r="B2262" s="4" t="s">
        <v>2438</v>
      </c>
      <c r="C2262" s="4" t="n">
        <v>1345</v>
      </c>
      <c r="D2262" s="4" t="n">
        <v>21</v>
      </c>
      <c r="E2262" s="13" t="n">
        <v>45561</v>
      </c>
      <c r="F2262" s="4" t="s">
        <v>3190</v>
      </c>
      <c r="G2262" s="4" t="str">
        <f aca="false">INDEX(PurchaseOrders!$B$2:$B$3001,MATCH(B2262,PurchaseOrders!$A$2:$A$3001,0))</f>
        <v>V020</v>
      </c>
    </row>
    <row r="2263" customFormat="false" ht="15" hidden="false" customHeight="true" outlineLevel="0" collapsed="false">
      <c r="A2263" s="4" t="s">
        <v>5450</v>
      </c>
      <c r="B2263" s="4" t="s">
        <v>2439</v>
      </c>
      <c r="C2263" s="4" t="n">
        <v>4253</v>
      </c>
      <c r="D2263" s="4" t="n">
        <v>0</v>
      </c>
      <c r="E2263" s="13" t="n">
        <v>45473</v>
      </c>
      <c r="F2263" s="4"/>
      <c r="G2263" s="4" t="str">
        <f aca="false">INDEX(PurchaseOrders!$B$2:$B$3001,MATCH(B2263,PurchaseOrders!$A$2:$A$3001,0))</f>
        <v>V015</v>
      </c>
    </row>
    <row r="2264" customFormat="false" ht="15" hidden="false" customHeight="true" outlineLevel="0" collapsed="false">
      <c r="A2264" s="4" t="s">
        <v>5451</v>
      </c>
      <c r="B2264" s="4" t="s">
        <v>2440</v>
      </c>
      <c r="C2264" s="4" t="n">
        <v>208</v>
      </c>
      <c r="D2264" s="4" t="n">
        <v>1</v>
      </c>
      <c r="E2264" s="13" t="n">
        <v>45029</v>
      </c>
      <c r="F2264" s="4" t="s">
        <v>3192</v>
      </c>
      <c r="G2264" s="4" t="str">
        <f aca="false">INDEX(PurchaseOrders!$B$2:$B$3001,MATCH(B2264,PurchaseOrders!$A$2:$A$3001,0))</f>
        <v>V046</v>
      </c>
    </row>
    <row r="2265" customFormat="false" ht="15" hidden="false" customHeight="true" outlineLevel="0" collapsed="false">
      <c r="A2265" s="4" t="s">
        <v>5452</v>
      </c>
      <c r="B2265" s="4" t="s">
        <v>2441</v>
      </c>
      <c r="C2265" s="4" t="n">
        <v>1822</v>
      </c>
      <c r="D2265" s="4" t="n">
        <v>183</v>
      </c>
      <c r="E2265" s="13" t="n">
        <v>45120</v>
      </c>
      <c r="F2265" s="4" t="s">
        <v>3186</v>
      </c>
      <c r="G2265" s="4" t="str">
        <f aca="false">INDEX(PurchaseOrders!$B$2:$B$3001,MATCH(B2265,PurchaseOrders!$A$2:$A$3001,0))</f>
        <v>V057</v>
      </c>
    </row>
    <row r="2266" customFormat="false" ht="15" hidden="false" customHeight="true" outlineLevel="0" collapsed="false">
      <c r="A2266" s="4" t="s">
        <v>5453</v>
      </c>
      <c r="B2266" s="4" t="s">
        <v>2442</v>
      </c>
      <c r="C2266" s="4" t="n">
        <v>121</v>
      </c>
      <c r="D2266" s="4" t="n">
        <v>4</v>
      </c>
      <c r="E2266" s="13" t="n">
        <v>45058</v>
      </c>
      <c r="F2266" s="4" t="s">
        <v>3184</v>
      </c>
      <c r="G2266" s="4" t="str">
        <f aca="false">INDEX(PurchaseOrders!$B$2:$B$3001,MATCH(B2266,PurchaseOrders!$A$2:$A$3001,0))</f>
        <v>V008</v>
      </c>
    </row>
    <row r="2267" customFormat="false" ht="15" hidden="false" customHeight="true" outlineLevel="0" collapsed="false">
      <c r="A2267" s="4" t="s">
        <v>5454</v>
      </c>
      <c r="B2267" s="4" t="s">
        <v>2443</v>
      </c>
      <c r="C2267" s="4" t="n">
        <v>4860</v>
      </c>
      <c r="D2267" s="4" t="n">
        <v>211</v>
      </c>
      <c r="E2267" s="13" t="n">
        <v>45062</v>
      </c>
      <c r="F2267" s="4" t="s">
        <v>3188</v>
      </c>
      <c r="G2267" s="4" t="str">
        <f aca="false">INDEX(PurchaseOrders!$B$2:$B$3001,MATCH(B2267,PurchaseOrders!$A$2:$A$3001,0))</f>
        <v>V017</v>
      </c>
    </row>
    <row r="2268" customFormat="false" ht="15" hidden="false" customHeight="true" outlineLevel="0" collapsed="false">
      <c r="A2268" s="4" t="s">
        <v>5455</v>
      </c>
      <c r="B2268" s="4" t="s">
        <v>2444</v>
      </c>
      <c r="C2268" s="4" t="n">
        <v>1080</v>
      </c>
      <c r="D2268" s="4" t="n">
        <v>37</v>
      </c>
      <c r="E2268" s="13" t="n">
        <v>45390</v>
      </c>
      <c r="F2268" s="4" t="s">
        <v>3192</v>
      </c>
      <c r="G2268" s="4" t="str">
        <f aca="false">INDEX(PurchaseOrders!$B$2:$B$3001,MATCH(B2268,PurchaseOrders!$A$2:$A$3001,0))</f>
        <v>V002</v>
      </c>
    </row>
    <row r="2269" customFormat="false" ht="15" hidden="false" customHeight="true" outlineLevel="0" collapsed="false">
      <c r="A2269" s="4" t="s">
        <v>5456</v>
      </c>
      <c r="B2269" s="4" t="s">
        <v>2445</v>
      </c>
      <c r="C2269" s="4" t="n">
        <v>813</v>
      </c>
      <c r="D2269" s="4" t="n">
        <v>54</v>
      </c>
      <c r="E2269" s="13" t="n">
        <v>45526</v>
      </c>
      <c r="F2269" s="4" t="s">
        <v>3186</v>
      </c>
      <c r="G2269" s="4" t="str">
        <f aca="false">INDEX(PurchaseOrders!$B$2:$B$3001,MATCH(B2269,PurchaseOrders!$A$2:$A$3001,0))</f>
        <v>V007</v>
      </c>
    </row>
    <row r="2270" customFormat="false" ht="15" hidden="false" customHeight="true" outlineLevel="0" collapsed="false">
      <c r="A2270" s="4" t="s">
        <v>5457</v>
      </c>
      <c r="B2270" s="4" t="s">
        <v>2446</v>
      </c>
      <c r="C2270" s="4" t="n">
        <v>66</v>
      </c>
      <c r="D2270" s="4" t="n">
        <v>5</v>
      </c>
      <c r="E2270" s="13" t="n">
        <v>45070</v>
      </c>
      <c r="F2270" s="4" t="s">
        <v>3192</v>
      </c>
      <c r="G2270" s="4" t="str">
        <f aca="false">INDEX(PurchaseOrders!$B$2:$B$3001,MATCH(B2270,PurchaseOrders!$A$2:$A$3001,0))</f>
        <v>V009</v>
      </c>
    </row>
    <row r="2271" customFormat="false" ht="15" hidden="false" customHeight="true" outlineLevel="0" collapsed="false">
      <c r="A2271" s="4" t="s">
        <v>5458</v>
      </c>
      <c r="B2271" s="4" t="s">
        <v>2447</v>
      </c>
      <c r="C2271" s="4" t="n">
        <v>675</v>
      </c>
      <c r="D2271" s="4" t="n">
        <v>0</v>
      </c>
      <c r="E2271" s="13" t="n">
        <v>45160</v>
      </c>
      <c r="F2271" s="4"/>
      <c r="G2271" s="4" t="str">
        <f aca="false">INDEX(PurchaseOrders!$B$2:$B$3001,MATCH(B2271,PurchaseOrders!$A$2:$A$3001,0))</f>
        <v>V010</v>
      </c>
    </row>
    <row r="2272" customFormat="false" ht="15" hidden="false" customHeight="true" outlineLevel="0" collapsed="false">
      <c r="A2272" s="4" t="s">
        <v>5459</v>
      </c>
      <c r="B2272" s="4" t="s">
        <v>2448</v>
      </c>
      <c r="C2272" s="4" t="n">
        <v>1042</v>
      </c>
      <c r="D2272" s="4" t="n">
        <v>109</v>
      </c>
      <c r="E2272" s="13" t="n">
        <v>45395</v>
      </c>
      <c r="F2272" s="4" t="s">
        <v>3190</v>
      </c>
      <c r="G2272" s="4" t="str">
        <f aca="false">INDEX(PurchaseOrders!$B$2:$B$3001,MATCH(B2272,PurchaseOrders!$A$2:$A$3001,0))</f>
        <v>V007</v>
      </c>
    </row>
    <row r="2273" customFormat="false" ht="15" hidden="false" customHeight="true" outlineLevel="0" collapsed="false">
      <c r="A2273" s="4" t="s">
        <v>5460</v>
      </c>
      <c r="B2273" s="4" t="s">
        <v>2449</v>
      </c>
      <c r="C2273" s="4" t="n">
        <v>1876</v>
      </c>
      <c r="D2273" s="4" t="n">
        <v>95</v>
      </c>
      <c r="E2273" s="13" t="n">
        <v>45431</v>
      </c>
      <c r="F2273" s="4" t="s">
        <v>3188</v>
      </c>
      <c r="G2273" s="4" t="str">
        <f aca="false">INDEX(PurchaseOrders!$B$2:$B$3001,MATCH(B2273,PurchaseOrders!$A$2:$A$3001,0))</f>
        <v>V010</v>
      </c>
    </row>
    <row r="2274" customFormat="false" ht="15" hidden="false" customHeight="true" outlineLevel="0" collapsed="false">
      <c r="A2274" s="4" t="s">
        <v>5461</v>
      </c>
      <c r="B2274" s="4" t="s">
        <v>2450</v>
      </c>
      <c r="C2274" s="4" t="n">
        <v>407</v>
      </c>
      <c r="D2274" s="4" t="n">
        <v>18</v>
      </c>
      <c r="E2274" s="13" t="n">
        <v>45427</v>
      </c>
      <c r="F2274" s="4" t="s">
        <v>3190</v>
      </c>
      <c r="G2274" s="4" t="str">
        <f aca="false">INDEX(PurchaseOrders!$B$2:$B$3001,MATCH(B2274,PurchaseOrders!$A$2:$A$3001,0))</f>
        <v>V008</v>
      </c>
    </row>
    <row r="2275" customFormat="false" ht="15" hidden="false" customHeight="true" outlineLevel="0" collapsed="false">
      <c r="A2275" s="4" t="s">
        <v>5462</v>
      </c>
      <c r="B2275" s="4" t="s">
        <v>2451</v>
      </c>
      <c r="C2275" s="4" t="n">
        <v>3785</v>
      </c>
      <c r="D2275" s="4" t="n">
        <v>515</v>
      </c>
      <c r="E2275" s="13" t="n">
        <v>45647</v>
      </c>
      <c r="F2275" s="4" t="s">
        <v>3202</v>
      </c>
      <c r="G2275" s="4" t="str">
        <f aca="false">INDEX(PurchaseOrders!$B$2:$B$3001,MATCH(B2275,PurchaseOrders!$A$2:$A$3001,0))</f>
        <v>V057</v>
      </c>
    </row>
    <row r="2276" customFormat="false" ht="15" hidden="false" customHeight="true" outlineLevel="0" collapsed="false">
      <c r="A2276" s="4" t="s">
        <v>5463</v>
      </c>
      <c r="B2276" s="4" t="s">
        <v>2452</v>
      </c>
      <c r="C2276" s="4" t="n">
        <v>4</v>
      </c>
      <c r="D2276" s="4" t="n">
        <v>0</v>
      </c>
      <c r="E2276" s="13" t="n">
        <v>45148</v>
      </c>
      <c r="F2276" s="4"/>
      <c r="G2276" s="4" t="str">
        <f aca="false">INDEX(PurchaseOrders!$B$2:$B$3001,MATCH(B2276,PurchaseOrders!$A$2:$A$3001,0))</f>
        <v>V042</v>
      </c>
    </row>
    <row r="2277" customFormat="false" ht="15" hidden="false" customHeight="true" outlineLevel="0" collapsed="false">
      <c r="A2277" s="4" t="s">
        <v>5464</v>
      </c>
      <c r="B2277" s="4" t="s">
        <v>2453</v>
      </c>
      <c r="C2277" s="4" t="n">
        <v>1056</v>
      </c>
      <c r="D2277" s="4" t="n">
        <v>69</v>
      </c>
      <c r="E2277" s="13" t="n">
        <v>45601</v>
      </c>
      <c r="F2277" s="4" t="s">
        <v>3190</v>
      </c>
      <c r="G2277" s="4" t="str">
        <f aca="false">INDEX(PurchaseOrders!$B$2:$B$3001,MATCH(B2277,PurchaseOrders!$A$2:$A$3001,0))</f>
        <v>V051</v>
      </c>
    </row>
    <row r="2278" customFormat="false" ht="15" hidden="false" customHeight="true" outlineLevel="0" collapsed="false">
      <c r="A2278" s="4" t="s">
        <v>5465</v>
      </c>
      <c r="B2278" s="4" t="s">
        <v>2454</v>
      </c>
      <c r="C2278" s="4" t="n">
        <v>74</v>
      </c>
      <c r="D2278" s="4" t="n">
        <v>6</v>
      </c>
      <c r="E2278" s="13" t="n">
        <v>45437</v>
      </c>
      <c r="F2278" s="4" t="s">
        <v>3188</v>
      </c>
      <c r="G2278" s="4" t="str">
        <f aca="false">INDEX(PurchaseOrders!$B$2:$B$3001,MATCH(B2278,PurchaseOrders!$A$2:$A$3001,0))</f>
        <v>V012</v>
      </c>
    </row>
    <row r="2279" customFormat="false" ht="15" hidden="false" customHeight="true" outlineLevel="0" collapsed="false">
      <c r="A2279" s="4" t="s">
        <v>5466</v>
      </c>
      <c r="B2279" s="4" t="s">
        <v>2455</v>
      </c>
      <c r="C2279" s="4" t="n">
        <v>328</v>
      </c>
      <c r="D2279" s="4" t="n">
        <v>11</v>
      </c>
      <c r="E2279" s="13" t="n">
        <v>45320</v>
      </c>
      <c r="F2279" s="4" t="s">
        <v>3202</v>
      </c>
      <c r="G2279" s="4" t="str">
        <f aca="false">INDEX(PurchaseOrders!$B$2:$B$3001,MATCH(B2279,PurchaseOrders!$A$2:$A$3001,0))</f>
        <v>V006</v>
      </c>
    </row>
    <row r="2280" customFormat="false" ht="15" hidden="false" customHeight="true" outlineLevel="0" collapsed="false">
      <c r="A2280" s="4" t="s">
        <v>5467</v>
      </c>
      <c r="B2280" s="4" t="s">
        <v>2456</v>
      </c>
      <c r="C2280" s="4" t="n">
        <v>11</v>
      </c>
      <c r="D2280" s="4" t="n">
        <v>1</v>
      </c>
      <c r="E2280" s="13" t="n">
        <v>45294</v>
      </c>
      <c r="F2280" s="4" t="s">
        <v>3190</v>
      </c>
      <c r="G2280" s="4" t="str">
        <f aca="false">INDEX(PurchaseOrders!$B$2:$B$3001,MATCH(B2280,PurchaseOrders!$A$2:$A$3001,0))</f>
        <v>V041</v>
      </c>
    </row>
    <row r="2281" customFormat="false" ht="15" hidden="false" customHeight="true" outlineLevel="0" collapsed="false">
      <c r="A2281" s="4" t="s">
        <v>5468</v>
      </c>
      <c r="B2281" s="4" t="s">
        <v>2457</v>
      </c>
      <c r="C2281" s="4" t="n">
        <v>1716</v>
      </c>
      <c r="D2281" s="4" t="n">
        <v>31</v>
      </c>
      <c r="E2281" s="13" t="n">
        <v>45533</v>
      </c>
      <c r="F2281" s="4" t="s">
        <v>3186</v>
      </c>
      <c r="G2281" s="4" t="str">
        <f aca="false">INDEX(PurchaseOrders!$B$2:$B$3001,MATCH(B2281,PurchaseOrders!$A$2:$A$3001,0))</f>
        <v>V002</v>
      </c>
    </row>
    <row r="2282" customFormat="false" ht="15" hidden="false" customHeight="true" outlineLevel="0" collapsed="false">
      <c r="A2282" s="4" t="s">
        <v>5469</v>
      </c>
      <c r="B2282" s="4" t="s">
        <v>2458</v>
      </c>
      <c r="C2282" s="4" t="n">
        <v>2907</v>
      </c>
      <c r="D2282" s="4" t="n">
        <v>306</v>
      </c>
      <c r="E2282" s="13" t="n">
        <v>45172</v>
      </c>
      <c r="F2282" s="4" t="s">
        <v>3190</v>
      </c>
      <c r="G2282" s="4" t="str">
        <f aca="false">INDEX(PurchaseOrders!$B$2:$B$3001,MATCH(B2282,PurchaseOrders!$A$2:$A$3001,0))</f>
        <v>V038</v>
      </c>
    </row>
    <row r="2283" customFormat="false" ht="15" hidden="false" customHeight="true" outlineLevel="0" collapsed="false">
      <c r="A2283" s="4" t="s">
        <v>5470</v>
      </c>
      <c r="B2283" s="4" t="s">
        <v>2459</v>
      </c>
      <c r="C2283" s="4" t="n">
        <v>431</v>
      </c>
      <c r="D2283" s="4" t="n">
        <v>0</v>
      </c>
      <c r="E2283" s="13" t="n">
        <v>45098</v>
      </c>
      <c r="F2283" s="4"/>
      <c r="G2283" s="4" t="str">
        <f aca="false">INDEX(PurchaseOrders!$B$2:$B$3001,MATCH(B2283,PurchaseOrders!$A$2:$A$3001,0))</f>
        <v>V008</v>
      </c>
    </row>
    <row r="2284" customFormat="false" ht="15" hidden="false" customHeight="true" outlineLevel="0" collapsed="false">
      <c r="A2284" s="4" t="s">
        <v>5471</v>
      </c>
      <c r="B2284" s="4" t="s">
        <v>2460</v>
      </c>
      <c r="C2284" s="4" t="n">
        <v>9</v>
      </c>
      <c r="D2284" s="4" t="n">
        <v>1</v>
      </c>
      <c r="E2284" s="13" t="n">
        <v>45048</v>
      </c>
      <c r="F2284" s="4" t="s">
        <v>3190</v>
      </c>
      <c r="G2284" s="4" t="str">
        <f aca="false">INDEX(PurchaseOrders!$B$2:$B$3001,MATCH(B2284,PurchaseOrders!$A$2:$A$3001,0))</f>
        <v>V041</v>
      </c>
    </row>
    <row r="2285" customFormat="false" ht="15" hidden="false" customHeight="true" outlineLevel="0" collapsed="false">
      <c r="A2285" s="4" t="s">
        <v>5472</v>
      </c>
      <c r="B2285" s="4" t="s">
        <v>2461</v>
      </c>
      <c r="C2285" s="4" t="n">
        <v>93</v>
      </c>
      <c r="D2285" s="4" t="n">
        <v>6</v>
      </c>
      <c r="E2285" s="13" t="n">
        <v>45487</v>
      </c>
      <c r="F2285" s="4" t="s">
        <v>3190</v>
      </c>
      <c r="G2285" s="4" t="str">
        <f aca="false">INDEX(PurchaseOrders!$B$2:$B$3001,MATCH(B2285,PurchaseOrders!$A$2:$A$3001,0))</f>
        <v>V037</v>
      </c>
    </row>
    <row r="2286" customFormat="false" ht="15" hidden="false" customHeight="true" outlineLevel="0" collapsed="false">
      <c r="A2286" s="4" t="s">
        <v>5473</v>
      </c>
      <c r="B2286" s="4" t="s">
        <v>2462</v>
      </c>
      <c r="C2286" s="4" t="n">
        <v>3</v>
      </c>
      <c r="D2286" s="4" t="n">
        <v>0</v>
      </c>
      <c r="E2286" s="13" t="n">
        <v>45583</v>
      </c>
      <c r="F2286" s="4"/>
      <c r="G2286" s="4" t="str">
        <f aca="false">INDEX(PurchaseOrders!$B$2:$B$3001,MATCH(B2286,PurchaseOrders!$A$2:$A$3001,0))</f>
        <v>V023</v>
      </c>
    </row>
    <row r="2287" customFormat="false" ht="15" hidden="false" customHeight="true" outlineLevel="0" collapsed="false">
      <c r="A2287" s="4" t="s">
        <v>5474</v>
      </c>
      <c r="B2287" s="4" t="s">
        <v>2463</v>
      </c>
      <c r="C2287" s="4" t="n">
        <v>1198</v>
      </c>
      <c r="D2287" s="4" t="n">
        <v>255</v>
      </c>
      <c r="E2287" s="13" t="n">
        <v>45253</v>
      </c>
      <c r="F2287" s="4" t="s">
        <v>3186</v>
      </c>
      <c r="G2287" s="4" t="str">
        <f aca="false">INDEX(PurchaseOrders!$B$2:$B$3001,MATCH(B2287,PurchaseOrders!$A$2:$A$3001,0))</f>
        <v>V039</v>
      </c>
    </row>
    <row r="2288" customFormat="false" ht="15" hidden="false" customHeight="true" outlineLevel="0" collapsed="false">
      <c r="A2288" s="4" t="s">
        <v>5475</v>
      </c>
      <c r="B2288" s="4" t="s">
        <v>2464</v>
      </c>
      <c r="C2288" s="4" t="n">
        <v>1004</v>
      </c>
      <c r="D2288" s="4" t="n">
        <v>208</v>
      </c>
      <c r="E2288" s="13" t="n">
        <v>45625</v>
      </c>
      <c r="F2288" s="4" t="s">
        <v>3190</v>
      </c>
      <c r="G2288" s="4" t="str">
        <f aca="false">INDEX(PurchaseOrders!$B$2:$B$3001,MATCH(B2288,PurchaseOrders!$A$2:$A$3001,0))</f>
        <v>V039</v>
      </c>
    </row>
    <row r="2289" customFormat="false" ht="15" hidden="false" customHeight="true" outlineLevel="0" collapsed="false">
      <c r="A2289" s="4" t="s">
        <v>5476</v>
      </c>
      <c r="B2289" s="4" t="s">
        <v>2465</v>
      </c>
      <c r="C2289" s="4" t="n">
        <v>972</v>
      </c>
      <c r="D2289" s="4" t="n">
        <v>97</v>
      </c>
      <c r="E2289" s="13" t="n">
        <v>45138</v>
      </c>
      <c r="F2289" s="4" t="s">
        <v>3192</v>
      </c>
      <c r="G2289" s="4" t="str">
        <f aca="false">INDEX(PurchaseOrders!$B$2:$B$3001,MATCH(B2289,PurchaseOrders!$A$2:$A$3001,0))</f>
        <v>V044</v>
      </c>
    </row>
    <row r="2290" customFormat="false" ht="15" hidden="false" customHeight="true" outlineLevel="0" collapsed="false">
      <c r="A2290" s="4" t="s">
        <v>5477</v>
      </c>
      <c r="B2290" s="4" t="s">
        <v>2466</v>
      </c>
      <c r="C2290" s="4" t="n">
        <v>530</v>
      </c>
      <c r="D2290" s="4" t="n">
        <v>10</v>
      </c>
      <c r="E2290" s="13" t="n">
        <v>45173</v>
      </c>
      <c r="F2290" s="4" t="s">
        <v>3192</v>
      </c>
      <c r="G2290" s="4" t="str">
        <f aca="false">INDEX(PurchaseOrders!$B$2:$B$3001,MATCH(B2290,PurchaseOrders!$A$2:$A$3001,0))</f>
        <v>V017</v>
      </c>
    </row>
    <row r="2291" customFormat="false" ht="15" hidden="false" customHeight="true" outlineLevel="0" collapsed="false">
      <c r="A2291" s="4" t="s">
        <v>5478</v>
      </c>
      <c r="B2291" s="4" t="s">
        <v>2467</v>
      </c>
      <c r="C2291" s="4" t="n">
        <v>974</v>
      </c>
      <c r="D2291" s="4" t="n">
        <v>42</v>
      </c>
      <c r="E2291" s="13" t="n">
        <v>44981</v>
      </c>
      <c r="F2291" s="4" t="s">
        <v>3188</v>
      </c>
      <c r="G2291" s="4" t="str">
        <f aca="false">INDEX(PurchaseOrders!$B$2:$B$3001,MATCH(B2291,PurchaseOrders!$A$2:$A$3001,0))</f>
        <v>V017</v>
      </c>
    </row>
    <row r="2292" customFormat="false" ht="15" hidden="false" customHeight="true" outlineLevel="0" collapsed="false">
      <c r="A2292" s="4" t="s">
        <v>5479</v>
      </c>
      <c r="B2292" s="4" t="s">
        <v>2468</v>
      </c>
      <c r="C2292" s="4" t="n">
        <v>1</v>
      </c>
      <c r="D2292" s="4" t="n">
        <v>0</v>
      </c>
      <c r="E2292" s="13" t="n">
        <v>45096</v>
      </c>
      <c r="F2292" s="4"/>
      <c r="G2292" s="4" t="str">
        <f aca="false">INDEX(PurchaseOrders!$B$2:$B$3001,MATCH(B2292,PurchaseOrders!$A$2:$A$3001,0))</f>
        <v>V054</v>
      </c>
    </row>
    <row r="2293" customFormat="false" ht="15" hidden="false" customHeight="true" outlineLevel="0" collapsed="false">
      <c r="A2293" s="4" t="s">
        <v>5480</v>
      </c>
      <c r="B2293" s="4" t="s">
        <v>2469</v>
      </c>
      <c r="C2293" s="4" t="n">
        <v>1754</v>
      </c>
      <c r="D2293" s="4" t="n">
        <v>1</v>
      </c>
      <c r="E2293" s="13" t="n">
        <v>45569</v>
      </c>
      <c r="F2293" s="4" t="s">
        <v>3188</v>
      </c>
      <c r="G2293" s="4" t="str">
        <f aca="false">INDEX(PurchaseOrders!$B$2:$B$3001,MATCH(B2293,PurchaseOrders!$A$2:$A$3001,0))</f>
        <v>V020</v>
      </c>
    </row>
    <row r="2294" customFormat="false" ht="15" hidden="false" customHeight="true" outlineLevel="0" collapsed="false">
      <c r="A2294" s="4" t="s">
        <v>5481</v>
      </c>
      <c r="B2294" s="4" t="s">
        <v>2470</v>
      </c>
      <c r="C2294" s="4" t="n">
        <v>2841</v>
      </c>
      <c r="D2294" s="4" t="n">
        <v>279</v>
      </c>
      <c r="E2294" s="13" t="n">
        <v>45670</v>
      </c>
      <c r="F2294" s="4" t="s">
        <v>3192</v>
      </c>
      <c r="G2294" s="4" t="str">
        <f aca="false">INDEX(PurchaseOrders!$B$2:$B$3001,MATCH(B2294,PurchaseOrders!$A$2:$A$3001,0))</f>
        <v>V014</v>
      </c>
    </row>
    <row r="2295" customFormat="false" ht="15" hidden="false" customHeight="true" outlineLevel="0" collapsed="false">
      <c r="A2295" s="4" t="s">
        <v>5482</v>
      </c>
      <c r="B2295" s="4" t="s">
        <v>2471</v>
      </c>
      <c r="C2295" s="4" t="n">
        <v>920</v>
      </c>
      <c r="D2295" s="4" t="n">
        <v>53</v>
      </c>
      <c r="E2295" s="13" t="n">
        <v>45568</v>
      </c>
      <c r="F2295" s="4" t="s">
        <v>3188</v>
      </c>
      <c r="G2295" s="4" t="str">
        <f aca="false">INDEX(PurchaseOrders!$B$2:$B$3001,MATCH(B2295,PurchaseOrders!$A$2:$A$3001,0))</f>
        <v>V015</v>
      </c>
    </row>
    <row r="2296" customFormat="false" ht="15" hidden="false" customHeight="true" outlineLevel="0" collapsed="false">
      <c r="A2296" s="4" t="s">
        <v>5483</v>
      </c>
      <c r="B2296" s="4" t="s">
        <v>2472</v>
      </c>
      <c r="C2296" s="4" t="n">
        <v>290</v>
      </c>
      <c r="D2296" s="4" t="n">
        <v>25</v>
      </c>
      <c r="E2296" s="13" t="n">
        <v>45016</v>
      </c>
      <c r="F2296" s="4" t="s">
        <v>3186</v>
      </c>
      <c r="G2296" s="4" t="str">
        <f aca="false">INDEX(PurchaseOrders!$B$2:$B$3001,MATCH(B2296,PurchaseOrders!$A$2:$A$3001,0))</f>
        <v>V009</v>
      </c>
    </row>
    <row r="2297" customFormat="false" ht="15" hidden="false" customHeight="true" outlineLevel="0" collapsed="false">
      <c r="A2297" s="4" t="s">
        <v>5484</v>
      </c>
      <c r="B2297" s="4" t="s">
        <v>2473</v>
      </c>
      <c r="C2297" s="4" t="n">
        <v>331</v>
      </c>
      <c r="D2297" s="4" t="n">
        <v>1</v>
      </c>
      <c r="E2297" s="13" t="n">
        <v>45317</v>
      </c>
      <c r="F2297" s="4" t="s">
        <v>3186</v>
      </c>
      <c r="G2297" s="4" t="str">
        <f aca="false">INDEX(PurchaseOrders!$B$2:$B$3001,MATCH(B2297,PurchaseOrders!$A$2:$A$3001,0))</f>
        <v>V060</v>
      </c>
    </row>
    <row r="2298" customFormat="false" ht="15" hidden="false" customHeight="true" outlineLevel="0" collapsed="false">
      <c r="A2298" s="4" t="s">
        <v>5485</v>
      </c>
      <c r="B2298" s="4" t="s">
        <v>2474</v>
      </c>
      <c r="C2298" s="4" t="n">
        <v>3988</v>
      </c>
      <c r="D2298" s="4" t="n">
        <v>564</v>
      </c>
      <c r="E2298" s="13" t="n">
        <v>45512</v>
      </c>
      <c r="F2298" s="4" t="s">
        <v>3190</v>
      </c>
      <c r="G2298" s="4" t="str">
        <f aca="false">INDEX(PurchaseOrders!$B$2:$B$3001,MATCH(B2298,PurchaseOrders!$A$2:$A$3001,0))</f>
        <v>V038</v>
      </c>
    </row>
    <row r="2299" customFormat="false" ht="15" hidden="false" customHeight="true" outlineLevel="0" collapsed="false">
      <c r="A2299" s="4" t="s">
        <v>5486</v>
      </c>
      <c r="B2299" s="4" t="s">
        <v>2475</v>
      </c>
      <c r="C2299" s="4" t="n">
        <v>373</v>
      </c>
      <c r="D2299" s="4" t="n">
        <v>27</v>
      </c>
      <c r="E2299" s="13" t="n">
        <v>45672</v>
      </c>
      <c r="F2299" s="4" t="s">
        <v>3186</v>
      </c>
      <c r="G2299" s="4" t="str">
        <f aca="false">INDEX(PurchaseOrders!$B$2:$B$3001,MATCH(B2299,PurchaseOrders!$A$2:$A$3001,0))</f>
        <v>V004</v>
      </c>
    </row>
    <row r="2300" customFormat="false" ht="15" hidden="false" customHeight="true" outlineLevel="0" collapsed="false">
      <c r="A2300" s="4" t="s">
        <v>5487</v>
      </c>
      <c r="B2300" s="4" t="s">
        <v>2476</v>
      </c>
      <c r="C2300" s="4" t="n">
        <v>743</v>
      </c>
      <c r="D2300" s="4" t="n">
        <v>104</v>
      </c>
      <c r="E2300" s="13" t="n">
        <v>45146</v>
      </c>
      <c r="F2300" s="4" t="s">
        <v>3192</v>
      </c>
      <c r="G2300" s="4" t="str">
        <f aca="false">INDEX(PurchaseOrders!$B$2:$B$3001,MATCH(B2300,PurchaseOrders!$A$2:$A$3001,0))</f>
        <v>V044</v>
      </c>
    </row>
    <row r="2301" customFormat="false" ht="15" hidden="false" customHeight="true" outlineLevel="0" collapsed="false">
      <c r="A2301" s="4" t="s">
        <v>5488</v>
      </c>
      <c r="B2301" s="4" t="s">
        <v>2477</v>
      </c>
      <c r="C2301" s="4" t="n">
        <v>1827</v>
      </c>
      <c r="D2301" s="4" t="n">
        <v>320</v>
      </c>
      <c r="E2301" s="13" t="n">
        <v>45478</v>
      </c>
      <c r="F2301" s="4" t="s">
        <v>3188</v>
      </c>
      <c r="G2301" s="4" t="str">
        <f aca="false">INDEX(PurchaseOrders!$B$2:$B$3001,MATCH(B2301,PurchaseOrders!$A$2:$A$3001,0))</f>
        <v>V025</v>
      </c>
    </row>
    <row r="2302" customFormat="false" ht="15" hidden="false" customHeight="true" outlineLevel="0" collapsed="false">
      <c r="A2302" s="4" t="s">
        <v>5489</v>
      </c>
      <c r="B2302" s="4" t="s">
        <v>2478</v>
      </c>
      <c r="C2302" s="4" t="n">
        <v>508</v>
      </c>
      <c r="D2302" s="4" t="n">
        <v>50</v>
      </c>
      <c r="E2302" s="13" t="n">
        <v>45407</v>
      </c>
      <c r="F2302" s="4" t="s">
        <v>3186</v>
      </c>
      <c r="G2302" s="4" t="str">
        <f aca="false">INDEX(PurchaseOrders!$B$2:$B$3001,MATCH(B2302,PurchaseOrders!$A$2:$A$3001,0))</f>
        <v>V005</v>
      </c>
    </row>
    <row r="2303" customFormat="false" ht="15" hidden="false" customHeight="true" outlineLevel="0" collapsed="false">
      <c r="A2303" s="4" t="s">
        <v>5490</v>
      </c>
      <c r="B2303" s="4" t="s">
        <v>2479</v>
      </c>
      <c r="C2303" s="4" t="n">
        <v>1345</v>
      </c>
      <c r="D2303" s="4" t="n">
        <v>32</v>
      </c>
      <c r="E2303" s="13" t="n">
        <v>45500</v>
      </c>
      <c r="F2303" s="4" t="s">
        <v>3190</v>
      </c>
      <c r="G2303" s="4" t="str">
        <f aca="false">INDEX(PurchaseOrders!$B$2:$B$3001,MATCH(B2303,PurchaseOrders!$A$2:$A$3001,0))</f>
        <v>V007</v>
      </c>
    </row>
    <row r="2304" customFormat="false" ht="15" hidden="false" customHeight="true" outlineLevel="0" collapsed="false">
      <c r="A2304" s="4" t="s">
        <v>5491</v>
      </c>
      <c r="B2304" s="4" t="s">
        <v>2480</v>
      </c>
      <c r="C2304" s="4" t="n">
        <v>8</v>
      </c>
      <c r="D2304" s="4" t="n">
        <v>0</v>
      </c>
      <c r="E2304" s="13" t="n">
        <v>45068</v>
      </c>
      <c r="F2304" s="4"/>
      <c r="G2304" s="4" t="str">
        <f aca="false">INDEX(PurchaseOrders!$B$2:$B$3001,MATCH(B2304,PurchaseOrders!$A$2:$A$3001,0))</f>
        <v>V016</v>
      </c>
    </row>
    <row r="2305" customFormat="false" ht="15" hidden="false" customHeight="true" outlineLevel="0" collapsed="false">
      <c r="A2305" s="4" t="s">
        <v>5492</v>
      </c>
      <c r="B2305" s="4" t="s">
        <v>2481</v>
      </c>
      <c r="C2305" s="4" t="n">
        <v>13</v>
      </c>
      <c r="D2305" s="4" t="n">
        <v>0</v>
      </c>
      <c r="E2305" s="13" t="n">
        <v>45372</v>
      </c>
      <c r="F2305" s="4"/>
      <c r="G2305" s="4" t="str">
        <f aca="false">INDEX(PurchaseOrders!$B$2:$B$3001,MATCH(B2305,PurchaseOrders!$A$2:$A$3001,0))</f>
        <v>V041</v>
      </c>
    </row>
    <row r="2306" customFormat="false" ht="15" hidden="false" customHeight="true" outlineLevel="0" collapsed="false">
      <c r="A2306" s="4" t="s">
        <v>5493</v>
      </c>
      <c r="B2306" s="4" t="s">
        <v>2482</v>
      </c>
      <c r="C2306" s="4" t="n">
        <v>1880</v>
      </c>
      <c r="D2306" s="4" t="n">
        <v>114</v>
      </c>
      <c r="E2306" s="13" t="n">
        <v>45225</v>
      </c>
      <c r="F2306" s="4" t="s">
        <v>3188</v>
      </c>
      <c r="G2306" s="4" t="str">
        <f aca="false">INDEX(PurchaseOrders!$B$2:$B$3001,MATCH(B2306,PurchaseOrders!$A$2:$A$3001,0))</f>
        <v>V051</v>
      </c>
    </row>
    <row r="2307" customFormat="false" ht="15" hidden="false" customHeight="true" outlineLevel="0" collapsed="false">
      <c r="A2307" s="4" t="s">
        <v>5494</v>
      </c>
      <c r="B2307" s="4" t="s">
        <v>2483</v>
      </c>
      <c r="C2307" s="4" t="n">
        <v>1627</v>
      </c>
      <c r="D2307" s="4" t="n">
        <v>70</v>
      </c>
      <c r="E2307" s="13" t="n">
        <v>45648</v>
      </c>
      <c r="F2307" s="4" t="s">
        <v>3184</v>
      </c>
      <c r="G2307" s="4" t="str">
        <f aca="false">INDEX(PurchaseOrders!$B$2:$B$3001,MATCH(B2307,PurchaseOrders!$A$2:$A$3001,0))</f>
        <v>V015</v>
      </c>
    </row>
    <row r="2308" customFormat="false" ht="15" hidden="false" customHeight="true" outlineLevel="0" collapsed="false">
      <c r="A2308" s="4" t="s">
        <v>5495</v>
      </c>
      <c r="B2308" s="4" t="s">
        <v>2484</v>
      </c>
      <c r="C2308" s="4" t="n">
        <v>488</v>
      </c>
      <c r="D2308" s="4" t="n">
        <v>41</v>
      </c>
      <c r="E2308" s="13" t="n">
        <v>45535</v>
      </c>
      <c r="F2308" s="4" t="s">
        <v>3190</v>
      </c>
      <c r="G2308" s="4" t="str">
        <f aca="false">INDEX(PurchaseOrders!$B$2:$B$3001,MATCH(B2308,PurchaseOrders!$A$2:$A$3001,0))</f>
        <v>V028</v>
      </c>
    </row>
    <row r="2309" customFormat="false" ht="15" hidden="false" customHeight="true" outlineLevel="0" collapsed="false">
      <c r="A2309" s="4" t="s">
        <v>5496</v>
      </c>
      <c r="B2309" s="4" t="s">
        <v>2485</v>
      </c>
      <c r="C2309" s="4" t="n">
        <v>2806</v>
      </c>
      <c r="D2309" s="4" t="n">
        <v>209</v>
      </c>
      <c r="E2309" s="13" t="n">
        <v>45544</v>
      </c>
      <c r="F2309" s="4" t="s">
        <v>3184</v>
      </c>
      <c r="G2309" s="4" t="str">
        <f aca="false">INDEX(PurchaseOrders!$B$2:$B$3001,MATCH(B2309,PurchaseOrders!$A$2:$A$3001,0))</f>
        <v>V028</v>
      </c>
    </row>
    <row r="2310" customFormat="false" ht="15" hidden="false" customHeight="true" outlineLevel="0" collapsed="false">
      <c r="A2310" s="4" t="s">
        <v>5497</v>
      </c>
      <c r="B2310" s="4" t="s">
        <v>2486</v>
      </c>
      <c r="C2310" s="4" t="n">
        <v>24</v>
      </c>
      <c r="D2310" s="4" t="n">
        <v>0</v>
      </c>
      <c r="E2310" s="13" t="n">
        <v>45079</v>
      </c>
      <c r="F2310" s="4"/>
      <c r="G2310" s="4" t="str">
        <f aca="false">INDEX(PurchaseOrders!$B$2:$B$3001,MATCH(B2310,PurchaseOrders!$A$2:$A$3001,0))</f>
        <v>V040</v>
      </c>
    </row>
    <row r="2311" customFormat="false" ht="15" hidden="false" customHeight="true" outlineLevel="0" collapsed="false">
      <c r="A2311" s="4" t="s">
        <v>5498</v>
      </c>
      <c r="B2311" s="4" t="s">
        <v>2487</v>
      </c>
      <c r="C2311" s="4" t="n">
        <v>3040</v>
      </c>
      <c r="D2311" s="4" t="n">
        <v>347</v>
      </c>
      <c r="E2311" s="13" t="n">
        <v>45357</v>
      </c>
      <c r="F2311" s="4" t="s">
        <v>3184</v>
      </c>
      <c r="G2311" s="4" t="str">
        <f aca="false">INDEX(PurchaseOrders!$B$2:$B$3001,MATCH(B2311,PurchaseOrders!$A$2:$A$3001,0))</f>
        <v>V038</v>
      </c>
    </row>
    <row r="2312" customFormat="false" ht="15" hidden="false" customHeight="true" outlineLevel="0" collapsed="false">
      <c r="A2312" s="4" t="s">
        <v>5499</v>
      </c>
      <c r="B2312" s="4" t="s">
        <v>2488</v>
      </c>
      <c r="C2312" s="4" t="n">
        <v>229</v>
      </c>
      <c r="D2312" s="4" t="n">
        <v>3</v>
      </c>
      <c r="E2312" s="13" t="n">
        <v>45576</v>
      </c>
      <c r="F2312" s="4" t="s">
        <v>3186</v>
      </c>
      <c r="G2312" s="4" t="str">
        <f aca="false">INDEX(PurchaseOrders!$B$2:$B$3001,MATCH(B2312,PurchaseOrders!$A$2:$A$3001,0))</f>
        <v>V052</v>
      </c>
    </row>
    <row r="2313" customFormat="false" ht="15" hidden="false" customHeight="true" outlineLevel="0" collapsed="false">
      <c r="A2313" s="4" t="s">
        <v>5500</v>
      </c>
      <c r="B2313" s="4" t="s">
        <v>2489</v>
      </c>
      <c r="C2313" s="4" t="n">
        <v>263</v>
      </c>
      <c r="D2313" s="4" t="n">
        <v>22</v>
      </c>
      <c r="E2313" s="13" t="n">
        <v>45511</v>
      </c>
      <c r="F2313" s="4" t="s">
        <v>3188</v>
      </c>
      <c r="G2313" s="4" t="str">
        <f aca="false">INDEX(PurchaseOrders!$B$2:$B$3001,MATCH(B2313,PurchaseOrders!$A$2:$A$3001,0))</f>
        <v>V009</v>
      </c>
    </row>
    <row r="2314" customFormat="false" ht="15" hidden="false" customHeight="true" outlineLevel="0" collapsed="false">
      <c r="A2314" s="4" t="s">
        <v>5501</v>
      </c>
      <c r="B2314" s="4" t="s">
        <v>2490</v>
      </c>
      <c r="C2314" s="4" t="n">
        <v>92</v>
      </c>
      <c r="D2314" s="4" t="n">
        <v>8</v>
      </c>
      <c r="E2314" s="13" t="n">
        <v>45140</v>
      </c>
      <c r="F2314" s="4" t="s">
        <v>3188</v>
      </c>
      <c r="G2314" s="4" t="str">
        <f aca="false">INDEX(PurchaseOrders!$B$2:$B$3001,MATCH(B2314,PurchaseOrders!$A$2:$A$3001,0))</f>
        <v>V049</v>
      </c>
    </row>
    <row r="2315" customFormat="false" ht="15" hidden="false" customHeight="true" outlineLevel="0" collapsed="false">
      <c r="A2315" s="4" t="s">
        <v>5502</v>
      </c>
      <c r="B2315" s="4" t="s">
        <v>2491</v>
      </c>
      <c r="C2315" s="4" t="n">
        <v>2498</v>
      </c>
      <c r="D2315" s="4" t="n">
        <v>0</v>
      </c>
      <c r="E2315" s="13" t="n">
        <v>45230</v>
      </c>
      <c r="F2315" s="4"/>
      <c r="G2315" s="4" t="str">
        <f aca="false">INDEX(PurchaseOrders!$B$2:$B$3001,MATCH(B2315,PurchaseOrders!$A$2:$A$3001,0))</f>
        <v>V002</v>
      </c>
    </row>
    <row r="2316" customFormat="false" ht="15" hidden="false" customHeight="true" outlineLevel="0" collapsed="false">
      <c r="A2316" s="4" t="s">
        <v>5503</v>
      </c>
      <c r="B2316" s="4" t="s">
        <v>2492</v>
      </c>
      <c r="C2316" s="4" t="n">
        <v>661</v>
      </c>
      <c r="D2316" s="4" t="n">
        <v>5</v>
      </c>
      <c r="E2316" s="13" t="n">
        <v>45567</v>
      </c>
      <c r="F2316" s="4" t="s">
        <v>3190</v>
      </c>
      <c r="G2316" s="4" t="str">
        <f aca="false">INDEX(PurchaseOrders!$B$2:$B$3001,MATCH(B2316,PurchaseOrders!$A$2:$A$3001,0))</f>
        <v>V010</v>
      </c>
    </row>
    <row r="2317" customFormat="false" ht="15" hidden="false" customHeight="true" outlineLevel="0" collapsed="false">
      <c r="A2317" s="4" t="s">
        <v>5504</v>
      </c>
      <c r="B2317" s="4" t="s">
        <v>2493</v>
      </c>
      <c r="C2317" s="4" t="n">
        <v>3687</v>
      </c>
      <c r="D2317" s="4" t="n">
        <v>161</v>
      </c>
      <c r="E2317" s="13" t="n">
        <v>45521</v>
      </c>
      <c r="F2317" s="4" t="s">
        <v>3186</v>
      </c>
      <c r="G2317" s="4" t="str">
        <f aca="false">INDEX(PurchaseOrders!$B$2:$B$3001,MATCH(B2317,PurchaseOrders!$A$2:$A$3001,0))</f>
        <v>V056</v>
      </c>
    </row>
    <row r="2318" customFormat="false" ht="15" hidden="false" customHeight="true" outlineLevel="0" collapsed="false">
      <c r="A2318" s="4" t="s">
        <v>5505</v>
      </c>
      <c r="B2318" s="4" t="s">
        <v>2494</v>
      </c>
      <c r="C2318" s="4" t="n">
        <v>1230</v>
      </c>
      <c r="D2318" s="4" t="n">
        <v>3</v>
      </c>
      <c r="E2318" s="13" t="n">
        <v>45229</v>
      </c>
      <c r="F2318" s="4" t="s">
        <v>3184</v>
      </c>
      <c r="G2318" s="4" t="str">
        <f aca="false">INDEX(PurchaseOrders!$B$2:$B$3001,MATCH(B2318,PurchaseOrders!$A$2:$A$3001,0))</f>
        <v>V059</v>
      </c>
    </row>
    <row r="2319" customFormat="false" ht="15" hidden="false" customHeight="true" outlineLevel="0" collapsed="false">
      <c r="A2319" s="4" t="s">
        <v>5506</v>
      </c>
      <c r="B2319" s="4" t="s">
        <v>2495</v>
      </c>
      <c r="C2319" s="4" t="n">
        <v>9</v>
      </c>
      <c r="D2319" s="4" t="n">
        <v>1</v>
      </c>
      <c r="E2319" s="13" t="n">
        <v>45258</v>
      </c>
      <c r="F2319" s="4" t="s">
        <v>3184</v>
      </c>
      <c r="G2319" s="4" t="str">
        <f aca="false">INDEX(PurchaseOrders!$B$2:$B$3001,MATCH(B2319,PurchaseOrders!$A$2:$A$3001,0))</f>
        <v>V041</v>
      </c>
    </row>
    <row r="2320" customFormat="false" ht="15" hidden="false" customHeight="true" outlineLevel="0" collapsed="false">
      <c r="A2320" s="4" t="s">
        <v>5507</v>
      </c>
      <c r="B2320" s="4" t="s">
        <v>2496</v>
      </c>
      <c r="C2320" s="4" t="n">
        <v>891</v>
      </c>
      <c r="D2320" s="4" t="n">
        <v>24</v>
      </c>
      <c r="E2320" s="13" t="n">
        <v>45353</v>
      </c>
      <c r="F2320" s="4" t="s">
        <v>3184</v>
      </c>
      <c r="G2320" s="4" t="str">
        <f aca="false">INDEX(PurchaseOrders!$B$2:$B$3001,MATCH(B2320,PurchaseOrders!$A$2:$A$3001,0))</f>
        <v>V028</v>
      </c>
    </row>
    <row r="2321" customFormat="false" ht="15" hidden="false" customHeight="true" outlineLevel="0" collapsed="false">
      <c r="A2321" s="4" t="s">
        <v>5508</v>
      </c>
      <c r="B2321" s="4" t="s">
        <v>2497</v>
      </c>
      <c r="C2321" s="4" t="n">
        <v>66</v>
      </c>
      <c r="D2321" s="4" t="n">
        <v>3</v>
      </c>
      <c r="E2321" s="13" t="n">
        <v>45334</v>
      </c>
      <c r="F2321" s="4" t="s">
        <v>3192</v>
      </c>
      <c r="G2321" s="4" t="str">
        <f aca="false">INDEX(PurchaseOrders!$B$2:$B$3001,MATCH(B2321,PurchaseOrders!$A$2:$A$3001,0))</f>
        <v>V047</v>
      </c>
    </row>
    <row r="2322" customFormat="false" ht="15" hidden="false" customHeight="true" outlineLevel="0" collapsed="false">
      <c r="A2322" s="4" t="s">
        <v>5509</v>
      </c>
      <c r="B2322" s="4" t="s">
        <v>2498</v>
      </c>
      <c r="C2322" s="4" t="n">
        <v>2676</v>
      </c>
      <c r="D2322" s="4" t="n">
        <v>152</v>
      </c>
      <c r="E2322" s="13" t="n">
        <v>45303</v>
      </c>
      <c r="F2322" s="4" t="s">
        <v>3190</v>
      </c>
      <c r="G2322" s="4" t="str">
        <f aca="false">INDEX(PurchaseOrders!$B$2:$B$3001,MATCH(B2322,PurchaseOrders!$A$2:$A$3001,0))</f>
        <v>V056</v>
      </c>
    </row>
    <row r="2323" customFormat="false" ht="15" hidden="false" customHeight="true" outlineLevel="0" collapsed="false">
      <c r="A2323" s="4" t="s">
        <v>5510</v>
      </c>
      <c r="B2323" s="4" t="s">
        <v>2499</v>
      </c>
      <c r="C2323" s="4" t="n">
        <v>3</v>
      </c>
      <c r="D2323" s="4" t="n">
        <v>0</v>
      </c>
      <c r="E2323" s="13" t="n">
        <v>45371</v>
      </c>
      <c r="F2323" s="4"/>
      <c r="G2323" s="4" t="str">
        <f aca="false">INDEX(PurchaseOrders!$B$2:$B$3001,MATCH(B2323,PurchaseOrders!$A$2:$A$3001,0))</f>
        <v>V041</v>
      </c>
    </row>
    <row r="2324" customFormat="false" ht="15" hidden="false" customHeight="true" outlineLevel="0" collapsed="false">
      <c r="A2324" s="4" t="s">
        <v>5511</v>
      </c>
      <c r="B2324" s="4" t="s">
        <v>2500</v>
      </c>
      <c r="C2324" s="4" t="n">
        <v>276</v>
      </c>
      <c r="D2324" s="4" t="n">
        <v>18</v>
      </c>
      <c r="E2324" s="13" t="n">
        <v>45629</v>
      </c>
      <c r="F2324" s="4" t="s">
        <v>3202</v>
      </c>
      <c r="G2324" s="4" t="str">
        <f aca="false">INDEX(PurchaseOrders!$B$2:$B$3001,MATCH(B2324,PurchaseOrders!$A$2:$A$3001,0))</f>
        <v>V030</v>
      </c>
    </row>
    <row r="2325" customFormat="false" ht="15" hidden="false" customHeight="true" outlineLevel="0" collapsed="false">
      <c r="A2325" s="4" t="s">
        <v>5512</v>
      </c>
      <c r="B2325" s="4" t="s">
        <v>2501</v>
      </c>
      <c r="C2325" s="4" t="n">
        <v>472</v>
      </c>
      <c r="D2325" s="4" t="n">
        <v>9</v>
      </c>
      <c r="E2325" s="13" t="n">
        <v>45233</v>
      </c>
      <c r="F2325" s="4" t="s">
        <v>3184</v>
      </c>
      <c r="G2325" s="4" t="str">
        <f aca="false">INDEX(PurchaseOrders!$B$2:$B$3001,MATCH(B2325,PurchaseOrders!$A$2:$A$3001,0))</f>
        <v>V024</v>
      </c>
    </row>
    <row r="2326" customFormat="false" ht="15" hidden="false" customHeight="true" outlineLevel="0" collapsed="false">
      <c r="A2326" s="4" t="s">
        <v>5513</v>
      </c>
      <c r="B2326" s="4" t="s">
        <v>2502</v>
      </c>
      <c r="C2326" s="4" t="n">
        <v>1542</v>
      </c>
      <c r="D2326" s="4" t="n">
        <v>10</v>
      </c>
      <c r="E2326" s="13" t="n">
        <v>45616</v>
      </c>
      <c r="F2326" s="4" t="s">
        <v>3202</v>
      </c>
      <c r="G2326" s="4" t="str">
        <f aca="false">INDEX(PurchaseOrders!$B$2:$B$3001,MATCH(B2326,PurchaseOrders!$A$2:$A$3001,0))</f>
        <v>V010</v>
      </c>
    </row>
    <row r="2327" customFormat="false" ht="15" hidden="false" customHeight="true" outlineLevel="0" collapsed="false">
      <c r="A2327" s="4" t="s">
        <v>5514</v>
      </c>
      <c r="B2327" s="4" t="s">
        <v>2503</v>
      </c>
      <c r="C2327" s="4" t="n">
        <v>5</v>
      </c>
      <c r="D2327" s="4" t="n">
        <v>0</v>
      </c>
      <c r="E2327" s="13" t="n">
        <v>45512</v>
      </c>
      <c r="F2327" s="4"/>
      <c r="G2327" s="4" t="str">
        <f aca="false">INDEX(PurchaseOrders!$B$2:$B$3001,MATCH(B2327,PurchaseOrders!$A$2:$A$3001,0))</f>
        <v>V041</v>
      </c>
    </row>
    <row r="2328" customFormat="false" ht="15" hidden="false" customHeight="true" outlineLevel="0" collapsed="false">
      <c r="A2328" s="4" t="s">
        <v>5515</v>
      </c>
      <c r="B2328" s="4" t="s">
        <v>2504</v>
      </c>
      <c r="C2328" s="4" t="n">
        <v>374</v>
      </c>
      <c r="D2328" s="4" t="n">
        <v>22</v>
      </c>
      <c r="E2328" s="13" t="n">
        <v>45044</v>
      </c>
      <c r="F2328" s="4" t="s">
        <v>3186</v>
      </c>
      <c r="G2328" s="4" t="str">
        <f aca="false">INDEX(PurchaseOrders!$B$2:$B$3001,MATCH(B2328,PurchaseOrders!$A$2:$A$3001,0))</f>
        <v>V045</v>
      </c>
    </row>
    <row r="2329" customFormat="false" ht="15" hidden="false" customHeight="true" outlineLevel="0" collapsed="false">
      <c r="A2329" s="4" t="s">
        <v>5516</v>
      </c>
      <c r="B2329" s="4" t="s">
        <v>2505</v>
      </c>
      <c r="C2329" s="4" t="n">
        <v>2</v>
      </c>
      <c r="D2329" s="4" t="n">
        <v>0</v>
      </c>
      <c r="E2329" s="13" t="n">
        <v>45154</v>
      </c>
      <c r="F2329" s="4"/>
      <c r="G2329" s="4" t="str">
        <f aca="false">INDEX(PurchaseOrders!$B$2:$B$3001,MATCH(B2329,PurchaseOrders!$A$2:$A$3001,0))</f>
        <v>V054</v>
      </c>
    </row>
    <row r="2330" customFormat="false" ht="15" hidden="false" customHeight="true" outlineLevel="0" collapsed="false">
      <c r="A2330" s="4" t="s">
        <v>5517</v>
      </c>
      <c r="B2330" s="4" t="s">
        <v>2506</v>
      </c>
      <c r="C2330" s="4" t="n">
        <v>513</v>
      </c>
      <c r="D2330" s="4" t="n">
        <v>133</v>
      </c>
      <c r="E2330" s="13" t="n">
        <v>45430</v>
      </c>
      <c r="F2330" s="4" t="s">
        <v>3184</v>
      </c>
      <c r="G2330" s="4" t="str">
        <f aca="false">INDEX(PurchaseOrders!$B$2:$B$3001,MATCH(B2330,PurchaseOrders!$A$2:$A$3001,0))</f>
        <v>V039</v>
      </c>
    </row>
    <row r="2331" customFormat="false" ht="15" hidden="false" customHeight="true" outlineLevel="0" collapsed="false">
      <c r="A2331" s="4" t="s">
        <v>5518</v>
      </c>
      <c r="B2331" s="4" t="s">
        <v>2507</v>
      </c>
      <c r="C2331" s="4" t="n">
        <v>1183</v>
      </c>
      <c r="D2331" s="4" t="n">
        <v>50</v>
      </c>
      <c r="E2331" s="13" t="n">
        <v>45477</v>
      </c>
      <c r="F2331" s="4" t="s">
        <v>3184</v>
      </c>
      <c r="G2331" s="4" t="str">
        <f aca="false">INDEX(PurchaseOrders!$B$2:$B$3001,MATCH(B2331,PurchaseOrders!$A$2:$A$3001,0))</f>
        <v>V011</v>
      </c>
    </row>
    <row r="2332" customFormat="false" ht="15" hidden="false" customHeight="true" outlineLevel="0" collapsed="false">
      <c r="A2332" s="4" t="s">
        <v>5519</v>
      </c>
      <c r="B2332" s="4" t="s">
        <v>2508</v>
      </c>
      <c r="C2332" s="4" t="n">
        <v>231</v>
      </c>
      <c r="D2332" s="4" t="n">
        <v>0</v>
      </c>
      <c r="E2332" s="13" t="n">
        <v>44978</v>
      </c>
      <c r="F2332" s="4"/>
      <c r="G2332" s="4" t="str">
        <f aca="false">INDEX(PurchaseOrders!$B$2:$B$3001,MATCH(B2332,PurchaseOrders!$A$2:$A$3001,0))</f>
        <v>V045</v>
      </c>
    </row>
    <row r="2333" customFormat="false" ht="15" hidden="false" customHeight="true" outlineLevel="0" collapsed="false">
      <c r="A2333" s="4" t="s">
        <v>5520</v>
      </c>
      <c r="B2333" s="4" t="s">
        <v>2509</v>
      </c>
      <c r="C2333" s="4" t="n">
        <v>2177</v>
      </c>
      <c r="D2333" s="4" t="n">
        <v>89</v>
      </c>
      <c r="E2333" s="13" t="n">
        <v>45132</v>
      </c>
      <c r="F2333" s="4" t="s">
        <v>3202</v>
      </c>
      <c r="G2333" s="4" t="str">
        <f aca="false">INDEX(PurchaseOrders!$B$2:$B$3001,MATCH(B2333,PurchaseOrders!$A$2:$A$3001,0))</f>
        <v>V056</v>
      </c>
    </row>
    <row r="2334" customFormat="false" ht="15" hidden="false" customHeight="true" outlineLevel="0" collapsed="false">
      <c r="A2334" s="4" t="s">
        <v>5521</v>
      </c>
      <c r="B2334" s="4" t="s">
        <v>2510</v>
      </c>
      <c r="C2334" s="4" t="n">
        <v>3519</v>
      </c>
      <c r="D2334" s="4" t="n">
        <v>331</v>
      </c>
      <c r="E2334" s="13" t="n">
        <v>45066</v>
      </c>
      <c r="F2334" s="4" t="s">
        <v>3186</v>
      </c>
      <c r="G2334" s="4" t="str">
        <f aca="false">INDEX(PurchaseOrders!$B$2:$B$3001,MATCH(B2334,PurchaseOrders!$A$2:$A$3001,0))</f>
        <v>V032</v>
      </c>
    </row>
    <row r="2335" customFormat="false" ht="15" hidden="false" customHeight="true" outlineLevel="0" collapsed="false">
      <c r="A2335" s="4" t="s">
        <v>5522</v>
      </c>
      <c r="B2335" s="4" t="s">
        <v>2511</v>
      </c>
      <c r="C2335" s="4" t="n">
        <v>311</v>
      </c>
      <c r="D2335" s="4" t="n">
        <v>10</v>
      </c>
      <c r="E2335" s="13" t="n">
        <v>45155</v>
      </c>
      <c r="F2335" s="4" t="s">
        <v>3188</v>
      </c>
      <c r="G2335" s="4" t="str">
        <f aca="false">INDEX(PurchaseOrders!$B$2:$B$3001,MATCH(B2335,PurchaseOrders!$A$2:$A$3001,0))</f>
        <v>V022</v>
      </c>
    </row>
    <row r="2336" customFormat="false" ht="15" hidden="false" customHeight="true" outlineLevel="0" collapsed="false">
      <c r="A2336" s="4" t="s">
        <v>5523</v>
      </c>
      <c r="B2336" s="4" t="s">
        <v>2512</v>
      </c>
      <c r="C2336" s="4" t="n">
        <v>4460</v>
      </c>
      <c r="D2336" s="4" t="n">
        <v>130</v>
      </c>
      <c r="E2336" s="13" t="n">
        <v>45151</v>
      </c>
      <c r="F2336" s="4" t="s">
        <v>3192</v>
      </c>
      <c r="G2336" s="4" t="str">
        <f aca="false">INDEX(PurchaseOrders!$B$2:$B$3001,MATCH(B2336,PurchaseOrders!$A$2:$A$3001,0))</f>
        <v>V015</v>
      </c>
    </row>
    <row r="2337" customFormat="false" ht="15" hidden="false" customHeight="true" outlineLevel="0" collapsed="false">
      <c r="A2337" s="4" t="s">
        <v>5524</v>
      </c>
      <c r="B2337" s="4" t="s">
        <v>2513</v>
      </c>
      <c r="C2337" s="4" t="n">
        <v>17</v>
      </c>
      <c r="D2337" s="4" t="n">
        <v>1</v>
      </c>
      <c r="E2337" s="13" t="n">
        <v>45493</v>
      </c>
      <c r="F2337" s="4" t="s">
        <v>3202</v>
      </c>
      <c r="G2337" s="4" t="str">
        <f aca="false">INDEX(PurchaseOrders!$B$2:$B$3001,MATCH(B2337,PurchaseOrders!$A$2:$A$3001,0))</f>
        <v>V041</v>
      </c>
    </row>
    <row r="2338" customFormat="false" ht="15" hidden="false" customHeight="true" outlineLevel="0" collapsed="false">
      <c r="A2338" s="4" t="s">
        <v>5525</v>
      </c>
      <c r="B2338" s="4" t="s">
        <v>2514</v>
      </c>
      <c r="C2338" s="4" t="n">
        <v>7</v>
      </c>
      <c r="D2338" s="4" t="n">
        <v>0</v>
      </c>
      <c r="E2338" s="13" t="n">
        <v>45242</v>
      </c>
      <c r="F2338" s="4"/>
      <c r="G2338" s="4" t="str">
        <f aca="false">INDEX(PurchaseOrders!$B$2:$B$3001,MATCH(B2338,PurchaseOrders!$A$2:$A$3001,0))</f>
        <v>V041</v>
      </c>
    </row>
    <row r="2339" customFormat="false" ht="15" hidden="false" customHeight="true" outlineLevel="0" collapsed="false">
      <c r="A2339" s="4" t="s">
        <v>5526</v>
      </c>
      <c r="B2339" s="4" t="s">
        <v>2515</v>
      </c>
      <c r="C2339" s="4" t="n">
        <v>200</v>
      </c>
      <c r="D2339" s="4" t="n">
        <v>8</v>
      </c>
      <c r="E2339" s="13" t="n">
        <v>44972</v>
      </c>
      <c r="F2339" s="4" t="s">
        <v>3202</v>
      </c>
      <c r="G2339" s="4" t="str">
        <f aca="false">INDEX(PurchaseOrders!$B$2:$B$3001,MATCH(B2339,PurchaseOrders!$A$2:$A$3001,0))</f>
        <v>V018</v>
      </c>
    </row>
    <row r="2340" customFormat="false" ht="15" hidden="false" customHeight="true" outlineLevel="0" collapsed="false">
      <c r="A2340" s="4" t="s">
        <v>5527</v>
      </c>
      <c r="B2340" s="4" t="s">
        <v>2516</v>
      </c>
      <c r="C2340" s="4" t="n">
        <v>176</v>
      </c>
      <c r="D2340" s="4" t="n">
        <v>21</v>
      </c>
      <c r="E2340" s="13" t="n">
        <v>45353</v>
      </c>
      <c r="F2340" s="4" t="s">
        <v>3188</v>
      </c>
      <c r="G2340" s="4" t="str">
        <f aca="false">INDEX(PurchaseOrders!$B$2:$B$3001,MATCH(B2340,PurchaseOrders!$A$2:$A$3001,0))</f>
        <v>V055</v>
      </c>
    </row>
    <row r="2341" customFormat="false" ht="15" hidden="false" customHeight="true" outlineLevel="0" collapsed="false">
      <c r="A2341" s="4" t="s">
        <v>5528</v>
      </c>
      <c r="B2341" s="4" t="s">
        <v>2517</v>
      </c>
      <c r="C2341" s="4" t="n">
        <v>1433</v>
      </c>
      <c r="D2341" s="4" t="n">
        <v>11</v>
      </c>
      <c r="E2341" s="13" t="n">
        <v>45638</v>
      </c>
      <c r="F2341" s="4" t="s">
        <v>3184</v>
      </c>
      <c r="G2341" s="4" t="str">
        <f aca="false">INDEX(PurchaseOrders!$B$2:$B$3001,MATCH(B2341,PurchaseOrders!$A$2:$A$3001,0))</f>
        <v>V058</v>
      </c>
    </row>
    <row r="2342" customFormat="false" ht="15" hidden="false" customHeight="true" outlineLevel="0" collapsed="false">
      <c r="A2342" s="4" t="s">
        <v>5529</v>
      </c>
      <c r="B2342" s="4" t="s">
        <v>2518</v>
      </c>
      <c r="C2342" s="4" t="n">
        <v>1265</v>
      </c>
      <c r="D2342" s="4" t="n">
        <v>50</v>
      </c>
      <c r="E2342" s="13" t="n">
        <v>45325</v>
      </c>
      <c r="F2342" s="4" t="s">
        <v>3184</v>
      </c>
      <c r="G2342" s="4" t="str">
        <f aca="false">INDEX(PurchaseOrders!$B$2:$B$3001,MATCH(B2342,PurchaseOrders!$A$2:$A$3001,0))</f>
        <v>V035</v>
      </c>
    </row>
    <row r="2343" customFormat="false" ht="15" hidden="false" customHeight="true" outlineLevel="0" collapsed="false">
      <c r="A2343" s="4" t="s">
        <v>5530</v>
      </c>
      <c r="B2343" s="4" t="s">
        <v>2519</v>
      </c>
      <c r="C2343" s="4" t="n">
        <v>587</v>
      </c>
      <c r="D2343" s="4" t="n">
        <v>25</v>
      </c>
      <c r="E2343" s="13" t="n">
        <v>45049</v>
      </c>
      <c r="F2343" s="4" t="s">
        <v>3186</v>
      </c>
      <c r="G2343" s="4" t="str">
        <f aca="false">INDEX(PurchaseOrders!$B$2:$B$3001,MATCH(B2343,PurchaseOrders!$A$2:$A$3001,0))</f>
        <v>V010</v>
      </c>
    </row>
    <row r="2344" customFormat="false" ht="15" hidden="false" customHeight="true" outlineLevel="0" collapsed="false">
      <c r="A2344" s="4" t="s">
        <v>5531</v>
      </c>
      <c r="B2344" s="4" t="s">
        <v>2520</v>
      </c>
      <c r="C2344" s="4" t="n">
        <v>6</v>
      </c>
      <c r="D2344" s="4" t="n">
        <v>0</v>
      </c>
      <c r="E2344" s="13" t="n">
        <v>44984</v>
      </c>
      <c r="F2344" s="4"/>
      <c r="G2344" s="4" t="str">
        <f aca="false">INDEX(PurchaseOrders!$B$2:$B$3001,MATCH(B2344,PurchaseOrders!$A$2:$A$3001,0))</f>
        <v>V023</v>
      </c>
    </row>
    <row r="2345" customFormat="false" ht="15" hidden="false" customHeight="true" outlineLevel="0" collapsed="false">
      <c r="A2345" s="4" t="s">
        <v>5532</v>
      </c>
      <c r="B2345" s="4" t="s">
        <v>2521</v>
      </c>
      <c r="C2345" s="4" t="n">
        <v>154</v>
      </c>
      <c r="D2345" s="4" t="n">
        <v>2</v>
      </c>
      <c r="E2345" s="13" t="n">
        <v>45593</v>
      </c>
      <c r="F2345" s="4" t="s">
        <v>3184</v>
      </c>
      <c r="G2345" s="4" t="str">
        <f aca="false">INDEX(PurchaseOrders!$B$2:$B$3001,MATCH(B2345,PurchaseOrders!$A$2:$A$3001,0))</f>
        <v>V006</v>
      </c>
    </row>
    <row r="2346" customFormat="false" ht="15" hidden="false" customHeight="true" outlineLevel="0" collapsed="false">
      <c r="A2346" s="4" t="s">
        <v>5533</v>
      </c>
      <c r="B2346" s="4" t="s">
        <v>2522</v>
      </c>
      <c r="C2346" s="4" t="n">
        <v>376</v>
      </c>
      <c r="D2346" s="4" t="n">
        <v>44</v>
      </c>
      <c r="E2346" s="13" t="n">
        <v>45260</v>
      </c>
      <c r="F2346" s="4" t="s">
        <v>3184</v>
      </c>
      <c r="G2346" s="4" t="str">
        <f aca="false">INDEX(PurchaseOrders!$B$2:$B$3001,MATCH(B2346,PurchaseOrders!$A$2:$A$3001,0))</f>
        <v>V043</v>
      </c>
    </row>
    <row r="2347" customFormat="false" ht="15" hidden="false" customHeight="true" outlineLevel="0" collapsed="false">
      <c r="A2347" s="4" t="s">
        <v>5534</v>
      </c>
      <c r="B2347" s="4" t="s">
        <v>2523</v>
      </c>
      <c r="C2347" s="4" t="n">
        <v>345</v>
      </c>
      <c r="D2347" s="4" t="n">
        <v>9</v>
      </c>
      <c r="E2347" s="13" t="n">
        <v>45000</v>
      </c>
      <c r="F2347" s="4" t="s">
        <v>3202</v>
      </c>
      <c r="G2347" s="4" t="str">
        <f aca="false">INDEX(PurchaseOrders!$B$2:$B$3001,MATCH(B2347,PurchaseOrders!$A$2:$A$3001,0))</f>
        <v>V029</v>
      </c>
    </row>
    <row r="2348" customFormat="false" ht="15" hidden="false" customHeight="true" outlineLevel="0" collapsed="false">
      <c r="A2348" s="4" t="s">
        <v>5535</v>
      </c>
      <c r="B2348" s="4" t="s">
        <v>2524</v>
      </c>
      <c r="C2348" s="4" t="n">
        <v>248</v>
      </c>
      <c r="D2348" s="4" t="n">
        <v>34</v>
      </c>
      <c r="E2348" s="13" t="n">
        <v>45178</v>
      </c>
      <c r="F2348" s="4" t="s">
        <v>3190</v>
      </c>
      <c r="G2348" s="4" t="str">
        <f aca="false">INDEX(PurchaseOrders!$B$2:$B$3001,MATCH(B2348,PurchaseOrders!$A$2:$A$3001,0))</f>
        <v>V025</v>
      </c>
    </row>
    <row r="2349" customFormat="false" ht="15" hidden="false" customHeight="true" outlineLevel="0" collapsed="false">
      <c r="A2349" s="4" t="s">
        <v>5536</v>
      </c>
      <c r="B2349" s="4" t="s">
        <v>2525</v>
      </c>
      <c r="C2349" s="4" t="n">
        <v>136</v>
      </c>
      <c r="D2349" s="4" t="n">
        <v>16</v>
      </c>
      <c r="E2349" s="13" t="n">
        <v>45476</v>
      </c>
      <c r="F2349" s="4" t="s">
        <v>3184</v>
      </c>
      <c r="G2349" s="4" t="str">
        <f aca="false">INDEX(PurchaseOrders!$B$2:$B$3001,MATCH(B2349,PurchaseOrders!$A$2:$A$3001,0))</f>
        <v>V049</v>
      </c>
    </row>
    <row r="2350" customFormat="false" ht="15" hidden="false" customHeight="true" outlineLevel="0" collapsed="false">
      <c r="A2350" s="4" t="s">
        <v>5537</v>
      </c>
      <c r="B2350" s="4" t="s">
        <v>2526</v>
      </c>
      <c r="C2350" s="4" t="n">
        <v>1097</v>
      </c>
      <c r="D2350" s="4" t="n">
        <v>25</v>
      </c>
      <c r="E2350" s="13" t="n">
        <v>45336</v>
      </c>
      <c r="F2350" s="4" t="s">
        <v>3192</v>
      </c>
      <c r="G2350" s="4" t="str">
        <f aca="false">INDEX(PurchaseOrders!$B$2:$B$3001,MATCH(B2350,PurchaseOrders!$A$2:$A$3001,0))</f>
        <v>V035</v>
      </c>
    </row>
    <row r="2351" customFormat="false" ht="15" hidden="false" customHeight="true" outlineLevel="0" collapsed="false">
      <c r="A2351" s="4" t="s">
        <v>5538</v>
      </c>
      <c r="B2351" s="4" t="s">
        <v>2527</v>
      </c>
      <c r="C2351" s="4" t="n">
        <v>3315</v>
      </c>
      <c r="D2351" s="4" t="n">
        <v>158</v>
      </c>
      <c r="E2351" s="13" t="n">
        <v>45615</v>
      </c>
      <c r="F2351" s="4" t="s">
        <v>3188</v>
      </c>
      <c r="G2351" s="4" t="str">
        <f aca="false">INDEX(PurchaseOrders!$B$2:$B$3001,MATCH(B2351,PurchaseOrders!$A$2:$A$3001,0))</f>
        <v>V017</v>
      </c>
    </row>
    <row r="2352" customFormat="false" ht="15" hidden="false" customHeight="true" outlineLevel="0" collapsed="false">
      <c r="A2352" s="4" t="s">
        <v>5539</v>
      </c>
      <c r="B2352" s="4" t="s">
        <v>2528</v>
      </c>
      <c r="C2352" s="4" t="n">
        <v>529</v>
      </c>
      <c r="D2352" s="4" t="n">
        <v>74</v>
      </c>
      <c r="E2352" s="13" t="n">
        <v>45100</v>
      </c>
      <c r="F2352" s="4" t="s">
        <v>3186</v>
      </c>
      <c r="G2352" s="4" t="str">
        <f aca="false">INDEX(PurchaseOrders!$B$2:$B$3001,MATCH(B2352,PurchaseOrders!$A$2:$A$3001,0))</f>
        <v>V038</v>
      </c>
    </row>
    <row r="2353" customFormat="false" ht="15" hidden="false" customHeight="true" outlineLevel="0" collapsed="false">
      <c r="A2353" s="4" t="s">
        <v>5540</v>
      </c>
      <c r="B2353" s="4" t="s">
        <v>2529</v>
      </c>
      <c r="C2353" s="4" t="n">
        <v>14</v>
      </c>
      <c r="D2353" s="4" t="n">
        <v>1</v>
      </c>
      <c r="E2353" s="13" t="n">
        <v>44945</v>
      </c>
      <c r="F2353" s="4" t="s">
        <v>3202</v>
      </c>
      <c r="G2353" s="4" t="str">
        <f aca="false">INDEX(PurchaseOrders!$B$2:$B$3001,MATCH(B2353,PurchaseOrders!$A$2:$A$3001,0))</f>
        <v>V041</v>
      </c>
    </row>
    <row r="2354" customFormat="false" ht="15" hidden="false" customHeight="true" outlineLevel="0" collapsed="false">
      <c r="A2354" s="4" t="s">
        <v>5541</v>
      </c>
      <c r="B2354" s="4" t="s">
        <v>2530</v>
      </c>
      <c r="C2354" s="4" t="n">
        <v>1</v>
      </c>
      <c r="D2354" s="4" t="n">
        <v>0</v>
      </c>
      <c r="E2354" s="13" t="n">
        <v>44936</v>
      </c>
      <c r="F2354" s="4"/>
      <c r="G2354" s="4" t="str">
        <f aca="false">INDEX(PurchaseOrders!$B$2:$B$3001,MATCH(B2354,PurchaseOrders!$A$2:$A$3001,0))</f>
        <v>V016</v>
      </c>
    </row>
    <row r="2355" customFormat="false" ht="15" hidden="false" customHeight="true" outlineLevel="0" collapsed="false">
      <c r="A2355" s="4" t="s">
        <v>5542</v>
      </c>
      <c r="B2355" s="4" t="s">
        <v>2531</v>
      </c>
      <c r="C2355" s="4" t="n">
        <v>411</v>
      </c>
      <c r="D2355" s="4" t="n">
        <v>8</v>
      </c>
      <c r="E2355" s="13" t="n">
        <v>44953</v>
      </c>
      <c r="F2355" s="4" t="s">
        <v>3202</v>
      </c>
      <c r="G2355" s="4" t="str">
        <f aca="false">INDEX(PurchaseOrders!$B$2:$B$3001,MATCH(B2355,PurchaseOrders!$A$2:$A$3001,0))</f>
        <v>V006</v>
      </c>
    </row>
    <row r="2356" customFormat="false" ht="15" hidden="false" customHeight="true" outlineLevel="0" collapsed="false">
      <c r="A2356" s="4" t="s">
        <v>5543</v>
      </c>
      <c r="B2356" s="4" t="s">
        <v>2532</v>
      </c>
      <c r="C2356" s="4" t="n">
        <v>143</v>
      </c>
      <c r="D2356" s="4" t="n">
        <v>8</v>
      </c>
      <c r="E2356" s="13" t="n">
        <v>45519</v>
      </c>
      <c r="F2356" s="4" t="s">
        <v>3184</v>
      </c>
      <c r="G2356" s="4" t="str">
        <f aca="false">INDEX(PurchaseOrders!$B$2:$B$3001,MATCH(B2356,PurchaseOrders!$A$2:$A$3001,0))</f>
        <v>V037</v>
      </c>
    </row>
    <row r="2357" customFormat="false" ht="15" hidden="false" customHeight="true" outlineLevel="0" collapsed="false">
      <c r="A2357" s="4" t="s">
        <v>5544</v>
      </c>
      <c r="B2357" s="4" t="s">
        <v>2533</v>
      </c>
      <c r="C2357" s="4" t="n">
        <v>3607</v>
      </c>
      <c r="D2357" s="4" t="n">
        <v>146</v>
      </c>
      <c r="E2357" s="13" t="n">
        <v>45084</v>
      </c>
      <c r="F2357" s="4" t="s">
        <v>3192</v>
      </c>
      <c r="G2357" s="4" t="str">
        <f aca="false">INDEX(PurchaseOrders!$B$2:$B$3001,MATCH(B2357,PurchaseOrders!$A$2:$A$3001,0))</f>
        <v>V017</v>
      </c>
    </row>
    <row r="2358" customFormat="false" ht="15" hidden="false" customHeight="true" outlineLevel="0" collapsed="false">
      <c r="A2358" s="4" t="s">
        <v>5545</v>
      </c>
      <c r="B2358" s="4" t="s">
        <v>2534</v>
      </c>
      <c r="C2358" s="4" t="n">
        <v>77</v>
      </c>
      <c r="D2358" s="4" t="n">
        <v>8</v>
      </c>
      <c r="E2358" s="13" t="n">
        <v>45264</v>
      </c>
      <c r="F2358" s="4" t="s">
        <v>3184</v>
      </c>
      <c r="G2358" s="4" t="str">
        <f aca="false">INDEX(PurchaseOrders!$B$2:$B$3001,MATCH(B2358,PurchaseOrders!$A$2:$A$3001,0))</f>
        <v>V009</v>
      </c>
    </row>
    <row r="2359" customFormat="false" ht="15" hidden="false" customHeight="true" outlineLevel="0" collapsed="false">
      <c r="A2359" s="4" t="s">
        <v>5546</v>
      </c>
      <c r="B2359" s="4" t="s">
        <v>2535</v>
      </c>
      <c r="C2359" s="4" t="n">
        <v>1915</v>
      </c>
      <c r="D2359" s="4" t="n">
        <v>127</v>
      </c>
      <c r="E2359" s="13" t="n">
        <v>45528</v>
      </c>
      <c r="F2359" s="4" t="s">
        <v>3202</v>
      </c>
      <c r="G2359" s="4" t="str">
        <f aca="false">INDEX(PurchaseOrders!$B$2:$B$3001,MATCH(B2359,PurchaseOrders!$A$2:$A$3001,0))</f>
        <v>V028</v>
      </c>
    </row>
    <row r="2360" customFormat="false" ht="15" hidden="false" customHeight="true" outlineLevel="0" collapsed="false">
      <c r="A2360" s="4" t="s">
        <v>5547</v>
      </c>
      <c r="B2360" s="4" t="s">
        <v>2536</v>
      </c>
      <c r="C2360" s="4" t="n">
        <v>1751</v>
      </c>
      <c r="D2360" s="4" t="n">
        <v>133</v>
      </c>
      <c r="E2360" s="13" t="n">
        <v>45308</v>
      </c>
      <c r="F2360" s="4" t="s">
        <v>3192</v>
      </c>
      <c r="G2360" s="4" t="str">
        <f aca="false">INDEX(PurchaseOrders!$B$2:$B$3001,MATCH(B2360,PurchaseOrders!$A$2:$A$3001,0))</f>
        <v>V028</v>
      </c>
    </row>
    <row r="2361" customFormat="false" ht="15" hidden="false" customHeight="true" outlineLevel="0" collapsed="false">
      <c r="A2361" s="4" t="s">
        <v>5548</v>
      </c>
      <c r="B2361" s="4" t="s">
        <v>2537</v>
      </c>
      <c r="C2361" s="4" t="n">
        <v>15</v>
      </c>
      <c r="D2361" s="4" t="n">
        <v>1</v>
      </c>
      <c r="E2361" s="13" t="n">
        <v>45399</v>
      </c>
      <c r="F2361" s="4" t="s">
        <v>3184</v>
      </c>
      <c r="G2361" s="4" t="str">
        <f aca="false">INDEX(PurchaseOrders!$B$2:$B$3001,MATCH(B2361,PurchaseOrders!$A$2:$A$3001,0))</f>
        <v>V016</v>
      </c>
    </row>
    <row r="2362" customFormat="false" ht="15" hidden="false" customHeight="true" outlineLevel="0" collapsed="false">
      <c r="A2362" s="4" t="s">
        <v>5549</v>
      </c>
      <c r="B2362" s="4" t="s">
        <v>2538</v>
      </c>
      <c r="C2362" s="4" t="n">
        <v>277</v>
      </c>
      <c r="D2362" s="4" t="n">
        <v>25</v>
      </c>
      <c r="E2362" s="13" t="n">
        <v>45241</v>
      </c>
      <c r="F2362" s="4" t="s">
        <v>3186</v>
      </c>
      <c r="G2362" s="4" t="str">
        <f aca="false">INDEX(PurchaseOrders!$B$2:$B$3001,MATCH(B2362,PurchaseOrders!$A$2:$A$3001,0))</f>
        <v>V030</v>
      </c>
    </row>
    <row r="2363" customFormat="false" ht="15" hidden="false" customHeight="true" outlineLevel="0" collapsed="false">
      <c r="A2363" s="4" t="s">
        <v>5550</v>
      </c>
      <c r="B2363" s="4" t="s">
        <v>2539</v>
      </c>
      <c r="C2363" s="4" t="n">
        <v>153</v>
      </c>
      <c r="D2363" s="4" t="n">
        <v>9</v>
      </c>
      <c r="E2363" s="13" t="n">
        <v>45502</v>
      </c>
      <c r="F2363" s="4" t="s">
        <v>3188</v>
      </c>
      <c r="G2363" s="4" t="str">
        <f aca="false">INDEX(PurchaseOrders!$B$2:$B$3001,MATCH(B2363,PurchaseOrders!$A$2:$A$3001,0))</f>
        <v>V033</v>
      </c>
    </row>
    <row r="2364" customFormat="false" ht="15" hidden="false" customHeight="true" outlineLevel="0" collapsed="false">
      <c r="A2364" s="4" t="s">
        <v>5551</v>
      </c>
      <c r="B2364" s="4" t="s">
        <v>2540</v>
      </c>
      <c r="C2364" s="4" t="n">
        <v>186</v>
      </c>
      <c r="D2364" s="4" t="n">
        <v>3</v>
      </c>
      <c r="E2364" s="13" t="n">
        <v>45148</v>
      </c>
      <c r="F2364" s="4" t="s">
        <v>3190</v>
      </c>
      <c r="G2364" s="4" t="str">
        <f aca="false">INDEX(PurchaseOrders!$B$2:$B$3001,MATCH(B2364,PurchaseOrders!$A$2:$A$3001,0))</f>
        <v>V040</v>
      </c>
    </row>
    <row r="2365" customFormat="false" ht="15" hidden="false" customHeight="true" outlineLevel="0" collapsed="false">
      <c r="A2365" s="4" t="s">
        <v>5552</v>
      </c>
      <c r="B2365" s="4" t="s">
        <v>2541</v>
      </c>
      <c r="C2365" s="4" t="n">
        <v>353</v>
      </c>
      <c r="D2365" s="4" t="n">
        <v>0</v>
      </c>
      <c r="E2365" s="13" t="n">
        <v>44955</v>
      </c>
      <c r="F2365" s="4"/>
      <c r="G2365" s="4" t="str">
        <f aca="false">INDEX(PurchaseOrders!$B$2:$B$3001,MATCH(B2365,PurchaseOrders!$A$2:$A$3001,0))</f>
        <v>V035</v>
      </c>
    </row>
    <row r="2366" customFormat="false" ht="15" hidden="false" customHeight="true" outlineLevel="0" collapsed="false">
      <c r="A2366" s="4" t="s">
        <v>5553</v>
      </c>
      <c r="B2366" s="4" t="s">
        <v>2542</v>
      </c>
      <c r="C2366" s="4" t="n">
        <v>229</v>
      </c>
      <c r="D2366" s="4" t="n">
        <v>11</v>
      </c>
      <c r="E2366" s="13" t="n">
        <v>45293</v>
      </c>
      <c r="F2366" s="4" t="s">
        <v>3202</v>
      </c>
      <c r="G2366" s="4" t="str">
        <f aca="false">INDEX(PurchaseOrders!$B$2:$B$3001,MATCH(B2366,PurchaseOrders!$A$2:$A$3001,0))</f>
        <v>V009</v>
      </c>
    </row>
    <row r="2367" customFormat="false" ht="15" hidden="false" customHeight="true" outlineLevel="0" collapsed="false">
      <c r="A2367" s="4" t="s">
        <v>5554</v>
      </c>
      <c r="B2367" s="4" t="s">
        <v>2543</v>
      </c>
      <c r="C2367" s="4" t="n">
        <v>1261</v>
      </c>
      <c r="D2367" s="4" t="n">
        <v>151</v>
      </c>
      <c r="E2367" s="13" t="n">
        <v>44941</v>
      </c>
      <c r="F2367" s="4" t="s">
        <v>3186</v>
      </c>
      <c r="G2367" s="4" t="str">
        <f aca="false">INDEX(PurchaseOrders!$B$2:$B$3001,MATCH(B2367,PurchaseOrders!$A$2:$A$3001,0))</f>
        <v>V044</v>
      </c>
    </row>
    <row r="2368" customFormat="false" ht="15" hidden="false" customHeight="true" outlineLevel="0" collapsed="false">
      <c r="A2368" s="4" t="s">
        <v>5555</v>
      </c>
      <c r="B2368" s="4" t="s">
        <v>2544</v>
      </c>
      <c r="C2368" s="4" t="n">
        <v>6</v>
      </c>
      <c r="D2368" s="4" t="n">
        <v>1</v>
      </c>
      <c r="E2368" s="13" t="n">
        <v>45235</v>
      </c>
      <c r="F2368" s="4" t="s">
        <v>3184</v>
      </c>
      <c r="G2368" s="4" t="str">
        <f aca="false">INDEX(PurchaseOrders!$B$2:$B$3001,MATCH(B2368,PurchaseOrders!$A$2:$A$3001,0))</f>
        <v>V042</v>
      </c>
    </row>
    <row r="2369" customFormat="false" ht="15" hidden="false" customHeight="true" outlineLevel="0" collapsed="false">
      <c r="A2369" s="4" t="s">
        <v>5556</v>
      </c>
      <c r="B2369" s="4" t="s">
        <v>2545</v>
      </c>
      <c r="C2369" s="4" t="n">
        <v>3</v>
      </c>
      <c r="D2369" s="4" t="n">
        <v>0</v>
      </c>
      <c r="E2369" s="13" t="n">
        <v>45543</v>
      </c>
      <c r="F2369" s="4"/>
      <c r="G2369" s="4" t="str">
        <f aca="false">INDEX(PurchaseOrders!$B$2:$B$3001,MATCH(B2369,PurchaseOrders!$A$2:$A$3001,0))</f>
        <v>V042</v>
      </c>
    </row>
    <row r="2370" customFormat="false" ht="15" hidden="false" customHeight="true" outlineLevel="0" collapsed="false">
      <c r="A2370" s="4" t="s">
        <v>5557</v>
      </c>
      <c r="B2370" s="4" t="s">
        <v>2546</v>
      </c>
      <c r="C2370" s="4" t="n">
        <v>3976</v>
      </c>
      <c r="D2370" s="4" t="n">
        <v>163</v>
      </c>
      <c r="E2370" s="13" t="n">
        <v>45579</v>
      </c>
      <c r="F2370" s="4" t="s">
        <v>3186</v>
      </c>
      <c r="G2370" s="4" t="str">
        <f aca="false">INDEX(PurchaseOrders!$B$2:$B$3001,MATCH(B2370,PurchaseOrders!$A$2:$A$3001,0))</f>
        <v>V003</v>
      </c>
    </row>
    <row r="2371" customFormat="false" ht="15" hidden="false" customHeight="true" outlineLevel="0" collapsed="false">
      <c r="A2371" s="4" t="s">
        <v>5558</v>
      </c>
      <c r="B2371" s="4" t="s">
        <v>2547</v>
      </c>
      <c r="C2371" s="4" t="n">
        <v>1472</v>
      </c>
      <c r="D2371" s="4" t="n">
        <v>282</v>
      </c>
      <c r="E2371" s="13" t="n">
        <v>45048</v>
      </c>
      <c r="F2371" s="4" t="s">
        <v>3190</v>
      </c>
      <c r="G2371" s="4" t="str">
        <f aca="false">INDEX(PurchaseOrders!$B$2:$B$3001,MATCH(B2371,PurchaseOrders!$A$2:$A$3001,0))</f>
        <v>V025</v>
      </c>
    </row>
    <row r="2372" customFormat="false" ht="15" hidden="false" customHeight="true" outlineLevel="0" collapsed="false">
      <c r="A2372" s="4" t="s">
        <v>5559</v>
      </c>
      <c r="B2372" s="4" t="s">
        <v>2548</v>
      </c>
      <c r="C2372" s="4" t="n">
        <v>1072</v>
      </c>
      <c r="D2372" s="4" t="n">
        <v>0</v>
      </c>
      <c r="E2372" s="13" t="n">
        <v>45500</v>
      </c>
      <c r="F2372" s="4"/>
      <c r="G2372" s="4" t="str">
        <f aca="false">INDEX(PurchaseOrders!$B$2:$B$3001,MATCH(B2372,PurchaseOrders!$A$2:$A$3001,0))</f>
        <v>V021</v>
      </c>
    </row>
    <row r="2373" customFormat="false" ht="15" hidden="false" customHeight="true" outlineLevel="0" collapsed="false">
      <c r="A2373" s="4" t="s">
        <v>5560</v>
      </c>
      <c r="B2373" s="4" t="s">
        <v>2549</v>
      </c>
      <c r="C2373" s="4" t="n">
        <v>191</v>
      </c>
      <c r="D2373" s="4" t="n">
        <v>0</v>
      </c>
      <c r="E2373" s="13" t="n">
        <v>45111</v>
      </c>
      <c r="F2373" s="4"/>
      <c r="G2373" s="4" t="str">
        <f aca="false">INDEX(PurchaseOrders!$B$2:$B$3001,MATCH(B2373,PurchaseOrders!$A$2:$A$3001,0))</f>
        <v>V008</v>
      </c>
    </row>
    <row r="2374" customFormat="false" ht="15" hidden="false" customHeight="true" outlineLevel="0" collapsed="false">
      <c r="A2374" s="4" t="s">
        <v>5561</v>
      </c>
      <c r="B2374" s="4" t="s">
        <v>2550</v>
      </c>
      <c r="C2374" s="4" t="n">
        <v>1648</v>
      </c>
      <c r="D2374" s="4" t="n">
        <v>0</v>
      </c>
      <c r="E2374" s="13" t="n">
        <v>45040</v>
      </c>
      <c r="F2374" s="4"/>
      <c r="G2374" s="4" t="str">
        <f aca="false">INDEX(PurchaseOrders!$B$2:$B$3001,MATCH(B2374,PurchaseOrders!$A$2:$A$3001,0))</f>
        <v>V021</v>
      </c>
    </row>
    <row r="2375" customFormat="false" ht="15" hidden="false" customHeight="true" outlineLevel="0" collapsed="false">
      <c r="A2375" s="4" t="s">
        <v>5562</v>
      </c>
      <c r="B2375" s="4" t="s">
        <v>2551</v>
      </c>
      <c r="C2375" s="4" t="n">
        <v>2860</v>
      </c>
      <c r="D2375" s="4" t="n">
        <v>259</v>
      </c>
      <c r="E2375" s="13" t="n">
        <v>45464</v>
      </c>
      <c r="F2375" s="4" t="s">
        <v>3186</v>
      </c>
      <c r="G2375" s="4" t="str">
        <f aca="false">INDEX(PurchaseOrders!$B$2:$B$3001,MATCH(B2375,PurchaseOrders!$A$2:$A$3001,0))</f>
        <v>V028</v>
      </c>
    </row>
    <row r="2376" customFormat="false" ht="15" hidden="false" customHeight="true" outlineLevel="0" collapsed="false">
      <c r="A2376" s="4" t="s">
        <v>5563</v>
      </c>
      <c r="B2376" s="4" t="s">
        <v>2552</v>
      </c>
      <c r="C2376" s="4" t="n">
        <v>305</v>
      </c>
      <c r="D2376" s="4" t="n">
        <v>1</v>
      </c>
      <c r="E2376" s="13" t="n">
        <v>45242</v>
      </c>
      <c r="F2376" s="4" t="s">
        <v>3188</v>
      </c>
      <c r="G2376" s="4" t="str">
        <f aca="false">INDEX(PurchaseOrders!$B$2:$B$3001,MATCH(B2376,PurchaseOrders!$A$2:$A$3001,0))</f>
        <v>V008</v>
      </c>
    </row>
    <row r="2377" customFormat="false" ht="15" hidden="false" customHeight="true" outlineLevel="0" collapsed="false">
      <c r="A2377" s="4" t="s">
        <v>5564</v>
      </c>
      <c r="B2377" s="4" t="s">
        <v>2553</v>
      </c>
      <c r="C2377" s="4" t="n">
        <v>53</v>
      </c>
      <c r="D2377" s="4" t="n">
        <v>0</v>
      </c>
      <c r="E2377" s="13" t="n">
        <v>45167</v>
      </c>
      <c r="F2377" s="4"/>
      <c r="G2377" s="4" t="str">
        <f aca="false">INDEX(PurchaseOrders!$B$2:$B$3001,MATCH(B2377,PurchaseOrders!$A$2:$A$3001,0))</f>
        <v>V040</v>
      </c>
    </row>
    <row r="2378" customFormat="false" ht="15" hidden="false" customHeight="true" outlineLevel="0" collapsed="false">
      <c r="A2378" s="4" t="s">
        <v>5565</v>
      </c>
      <c r="B2378" s="4" t="s">
        <v>2554</v>
      </c>
      <c r="C2378" s="4" t="n">
        <v>80</v>
      </c>
      <c r="D2378" s="4" t="n">
        <v>4</v>
      </c>
      <c r="E2378" s="13" t="n">
        <v>45600</v>
      </c>
      <c r="F2378" s="4" t="s">
        <v>3186</v>
      </c>
      <c r="G2378" s="4" t="str">
        <f aca="false">INDEX(PurchaseOrders!$B$2:$B$3001,MATCH(B2378,PurchaseOrders!$A$2:$A$3001,0))</f>
        <v>V018</v>
      </c>
    </row>
    <row r="2379" customFormat="false" ht="15" hidden="false" customHeight="true" outlineLevel="0" collapsed="false">
      <c r="A2379" s="4" t="s">
        <v>5566</v>
      </c>
      <c r="B2379" s="4" t="s">
        <v>2555</v>
      </c>
      <c r="C2379" s="4" t="n">
        <v>1704</v>
      </c>
      <c r="D2379" s="4" t="n">
        <v>81</v>
      </c>
      <c r="E2379" s="13" t="n">
        <v>45474</v>
      </c>
      <c r="F2379" s="4" t="s">
        <v>3192</v>
      </c>
      <c r="G2379" s="4" t="str">
        <f aca="false">INDEX(PurchaseOrders!$B$2:$B$3001,MATCH(B2379,PurchaseOrders!$A$2:$A$3001,0))</f>
        <v>V021</v>
      </c>
    </row>
    <row r="2380" customFormat="false" ht="15" hidden="false" customHeight="true" outlineLevel="0" collapsed="false">
      <c r="A2380" s="4" t="s">
        <v>5567</v>
      </c>
      <c r="B2380" s="4" t="s">
        <v>2556</v>
      </c>
      <c r="C2380" s="4" t="n">
        <v>336</v>
      </c>
      <c r="D2380" s="4" t="n">
        <v>0</v>
      </c>
      <c r="E2380" s="13" t="n">
        <v>44992</v>
      </c>
      <c r="F2380" s="4"/>
      <c r="G2380" s="4" t="str">
        <f aca="false">INDEX(PurchaseOrders!$B$2:$B$3001,MATCH(B2380,PurchaseOrders!$A$2:$A$3001,0))</f>
        <v>V047</v>
      </c>
    </row>
    <row r="2381" customFormat="false" ht="15" hidden="false" customHeight="true" outlineLevel="0" collapsed="false">
      <c r="A2381" s="4" t="s">
        <v>5568</v>
      </c>
      <c r="B2381" s="4" t="s">
        <v>2557</v>
      </c>
      <c r="C2381" s="4" t="n">
        <v>200</v>
      </c>
      <c r="D2381" s="4" t="n">
        <v>5</v>
      </c>
      <c r="E2381" s="13" t="n">
        <v>45479</v>
      </c>
      <c r="F2381" s="4" t="s">
        <v>3188</v>
      </c>
      <c r="G2381" s="4" t="str">
        <f aca="false">INDEX(PurchaseOrders!$B$2:$B$3001,MATCH(B2381,PurchaseOrders!$A$2:$A$3001,0))</f>
        <v>V060</v>
      </c>
    </row>
    <row r="2382" customFormat="false" ht="15" hidden="false" customHeight="true" outlineLevel="0" collapsed="false">
      <c r="A2382" s="4" t="s">
        <v>5569</v>
      </c>
      <c r="B2382" s="4" t="s">
        <v>2558</v>
      </c>
      <c r="C2382" s="4" t="n">
        <v>145</v>
      </c>
      <c r="D2382" s="4" t="n">
        <v>15</v>
      </c>
      <c r="E2382" s="13" t="n">
        <v>45568</v>
      </c>
      <c r="F2382" s="4" t="s">
        <v>3192</v>
      </c>
      <c r="G2382" s="4" t="str">
        <f aca="false">INDEX(PurchaseOrders!$B$2:$B$3001,MATCH(B2382,PurchaseOrders!$A$2:$A$3001,0))</f>
        <v>V013</v>
      </c>
    </row>
    <row r="2383" customFormat="false" ht="15" hidden="false" customHeight="true" outlineLevel="0" collapsed="false">
      <c r="A2383" s="4" t="s">
        <v>5570</v>
      </c>
      <c r="B2383" s="4" t="s">
        <v>2559</v>
      </c>
      <c r="C2383" s="4" t="n">
        <v>93</v>
      </c>
      <c r="D2383" s="4" t="n">
        <v>2</v>
      </c>
      <c r="E2383" s="13" t="n">
        <v>45559</v>
      </c>
      <c r="F2383" s="4" t="s">
        <v>3190</v>
      </c>
      <c r="G2383" s="4" t="str">
        <f aca="false">INDEX(PurchaseOrders!$B$2:$B$3001,MATCH(B2383,PurchaseOrders!$A$2:$A$3001,0))</f>
        <v>V046</v>
      </c>
    </row>
    <row r="2384" customFormat="false" ht="15" hidden="false" customHeight="true" outlineLevel="0" collapsed="false">
      <c r="A2384" s="4" t="s">
        <v>5571</v>
      </c>
      <c r="B2384" s="4" t="s">
        <v>2560</v>
      </c>
      <c r="C2384" s="4" t="n">
        <v>486</v>
      </c>
      <c r="D2384" s="4" t="n">
        <v>95</v>
      </c>
      <c r="E2384" s="13" t="n">
        <v>45271</v>
      </c>
      <c r="F2384" s="4" t="s">
        <v>3184</v>
      </c>
      <c r="G2384" s="4" t="str">
        <f aca="false">INDEX(PurchaseOrders!$B$2:$B$3001,MATCH(B2384,PurchaseOrders!$A$2:$A$3001,0))</f>
        <v>V039</v>
      </c>
    </row>
    <row r="2385" customFormat="false" ht="15" hidden="false" customHeight="true" outlineLevel="0" collapsed="false">
      <c r="A2385" s="4" t="s">
        <v>5572</v>
      </c>
      <c r="B2385" s="4" t="s">
        <v>2561</v>
      </c>
      <c r="C2385" s="4" t="n">
        <v>6</v>
      </c>
      <c r="D2385" s="4" t="n">
        <v>0</v>
      </c>
      <c r="E2385" s="13" t="n">
        <v>45667</v>
      </c>
      <c r="F2385" s="4"/>
      <c r="G2385" s="4" t="str">
        <f aca="false">INDEX(PurchaseOrders!$B$2:$B$3001,MATCH(B2385,PurchaseOrders!$A$2:$A$3001,0))</f>
        <v>V041</v>
      </c>
    </row>
    <row r="2386" customFormat="false" ht="15" hidden="false" customHeight="true" outlineLevel="0" collapsed="false">
      <c r="A2386" s="4" t="s">
        <v>5573</v>
      </c>
      <c r="B2386" s="4" t="s">
        <v>2562</v>
      </c>
      <c r="C2386" s="4" t="n">
        <v>10</v>
      </c>
      <c r="D2386" s="4" t="n">
        <v>0</v>
      </c>
      <c r="E2386" s="13" t="n">
        <v>45328</v>
      </c>
      <c r="F2386" s="4"/>
      <c r="G2386" s="4" t="str">
        <f aca="false">INDEX(PurchaseOrders!$B$2:$B$3001,MATCH(B2386,PurchaseOrders!$A$2:$A$3001,0))</f>
        <v>V023</v>
      </c>
    </row>
    <row r="2387" customFormat="false" ht="15" hidden="false" customHeight="true" outlineLevel="0" collapsed="false">
      <c r="A2387" s="4" t="s">
        <v>5574</v>
      </c>
      <c r="B2387" s="4" t="s">
        <v>2563</v>
      </c>
      <c r="C2387" s="4" t="n">
        <v>93</v>
      </c>
      <c r="D2387" s="4" t="n">
        <v>4</v>
      </c>
      <c r="E2387" s="13" t="n">
        <v>45652</v>
      </c>
      <c r="F2387" s="4" t="s">
        <v>3192</v>
      </c>
      <c r="G2387" s="4" t="str">
        <f aca="false">INDEX(PurchaseOrders!$B$2:$B$3001,MATCH(B2387,PurchaseOrders!$A$2:$A$3001,0))</f>
        <v>V031</v>
      </c>
    </row>
    <row r="2388" customFormat="false" ht="15" hidden="false" customHeight="true" outlineLevel="0" collapsed="false">
      <c r="A2388" s="4" t="s">
        <v>5575</v>
      </c>
      <c r="B2388" s="4" t="s">
        <v>2564</v>
      </c>
      <c r="C2388" s="4" t="n">
        <v>157</v>
      </c>
      <c r="D2388" s="4" t="n">
        <v>10</v>
      </c>
      <c r="E2388" s="13" t="n">
        <v>45162</v>
      </c>
      <c r="F2388" s="4" t="s">
        <v>3192</v>
      </c>
      <c r="G2388" s="4" t="str">
        <f aca="false">INDEX(PurchaseOrders!$B$2:$B$3001,MATCH(B2388,PurchaseOrders!$A$2:$A$3001,0))</f>
        <v>V009</v>
      </c>
    </row>
    <row r="2389" customFormat="false" ht="15" hidden="false" customHeight="true" outlineLevel="0" collapsed="false">
      <c r="A2389" s="4" t="s">
        <v>5576</v>
      </c>
      <c r="B2389" s="4" t="s">
        <v>2565</v>
      </c>
      <c r="C2389" s="4" t="n">
        <v>4124</v>
      </c>
      <c r="D2389" s="4" t="n">
        <v>69</v>
      </c>
      <c r="E2389" s="13" t="n">
        <v>45052</v>
      </c>
      <c r="F2389" s="4" t="s">
        <v>3192</v>
      </c>
      <c r="G2389" s="4" t="str">
        <f aca="false">INDEX(PurchaseOrders!$B$2:$B$3001,MATCH(B2389,PurchaseOrders!$A$2:$A$3001,0))</f>
        <v>V014</v>
      </c>
    </row>
    <row r="2390" customFormat="false" ht="15" hidden="false" customHeight="true" outlineLevel="0" collapsed="false">
      <c r="A2390" s="4" t="s">
        <v>5577</v>
      </c>
      <c r="B2390" s="4" t="s">
        <v>2566</v>
      </c>
      <c r="C2390" s="4" t="n">
        <v>364</v>
      </c>
      <c r="D2390" s="4" t="n">
        <v>18</v>
      </c>
      <c r="E2390" s="13" t="n">
        <v>45300</v>
      </c>
      <c r="F2390" s="4" t="s">
        <v>3192</v>
      </c>
      <c r="G2390" s="4" t="str">
        <f aca="false">INDEX(PurchaseOrders!$B$2:$B$3001,MATCH(B2390,PurchaseOrders!$A$2:$A$3001,0))</f>
        <v>V004</v>
      </c>
    </row>
    <row r="2391" customFormat="false" ht="15" hidden="false" customHeight="true" outlineLevel="0" collapsed="false">
      <c r="A2391" s="4" t="s">
        <v>5578</v>
      </c>
      <c r="B2391" s="4" t="s">
        <v>2567</v>
      </c>
      <c r="C2391" s="4" t="n">
        <v>327</v>
      </c>
      <c r="D2391" s="4" t="n">
        <v>51</v>
      </c>
      <c r="E2391" s="13" t="n">
        <v>45646</v>
      </c>
      <c r="F2391" s="4" t="s">
        <v>3188</v>
      </c>
      <c r="G2391" s="4" t="str">
        <f aca="false">INDEX(PurchaseOrders!$B$2:$B$3001,MATCH(B2391,PurchaseOrders!$A$2:$A$3001,0))</f>
        <v>V025</v>
      </c>
    </row>
    <row r="2392" customFormat="false" ht="15" hidden="false" customHeight="true" outlineLevel="0" collapsed="false">
      <c r="A2392" s="4" t="s">
        <v>5579</v>
      </c>
      <c r="B2392" s="4" t="s">
        <v>2568</v>
      </c>
      <c r="C2392" s="4" t="n">
        <v>517</v>
      </c>
      <c r="D2392" s="4" t="n">
        <v>85</v>
      </c>
      <c r="E2392" s="13" t="n">
        <v>45643</v>
      </c>
      <c r="F2392" s="4" t="s">
        <v>3186</v>
      </c>
      <c r="G2392" s="4" t="str">
        <f aca="false">INDEX(PurchaseOrders!$B$2:$B$3001,MATCH(B2392,PurchaseOrders!$A$2:$A$3001,0))</f>
        <v>V038</v>
      </c>
    </row>
    <row r="2393" customFormat="false" ht="15" hidden="false" customHeight="true" outlineLevel="0" collapsed="false">
      <c r="A2393" s="4" t="s">
        <v>5580</v>
      </c>
      <c r="B2393" s="4" t="s">
        <v>2569</v>
      </c>
      <c r="C2393" s="4" t="n">
        <v>246</v>
      </c>
      <c r="D2393" s="4" t="n">
        <v>15</v>
      </c>
      <c r="E2393" s="13" t="n">
        <v>45653</v>
      </c>
      <c r="F2393" s="4" t="s">
        <v>3202</v>
      </c>
      <c r="G2393" s="4" t="str">
        <f aca="false">INDEX(PurchaseOrders!$B$2:$B$3001,MATCH(B2393,PurchaseOrders!$A$2:$A$3001,0))</f>
        <v>V033</v>
      </c>
    </row>
    <row r="2394" customFormat="false" ht="15" hidden="false" customHeight="true" outlineLevel="0" collapsed="false">
      <c r="A2394" s="4" t="s">
        <v>5581</v>
      </c>
      <c r="B2394" s="4" t="s">
        <v>2570</v>
      </c>
      <c r="C2394" s="4" t="n">
        <v>211</v>
      </c>
      <c r="D2394" s="4" t="n">
        <v>12</v>
      </c>
      <c r="E2394" s="13" t="n">
        <v>44988</v>
      </c>
      <c r="F2394" s="4" t="s">
        <v>3184</v>
      </c>
      <c r="G2394" s="4" t="str">
        <f aca="false">INDEX(PurchaseOrders!$B$2:$B$3001,MATCH(B2394,PurchaseOrders!$A$2:$A$3001,0))</f>
        <v>V033</v>
      </c>
    </row>
    <row r="2395" customFormat="false" ht="15" hidden="false" customHeight="true" outlineLevel="0" collapsed="false">
      <c r="A2395" s="4" t="s">
        <v>5582</v>
      </c>
      <c r="B2395" s="4" t="s">
        <v>2571</v>
      </c>
      <c r="C2395" s="4" t="n">
        <v>2787</v>
      </c>
      <c r="D2395" s="4" t="n">
        <v>340</v>
      </c>
      <c r="E2395" s="13" t="n">
        <v>45494</v>
      </c>
      <c r="F2395" s="4" t="s">
        <v>3192</v>
      </c>
      <c r="G2395" s="4" t="str">
        <f aca="false">INDEX(PurchaseOrders!$B$2:$B$3001,MATCH(B2395,PurchaseOrders!$A$2:$A$3001,0))</f>
        <v>V057</v>
      </c>
    </row>
    <row r="2396" customFormat="false" ht="15" hidden="false" customHeight="true" outlineLevel="0" collapsed="false">
      <c r="A2396" s="4" t="s">
        <v>5583</v>
      </c>
      <c r="B2396" s="4" t="s">
        <v>2572</v>
      </c>
      <c r="C2396" s="4" t="n">
        <v>2748</v>
      </c>
      <c r="D2396" s="4" t="n">
        <v>237</v>
      </c>
      <c r="E2396" s="13" t="n">
        <v>45142</v>
      </c>
      <c r="F2396" s="4" t="s">
        <v>3186</v>
      </c>
      <c r="G2396" s="4" t="str">
        <f aca="false">INDEX(PurchaseOrders!$B$2:$B$3001,MATCH(B2396,PurchaseOrders!$A$2:$A$3001,0))</f>
        <v>V028</v>
      </c>
    </row>
    <row r="2397" customFormat="false" ht="15" hidden="false" customHeight="true" outlineLevel="0" collapsed="false">
      <c r="A2397" s="4" t="s">
        <v>5584</v>
      </c>
      <c r="B2397" s="4" t="s">
        <v>2573</v>
      </c>
      <c r="C2397" s="4" t="n">
        <v>3822</v>
      </c>
      <c r="D2397" s="4" t="n">
        <v>455</v>
      </c>
      <c r="E2397" s="13" t="n">
        <v>45454</v>
      </c>
      <c r="F2397" s="4" t="s">
        <v>3188</v>
      </c>
      <c r="G2397" s="4" t="str">
        <f aca="false">INDEX(PurchaseOrders!$B$2:$B$3001,MATCH(B2397,PurchaseOrders!$A$2:$A$3001,0))</f>
        <v>V057</v>
      </c>
    </row>
    <row r="2398" customFormat="false" ht="15" hidden="false" customHeight="true" outlineLevel="0" collapsed="false">
      <c r="A2398" s="4" t="s">
        <v>5585</v>
      </c>
      <c r="B2398" s="4" t="s">
        <v>2574</v>
      </c>
      <c r="C2398" s="4" t="n">
        <v>120</v>
      </c>
      <c r="D2398" s="4" t="n">
        <v>8</v>
      </c>
      <c r="E2398" s="13" t="n">
        <v>44980</v>
      </c>
      <c r="F2398" s="4" t="s">
        <v>3192</v>
      </c>
      <c r="G2398" s="4" t="str">
        <f aca="false">INDEX(PurchaseOrders!$B$2:$B$3001,MATCH(B2398,PurchaseOrders!$A$2:$A$3001,0))</f>
        <v>V043</v>
      </c>
    </row>
    <row r="2399" customFormat="false" ht="15" hidden="false" customHeight="true" outlineLevel="0" collapsed="false">
      <c r="A2399" s="4" t="s">
        <v>5586</v>
      </c>
      <c r="B2399" s="4" t="s">
        <v>2575</v>
      </c>
      <c r="C2399" s="4" t="n">
        <v>2688</v>
      </c>
      <c r="D2399" s="4" t="n">
        <v>351</v>
      </c>
      <c r="E2399" s="13" t="n">
        <v>45428</v>
      </c>
      <c r="F2399" s="4" t="s">
        <v>3192</v>
      </c>
      <c r="G2399" s="4" t="str">
        <f aca="false">INDEX(PurchaseOrders!$B$2:$B$3001,MATCH(B2399,PurchaseOrders!$A$2:$A$3001,0))</f>
        <v>V057</v>
      </c>
    </row>
    <row r="2400" customFormat="false" ht="15" hidden="false" customHeight="true" outlineLevel="0" collapsed="false">
      <c r="A2400" s="4" t="s">
        <v>5587</v>
      </c>
      <c r="B2400" s="4" t="s">
        <v>2576</v>
      </c>
      <c r="C2400" s="4" t="n">
        <v>2911</v>
      </c>
      <c r="D2400" s="4" t="n">
        <v>332</v>
      </c>
      <c r="E2400" s="13" t="n">
        <v>45609</v>
      </c>
      <c r="F2400" s="4" t="s">
        <v>3186</v>
      </c>
      <c r="G2400" s="4" t="str">
        <f aca="false">INDEX(PurchaseOrders!$B$2:$B$3001,MATCH(B2400,PurchaseOrders!$A$2:$A$3001,0))</f>
        <v>V032</v>
      </c>
    </row>
    <row r="2401" customFormat="false" ht="15" hidden="false" customHeight="true" outlineLevel="0" collapsed="false">
      <c r="A2401" s="4" t="s">
        <v>5588</v>
      </c>
      <c r="B2401" s="4" t="s">
        <v>2577</v>
      </c>
      <c r="C2401" s="4" t="n">
        <v>2237</v>
      </c>
      <c r="D2401" s="4" t="n">
        <v>148</v>
      </c>
      <c r="E2401" s="13" t="n">
        <v>45120</v>
      </c>
      <c r="F2401" s="4" t="s">
        <v>3186</v>
      </c>
      <c r="G2401" s="4" t="str">
        <f aca="false">INDEX(PurchaseOrders!$B$2:$B$3001,MATCH(B2401,PurchaseOrders!$A$2:$A$3001,0))</f>
        <v>V017</v>
      </c>
    </row>
    <row r="2402" customFormat="false" ht="15" hidden="false" customHeight="true" outlineLevel="0" collapsed="false">
      <c r="A2402" s="4" t="s">
        <v>5589</v>
      </c>
      <c r="B2402" s="4" t="s">
        <v>2578</v>
      </c>
      <c r="C2402" s="4" t="n">
        <v>69</v>
      </c>
      <c r="D2402" s="4" t="n">
        <v>3</v>
      </c>
      <c r="E2402" s="13" t="n">
        <v>45065</v>
      </c>
      <c r="F2402" s="4" t="s">
        <v>3192</v>
      </c>
      <c r="G2402" s="4" t="str">
        <f aca="false">INDEX(PurchaseOrders!$B$2:$B$3001,MATCH(B2402,PurchaseOrders!$A$2:$A$3001,0))</f>
        <v>V004</v>
      </c>
    </row>
    <row r="2403" customFormat="false" ht="15" hidden="false" customHeight="true" outlineLevel="0" collapsed="false">
      <c r="A2403" s="4" t="s">
        <v>5590</v>
      </c>
      <c r="B2403" s="4" t="s">
        <v>2579</v>
      </c>
      <c r="C2403" s="4" t="n">
        <v>1803</v>
      </c>
      <c r="D2403" s="4" t="n">
        <v>18</v>
      </c>
      <c r="E2403" s="13" t="n">
        <v>45488</v>
      </c>
      <c r="F2403" s="4" t="s">
        <v>3190</v>
      </c>
      <c r="G2403" s="4" t="str">
        <f aca="false">INDEX(PurchaseOrders!$B$2:$B$3001,MATCH(B2403,PurchaseOrders!$A$2:$A$3001,0))</f>
        <v>V020</v>
      </c>
    </row>
    <row r="2404" customFormat="false" ht="15" hidden="false" customHeight="true" outlineLevel="0" collapsed="false">
      <c r="A2404" s="4" t="s">
        <v>5591</v>
      </c>
      <c r="B2404" s="4" t="s">
        <v>2580</v>
      </c>
      <c r="C2404" s="4" t="n">
        <v>153</v>
      </c>
      <c r="D2404" s="4" t="n">
        <v>15</v>
      </c>
      <c r="E2404" s="13" t="n">
        <v>45130</v>
      </c>
      <c r="F2404" s="4" t="s">
        <v>3202</v>
      </c>
      <c r="G2404" s="4" t="str">
        <f aca="false">INDEX(PurchaseOrders!$B$2:$B$3001,MATCH(B2404,PurchaseOrders!$A$2:$A$3001,0))</f>
        <v>V013</v>
      </c>
    </row>
    <row r="2405" customFormat="false" ht="15" hidden="false" customHeight="true" outlineLevel="0" collapsed="false">
      <c r="A2405" s="4" t="s">
        <v>5592</v>
      </c>
      <c r="B2405" s="4" t="s">
        <v>2581</v>
      </c>
      <c r="C2405" s="4" t="n">
        <v>873</v>
      </c>
      <c r="D2405" s="4" t="n">
        <v>21</v>
      </c>
      <c r="E2405" s="13" t="n">
        <v>45547</v>
      </c>
      <c r="F2405" s="4" t="s">
        <v>3188</v>
      </c>
      <c r="G2405" s="4" t="str">
        <f aca="false">INDEX(PurchaseOrders!$B$2:$B$3001,MATCH(B2405,PurchaseOrders!$A$2:$A$3001,0))</f>
        <v>V014</v>
      </c>
    </row>
    <row r="2406" customFormat="false" ht="15" hidden="false" customHeight="true" outlineLevel="0" collapsed="false">
      <c r="A2406" s="4" t="s">
        <v>5593</v>
      </c>
      <c r="B2406" s="4" t="s">
        <v>2582</v>
      </c>
      <c r="C2406" s="4" t="n">
        <v>1285</v>
      </c>
      <c r="D2406" s="4" t="n">
        <v>34</v>
      </c>
      <c r="E2406" s="13" t="n">
        <v>45026</v>
      </c>
      <c r="F2406" s="4" t="s">
        <v>3202</v>
      </c>
      <c r="G2406" s="4" t="str">
        <f aca="false">INDEX(PurchaseOrders!$B$2:$B$3001,MATCH(B2406,PurchaseOrders!$A$2:$A$3001,0))</f>
        <v>V035</v>
      </c>
    </row>
    <row r="2407" customFormat="false" ht="15" hidden="false" customHeight="true" outlineLevel="0" collapsed="false">
      <c r="A2407" s="4" t="s">
        <v>5594</v>
      </c>
      <c r="B2407" s="4" t="s">
        <v>2583</v>
      </c>
      <c r="C2407" s="4" t="n">
        <v>3583</v>
      </c>
      <c r="D2407" s="4" t="n">
        <v>124</v>
      </c>
      <c r="E2407" s="13" t="n">
        <v>45256</v>
      </c>
      <c r="F2407" s="4" t="s">
        <v>3192</v>
      </c>
      <c r="G2407" s="4" t="str">
        <f aca="false">INDEX(PurchaseOrders!$B$2:$B$3001,MATCH(B2407,PurchaseOrders!$A$2:$A$3001,0))</f>
        <v>V003</v>
      </c>
    </row>
    <row r="2408" customFormat="false" ht="15" hidden="false" customHeight="true" outlineLevel="0" collapsed="false">
      <c r="A2408" s="4" t="s">
        <v>5595</v>
      </c>
      <c r="B2408" s="4" t="s">
        <v>2584</v>
      </c>
      <c r="C2408" s="4" t="n">
        <v>1</v>
      </c>
      <c r="D2408" s="4" t="n">
        <v>0</v>
      </c>
      <c r="E2408" s="13" t="n">
        <v>45283</v>
      </c>
      <c r="F2408" s="4"/>
      <c r="G2408" s="4" t="str">
        <f aca="false">INDEX(PurchaseOrders!$B$2:$B$3001,MATCH(B2408,PurchaseOrders!$A$2:$A$3001,0))</f>
        <v>V019</v>
      </c>
    </row>
    <row r="2409" customFormat="false" ht="15" hidden="false" customHeight="true" outlineLevel="0" collapsed="false">
      <c r="A2409" s="4" t="s">
        <v>5596</v>
      </c>
      <c r="B2409" s="4" t="s">
        <v>2585</v>
      </c>
      <c r="C2409" s="4" t="n">
        <v>1324</v>
      </c>
      <c r="D2409" s="4" t="n">
        <v>60</v>
      </c>
      <c r="E2409" s="13" t="n">
        <v>45287</v>
      </c>
      <c r="F2409" s="4" t="s">
        <v>3184</v>
      </c>
      <c r="G2409" s="4" t="str">
        <f aca="false">INDEX(PurchaseOrders!$B$2:$B$3001,MATCH(B2409,PurchaseOrders!$A$2:$A$3001,0))</f>
        <v>V022</v>
      </c>
    </row>
    <row r="2410" customFormat="false" ht="15" hidden="false" customHeight="true" outlineLevel="0" collapsed="false">
      <c r="A2410" s="4" t="s">
        <v>5597</v>
      </c>
      <c r="B2410" s="4" t="s">
        <v>2586</v>
      </c>
      <c r="C2410" s="4" t="n">
        <v>863</v>
      </c>
      <c r="D2410" s="4" t="n">
        <v>80</v>
      </c>
      <c r="E2410" s="13" t="n">
        <v>45291</v>
      </c>
      <c r="F2410" s="4" t="s">
        <v>3188</v>
      </c>
      <c r="G2410" s="4" t="str">
        <f aca="false">INDEX(PurchaseOrders!$B$2:$B$3001,MATCH(B2410,PurchaseOrders!$A$2:$A$3001,0))</f>
        <v>V027</v>
      </c>
    </row>
    <row r="2411" customFormat="false" ht="15" hidden="false" customHeight="true" outlineLevel="0" collapsed="false">
      <c r="A2411" s="4" t="s">
        <v>5598</v>
      </c>
      <c r="B2411" s="4" t="s">
        <v>2587</v>
      </c>
      <c r="C2411" s="4" t="n">
        <v>60</v>
      </c>
      <c r="D2411" s="4" t="n">
        <v>5</v>
      </c>
      <c r="E2411" s="13" t="n">
        <v>45526</v>
      </c>
      <c r="F2411" s="4" t="s">
        <v>3184</v>
      </c>
      <c r="G2411" s="4" t="str">
        <f aca="false">INDEX(PurchaseOrders!$B$2:$B$3001,MATCH(B2411,PurchaseOrders!$A$2:$A$3001,0))</f>
        <v>V043</v>
      </c>
    </row>
    <row r="2412" customFormat="false" ht="15" hidden="false" customHeight="true" outlineLevel="0" collapsed="false">
      <c r="A2412" s="4" t="s">
        <v>5599</v>
      </c>
      <c r="B2412" s="4" t="s">
        <v>2588</v>
      </c>
      <c r="C2412" s="4" t="n">
        <v>217</v>
      </c>
      <c r="D2412" s="4" t="n">
        <v>5</v>
      </c>
      <c r="E2412" s="13" t="n">
        <v>45138</v>
      </c>
      <c r="F2412" s="4" t="s">
        <v>3184</v>
      </c>
      <c r="G2412" s="4" t="str">
        <f aca="false">INDEX(PurchaseOrders!$B$2:$B$3001,MATCH(B2412,PurchaseOrders!$A$2:$A$3001,0))</f>
        <v>V052</v>
      </c>
    </row>
    <row r="2413" customFormat="false" ht="15" hidden="false" customHeight="true" outlineLevel="0" collapsed="false">
      <c r="A2413" s="4" t="s">
        <v>5600</v>
      </c>
      <c r="B2413" s="4" t="s">
        <v>2589</v>
      </c>
      <c r="C2413" s="4" t="n">
        <v>4873</v>
      </c>
      <c r="D2413" s="4" t="n">
        <v>161</v>
      </c>
      <c r="E2413" s="13" t="n">
        <v>45394</v>
      </c>
      <c r="F2413" s="4" t="s">
        <v>3192</v>
      </c>
      <c r="G2413" s="4" t="str">
        <f aca="false">INDEX(PurchaseOrders!$B$2:$B$3001,MATCH(B2413,PurchaseOrders!$A$2:$A$3001,0))</f>
        <v>V002</v>
      </c>
    </row>
    <row r="2414" customFormat="false" ht="15" hidden="false" customHeight="true" outlineLevel="0" collapsed="false">
      <c r="A2414" s="4" t="s">
        <v>5601</v>
      </c>
      <c r="B2414" s="4" t="s">
        <v>2590</v>
      </c>
      <c r="C2414" s="4" t="n">
        <v>205</v>
      </c>
      <c r="D2414" s="4" t="n">
        <v>7</v>
      </c>
      <c r="E2414" s="13" t="n">
        <v>45329</v>
      </c>
      <c r="F2414" s="4" t="s">
        <v>3192</v>
      </c>
      <c r="G2414" s="4" t="str">
        <f aca="false">INDEX(PurchaseOrders!$B$2:$B$3001,MATCH(B2414,PurchaseOrders!$A$2:$A$3001,0))</f>
        <v>V006</v>
      </c>
    </row>
    <row r="2415" customFormat="false" ht="15" hidden="false" customHeight="true" outlineLevel="0" collapsed="false">
      <c r="A2415" s="4" t="s">
        <v>5602</v>
      </c>
      <c r="B2415" s="4" t="s">
        <v>2591</v>
      </c>
      <c r="C2415" s="4" t="n">
        <v>220</v>
      </c>
      <c r="D2415" s="4" t="n">
        <v>2</v>
      </c>
      <c r="E2415" s="13" t="n">
        <v>45576</v>
      </c>
      <c r="F2415" s="4" t="s">
        <v>3202</v>
      </c>
      <c r="G2415" s="4" t="str">
        <f aca="false">INDEX(PurchaseOrders!$B$2:$B$3001,MATCH(B2415,PurchaseOrders!$A$2:$A$3001,0))</f>
        <v>V046</v>
      </c>
    </row>
    <row r="2416" customFormat="false" ht="15" hidden="false" customHeight="true" outlineLevel="0" collapsed="false">
      <c r="A2416" s="4" t="s">
        <v>5603</v>
      </c>
      <c r="B2416" s="4" t="s">
        <v>2592</v>
      </c>
      <c r="C2416" s="4" t="n">
        <v>8</v>
      </c>
      <c r="D2416" s="4" t="n">
        <v>0</v>
      </c>
      <c r="E2416" s="13" t="n">
        <v>45182</v>
      </c>
      <c r="F2416" s="4"/>
      <c r="G2416" s="4" t="str">
        <f aca="false">INDEX(PurchaseOrders!$B$2:$B$3001,MATCH(B2416,PurchaseOrders!$A$2:$A$3001,0))</f>
        <v>V023</v>
      </c>
    </row>
    <row r="2417" customFormat="false" ht="15" hidden="false" customHeight="true" outlineLevel="0" collapsed="false">
      <c r="A2417" s="4" t="s">
        <v>5604</v>
      </c>
      <c r="B2417" s="4" t="s">
        <v>2593</v>
      </c>
      <c r="C2417" s="4" t="n">
        <v>214</v>
      </c>
      <c r="D2417" s="4" t="n">
        <v>19</v>
      </c>
      <c r="E2417" s="13" t="n">
        <v>45425</v>
      </c>
      <c r="F2417" s="4" t="s">
        <v>3192</v>
      </c>
      <c r="G2417" s="4" t="str">
        <f aca="false">INDEX(PurchaseOrders!$B$2:$B$3001,MATCH(B2417,PurchaseOrders!$A$2:$A$3001,0))</f>
        <v>V007</v>
      </c>
    </row>
    <row r="2418" customFormat="false" ht="15" hidden="false" customHeight="true" outlineLevel="0" collapsed="false">
      <c r="A2418" s="4" t="s">
        <v>5605</v>
      </c>
      <c r="B2418" s="4" t="s">
        <v>2594</v>
      </c>
      <c r="C2418" s="4" t="n">
        <v>2899</v>
      </c>
      <c r="D2418" s="4" t="n">
        <v>343</v>
      </c>
      <c r="E2418" s="13" t="n">
        <v>45162</v>
      </c>
      <c r="F2418" s="4" t="s">
        <v>3188</v>
      </c>
      <c r="G2418" s="4" t="str">
        <f aca="false">INDEX(PurchaseOrders!$B$2:$B$3001,MATCH(B2418,PurchaseOrders!$A$2:$A$3001,0))</f>
        <v>V057</v>
      </c>
    </row>
    <row r="2419" customFormat="false" ht="15" hidden="false" customHeight="true" outlineLevel="0" collapsed="false">
      <c r="A2419" s="4" t="s">
        <v>5606</v>
      </c>
      <c r="B2419" s="4" t="s">
        <v>2595</v>
      </c>
      <c r="C2419" s="4" t="n">
        <v>4258</v>
      </c>
      <c r="D2419" s="4" t="n">
        <v>342</v>
      </c>
      <c r="E2419" s="13" t="n">
        <v>45092</v>
      </c>
      <c r="F2419" s="4" t="s">
        <v>3186</v>
      </c>
      <c r="G2419" s="4" t="str">
        <f aca="false">INDEX(PurchaseOrders!$B$2:$B$3001,MATCH(B2419,PurchaseOrders!$A$2:$A$3001,0))</f>
        <v>V056</v>
      </c>
    </row>
    <row r="2420" customFormat="false" ht="15" hidden="false" customHeight="true" outlineLevel="0" collapsed="false">
      <c r="A2420" s="4" t="s">
        <v>5607</v>
      </c>
      <c r="B2420" s="4" t="s">
        <v>2596</v>
      </c>
      <c r="C2420" s="4" t="n">
        <v>3</v>
      </c>
      <c r="D2420" s="4" t="n">
        <v>0</v>
      </c>
      <c r="E2420" s="13" t="n">
        <v>45084</v>
      </c>
      <c r="F2420" s="4"/>
      <c r="G2420" s="4" t="str">
        <f aca="false">INDEX(PurchaseOrders!$B$2:$B$3001,MATCH(B2420,PurchaseOrders!$A$2:$A$3001,0))</f>
        <v>V016</v>
      </c>
    </row>
    <row r="2421" customFormat="false" ht="15" hidden="false" customHeight="true" outlineLevel="0" collapsed="false">
      <c r="A2421" s="4" t="s">
        <v>5608</v>
      </c>
      <c r="B2421" s="4" t="s">
        <v>2597</v>
      </c>
      <c r="C2421" s="4" t="n">
        <v>918</v>
      </c>
      <c r="D2421" s="4" t="n">
        <v>17</v>
      </c>
      <c r="E2421" s="13" t="n">
        <v>45555</v>
      </c>
      <c r="F2421" s="4" t="s">
        <v>3186</v>
      </c>
      <c r="G2421" s="4" t="str">
        <f aca="false">INDEX(PurchaseOrders!$B$2:$B$3001,MATCH(B2421,PurchaseOrders!$A$2:$A$3001,0))</f>
        <v>V020</v>
      </c>
    </row>
    <row r="2422" customFormat="false" ht="15" hidden="false" customHeight="true" outlineLevel="0" collapsed="false">
      <c r="A2422" s="4" t="s">
        <v>5609</v>
      </c>
      <c r="B2422" s="4" t="s">
        <v>2598</v>
      </c>
      <c r="C2422" s="4" t="n">
        <v>4005</v>
      </c>
      <c r="D2422" s="4" t="n">
        <v>500</v>
      </c>
      <c r="E2422" s="13" t="n">
        <v>45362</v>
      </c>
      <c r="F2422" s="4" t="s">
        <v>3190</v>
      </c>
      <c r="G2422" s="4" t="str">
        <f aca="false">INDEX(PurchaseOrders!$B$2:$B$3001,MATCH(B2422,PurchaseOrders!$A$2:$A$3001,0))</f>
        <v>V057</v>
      </c>
    </row>
    <row r="2423" customFormat="false" ht="15" hidden="false" customHeight="true" outlineLevel="0" collapsed="false">
      <c r="A2423" s="4" t="s">
        <v>5610</v>
      </c>
      <c r="B2423" s="4" t="s">
        <v>2599</v>
      </c>
      <c r="C2423" s="4" t="n">
        <v>1474</v>
      </c>
      <c r="D2423" s="4" t="n">
        <v>0</v>
      </c>
      <c r="E2423" s="13" t="n">
        <v>45545</v>
      </c>
      <c r="F2423" s="4"/>
      <c r="G2423" s="4" t="str">
        <f aca="false">INDEX(PurchaseOrders!$B$2:$B$3001,MATCH(B2423,PurchaseOrders!$A$2:$A$3001,0))</f>
        <v>V059</v>
      </c>
    </row>
    <row r="2424" customFormat="false" ht="15" hidden="false" customHeight="true" outlineLevel="0" collapsed="false">
      <c r="A2424" s="4" t="s">
        <v>5611</v>
      </c>
      <c r="B2424" s="4" t="s">
        <v>2600</v>
      </c>
      <c r="C2424" s="4" t="n">
        <v>158</v>
      </c>
      <c r="D2424" s="4" t="n">
        <v>16</v>
      </c>
      <c r="E2424" s="13" t="n">
        <v>45410</v>
      </c>
      <c r="F2424" s="4" t="s">
        <v>3190</v>
      </c>
      <c r="G2424" s="4" t="str">
        <f aca="false">INDEX(PurchaseOrders!$B$2:$B$3001,MATCH(B2424,PurchaseOrders!$A$2:$A$3001,0))</f>
        <v>V043</v>
      </c>
    </row>
    <row r="2425" customFormat="false" ht="15" hidden="false" customHeight="true" outlineLevel="0" collapsed="false">
      <c r="A2425" s="4" t="s">
        <v>5612</v>
      </c>
      <c r="B2425" s="4" t="s">
        <v>2601</v>
      </c>
      <c r="C2425" s="4" t="n">
        <v>281</v>
      </c>
      <c r="D2425" s="4" t="n">
        <v>18</v>
      </c>
      <c r="E2425" s="13" t="n">
        <v>44953</v>
      </c>
      <c r="F2425" s="4" t="s">
        <v>3192</v>
      </c>
      <c r="G2425" s="4" t="str">
        <f aca="false">INDEX(PurchaseOrders!$B$2:$B$3001,MATCH(B2425,PurchaseOrders!$A$2:$A$3001,0))</f>
        <v>V033</v>
      </c>
    </row>
    <row r="2426" customFormat="false" ht="15" hidden="false" customHeight="true" outlineLevel="0" collapsed="false">
      <c r="A2426" s="4" t="s">
        <v>5613</v>
      </c>
      <c r="B2426" s="4" t="s">
        <v>2602</v>
      </c>
      <c r="C2426" s="4" t="n">
        <v>3678</v>
      </c>
      <c r="D2426" s="4" t="n">
        <v>323</v>
      </c>
      <c r="E2426" s="13" t="n">
        <v>45662</v>
      </c>
      <c r="F2426" s="4" t="s">
        <v>3184</v>
      </c>
      <c r="G2426" s="4" t="str">
        <f aca="false">INDEX(PurchaseOrders!$B$2:$B$3001,MATCH(B2426,PurchaseOrders!$A$2:$A$3001,0))</f>
        <v>V032</v>
      </c>
    </row>
    <row r="2427" customFormat="false" ht="15" hidden="false" customHeight="true" outlineLevel="0" collapsed="false">
      <c r="A2427" s="4" t="s">
        <v>5614</v>
      </c>
      <c r="B2427" s="4" t="s">
        <v>2603</v>
      </c>
      <c r="C2427" s="4" t="n">
        <v>1461</v>
      </c>
      <c r="D2427" s="4" t="n">
        <v>286</v>
      </c>
      <c r="E2427" s="13" t="n">
        <v>45415</v>
      </c>
      <c r="F2427" s="4" t="s">
        <v>3190</v>
      </c>
      <c r="G2427" s="4" t="str">
        <f aca="false">INDEX(PurchaseOrders!$B$2:$B$3001,MATCH(B2427,PurchaseOrders!$A$2:$A$3001,0))</f>
        <v>V026</v>
      </c>
    </row>
    <row r="2428" customFormat="false" ht="15" hidden="false" customHeight="true" outlineLevel="0" collapsed="false">
      <c r="A2428" s="4" t="s">
        <v>5615</v>
      </c>
      <c r="B2428" s="4" t="s">
        <v>2604</v>
      </c>
      <c r="C2428" s="4" t="n">
        <v>1352</v>
      </c>
      <c r="D2428" s="4" t="n">
        <v>65</v>
      </c>
      <c r="E2428" s="13" t="n">
        <v>45049</v>
      </c>
      <c r="F2428" s="4" t="s">
        <v>3202</v>
      </c>
      <c r="G2428" s="4" t="str">
        <f aca="false">INDEX(PurchaseOrders!$B$2:$B$3001,MATCH(B2428,PurchaseOrders!$A$2:$A$3001,0))</f>
        <v>V051</v>
      </c>
    </row>
    <row r="2429" customFormat="false" ht="15" hidden="false" customHeight="true" outlineLevel="0" collapsed="false">
      <c r="A2429" s="4" t="s">
        <v>5616</v>
      </c>
      <c r="B2429" s="4" t="s">
        <v>2605</v>
      </c>
      <c r="C2429" s="4" t="n">
        <v>1085</v>
      </c>
      <c r="D2429" s="4" t="n">
        <v>24</v>
      </c>
      <c r="E2429" s="13" t="n">
        <v>45658</v>
      </c>
      <c r="F2429" s="4" t="s">
        <v>3184</v>
      </c>
      <c r="G2429" s="4" t="str">
        <f aca="false">INDEX(PurchaseOrders!$B$2:$B$3001,MATCH(B2429,PurchaseOrders!$A$2:$A$3001,0))</f>
        <v>V035</v>
      </c>
    </row>
    <row r="2430" customFormat="false" ht="15" hidden="false" customHeight="true" outlineLevel="0" collapsed="false">
      <c r="A2430" s="4" t="s">
        <v>5617</v>
      </c>
      <c r="B2430" s="4" t="s">
        <v>2606</v>
      </c>
      <c r="C2430" s="4" t="n">
        <v>4598</v>
      </c>
      <c r="D2430" s="4" t="n">
        <v>506</v>
      </c>
      <c r="E2430" s="13" t="n">
        <v>45388</v>
      </c>
      <c r="F2430" s="4" t="s">
        <v>3192</v>
      </c>
      <c r="G2430" s="4" t="str">
        <f aca="false">INDEX(PurchaseOrders!$B$2:$B$3001,MATCH(B2430,PurchaseOrders!$A$2:$A$3001,0))</f>
        <v>V032</v>
      </c>
    </row>
    <row r="2431" customFormat="false" ht="15" hidden="false" customHeight="true" outlineLevel="0" collapsed="false">
      <c r="A2431" s="4" t="s">
        <v>5618</v>
      </c>
      <c r="B2431" s="4" t="s">
        <v>2607</v>
      </c>
      <c r="C2431" s="4" t="n">
        <v>3472</v>
      </c>
      <c r="D2431" s="4" t="n">
        <v>59</v>
      </c>
      <c r="E2431" s="13" t="n">
        <v>45058</v>
      </c>
      <c r="F2431" s="4" t="s">
        <v>3202</v>
      </c>
      <c r="G2431" s="4" t="str">
        <f aca="false">INDEX(PurchaseOrders!$B$2:$B$3001,MATCH(B2431,PurchaseOrders!$A$2:$A$3001,0))</f>
        <v>V058</v>
      </c>
    </row>
    <row r="2432" customFormat="false" ht="15" hidden="false" customHeight="true" outlineLevel="0" collapsed="false">
      <c r="A2432" s="4" t="s">
        <v>5619</v>
      </c>
      <c r="B2432" s="4" t="s">
        <v>2608</v>
      </c>
      <c r="C2432" s="4" t="n">
        <v>4057</v>
      </c>
      <c r="D2432" s="4" t="n">
        <v>70</v>
      </c>
      <c r="E2432" s="13" t="n">
        <v>45098</v>
      </c>
      <c r="F2432" s="4" t="s">
        <v>3188</v>
      </c>
      <c r="G2432" s="4" t="str">
        <f aca="false">INDEX(PurchaseOrders!$B$2:$B$3001,MATCH(B2432,PurchaseOrders!$A$2:$A$3001,0))</f>
        <v>V017</v>
      </c>
    </row>
    <row r="2433" customFormat="false" ht="15" hidden="false" customHeight="true" outlineLevel="0" collapsed="false">
      <c r="A2433" s="4" t="s">
        <v>5620</v>
      </c>
      <c r="B2433" s="4" t="s">
        <v>2609</v>
      </c>
      <c r="C2433" s="4" t="n">
        <v>263</v>
      </c>
      <c r="D2433" s="4" t="n">
        <v>5</v>
      </c>
      <c r="E2433" s="13" t="n">
        <v>45370</v>
      </c>
      <c r="F2433" s="4" t="s">
        <v>3192</v>
      </c>
      <c r="G2433" s="4" t="str">
        <f aca="false">INDEX(PurchaseOrders!$B$2:$B$3001,MATCH(B2433,PurchaseOrders!$A$2:$A$3001,0))</f>
        <v>V052</v>
      </c>
    </row>
    <row r="2434" customFormat="false" ht="15" hidden="false" customHeight="true" outlineLevel="0" collapsed="false">
      <c r="A2434" s="4" t="s">
        <v>5621</v>
      </c>
      <c r="B2434" s="4" t="s">
        <v>2610</v>
      </c>
      <c r="C2434" s="4" t="n">
        <v>9</v>
      </c>
      <c r="D2434" s="4" t="n">
        <v>1</v>
      </c>
      <c r="E2434" s="13" t="n">
        <v>45635</v>
      </c>
      <c r="F2434" s="4" t="s">
        <v>3186</v>
      </c>
      <c r="G2434" s="4" t="str">
        <f aca="false">INDEX(PurchaseOrders!$B$2:$B$3001,MATCH(B2434,PurchaseOrders!$A$2:$A$3001,0))</f>
        <v>V042</v>
      </c>
    </row>
    <row r="2435" customFormat="false" ht="15" hidden="false" customHeight="true" outlineLevel="0" collapsed="false">
      <c r="A2435" s="4" t="s">
        <v>5622</v>
      </c>
      <c r="B2435" s="4" t="s">
        <v>2611</v>
      </c>
      <c r="C2435" s="4" t="n">
        <v>15</v>
      </c>
      <c r="D2435" s="4" t="n">
        <v>0</v>
      </c>
      <c r="E2435" s="13" t="n">
        <v>44946</v>
      </c>
      <c r="F2435" s="4"/>
      <c r="G2435" s="4" t="str">
        <f aca="false">INDEX(PurchaseOrders!$B$2:$B$3001,MATCH(B2435,PurchaseOrders!$A$2:$A$3001,0))</f>
        <v>V016</v>
      </c>
    </row>
    <row r="2436" customFormat="false" ht="15" hidden="false" customHeight="true" outlineLevel="0" collapsed="false">
      <c r="A2436" s="4" t="s">
        <v>5623</v>
      </c>
      <c r="B2436" s="4" t="s">
        <v>2612</v>
      </c>
      <c r="C2436" s="4" t="n">
        <v>4132</v>
      </c>
      <c r="D2436" s="4" t="n">
        <v>166</v>
      </c>
      <c r="E2436" s="13" t="n">
        <v>44968</v>
      </c>
      <c r="F2436" s="4" t="s">
        <v>3192</v>
      </c>
      <c r="G2436" s="4" t="str">
        <f aca="false">INDEX(PurchaseOrders!$B$2:$B$3001,MATCH(B2436,PurchaseOrders!$A$2:$A$3001,0))</f>
        <v>V017</v>
      </c>
    </row>
    <row r="2437" customFormat="false" ht="15" hidden="false" customHeight="true" outlineLevel="0" collapsed="false">
      <c r="A2437" s="4" t="s">
        <v>5624</v>
      </c>
      <c r="B2437" s="4" t="s">
        <v>2613</v>
      </c>
      <c r="C2437" s="4" t="n">
        <v>133</v>
      </c>
      <c r="D2437" s="4" t="n">
        <v>10</v>
      </c>
      <c r="E2437" s="13" t="n">
        <v>45419</v>
      </c>
      <c r="F2437" s="4" t="s">
        <v>3190</v>
      </c>
      <c r="G2437" s="4" t="str">
        <f aca="false">INDEX(PurchaseOrders!$B$2:$B$3001,MATCH(B2437,PurchaseOrders!$A$2:$A$3001,0))</f>
        <v>V043</v>
      </c>
    </row>
    <row r="2438" customFormat="false" ht="15" hidden="false" customHeight="true" outlineLevel="0" collapsed="false">
      <c r="A2438" s="4" t="s">
        <v>5625</v>
      </c>
      <c r="B2438" s="4" t="s">
        <v>2614</v>
      </c>
      <c r="C2438" s="4" t="n">
        <v>91</v>
      </c>
      <c r="D2438" s="4" t="n">
        <v>2</v>
      </c>
      <c r="E2438" s="13" t="n">
        <v>45153</v>
      </c>
      <c r="F2438" s="4" t="s">
        <v>3190</v>
      </c>
      <c r="G2438" s="4" t="str">
        <f aca="false">INDEX(PurchaseOrders!$B$2:$B$3001,MATCH(B2438,PurchaseOrders!$A$2:$A$3001,0))</f>
        <v>V031</v>
      </c>
    </row>
    <row r="2439" customFormat="false" ht="15" hidden="false" customHeight="true" outlineLevel="0" collapsed="false">
      <c r="A2439" s="4" t="s">
        <v>5626</v>
      </c>
      <c r="B2439" s="4" t="s">
        <v>2615</v>
      </c>
      <c r="C2439" s="4" t="n">
        <v>294</v>
      </c>
      <c r="D2439" s="4" t="n">
        <v>37</v>
      </c>
      <c r="E2439" s="13" t="n">
        <v>45350</v>
      </c>
      <c r="F2439" s="4" t="s">
        <v>3184</v>
      </c>
      <c r="G2439" s="4" t="str">
        <f aca="false">INDEX(PurchaseOrders!$B$2:$B$3001,MATCH(B2439,PurchaseOrders!$A$2:$A$3001,0))</f>
        <v>V049</v>
      </c>
    </row>
    <row r="2440" customFormat="false" ht="15" hidden="false" customHeight="true" outlineLevel="0" collapsed="false">
      <c r="A2440" s="4" t="s">
        <v>5627</v>
      </c>
      <c r="B2440" s="4" t="s">
        <v>2616</v>
      </c>
      <c r="C2440" s="4" t="n">
        <v>705</v>
      </c>
      <c r="D2440" s="4" t="n">
        <v>39</v>
      </c>
      <c r="E2440" s="13" t="n">
        <v>45430</v>
      </c>
      <c r="F2440" s="4" t="s">
        <v>3190</v>
      </c>
      <c r="G2440" s="4" t="str">
        <f aca="false">INDEX(PurchaseOrders!$B$2:$B$3001,MATCH(B2440,PurchaseOrders!$A$2:$A$3001,0))</f>
        <v>V021</v>
      </c>
    </row>
    <row r="2441" customFormat="false" ht="15" hidden="false" customHeight="true" outlineLevel="0" collapsed="false">
      <c r="A2441" s="4" t="s">
        <v>5628</v>
      </c>
      <c r="B2441" s="4" t="s">
        <v>2617</v>
      </c>
      <c r="C2441" s="4" t="n">
        <v>3679</v>
      </c>
      <c r="D2441" s="4" t="n">
        <v>23</v>
      </c>
      <c r="E2441" s="13" t="n">
        <v>44960</v>
      </c>
      <c r="F2441" s="4" t="s">
        <v>3184</v>
      </c>
      <c r="G2441" s="4" t="str">
        <f aca="false">INDEX(PurchaseOrders!$B$2:$B$3001,MATCH(B2441,PurchaseOrders!$A$2:$A$3001,0))</f>
        <v>V015</v>
      </c>
    </row>
    <row r="2442" customFormat="false" ht="15" hidden="false" customHeight="true" outlineLevel="0" collapsed="false">
      <c r="A2442" s="4" t="s">
        <v>5629</v>
      </c>
      <c r="B2442" s="4" t="s">
        <v>2618</v>
      </c>
      <c r="C2442" s="4" t="n">
        <v>117</v>
      </c>
      <c r="D2442" s="4" t="n">
        <v>15</v>
      </c>
      <c r="E2442" s="13" t="n">
        <v>45109</v>
      </c>
      <c r="F2442" s="4" t="s">
        <v>3192</v>
      </c>
      <c r="G2442" s="4" t="str">
        <f aca="false">INDEX(PurchaseOrders!$B$2:$B$3001,MATCH(B2442,PurchaseOrders!$A$2:$A$3001,0))</f>
        <v>V055</v>
      </c>
    </row>
    <row r="2443" customFormat="false" ht="15" hidden="false" customHeight="true" outlineLevel="0" collapsed="false">
      <c r="A2443" s="4" t="s">
        <v>5630</v>
      </c>
      <c r="B2443" s="4" t="s">
        <v>2619</v>
      </c>
      <c r="C2443" s="4" t="n">
        <v>254</v>
      </c>
      <c r="D2443" s="4" t="n">
        <v>24</v>
      </c>
      <c r="E2443" s="13" t="n">
        <v>45348</v>
      </c>
      <c r="F2443" s="4" t="s">
        <v>3186</v>
      </c>
      <c r="G2443" s="4" t="str">
        <f aca="false">INDEX(PurchaseOrders!$B$2:$B$3001,MATCH(B2443,PurchaseOrders!$A$2:$A$3001,0))</f>
        <v>V043</v>
      </c>
    </row>
    <row r="2444" customFormat="false" ht="15" hidden="false" customHeight="true" outlineLevel="0" collapsed="false">
      <c r="A2444" s="4" t="s">
        <v>5631</v>
      </c>
      <c r="B2444" s="4" t="s">
        <v>2620</v>
      </c>
      <c r="C2444" s="4" t="n">
        <v>17</v>
      </c>
      <c r="D2444" s="4" t="n">
        <v>2</v>
      </c>
      <c r="E2444" s="13" t="n">
        <v>45199</v>
      </c>
      <c r="F2444" s="4" t="s">
        <v>3184</v>
      </c>
      <c r="G2444" s="4" t="str">
        <f aca="false">INDEX(PurchaseOrders!$B$2:$B$3001,MATCH(B2444,PurchaseOrders!$A$2:$A$3001,0))</f>
        <v>V054</v>
      </c>
    </row>
    <row r="2445" customFormat="false" ht="15" hidden="false" customHeight="true" outlineLevel="0" collapsed="false">
      <c r="A2445" s="4" t="s">
        <v>5632</v>
      </c>
      <c r="B2445" s="4" t="s">
        <v>2621</v>
      </c>
      <c r="C2445" s="4" t="n">
        <v>8</v>
      </c>
      <c r="D2445" s="4" t="n">
        <v>0</v>
      </c>
      <c r="E2445" s="13" t="n">
        <v>44948</v>
      </c>
      <c r="F2445" s="4"/>
      <c r="G2445" s="4" t="str">
        <f aca="false">INDEX(PurchaseOrders!$B$2:$B$3001,MATCH(B2445,PurchaseOrders!$A$2:$A$3001,0))</f>
        <v>V019</v>
      </c>
    </row>
    <row r="2446" customFormat="false" ht="15" hidden="false" customHeight="true" outlineLevel="0" collapsed="false">
      <c r="A2446" s="4" t="s">
        <v>5633</v>
      </c>
      <c r="B2446" s="4" t="s">
        <v>2622</v>
      </c>
      <c r="C2446" s="4" t="n">
        <v>4926</v>
      </c>
      <c r="D2446" s="4" t="n">
        <v>638</v>
      </c>
      <c r="E2446" s="13" t="n">
        <v>45394</v>
      </c>
      <c r="F2446" s="4" t="s">
        <v>3186</v>
      </c>
      <c r="G2446" s="4" t="str">
        <f aca="false">INDEX(PurchaseOrders!$B$2:$B$3001,MATCH(B2446,PurchaseOrders!$A$2:$A$3001,0))</f>
        <v>V038</v>
      </c>
    </row>
    <row r="2447" customFormat="false" ht="15" hidden="false" customHeight="true" outlineLevel="0" collapsed="false">
      <c r="A2447" s="4" t="s">
        <v>5634</v>
      </c>
      <c r="B2447" s="4" t="s">
        <v>2623</v>
      </c>
      <c r="C2447" s="4" t="n">
        <v>128</v>
      </c>
      <c r="D2447" s="4" t="n">
        <v>11</v>
      </c>
      <c r="E2447" s="13" t="n">
        <v>45673</v>
      </c>
      <c r="F2447" s="4" t="s">
        <v>3192</v>
      </c>
      <c r="G2447" s="4" t="str">
        <f aca="false">INDEX(PurchaseOrders!$B$2:$B$3001,MATCH(B2447,PurchaseOrders!$A$2:$A$3001,0))</f>
        <v>V013</v>
      </c>
    </row>
    <row r="2448" customFormat="false" ht="15" hidden="false" customHeight="true" outlineLevel="0" collapsed="false">
      <c r="A2448" s="4" t="s">
        <v>5635</v>
      </c>
      <c r="B2448" s="4" t="s">
        <v>2624</v>
      </c>
      <c r="C2448" s="4" t="n">
        <v>9</v>
      </c>
      <c r="D2448" s="4" t="n">
        <v>0</v>
      </c>
      <c r="E2448" s="13" t="n">
        <v>45037</v>
      </c>
      <c r="F2448" s="4"/>
      <c r="G2448" s="4" t="str">
        <f aca="false">INDEX(PurchaseOrders!$B$2:$B$3001,MATCH(B2448,PurchaseOrders!$A$2:$A$3001,0))</f>
        <v>V019</v>
      </c>
    </row>
    <row r="2449" customFormat="false" ht="15" hidden="false" customHeight="true" outlineLevel="0" collapsed="false">
      <c r="A2449" s="4" t="s">
        <v>5636</v>
      </c>
      <c r="B2449" s="4" t="s">
        <v>2625</v>
      </c>
      <c r="C2449" s="4" t="n">
        <v>145</v>
      </c>
      <c r="D2449" s="4" t="n">
        <v>11</v>
      </c>
      <c r="E2449" s="13" t="n">
        <v>45076</v>
      </c>
      <c r="F2449" s="4" t="s">
        <v>3192</v>
      </c>
      <c r="G2449" s="4" t="str">
        <f aca="false">INDEX(PurchaseOrders!$B$2:$B$3001,MATCH(B2449,PurchaseOrders!$A$2:$A$3001,0))</f>
        <v>V009</v>
      </c>
    </row>
    <row r="2450" customFormat="false" ht="15" hidden="false" customHeight="true" outlineLevel="0" collapsed="false">
      <c r="A2450" s="4" t="s">
        <v>5637</v>
      </c>
      <c r="B2450" s="4" t="s">
        <v>2626</v>
      </c>
      <c r="C2450" s="4" t="n">
        <v>71</v>
      </c>
      <c r="D2450" s="4" t="n">
        <v>5</v>
      </c>
      <c r="E2450" s="13" t="n">
        <v>44990</v>
      </c>
      <c r="F2450" s="4" t="s">
        <v>3184</v>
      </c>
      <c r="G2450" s="4" t="str">
        <f aca="false">INDEX(PurchaseOrders!$B$2:$B$3001,MATCH(B2450,PurchaseOrders!$A$2:$A$3001,0))</f>
        <v>V037</v>
      </c>
    </row>
    <row r="2451" customFormat="false" ht="15" hidden="false" customHeight="true" outlineLevel="0" collapsed="false">
      <c r="A2451" s="4" t="s">
        <v>5638</v>
      </c>
      <c r="B2451" s="4" t="s">
        <v>2627</v>
      </c>
      <c r="C2451" s="4" t="n">
        <v>264</v>
      </c>
      <c r="D2451" s="4" t="n">
        <v>22</v>
      </c>
      <c r="E2451" s="13" t="n">
        <v>45586</v>
      </c>
      <c r="F2451" s="4" t="s">
        <v>3188</v>
      </c>
      <c r="G2451" s="4" t="str">
        <f aca="false">INDEX(PurchaseOrders!$B$2:$B$3001,MATCH(B2451,PurchaseOrders!$A$2:$A$3001,0))</f>
        <v>V036</v>
      </c>
    </row>
    <row r="2452" customFormat="false" ht="15" hidden="false" customHeight="true" outlineLevel="0" collapsed="false">
      <c r="A2452" s="4" t="s">
        <v>5639</v>
      </c>
      <c r="B2452" s="4" t="s">
        <v>2628</v>
      </c>
      <c r="C2452" s="4" t="n">
        <v>12</v>
      </c>
      <c r="D2452" s="4" t="n">
        <v>0</v>
      </c>
      <c r="E2452" s="13" t="n">
        <v>45314</v>
      </c>
      <c r="F2452" s="4"/>
      <c r="G2452" s="4" t="str">
        <f aca="false">INDEX(PurchaseOrders!$B$2:$B$3001,MATCH(B2452,PurchaseOrders!$A$2:$A$3001,0))</f>
        <v>V016</v>
      </c>
    </row>
    <row r="2453" customFormat="false" ht="15" hidden="false" customHeight="true" outlineLevel="0" collapsed="false">
      <c r="A2453" s="4" t="s">
        <v>5640</v>
      </c>
      <c r="B2453" s="4" t="s">
        <v>2629</v>
      </c>
      <c r="C2453" s="4" t="n">
        <v>185</v>
      </c>
      <c r="D2453" s="4" t="n">
        <v>11</v>
      </c>
      <c r="E2453" s="13" t="n">
        <v>45466</v>
      </c>
      <c r="F2453" s="4" t="s">
        <v>3186</v>
      </c>
      <c r="G2453" s="4" t="str">
        <f aca="false">INDEX(PurchaseOrders!$B$2:$B$3001,MATCH(B2453,PurchaseOrders!$A$2:$A$3001,0))</f>
        <v>V055</v>
      </c>
    </row>
    <row r="2454" customFormat="false" ht="15" hidden="false" customHeight="true" outlineLevel="0" collapsed="false">
      <c r="A2454" s="4" t="s">
        <v>5641</v>
      </c>
      <c r="B2454" s="4" t="s">
        <v>2630</v>
      </c>
      <c r="C2454" s="4" t="n">
        <v>373</v>
      </c>
      <c r="D2454" s="4" t="n">
        <v>26</v>
      </c>
      <c r="E2454" s="13" t="n">
        <v>45179</v>
      </c>
      <c r="F2454" s="4" t="s">
        <v>3202</v>
      </c>
      <c r="G2454" s="4" t="str">
        <f aca="false">INDEX(PurchaseOrders!$B$2:$B$3001,MATCH(B2454,PurchaseOrders!$A$2:$A$3001,0))</f>
        <v>V033</v>
      </c>
    </row>
    <row r="2455" customFormat="false" ht="15" hidden="false" customHeight="true" outlineLevel="0" collapsed="false">
      <c r="A2455" s="4" t="s">
        <v>5642</v>
      </c>
      <c r="B2455" s="4" t="s">
        <v>2631</v>
      </c>
      <c r="C2455" s="4" t="n">
        <v>118</v>
      </c>
      <c r="D2455" s="4" t="n">
        <v>8</v>
      </c>
      <c r="E2455" s="13" t="n">
        <v>45272</v>
      </c>
      <c r="F2455" s="4" t="s">
        <v>3202</v>
      </c>
      <c r="G2455" s="4" t="str">
        <f aca="false">INDEX(PurchaseOrders!$B$2:$B$3001,MATCH(B2455,PurchaseOrders!$A$2:$A$3001,0))</f>
        <v>V013</v>
      </c>
    </row>
    <row r="2456" customFormat="false" ht="15" hidden="false" customHeight="true" outlineLevel="0" collapsed="false">
      <c r="A2456" s="4" t="s">
        <v>5643</v>
      </c>
      <c r="B2456" s="4" t="s">
        <v>2632</v>
      </c>
      <c r="C2456" s="4" t="n">
        <v>2938</v>
      </c>
      <c r="D2456" s="4" t="n">
        <v>438</v>
      </c>
      <c r="E2456" s="13" t="n">
        <v>45235</v>
      </c>
      <c r="F2456" s="4" t="s">
        <v>3190</v>
      </c>
      <c r="G2456" s="4" t="str">
        <f aca="false">INDEX(PurchaseOrders!$B$2:$B$3001,MATCH(B2456,PurchaseOrders!$A$2:$A$3001,0))</f>
        <v>V057</v>
      </c>
    </row>
    <row r="2457" customFormat="false" ht="15" hidden="false" customHeight="true" outlineLevel="0" collapsed="false">
      <c r="A2457" s="4" t="s">
        <v>5644</v>
      </c>
      <c r="B2457" s="4" t="s">
        <v>2633</v>
      </c>
      <c r="C2457" s="4" t="n">
        <v>1019</v>
      </c>
      <c r="D2457" s="4" t="n">
        <v>55</v>
      </c>
      <c r="E2457" s="13" t="n">
        <v>45446</v>
      </c>
      <c r="F2457" s="4" t="s">
        <v>3192</v>
      </c>
      <c r="G2457" s="4" t="str">
        <f aca="false">INDEX(PurchaseOrders!$B$2:$B$3001,MATCH(B2457,PurchaseOrders!$A$2:$A$3001,0))</f>
        <v>V045</v>
      </c>
    </row>
    <row r="2458" customFormat="false" ht="15" hidden="false" customHeight="true" outlineLevel="0" collapsed="false">
      <c r="A2458" s="4" t="s">
        <v>5645</v>
      </c>
      <c r="B2458" s="4" t="s">
        <v>2634</v>
      </c>
      <c r="C2458" s="4" t="n">
        <v>286</v>
      </c>
      <c r="D2458" s="4" t="n">
        <v>11</v>
      </c>
      <c r="E2458" s="13" t="n">
        <v>45385</v>
      </c>
      <c r="F2458" s="4" t="s">
        <v>3188</v>
      </c>
      <c r="G2458" s="4" t="str">
        <f aca="false">INDEX(PurchaseOrders!$B$2:$B$3001,MATCH(B2458,PurchaseOrders!$A$2:$A$3001,0))</f>
        <v>V052</v>
      </c>
    </row>
    <row r="2459" customFormat="false" ht="15" hidden="false" customHeight="true" outlineLevel="0" collapsed="false">
      <c r="A2459" s="4" t="s">
        <v>5646</v>
      </c>
      <c r="B2459" s="4" t="s">
        <v>2635</v>
      </c>
      <c r="C2459" s="4" t="n">
        <v>194</v>
      </c>
      <c r="D2459" s="4" t="n">
        <v>0</v>
      </c>
      <c r="E2459" s="13" t="n">
        <v>45521</v>
      </c>
      <c r="F2459" s="4"/>
      <c r="G2459" s="4" t="str">
        <f aca="false">INDEX(PurchaseOrders!$B$2:$B$3001,MATCH(B2459,PurchaseOrders!$A$2:$A$3001,0))</f>
        <v>V031</v>
      </c>
    </row>
    <row r="2460" customFormat="false" ht="15" hidden="false" customHeight="true" outlineLevel="0" collapsed="false">
      <c r="A2460" s="4" t="s">
        <v>5647</v>
      </c>
      <c r="B2460" s="4" t="s">
        <v>2636</v>
      </c>
      <c r="C2460" s="4" t="n">
        <v>1782</v>
      </c>
      <c r="D2460" s="4" t="n">
        <v>28</v>
      </c>
      <c r="E2460" s="13" t="n">
        <v>45350</v>
      </c>
      <c r="F2460" s="4" t="s">
        <v>3188</v>
      </c>
      <c r="G2460" s="4" t="str">
        <f aca="false">INDEX(PurchaseOrders!$B$2:$B$3001,MATCH(B2460,PurchaseOrders!$A$2:$A$3001,0))</f>
        <v>V059</v>
      </c>
    </row>
    <row r="2461" customFormat="false" ht="15" hidden="false" customHeight="true" outlineLevel="0" collapsed="false">
      <c r="A2461" s="4" t="s">
        <v>5648</v>
      </c>
      <c r="B2461" s="4" t="s">
        <v>2637</v>
      </c>
      <c r="C2461" s="4" t="n">
        <v>461</v>
      </c>
      <c r="D2461" s="4" t="n">
        <v>46</v>
      </c>
      <c r="E2461" s="13" t="n">
        <v>45257</v>
      </c>
      <c r="F2461" s="4" t="s">
        <v>3202</v>
      </c>
      <c r="G2461" s="4" t="str">
        <f aca="false">INDEX(PurchaseOrders!$B$2:$B$3001,MATCH(B2461,PurchaseOrders!$A$2:$A$3001,0))</f>
        <v>V012</v>
      </c>
    </row>
    <row r="2462" customFormat="false" ht="15" hidden="false" customHeight="true" outlineLevel="0" collapsed="false">
      <c r="A2462" s="4" t="s">
        <v>5649</v>
      </c>
      <c r="B2462" s="4" t="s">
        <v>2638</v>
      </c>
      <c r="C2462" s="4" t="n">
        <v>1286</v>
      </c>
      <c r="D2462" s="4" t="n">
        <v>67</v>
      </c>
      <c r="E2462" s="13" t="n">
        <v>45647</v>
      </c>
      <c r="F2462" s="4" t="s">
        <v>3188</v>
      </c>
      <c r="G2462" s="4" t="str">
        <f aca="false">INDEX(PurchaseOrders!$B$2:$B$3001,MATCH(B2462,PurchaseOrders!$A$2:$A$3001,0))</f>
        <v>V056</v>
      </c>
    </row>
    <row r="2463" customFormat="false" ht="15" hidden="false" customHeight="true" outlineLevel="0" collapsed="false">
      <c r="A2463" s="4" t="s">
        <v>5650</v>
      </c>
      <c r="B2463" s="4" t="s">
        <v>2639</v>
      </c>
      <c r="C2463" s="4" t="n">
        <v>145</v>
      </c>
      <c r="D2463" s="4" t="n">
        <v>9</v>
      </c>
      <c r="E2463" s="13" t="n">
        <v>45120</v>
      </c>
      <c r="F2463" s="4" t="s">
        <v>3184</v>
      </c>
      <c r="G2463" s="4" t="str">
        <f aca="false">INDEX(PurchaseOrders!$B$2:$B$3001,MATCH(B2463,PurchaseOrders!$A$2:$A$3001,0))</f>
        <v>V037</v>
      </c>
    </row>
    <row r="2464" customFormat="false" ht="15" hidden="false" customHeight="true" outlineLevel="0" collapsed="false">
      <c r="A2464" s="4" t="s">
        <v>5651</v>
      </c>
      <c r="B2464" s="4" t="s">
        <v>2640</v>
      </c>
      <c r="C2464" s="4" t="n">
        <v>1900</v>
      </c>
      <c r="D2464" s="4" t="n">
        <v>143</v>
      </c>
      <c r="E2464" s="13" t="n">
        <v>45303</v>
      </c>
      <c r="F2464" s="4" t="s">
        <v>3188</v>
      </c>
      <c r="G2464" s="4" t="str">
        <f aca="false">INDEX(PurchaseOrders!$B$2:$B$3001,MATCH(B2464,PurchaseOrders!$A$2:$A$3001,0))</f>
        <v>V001</v>
      </c>
    </row>
    <row r="2465" customFormat="false" ht="15" hidden="false" customHeight="true" outlineLevel="0" collapsed="false">
      <c r="A2465" s="4" t="s">
        <v>5652</v>
      </c>
      <c r="B2465" s="4" t="s">
        <v>2641</v>
      </c>
      <c r="C2465" s="4" t="n">
        <v>7</v>
      </c>
      <c r="D2465" s="4" t="n">
        <v>1</v>
      </c>
      <c r="E2465" s="13" t="n">
        <v>45118</v>
      </c>
      <c r="F2465" s="4" t="s">
        <v>3202</v>
      </c>
      <c r="G2465" s="4" t="str">
        <f aca="false">INDEX(PurchaseOrders!$B$2:$B$3001,MATCH(B2465,PurchaseOrders!$A$2:$A$3001,0))</f>
        <v>V054</v>
      </c>
    </row>
    <row r="2466" customFormat="false" ht="15" hidden="false" customHeight="true" outlineLevel="0" collapsed="false">
      <c r="A2466" s="4" t="s">
        <v>5653</v>
      </c>
      <c r="B2466" s="4" t="s">
        <v>2642</v>
      </c>
      <c r="C2466" s="4" t="n">
        <v>883</v>
      </c>
      <c r="D2466" s="4" t="n">
        <v>41</v>
      </c>
      <c r="E2466" s="13" t="n">
        <v>45621</v>
      </c>
      <c r="F2466" s="4" t="s">
        <v>3192</v>
      </c>
      <c r="G2466" s="4" t="str">
        <f aca="false">INDEX(PurchaseOrders!$B$2:$B$3001,MATCH(B2466,PurchaseOrders!$A$2:$A$3001,0))</f>
        <v>V020</v>
      </c>
    </row>
    <row r="2467" customFormat="false" ht="15" hidden="false" customHeight="true" outlineLevel="0" collapsed="false">
      <c r="A2467" s="4" t="s">
        <v>5654</v>
      </c>
      <c r="B2467" s="4" t="s">
        <v>2643</v>
      </c>
      <c r="C2467" s="4" t="n">
        <v>441</v>
      </c>
      <c r="D2467" s="4" t="n">
        <v>13</v>
      </c>
      <c r="E2467" s="13" t="n">
        <v>45284</v>
      </c>
      <c r="F2467" s="4" t="s">
        <v>3190</v>
      </c>
      <c r="G2467" s="4" t="str">
        <f aca="false">INDEX(PurchaseOrders!$B$2:$B$3001,MATCH(B2467,PurchaseOrders!$A$2:$A$3001,0))</f>
        <v>V033</v>
      </c>
    </row>
    <row r="2468" customFormat="false" ht="15" hidden="false" customHeight="true" outlineLevel="0" collapsed="false">
      <c r="A2468" s="4" t="s">
        <v>5655</v>
      </c>
      <c r="B2468" s="4" t="s">
        <v>2644</v>
      </c>
      <c r="C2468" s="4" t="n">
        <v>20</v>
      </c>
      <c r="D2468" s="4" t="n">
        <v>0</v>
      </c>
      <c r="E2468" s="13" t="n">
        <v>45095</v>
      </c>
      <c r="F2468" s="4"/>
      <c r="G2468" s="4" t="str">
        <f aca="false">INDEX(PurchaseOrders!$B$2:$B$3001,MATCH(B2468,PurchaseOrders!$A$2:$A$3001,0))</f>
        <v>V046</v>
      </c>
    </row>
    <row r="2469" customFormat="false" ht="15" hidden="false" customHeight="true" outlineLevel="0" collapsed="false">
      <c r="A2469" s="4" t="s">
        <v>5656</v>
      </c>
      <c r="B2469" s="4" t="s">
        <v>2645</v>
      </c>
      <c r="C2469" s="4" t="n">
        <v>1485</v>
      </c>
      <c r="D2469" s="4" t="n">
        <v>181</v>
      </c>
      <c r="E2469" s="13" t="n">
        <v>45438</v>
      </c>
      <c r="F2469" s="4" t="s">
        <v>3184</v>
      </c>
      <c r="G2469" s="4" t="str">
        <f aca="false">INDEX(PurchaseOrders!$B$2:$B$3001,MATCH(B2469,PurchaseOrders!$A$2:$A$3001,0))</f>
        <v>V038</v>
      </c>
    </row>
    <row r="2470" customFormat="false" ht="15" hidden="false" customHeight="true" outlineLevel="0" collapsed="false">
      <c r="A2470" s="4" t="s">
        <v>5657</v>
      </c>
      <c r="B2470" s="4" t="s">
        <v>2646</v>
      </c>
      <c r="C2470" s="4" t="n">
        <v>799</v>
      </c>
      <c r="D2470" s="4" t="n">
        <v>79</v>
      </c>
      <c r="E2470" s="13" t="n">
        <v>45400</v>
      </c>
      <c r="F2470" s="4" t="s">
        <v>3202</v>
      </c>
      <c r="G2470" s="4" t="str">
        <f aca="false">INDEX(PurchaseOrders!$B$2:$B$3001,MATCH(B2470,PurchaseOrders!$A$2:$A$3001,0))</f>
        <v>V027</v>
      </c>
    </row>
    <row r="2471" customFormat="false" ht="15" hidden="false" customHeight="true" outlineLevel="0" collapsed="false">
      <c r="A2471" s="4" t="s">
        <v>5658</v>
      </c>
      <c r="B2471" s="4" t="s">
        <v>2647</v>
      </c>
      <c r="C2471" s="4" t="n">
        <v>16</v>
      </c>
      <c r="D2471" s="4" t="n">
        <v>0</v>
      </c>
      <c r="E2471" s="13" t="n">
        <v>45643</v>
      </c>
      <c r="F2471" s="4"/>
      <c r="G2471" s="4" t="str">
        <f aca="false">INDEX(PurchaseOrders!$B$2:$B$3001,MATCH(B2471,PurchaseOrders!$A$2:$A$3001,0))</f>
        <v>V019</v>
      </c>
    </row>
    <row r="2472" customFormat="false" ht="15" hidden="false" customHeight="true" outlineLevel="0" collapsed="false">
      <c r="A2472" s="4" t="s">
        <v>5659</v>
      </c>
      <c r="B2472" s="4" t="s">
        <v>2648</v>
      </c>
      <c r="C2472" s="4" t="n">
        <v>609</v>
      </c>
      <c r="D2472" s="4" t="n">
        <v>97</v>
      </c>
      <c r="E2472" s="13" t="n">
        <v>45103</v>
      </c>
      <c r="F2472" s="4" t="s">
        <v>3186</v>
      </c>
      <c r="G2472" s="4" t="str">
        <f aca="false">INDEX(PurchaseOrders!$B$2:$B$3001,MATCH(B2472,PurchaseOrders!$A$2:$A$3001,0))</f>
        <v>V025</v>
      </c>
    </row>
    <row r="2473" customFormat="false" ht="15" hidden="false" customHeight="true" outlineLevel="0" collapsed="false">
      <c r="A2473" s="4" t="s">
        <v>5660</v>
      </c>
      <c r="B2473" s="4" t="s">
        <v>2649</v>
      </c>
      <c r="C2473" s="4" t="n">
        <v>820</v>
      </c>
      <c r="D2473" s="4" t="n">
        <v>55</v>
      </c>
      <c r="E2473" s="13" t="n">
        <v>45032</v>
      </c>
      <c r="F2473" s="4" t="s">
        <v>3190</v>
      </c>
      <c r="G2473" s="4" t="str">
        <f aca="false">INDEX(PurchaseOrders!$B$2:$B$3001,MATCH(B2473,PurchaseOrders!$A$2:$A$3001,0))</f>
        <v>V017</v>
      </c>
    </row>
    <row r="2474" customFormat="false" ht="15" hidden="false" customHeight="true" outlineLevel="0" collapsed="false">
      <c r="A2474" s="4" t="s">
        <v>5661</v>
      </c>
      <c r="B2474" s="4" t="s">
        <v>2650</v>
      </c>
      <c r="C2474" s="4" t="n">
        <v>606</v>
      </c>
      <c r="D2474" s="4" t="n">
        <v>38</v>
      </c>
      <c r="E2474" s="13" t="n">
        <v>45652</v>
      </c>
      <c r="F2474" s="4" t="s">
        <v>3192</v>
      </c>
      <c r="G2474" s="4" t="str">
        <f aca="false">INDEX(PurchaseOrders!$B$2:$B$3001,MATCH(B2474,PurchaseOrders!$A$2:$A$3001,0))</f>
        <v>V014</v>
      </c>
    </row>
    <row r="2475" customFormat="false" ht="15" hidden="false" customHeight="true" outlineLevel="0" collapsed="false">
      <c r="A2475" s="4" t="s">
        <v>5662</v>
      </c>
      <c r="B2475" s="4" t="s">
        <v>2651</v>
      </c>
      <c r="C2475" s="4" t="n">
        <v>1</v>
      </c>
      <c r="D2475" s="4" t="n">
        <v>0</v>
      </c>
      <c r="E2475" s="13" t="n">
        <v>45574</v>
      </c>
      <c r="F2475" s="4"/>
      <c r="G2475" s="4" t="str">
        <f aca="false">INDEX(PurchaseOrders!$B$2:$B$3001,MATCH(B2475,PurchaseOrders!$A$2:$A$3001,0))</f>
        <v>V016</v>
      </c>
    </row>
    <row r="2476" customFormat="false" ht="15" hidden="false" customHeight="true" outlineLevel="0" collapsed="false">
      <c r="A2476" s="4" t="s">
        <v>5663</v>
      </c>
      <c r="B2476" s="4" t="s">
        <v>2652</v>
      </c>
      <c r="C2476" s="4" t="n">
        <v>132</v>
      </c>
      <c r="D2476" s="4" t="n">
        <v>7</v>
      </c>
      <c r="E2476" s="13" t="n">
        <v>45364</v>
      </c>
      <c r="F2476" s="4" t="s">
        <v>3190</v>
      </c>
      <c r="G2476" s="4" t="str">
        <f aca="false">INDEX(PurchaseOrders!$B$2:$B$3001,MATCH(B2476,PurchaseOrders!$A$2:$A$3001,0))</f>
        <v>V046</v>
      </c>
    </row>
    <row r="2477" customFormat="false" ht="15" hidden="false" customHeight="true" outlineLevel="0" collapsed="false">
      <c r="A2477" s="4" t="s">
        <v>5664</v>
      </c>
      <c r="B2477" s="4" t="s">
        <v>2653</v>
      </c>
      <c r="C2477" s="4" t="n">
        <v>299</v>
      </c>
      <c r="D2477" s="4" t="n">
        <v>38</v>
      </c>
      <c r="E2477" s="13" t="n">
        <v>45188</v>
      </c>
      <c r="F2477" s="4" t="s">
        <v>3202</v>
      </c>
      <c r="G2477" s="4" t="str">
        <f aca="false">INDEX(PurchaseOrders!$B$2:$B$3001,MATCH(B2477,PurchaseOrders!$A$2:$A$3001,0))</f>
        <v>V025</v>
      </c>
    </row>
    <row r="2478" customFormat="false" ht="15" hidden="false" customHeight="true" outlineLevel="0" collapsed="false">
      <c r="A2478" s="4" t="s">
        <v>5665</v>
      </c>
      <c r="B2478" s="4" t="s">
        <v>2654</v>
      </c>
      <c r="C2478" s="4" t="n">
        <v>347</v>
      </c>
      <c r="D2478" s="4" t="n">
        <v>8</v>
      </c>
      <c r="E2478" s="13" t="n">
        <v>45592</v>
      </c>
      <c r="F2478" s="4" t="s">
        <v>3202</v>
      </c>
      <c r="G2478" s="4" t="str">
        <f aca="false">INDEX(PurchaseOrders!$B$2:$B$3001,MATCH(B2478,PurchaseOrders!$A$2:$A$3001,0))</f>
        <v>V047</v>
      </c>
    </row>
    <row r="2479" customFormat="false" ht="15" hidden="false" customHeight="true" outlineLevel="0" collapsed="false">
      <c r="A2479" s="4" t="s">
        <v>5666</v>
      </c>
      <c r="B2479" s="4" t="s">
        <v>2655</v>
      </c>
      <c r="C2479" s="4" t="n">
        <v>207</v>
      </c>
      <c r="D2479" s="4" t="n">
        <v>21</v>
      </c>
      <c r="E2479" s="13" t="n">
        <v>45337</v>
      </c>
      <c r="F2479" s="4" t="s">
        <v>3184</v>
      </c>
      <c r="G2479" s="4" t="str">
        <f aca="false">INDEX(PurchaseOrders!$B$2:$B$3001,MATCH(B2479,PurchaseOrders!$A$2:$A$3001,0))</f>
        <v>V055</v>
      </c>
    </row>
    <row r="2480" customFormat="false" ht="15" hidden="false" customHeight="true" outlineLevel="0" collapsed="false">
      <c r="A2480" s="4" t="s">
        <v>5667</v>
      </c>
      <c r="B2480" s="4" t="s">
        <v>2656</v>
      </c>
      <c r="C2480" s="4" t="n">
        <v>403</v>
      </c>
      <c r="D2480" s="4" t="n">
        <v>0</v>
      </c>
      <c r="E2480" s="13" t="n">
        <v>45247</v>
      </c>
      <c r="F2480" s="4"/>
      <c r="G2480" s="4" t="str">
        <f aca="false">INDEX(PurchaseOrders!$B$2:$B$3001,MATCH(B2480,PurchaseOrders!$A$2:$A$3001,0))</f>
        <v>V060</v>
      </c>
    </row>
    <row r="2481" customFormat="false" ht="15" hidden="false" customHeight="true" outlineLevel="0" collapsed="false">
      <c r="A2481" s="4" t="s">
        <v>5668</v>
      </c>
      <c r="B2481" s="4" t="s">
        <v>2657</v>
      </c>
      <c r="C2481" s="4" t="n">
        <v>105</v>
      </c>
      <c r="D2481" s="4" t="n">
        <v>1</v>
      </c>
      <c r="E2481" s="13" t="n">
        <v>45584</v>
      </c>
      <c r="F2481" s="4" t="s">
        <v>3184</v>
      </c>
      <c r="G2481" s="4" t="str">
        <f aca="false">INDEX(PurchaseOrders!$B$2:$B$3001,MATCH(B2481,PurchaseOrders!$A$2:$A$3001,0))</f>
        <v>V040</v>
      </c>
    </row>
    <row r="2482" customFormat="false" ht="15" hidden="false" customHeight="true" outlineLevel="0" collapsed="false">
      <c r="A2482" s="4" t="s">
        <v>5669</v>
      </c>
      <c r="B2482" s="4" t="s">
        <v>2658</v>
      </c>
      <c r="C2482" s="4" t="n">
        <v>15</v>
      </c>
      <c r="D2482" s="4" t="n">
        <v>1</v>
      </c>
      <c r="E2482" s="13" t="n">
        <v>45155</v>
      </c>
      <c r="F2482" s="4" t="s">
        <v>3188</v>
      </c>
      <c r="G2482" s="4" t="str">
        <f aca="false">INDEX(PurchaseOrders!$B$2:$B$3001,MATCH(B2482,PurchaseOrders!$A$2:$A$3001,0))</f>
        <v>V054</v>
      </c>
    </row>
    <row r="2483" customFormat="false" ht="15" hidden="false" customHeight="true" outlineLevel="0" collapsed="false">
      <c r="A2483" s="4" t="s">
        <v>5670</v>
      </c>
      <c r="B2483" s="4" t="s">
        <v>2659</v>
      </c>
      <c r="C2483" s="4" t="n">
        <v>4038</v>
      </c>
      <c r="D2483" s="4" t="n">
        <v>350</v>
      </c>
      <c r="E2483" s="13" t="n">
        <v>45290</v>
      </c>
      <c r="F2483" s="4" t="s">
        <v>3184</v>
      </c>
      <c r="G2483" s="4" t="str">
        <f aca="false">INDEX(PurchaseOrders!$B$2:$B$3001,MATCH(B2483,PurchaseOrders!$A$2:$A$3001,0))</f>
        <v>V032</v>
      </c>
    </row>
    <row r="2484" customFormat="false" ht="15" hidden="false" customHeight="true" outlineLevel="0" collapsed="false">
      <c r="A2484" s="4" t="s">
        <v>5671</v>
      </c>
      <c r="B2484" s="4" t="s">
        <v>2660</v>
      </c>
      <c r="C2484" s="4" t="n">
        <v>4239</v>
      </c>
      <c r="D2484" s="4" t="n">
        <v>106</v>
      </c>
      <c r="E2484" s="13" t="n">
        <v>45429</v>
      </c>
      <c r="F2484" s="4" t="s">
        <v>3202</v>
      </c>
      <c r="G2484" s="4" t="str">
        <f aca="false">INDEX(PurchaseOrders!$B$2:$B$3001,MATCH(B2484,PurchaseOrders!$A$2:$A$3001,0))</f>
        <v>V003</v>
      </c>
    </row>
    <row r="2485" customFormat="false" ht="15" hidden="false" customHeight="true" outlineLevel="0" collapsed="false">
      <c r="A2485" s="4" t="s">
        <v>5672</v>
      </c>
      <c r="B2485" s="4" t="s">
        <v>2661</v>
      </c>
      <c r="C2485" s="4" t="n">
        <v>11</v>
      </c>
      <c r="D2485" s="4" t="n">
        <v>1</v>
      </c>
      <c r="E2485" s="13" t="n">
        <v>44977</v>
      </c>
      <c r="F2485" s="4" t="s">
        <v>3190</v>
      </c>
      <c r="G2485" s="4" t="str">
        <f aca="false">INDEX(PurchaseOrders!$B$2:$B$3001,MATCH(B2485,PurchaseOrders!$A$2:$A$3001,0))</f>
        <v>V041</v>
      </c>
    </row>
    <row r="2486" customFormat="false" ht="15" hidden="false" customHeight="true" outlineLevel="0" collapsed="false">
      <c r="A2486" s="4" t="s">
        <v>5673</v>
      </c>
      <c r="B2486" s="4" t="s">
        <v>2662</v>
      </c>
      <c r="C2486" s="4" t="n">
        <v>133</v>
      </c>
      <c r="D2486" s="4" t="n">
        <v>9</v>
      </c>
      <c r="E2486" s="13" t="n">
        <v>45192</v>
      </c>
      <c r="F2486" s="4" t="s">
        <v>3202</v>
      </c>
      <c r="G2486" s="4" t="str">
        <f aca="false">INDEX(PurchaseOrders!$B$2:$B$3001,MATCH(B2486,PurchaseOrders!$A$2:$A$3001,0))</f>
        <v>V037</v>
      </c>
    </row>
    <row r="2487" customFormat="false" ht="15" hidden="false" customHeight="true" outlineLevel="0" collapsed="false">
      <c r="A2487" s="4" t="s">
        <v>5674</v>
      </c>
      <c r="B2487" s="4" t="s">
        <v>2663</v>
      </c>
      <c r="C2487" s="4" t="n">
        <v>936</v>
      </c>
      <c r="D2487" s="4" t="n">
        <v>39</v>
      </c>
      <c r="E2487" s="13" t="n">
        <v>45017</v>
      </c>
      <c r="F2487" s="4" t="s">
        <v>3186</v>
      </c>
      <c r="G2487" s="4" t="str">
        <f aca="false">INDEX(PurchaseOrders!$B$2:$B$3001,MATCH(B2487,PurchaseOrders!$A$2:$A$3001,0))</f>
        <v>V022</v>
      </c>
    </row>
    <row r="2488" customFormat="false" ht="15" hidden="false" customHeight="true" outlineLevel="0" collapsed="false">
      <c r="A2488" s="4" t="s">
        <v>5675</v>
      </c>
      <c r="B2488" s="4" t="s">
        <v>2664</v>
      </c>
      <c r="C2488" s="4" t="n">
        <v>224</v>
      </c>
      <c r="D2488" s="4" t="n">
        <v>28</v>
      </c>
      <c r="E2488" s="13" t="n">
        <v>45318</v>
      </c>
      <c r="F2488" s="4" t="s">
        <v>3184</v>
      </c>
      <c r="G2488" s="4" t="str">
        <f aca="false">INDEX(PurchaseOrders!$B$2:$B$3001,MATCH(B2488,PurchaseOrders!$A$2:$A$3001,0))</f>
        <v>V055</v>
      </c>
    </row>
    <row r="2489" customFormat="false" ht="15" hidden="false" customHeight="true" outlineLevel="0" collapsed="false">
      <c r="A2489" s="4" t="s">
        <v>5676</v>
      </c>
      <c r="B2489" s="4" t="s">
        <v>2665</v>
      </c>
      <c r="C2489" s="4" t="n">
        <v>984</v>
      </c>
      <c r="D2489" s="4" t="n">
        <v>22</v>
      </c>
      <c r="E2489" s="13" t="n">
        <v>45205</v>
      </c>
      <c r="F2489" s="4" t="s">
        <v>3188</v>
      </c>
      <c r="G2489" s="4" t="str">
        <f aca="false">INDEX(PurchaseOrders!$B$2:$B$3001,MATCH(B2489,PurchaseOrders!$A$2:$A$3001,0))</f>
        <v>V051</v>
      </c>
    </row>
    <row r="2490" customFormat="false" ht="15" hidden="false" customHeight="true" outlineLevel="0" collapsed="false">
      <c r="A2490" s="4" t="s">
        <v>5677</v>
      </c>
      <c r="B2490" s="4" t="s">
        <v>2666</v>
      </c>
      <c r="C2490" s="4" t="n">
        <v>112</v>
      </c>
      <c r="D2490" s="4" t="n">
        <v>9</v>
      </c>
      <c r="E2490" s="13" t="n">
        <v>45127</v>
      </c>
      <c r="F2490" s="4" t="s">
        <v>3184</v>
      </c>
      <c r="G2490" s="4" t="str">
        <f aca="false">INDEX(PurchaseOrders!$B$2:$B$3001,MATCH(B2490,PurchaseOrders!$A$2:$A$3001,0))</f>
        <v>V004</v>
      </c>
    </row>
    <row r="2491" customFormat="false" ht="15" hidden="false" customHeight="true" outlineLevel="0" collapsed="false">
      <c r="A2491" s="4" t="s">
        <v>5678</v>
      </c>
      <c r="B2491" s="4" t="s">
        <v>2667</v>
      </c>
      <c r="C2491" s="4" t="n">
        <v>162</v>
      </c>
      <c r="D2491" s="4" t="n">
        <v>13</v>
      </c>
      <c r="E2491" s="13" t="n">
        <v>45093</v>
      </c>
      <c r="F2491" s="4" t="s">
        <v>3192</v>
      </c>
      <c r="G2491" s="4" t="str">
        <f aca="false">INDEX(PurchaseOrders!$B$2:$B$3001,MATCH(B2491,PurchaseOrders!$A$2:$A$3001,0))</f>
        <v>V013</v>
      </c>
    </row>
    <row r="2492" customFormat="false" ht="15" hidden="false" customHeight="true" outlineLevel="0" collapsed="false">
      <c r="A2492" s="4" t="s">
        <v>5679</v>
      </c>
      <c r="B2492" s="4" t="s">
        <v>2668</v>
      </c>
      <c r="C2492" s="4" t="n">
        <v>338</v>
      </c>
      <c r="D2492" s="4" t="n">
        <v>9</v>
      </c>
      <c r="E2492" s="13" t="n">
        <v>45357</v>
      </c>
      <c r="F2492" s="4" t="s">
        <v>3192</v>
      </c>
      <c r="G2492" s="4" t="str">
        <f aca="false">INDEX(PurchaseOrders!$B$2:$B$3001,MATCH(B2492,PurchaseOrders!$A$2:$A$3001,0))</f>
        <v>V011</v>
      </c>
    </row>
    <row r="2493" customFormat="false" ht="15" hidden="false" customHeight="true" outlineLevel="0" collapsed="false">
      <c r="A2493" s="4" t="s">
        <v>5680</v>
      </c>
      <c r="B2493" s="4" t="s">
        <v>2669</v>
      </c>
      <c r="C2493" s="4" t="n">
        <v>1390</v>
      </c>
      <c r="D2493" s="4" t="n">
        <v>56</v>
      </c>
      <c r="E2493" s="13" t="n">
        <v>45113</v>
      </c>
      <c r="F2493" s="4" t="s">
        <v>3188</v>
      </c>
      <c r="G2493" s="4" t="str">
        <f aca="false">INDEX(PurchaseOrders!$B$2:$B$3001,MATCH(B2493,PurchaseOrders!$A$2:$A$3001,0))</f>
        <v>V045</v>
      </c>
    </row>
    <row r="2494" customFormat="false" ht="15" hidden="false" customHeight="true" outlineLevel="0" collapsed="false">
      <c r="A2494" s="4" t="s">
        <v>5681</v>
      </c>
      <c r="B2494" s="4" t="s">
        <v>2670</v>
      </c>
      <c r="C2494" s="4" t="n">
        <v>1492</v>
      </c>
      <c r="D2494" s="4" t="n">
        <v>213</v>
      </c>
      <c r="E2494" s="13" t="n">
        <v>45365</v>
      </c>
      <c r="F2494" s="4" t="s">
        <v>3192</v>
      </c>
      <c r="G2494" s="4" t="str">
        <f aca="false">INDEX(PurchaseOrders!$B$2:$B$3001,MATCH(B2494,PurchaseOrders!$A$2:$A$3001,0))</f>
        <v>V025</v>
      </c>
    </row>
    <row r="2495" customFormat="false" ht="15" hidden="false" customHeight="true" outlineLevel="0" collapsed="false">
      <c r="A2495" s="4" t="s">
        <v>5682</v>
      </c>
      <c r="B2495" s="4" t="s">
        <v>2671</v>
      </c>
      <c r="C2495" s="4" t="n">
        <v>5</v>
      </c>
      <c r="D2495" s="4" t="n">
        <v>0</v>
      </c>
      <c r="E2495" s="13" t="n">
        <v>45184</v>
      </c>
      <c r="F2495" s="4"/>
      <c r="G2495" s="4" t="str">
        <f aca="false">INDEX(PurchaseOrders!$B$2:$B$3001,MATCH(B2495,PurchaseOrders!$A$2:$A$3001,0))</f>
        <v>V016</v>
      </c>
    </row>
    <row r="2496" customFormat="false" ht="15" hidden="false" customHeight="true" outlineLevel="0" collapsed="false">
      <c r="A2496" s="4" t="s">
        <v>5683</v>
      </c>
      <c r="B2496" s="4" t="s">
        <v>2672</v>
      </c>
      <c r="C2496" s="4" t="n">
        <v>1564</v>
      </c>
      <c r="D2496" s="4" t="n">
        <v>148</v>
      </c>
      <c r="E2496" s="13" t="n">
        <v>45246</v>
      </c>
      <c r="F2496" s="4" t="s">
        <v>3190</v>
      </c>
      <c r="G2496" s="4" t="str">
        <f aca="false">INDEX(PurchaseOrders!$B$2:$B$3001,MATCH(B2496,PurchaseOrders!$A$2:$A$3001,0))</f>
        <v>V028</v>
      </c>
    </row>
    <row r="2497" customFormat="false" ht="15" hidden="false" customHeight="true" outlineLevel="0" collapsed="false">
      <c r="A2497" s="4" t="s">
        <v>5684</v>
      </c>
      <c r="B2497" s="4" t="s">
        <v>2673</v>
      </c>
      <c r="C2497" s="4" t="n">
        <v>10</v>
      </c>
      <c r="D2497" s="4" t="n">
        <v>2</v>
      </c>
      <c r="E2497" s="13" t="n">
        <v>45562</v>
      </c>
      <c r="F2497" s="4" t="s">
        <v>3186</v>
      </c>
      <c r="G2497" s="4" t="str">
        <f aca="false">INDEX(PurchaseOrders!$B$2:$B$3001,MATCH(B2497,PurchaseOrders!$A$2:$A$3001,0))</f>
        <v>V042</v>
      </c>
    </row>
    <row r="2498" customFormat="false" ht="15" hidden="false" customHeight="true" outlineLevel="0" collapsed="false">
      <c r="A2498" s="4" t="s">
        <v>5685</v>
      </c>
      <c r="B2498" s="4" t="s">
        <v>2674</v>
      </c>
      <c r="C2498" s="4" t="n">
        <v>15</v>
      </c>
      <c r="D2498" s="4" t="n">
        <v>1</v>
      </c>
      <c r="E2498" s="13" t="n">
        <v>45240</v>
      </c>
      <c r="F2498" s="4" t="s">
        <v>3188</v>
      </c>
      <c r="G2498" s="4" t="str">
        <f aca="false">INDEX(PurchaseOrders!$B$2:$B$3001,MATCH(B2498,PurchaseOrders!$A$2:$A$3001,0))</f>
        <v>V054</v>
      </c>
    </row>
    <row r="2499" customFormat="false" ht="15" hidden="false" customHeight="true" outlineLevel="0" collapsed="false">
      <c r="A2499" s="4" t="s">
        <v>5686</v>
      </c>
      <c r="B2499" s="4" t="s">
        <v>2675</v>
      </c>
      <c r="C2499" s="4" t="n">
        <v>18</v>
      </c>
      <c r="D2499" s="4" t="n">
        <v>1</v>
      </c>
      <c r="E2499" s="13" t="n">
        <v>45347</v>
      </c>
      <c r="F2499" s="4" t="s">
        <v>3192</v>
      </c>
      <c r="G2499" s="4" t="str">
        <f aca="false">INDEX(PurchaseOrders!$B$2:$B$3001,MATCH(B2499,PurchaseOrders!$A$2:$A$3001,0))</f>
        <v>V054</v>
      </c>
    </row>
    <row r="2500" customFormat="false" ht="15" hidden="false" customHeight="true" outlineLevel="0" collapsed="false">
      <c r="A2500" s="4" t="s">
        <v>5687</v>
      </c>
      <c r="B2500" s="4" t="s">
        <v>2676</v>
      </c>
      <c r="C2500" s="4" t="n">
        <v>338</v>
      </c>
      <c r="D2500" s="4" t="n">
        <v>41</v>
      </c>
      <c r="E2500" s="13" t="n">
        <v>45065</v>
      </c>
      <c r="F2500" s="4" t="s">
        <v>3188</v>
      </c>
      <c r="G2500" s="4" t="str">
        <f aca="false">INDEX(PurchaseOrders!$B$2:$B$3001,MATCH(B2500,PurchaseOrders!$A$2:$A$3001,0))</f>
        <v>V055</v>
      </c>
    </row>
    <row r="2501" customFormat="false" ht="15" hidden="false" customHeight="true" outlineLevel="0" collapsed="false">
      <c r="A2501" s="4" t="s">
        <v>5688</v>
      </c>
      <c r="B2501" s="4" t="s">
        <v>2677</v>
      </c>
      <c r="C2501" s="4" t="n">
        <v>389</v>
      </c>
      <c r="D2501" s="4" t="n">
        <v>19</v>
      </c>
      <c r="E2501" s="13" t="n">
        <v>45588</v>
      </c>
      <c r="F2501" s="4" t="s">
        <v>3186</v>
      </c>
      <c r="G2501" s="4" t="str">
        <f aca="false">INDEX(PurchaseOrders!$B$2:$B$3001,MATCH(B2501,PurchaseOrders!$A$2:$A$3001,0))</f>
        <v>V012</v>
      </c>
    </row>
    <row r="2502" customFormat="false" ht="15" hidden="false" customHeight="true" outlineLevel="0" collapsed="false">
      <c r="A2502" s="4" t="s">
        <v>5689</v>
      </c>
      <c r="B2502" s="4" t="s">
        <v>2678</v>
      </c>
      <c r="C2502" s="4" t="n">
        <v>204</v>
      </c>
      <c r="D2502" s="4" t="n">
        <v>17</v>
      </c>
      <c r="E2502" s="13" t="n">
        <v>45110</v>
      </c>
      <c r="F2502" s="4" t="s">
        <v>3202</v>
      </c>
      <c r="G2502" s="4" t="str">
        <f aca="false">INDEX(PurchaseOrders!$B$2:$B$3001,MATCH(B2502,PurchaseOrders!$A$2:$A$3001,0))</f>
        <v>V018</v>
      </c>
    </row>
    <row r="2503" customFormat="false" ht="15" hidden="false" customHeight="true" outlineLevel="0" collapsed="false">
      <c r="A2503" s="4" t="s">
        <v>5690</v>
      </c>
      <c r="B2503" s="4" t="s">
        <v>2679</v>
      </c>
      <c r="C2503" s="4" t="n">
        <v>3156</v>
      </c>
      <c r="D2503" s="4" t="n">
        <v>236</v>
      </c>
      <c r="E2503" s="13" t="n">
        <v>45161</v>
      </c>
      <c r="F2503" s="4" t="s">
        <v>3186</v>
      </c>
      <c r="G2503" s="4" t="str">
        <f aca="false">INDEX(PurchaseOrders!$B$2:$B$3001,MATCH(B2503,PurchaseOrders!$A$2:$A$3001,0))</f>
        <v>V028</v>
      </c>
    </row>
    <row r="2504" customFormat="false" ht="15" hidden="false" customHeight="true" outlineLevel="0" collapsed="false">
      <c r="A2504" s="4" t="s">
        <v>5691</v>
      </c>
      <c r="B2504" s="4" t="s">
        <v>2680</v>
      </c>
      <c r="C2504" s="4" t="n">
        <v>35</v>
      </c>
      <c r="D2504" s="4" t="n">
        <v>0</v>
      </c>
      <c r="E2504" s="13" t="n">
        <v>45180</v>
      </c>
      <c r="F2504" s="4"/>
      <c r="G2504" s="4" t="str">
        <f aca="false">INDEX(PurchaseOrders!$B$2:$B$3001,MATCH(B2504,PurchaseOrders!$A$2:$A$3001,0))</f>
        <v>V040</v>
      </c>
    </row>
    <row r="2505" customFormat="false" ht="15" hidden="false" customHeight="true" outlineLevel="0" collapsed="false">
      <c r="A2505" s="4" t="s">
        <v>5692</v>
      </c>
      <c r="B2505" s="4" t="s">
        <v>2681</v>
      </c>
      <c r="C2505" s="4" t="n">
        <v>280</v>
      </c>
      <c r="D2505" s="4" t="n">
        <v>2</v>
      </c>
      <c r="E2505" s="13" t="n">
        <v>45322</v>
      </c>
      <c r="F2505" s="4" t="s">
        <v>3190</v>
      </c>
      <c r="G2505" s="4" t="str">
        <f aca="false">INDEX(PurchaseOrders!$B$2:$B$3001,MATCH(B2505,PurchaseOrders!$A$2:$A$3001,0))</f>
        <v>V047</v>
      </c>
    </row>
    <row r="2506" customFormat="false" ht="15" hidden="false" customHeight="true" outlineLevel="0" collapsed="false">
      <c r="A2506" s="4" t="s">
        <v>5693</v>
      </c>
      <c r="B2506" s="4" t="s">
        <v>2682</v>
      </c>
      <c r="C2506" s="4" t="n">
        <v>1773</v>
      </c>
      <c r="D2506" s="4" t="n">
        <v>238</v>
      </c>
      <c r="E2506" s="13" t="n">
        <v>44997</v>
      </c>
      <c r="F2506" s="4" t="s">
        <v>3184</v>
      </c>
      <c r="G2506" s="4" t="str">
        <f aca="false">INDEX(PurchaseOrders!$B$2:$B$3001,MATCH(B2506,PurchaseOrders!$A$2:$A$3001,0))</f>
        <v>V057</v>
      </c>
    </row>
    <row r="2507" customFormat="false" ht="15" hidden="false" customHeight="true" outlineLevel="0" collapsed="false">
      <c r="A2507" s="4" t="s">
        <v>5694</v>
      </c>
      <c r="B2507" s="4" t="s">
        <v>2683</v>
      </c>
      <c r="C2507" s="4" t="n">
        <v>2229</v>
      </c>
      <c r="D2507" s="4" t="n">
        <v>35</v>
      </c>
      <c r="E2507" s="13" t="n">
        <v>45046</v>
      </c>
      <c r="F2507" s="4" t="s">
        <v>3184</v>
      </c>
      <c r="G2507" s="4" t="str">
        <f aca="false">INDEX(PurchaseOrders!$B$2:$B$3001,MATCH(B2507,PurchaseOrders!$A$2:$A$3001,0))</f>
        <v>V058</v>
      </c>
    </row>
    <row r="2508" customFormat="false" ht="15" hidden="false" customHeight="true" outlineLevel="0" collapsed="false">
      <c r="A2508" s="4" t="s">
        <v>5695</v>
      </c>
      <c r="B2508" s="4" t="s">
        <v>2684</v>
      </c>
      <c r="C2508" s="4" t="n">
        <v>134</v>
      </c>
      <c r="D2508" s="4" t="n">
        <v>5</v>
      </c>
      <c r="E2508" s="13" t="n">
        <v>45649</v>
      </c>
      <c r="F2508" s="4" t="s">
        <v>3188</v>
      </c>
      <c r="G2508" s="4" t="str">
        <f aca="false">INDEX(PurchaseOrders!$B$2:$B$3001,MATCH(B2508,PurchaseOrders!$A$2:$A$3001,0))</f>
        <v>V024</v>
      </c>
    </row>
    <row r="2509" customFormat="false" ht="15" hidden="false" customHeight="true" outlineLevel="0" collapsed="false">
      <c r="A2509" s="4" t="s">
        <v>5696</v>
      </c>
      <c r="B2509" s="4" t="s">
        <v>2685</v>
      </c>
      <c r="C2509" s="4" t="n">
        <v>1598</v>
      </c>
      <c r="D2509" s="4" t="n">
        <v>12</v>
      </c>
      <c r="E2509" s="13" t="n">
        <v>45618</v>
      </c>
      <c r="F2509" s="4" t="s">
        <v>3188</v>
      </c>
      <c r="G2509" s="4" t="str">
        <f aca="false">INDEX(PurchaseOrders!$B$2:$B$3001,MATCH(B2509,PurchaseOrders!$A$2:$A$3001,0))</f>
        <v>V021</v>
      </c>
    </row>
    <row r="2510" customFormat="false" ht="15" hidden="false" customHeight="true" outlineLevel="0" collapsed="false">
      <c r="A2510" s="4" t="s">
        <v>5697</v>
      </c>
      <c r="B2510" s="4" t="s">
        <v>2686</v>
      </c>
      <c r="C2510" s="4" t="n">
        <v>117</v>
      </c>
      <c r="D2510" s="4" t="n">
        <v>12</v>
      </c>
      <c r="E2510" s="13" t="n">
        <v>45072</v>
      </c>
      <c r="F2510" s="4" t="s">
        <v>3184</v>
      </c>
      <c r="G2510" s="4" t="str">
        <f aca="false">INDEX(PurchaseOrders!$B$2:$B$3001,MATCH(B2510,PurchaseOrders!$A$2:$A$3001,0))</f>
        <v>V043</v>
      </c>
    </row>
    <row r="2511" customFormat="false" ht="15" hidden="false" customHeight="true" outlineLevel="0" collapsed="false">
      <c r="A2511" s="4" t="s">
        <v>5698</v>
      </c>
      <c r="B2511" s="4" t="s">
        <v>2687</v>
      </c>
      <c r="C2511" s="4" t="n">
        <v>111</v>
      </c>
      <c r="D2511" s="4" t="n">
        <v>15</v>
      </c>
      <c r="E2511" s="13" t="n">
        <v>45462</v>
      </c>
      <c r="F2511" s="4" t="s">
        <v>3186</v>
      </c>
      <c r="G2511" s="4" t="str">
        <f aca="false">INDEX(PurchaseOrders!$B$2:$B$3001,MATCH(B2511,PurchaseOrders!$A$2:$A$3001,0))</f>
        <v>V049</v>
      </c>
    </row>
    <row r="2512" customFormat="false" ht="15" hidden="false" customHeight="true" outlineLevel="0" collapsed="false">
      <c r="A2512" s="4" t="s">
        <v>5699</v>
      </c>
      <c r="B2512" s="4" t="s">
        <v>2688</v>
      </c>
      <c r="C2512" s="4" t="n">
        <v>441</v>
      </c>
      <c r="D2512" s="4" t="n">
        <v>37</v>
      </c>
      <c r="E2512" s="13" t="n">
        <v>45335</v>
      </c>
      <c r="F2512" s="4" t="s">
        <v>3190</v>
      </c>
      <c r="G2512" s="4" t="str">
        <f aca="false">INDEX(PurchaseOrders!$B$2:$B$3001,MATCH(B2512,PurchaseOrders!$A$2:$A$3001,0))</f>
        <v>V049</v>
      </c>
    </row>
    <row r="2513" customFormat="false" ht="15" hidden="false" customHeight="true" outlineLevel="0" collapsed="false">
      <c r="A2513" s="4" t="s">
        <v>5700</v>
      </c>
      <c r="B2513" s="4" t="s">
        <v>2689</v>
      </c>
      <c r="C2513" s="4" t="n">
        <v>87</v>
      </c>
      <c r="D2513" s="4" t="n">
        <v>7</v>
      </c>
      <c r="E2513" s="13" t="n">
        <v>45651</v>
      </c>
      <c r="F2513" s="4" t="s">
        <v>3202</v>
      </c>
      <c r="G2513" s="4" t="str">
        <f aca="false">INDEX(PurchaseOrders!$B$2:$B$3001,MATCH(B2513,PurchaseOrders!$A$2:$A$3001,0))</f>
        <v>V033</v>
      </c>
    </row>
    <row r="2514" customFormat="false" ht="15" hidden="false" customHeight="true" outlineLevel="0" collapsed="false">
      <c r="A2514" s="4" t="s">
        <v>5701</v>
      </c>
      <c r="B2514" s="4" t="s">
        <v>2690</v>
      </c>
      <c r="C2514" s="4" t="n">
        <v>233</v>
      </c>
      <c r="D2514" s="4" t="n">
        <v>22</v>
      </c>
      <c r="E2514" s="13" t="n">
        <v>45100</v>
      </c>
      <c r="F2514" s="4" t="s">
        <v>3188</v>
      </c>
      <c r="G2514" s="4" t="str">
        <f aca="false">INDEX(PurchaseOrders!$B$2:$B$3001,MATCH(B2514,PurchaseOrders!$A$2:$A$3001,0))</f>
        <v>V030</v>
      </c>
    </row>
    <row r="2515" customFormat="false" ht="15" hidden="false" customHeight="true" outlineLevel="0" collapsed="false">
      <c r="A2515" s="4" t="s">
        <v>5702</v>
      </c>
      <c r="B2515" s="4" t="s">
        <v>2691</v>
      </c>
      <c r="C2515" s="4" t="n">
        <v>94</v>
      </c>
      <c r="D2515" s="4" t="n">
        <v>1</v>
      </c>
      <c r="E2515" s="13" t="n">
        <v>45298</v>
      </c>
      <c r="F2515" s="4" t="s">
        <v>3184</v>
      </c>
      <c r="G2515" s="4" t="str">
        <f aca="false">INDEX(PurchaseOrders!$B$2:$B$3001,MATCH(B2515,PurchaseOrders!$A$2:$A$3001,0))</f>
        <v>V047</v>
      </c>
    </row>
    <row r="2516" customFormat="false" ht="15" hidden="false" customHeight="true" outlineLevel="0" collapsed="false">
      <c r="A2516" s="4" t="s">
        <v>5703</v>
      </c>
      <c r="B2516" s="4" t="s">
        <v>2692</v>
      </c>
      <c r="C2516" s="4" t="n">
        <v>580</v>
      </c>
      <c r="D2516" s="4" t="n">
        <v>10</v>
      </c>
      <c r="E2516" s="13" t="n">
        <v>45320</v>
      </c>
      <c r="F2516" s="4" t="s">
        <v>3184</v>
      </c>
      <c r="G2516" s="4" t="str">
        <f aca="false">INDEX(PurchaseOrders!$B$2:$B$3001,MATCH(B2516,PurchaseOrders!$A$2:$A$3001,0))</f>
        <v>V020</v>
      </c>
    </row>
    <row r="2517" customFormat="false" ht="15" hidden="false" customHeight="true" outlineLevel="0" collapsed="false">
      <c r="A2517" s="4" t="s">
        <v>5704</v>
      </c>
      <c r="B2517" s="4" t="s">
        <v>2693</v>
      </c>
      <c r="C2517" s="4" t="n">
        <v>225</v>
      </c>
      <c r="D2517" s="4" t="n">
        <v>0</v>
      </c>
      <c r="E2517" s="13" t="n">
        <v>45367</v>
      </c>
      <c r="F2517" s="4"/>
      <c r="G2517" s="4" t="str">
        <f aca="false">INDEX(PurchaseOrders!$B$2:$B$3001,MATCH(B2517,PurchaseOrders!$A$2:$A$3001,0))</f>
        <v>V046</v>
      </c>
    </row>
    <row r="2518" customFormat="false" ht="15" hidden="false" customHeight="true" outlineLevel="0" collapsed="false">
      <c r="A2518" s="4" t="s">
        <v>5705</v>
      </c>
      <c r="B2518" s="4" t="s">
        <v>2694</v>
      </c>
      <c r="C2518" s="4" t="n">
        <v>2318</v>
      </c>
      <c r="D2518" s="4" t="n">
        <v>216</v>
      </c>
      <c r="E2518" s="13" t="n">
        <v>45148</v>
      </c>
      <c r="F2518" s="4" t="s">
        <v>3184</v>
      </c>
      <c r="G2518" s="4" t="str">
        <f aca="false">INDEX(PurchaseOrders!$B$2:$B$3001,MATCH(B2518,PurchaseOrders!$A$2:$A$3001,0))</f>
        <v>V057</v>
      </c>
    </row>
    <row r="2519" customFormat="false" ht="15" hidden="false" customHeight="true" outlineLevel="0" collapsed="false">
      <c r="A2519" s="4" t="s">
        <v>5706</v>
      </c>
      <c r="B2519" s="4" t="s">
        <v>2695</v>
      </c>
      <c r="C2519" s="4" t="n">
        <v>300</v>
      </c>
      <c r="D2519" s="4" t="n">
        <v>20</v>
      </c>
      <c r="E2519" s="13" t="n">
        <v>45289</v>
      </c>
      <c r="F2519" s="4" t="s">
        <v>3184</v>
      </c>
      <c r="G2519" s="4" t="str">
        <f aca="false">INDEX(PurchaseOrders!$B$2:$B$3001,MATCH(B2519,PurchaseOrders!$A$2:$A$3001,0))</f>
        <v>V033</v>
      </c>
    </row>
    <row r="2520" customFormat="false" ht="15" hidden="false" customHeight="true" outlineLevel="0" collapsed="false">
      <c r="A2520" s="4" t="s">
        <v>5707</v>
      </c>
      <c r="B2520" s="4" t="s">
        <v>2696</v>
      </c>
      <c r="C2520" s="4" t="n">
        <v>4208</v>
      </c>
      <c r="D2520" s="4" t="n">
        <v>484</v>
      </c>
      <c r="E2520" s="13" t="n">
        <v>45656</v>
      </c>
      <c r="F2520" s="4" t="s">
        <v>3202</v>
      </c>
      <c r="G2520" s="4" t="str">
        <f aca="false">INDEX(PurchaseOrders!$B$2:$B$3001,MATCH(B2520,PurchaseOrders!$A$2:$A$3001,0))</f>
        <v>V057</v>
      </c>
    </row>
    <row r="2521" customFormat="false" ht="15" hidden="false" customHeight="true" outlineLevel="0" collapsed="false">
      <c r="A2521" s="4" t="s">
        <v>5708</v>
      </c>
      <c r="B2521" s="4" t="s">
        <v>2697</v>
      </c>
      <c r="C2521" s="4" t="n">
        <v>583</v>
      </c>
      <c r="D2521" s="4" t="n">
        <v>4</v>
      </c>
      <c r="E2521" s="13" t="n">
        <v>45253</v>
      </c>
      <c r="F2521" s="4" t="s">
        <v>3190</v>
      </c>
      <c r="G2521" s="4" t="str">
        <f aca="false">INDEX(PurchaseOrders!$B$2:$B$3001,MATCH(B2521,PurchaseOrders!$A$2:$A$3001,0))</f>
        <v>V015</v>
      </c>
    </row>
    <row r="2522" customFormat="false" ht="15" hidden="false" customHeight="true" outlineLevel="0" collapsed="false">
      <c r="A2522" s="4" t="s">
        <v>5709</v>
      </c>
      <c r="B2522" s="4" t="s">
        <v>2698</v>
      </c>
      <c r="C2522" s="4" t="n">
        <v>2061</v>
      </c>
      <c r="D2522" s="4" t="n">
        <v>250</v>
      </c>
      <c r="E2522" s="13" t="n">
        <v>45030</v>
      </c>
      <c r="F2522" s="4" t="s">
        <v>3186</v>
      </c>
      <c r="G2522" s="4" t="str">
        <f aca="false">INDEX(PurchaseOrders!$B$2:$B$3001,MATCH(B2522,PurchaseOrders!$A$2:$A$3001,0))</f>
        <v>V038</v>
      </c>
    </row>
    <row r="2523" customFormat="false" ht="15" hidden="false" customHeight="true" outlineLevel="0" collapsed="false">
      <c r="A2523" s="4" t="s">
        <v>5710</v>
      </c>
      <c r="B2523" s="4" t="s">
        <v>2699</v>
      </c>
      <c r="C2523" s="4" t="n">
        <v>3</v>
      </c>
      <c r="D2523" s="4" t="n">
        <v>0</v>
      </c>
      <c r="E2523" s="13" t="n">
        <v>45406</v>
      </c>
      <c r="F2523" s="4"/>
      <c r="G2523" s="4" t="str">
        <f aca="false">INDEX(PurchaseOrders!$B$2:$B$3001,MATCH(B2523,PurchaseOrders!$A$2:$A$3001,0))</f>
        <v>V041</v>
      </c>
    </row>
    <row r="2524" customFormat="false" ht="15" hidden="false" customHeight="true" outlineLevel="0" collapsed="false">
      <c r="A2524" s="4" t="s">
        <v>5711</v>
      </c>
      <c r="B2524" s="4" t="s">
        <v>2700</v>
      </c>
      <c r="C2524" s="4" t="n">
        <v>2664</v>
      </c>
      <c r="D2524" s="4" t="n">
        <v>178</v>
      </c>
      <c r="E2524" s="13" t="n">
        <v>45176</v>
      </c>
      <c r="F2524" s="4" t="s">
        <v>3188</v>
      </c>
      <c r="G2524" s="4" t="str">
        <f aca="false">INDEX(PurchaseOrders!$B$2:$B$3001,MATCH(B2524,PurchaseOrders!$A$2:$A$3001,0))</f>
        <v>V032</v>
      </c>
    </row>
    <row r="2525" customFormat="false" ht="15" hidden="false" customHeight="true" outlineLevel="0" collapsed="false">
      <c r="A2525" s="4" t="s">
        <v>5712</v>
      </c>
      <c r="B2525" s="4" t="s">
        <v>2701</v>
      </c>
      <c r="C2525" s="4" t="n">
        <v>449</v>
      </c>
      <c r="D2525" s="4" t="n">
        <v>48</v>
      </c>
      <c r="E2525" s="13" t="n">
        <v>45117</v>
      </c>
      <c r="F2525" s="4" t="s">
        <v>3202</v>
      </c>
      <c r="G2525" s="4" t="str">
        <f aca="false">INDEX(PurchaseOrders!$B$2:$B$3001,MATCH(B2525,PurchaseOrders!$A$2:$A$3001,0))</f>
        <v>V030</v>
      </c>
    </row>
    <row r="2526" customFormat="false" ht="15" hidden="false" customHeight="true" outlineLevel="0" collapsed="false">
      <c r="A2526" s="4" t="s">
        <v>5713</v>
      </c>
      <c r="B2526" s="4" t="s">
        <v>2702</v>
      </c>
      <c r="C2526" s="4" t="n">
        <v>64</v>
      </c>
      <c r="D2526" s="4" t="n">
        <v>3</v>
      </c>
      <c r="E2526" s="13" t="n">
        <v>45251</v>
      </c>
      <c r="F2526" s="4" t="s">
        <v>3190</v>
      </c>
      <c r="G2526" s="4" t="str">
        <f aca="false">INDEX(PurchaseOrders!$B$2:$B$3001,MATCH(B2526,PurchaseOrders!$A$2:$A$3001,0))</f>
        <v>V040</v>
      </c>
    </row>
    <row r="2527" customFormat="false" ht="15" hidden="false" customHeight="true" outlineLevel="0" collapsed="false">
      <c r="A2527" s="4" t="s">
        <v>5714</v>
      </c>
      <c r="B2527" s="4" t="s">
        <v>2703</v>
      </c>
      <c r="C2527" s="4" t="n">
        <v>128</v>
      </c>
      <c r="D2527" s="4" t="n">
        <v>12</v>
      </c>
      <c r="E2527" s="13" t="n">
        <v>45420</v>
      </c>
      <c r="F2527" s="4" t="s">
        <v>3190</v>
      </c>
      <c r="G2527" s="4" t="str">
        <f aca="false">INDEX(PurchaseOrders!$B$2:$B$3001,MATCH(B2527,PurchaseOrders!$A$2:$A$3001,0))</f>
        <v>V055</v>
      </c>
    </row>
    <row r="2528" customFormat="false" ht="15" hidden="false" customHeight="true" outlineLevel="0" collapsed="false">
      <c r="A2528" s="4" t="s">
        <v>5715</v>
      </c>
      <c r="B2528" s="4" t="s">
        <v>2704</v>
      </c>
      <c r="C2528" s="4" t="n">
        <v>1225</v>
      </c>
      <c r="D2528" s="4" t="n">
        <v>32</v>
      </c>
      <c r="E2528" s="13" t="n">
        <v>45055</v>
      </c>
      <c r="F2528" s="4" t="s">
        <v>3184</v>
      </c>
      <c r="G2528" s="4" t="str">
        <f aca="false">INDEX(PurchaseOrders!$B$2:$B$3001,MATCH(B2528,PurchaseOrders!$A$2:$A$3001,0))</f>
        <v>V035</v>
      </c>
    </row>
    <row r="2529" customFormat="false" ht="15" hidden="false" customHeight="true" outlineLevel="0" collapsed="false">
      <c r="A2529" s="4" t="s">
        <v>5716</v>
      </c>
      <c r="B2529" s="4" t="s">
        <v>2705</v>
      </c>
      <c r="C2529" s="4" t="n">
        <v>1257</v>
      </c>
      <c r="D2529" s="4" t="n">
        <v>95</v>
      </c>
      <c r="E2529" s="13" t="n">
        <v>45066</v>
      </c>
      <c r="F2529" s="4" t="s">
        <v>3186</v>
      </c>
      <c r="G2529" s="4" t="str">
        <f aca="false">INDEX(PurchaseOrders!$B$2:$B$3001,MATCH(B2529,PurchaseOrders!$A$2:$A$3001,0))</f>
        <v>V005</v>
      </c>
    </row>
    <row r="2530" customFormat="false" ht="15" hidden="false" customHeight="true" outlineLevel="0" collapsed="false">
      <c r="A2530" s="4" t="s">
        <v>5717</v>
      </c>
      <c r="B2530" s="4" t="s">
        <v>2706</v>
      </c>
      <c r="C2530" s="4" t="n">
        <v>1215</v>
      </c>
      <c r="D2530" s="4" t="n">
        <v>0</v>
      </c>
      <c r="E2530" s="13" t="n">
        <v>45513</v>
      </c>
      <c r="F2530" s="4"/>
      <c r="G2530" s="4" t="str">
        <f aca="false">INDEX(PurchaseOrders!$B$2:$B$3001,MATCH(B2530,PurchaseOrders!$A$2:$A$3001,0))</f>
        <v>V020</v>
      </c>
    </row>
    <row r="2531" customFormat="false" ht="15" hidden="false" customHeight="true" outlineLevel="0" collapsed="false">
      <c r="A2531" s="4" t="s">
        <v>5718</v>
      </c>
      <c r="B2531" s="4" t="s">
        <v>2707</v>
      </c>
      <c r="C2531" s="4" t="n">
        <v>131</v>
      </c>
      <c r="D2531" s="4" t="n">
        <v>0</v>
      </c>
      <c r="E2531" s="13" t="n">
        <v>45318</v>
      </c>
      <c r="F2531" s="4"/>
      <c r="G2531" s="4" t="str">
        <f aca="false">INDEX(PurchaseOrders!$B$2:$B$3001,MATCH(B2531,PurchaseOrders!$A$2:$A$3001,0))</f>
        <v>V029</v>
      </c>
    </row>
    <row r="2532" customFormat="false" ht="15" hidden="false" customHeight="true" outlineLevel="0" collapsed="false">
      <c r="A2532" s="4" t="s">
        <v>5719</v>
      </c>
      <c r="B2532" s="4" t="s">
        <v>2708</v>
      </c>
      <c r="C2532" s="4" t="n">
        <v>339</v>
      </c>
      <c r="D2532" s="4" t="n">
        <v>14</v>
      </c>
      <c r="E2532" s="13" t="n">
        <v>45410</v>
      </c>
      <c r="F2532" s="4" t="s">
        <v>3184</v>
      </c>
      <c r="G2532" s="4" t="str">
        <f aca="false">INDEX(PurchaseOrders!$B$2:$B$3001,MATCH(B2532,PurchaseOrders!$A$2:$A$3001,0))</f>
        <v>V029</v>
      </c>
    </row>
    <row r="2533" customFormat="false" ht="15" hidden="false" customHeight="true" outlineLevel="0" collapsed="false">
      <c r="A2533" s="4" t="s">
        <v>5720</v>
      </c>
      <c r="B2533" s="4" t="s">
        <v>2709</v>
      </c>
      <c r="C2533" s="4" t="n">
        <v>1599</v>
      </c>
      <c r="D2533" s="4" t="n">
        <v>45</v>
      </c>
      <c r="E2533" s="13" t="n">
        <v>45520</v>
      </c>
      <c r="F2533" s="4" t="s">
        <v>3190</v>
      </c>
      <c r="G2533" s="4" t="str">
        <f aca="false">INDEX(PurchaseOrders!$B$2:$B$3001,MATCH(B2533,PurchaseOrders!$A$2:$A$3001,0))</f>
        <v>V051</v>
      </c>
    </row>
    <row r="2534" customFormat="false" ht="15" hidden="false" customHeight="true" outlineLevel="0" collapsed="false">
      <c r="A2534" s="4" t="s">
        <v>5721</v>
      </c>
      <c r="B2534" s="4" t="s">
        <v>2710</v>
      </c>
      <c r="C2534" s="4" t="n">
        <v>234</v>
      </c>
      <c r="D2534" s="4" t="n">
        <v>6</v>
      </c>
      <c r="E2534" s="13" t="n">
        <v>45543</v>
      </c>
      <c r="F2534" s="4" t="s">
        <v>3202</v>
      </c>
      <c r="G2534" s="4" t="str">
        <f aca="false">INDEX(PurchaseOrders!$B$2:$B$3001,MATCH(B2534,PurchaseOrders!$A$2:$A$3001,0))</f>
        <v>V018</v>
      </c>
    </row>
    <row r="2535" customFormat="false" ht="15" hidden="false" customHeight="true" outlineLevel="0" collapsed="false">
      <c r="A2535" s="4" t="s">
        <v>5722</v>
      </c>
      <c r="B2535" s="4" t="s">
        <v>2711</v>
      </c>
      <c r="C2535" s="4" t="n">
        <v>955</v>
      </c>
      <c r="D2535" s="4" t="n">
        <v>37</v>
      </c>
      <c r="E2535" s="13" t="n">
        <v>45597</v>
      </c>
      <c r="F2535" s="4" t="s">
        <v>3192</v>
      </c>
      <c r="G2535" s="4" t="str">
        <f aca="false">INDEX(PurchaseOrders!$B$2:$B$3001,MATCH(B2535,PurchaseOrders!$A$2:$A$3001,0))</f>
        <v>V045</v>
      </c>
    </row>
    <row r="2536" customFormat="false" ht="15" hidden="false" customHeight="true" outlineLevel="0" collapsed="false">
      <c r="A2536" s="4" t="s">
        <v>5723</v>
      </c>
      <c r="B2536" s="4" t="s">
        <v>2712</v>
      </c>
      <c r="C2536" s="4" t="n">
        <v>1869</v>
      </c>
      <c r="D2536" s="4" t="n">
        <v>289</v>
      </c>
      <c r="E2536" s="13" t="n">
        <v>45249</v>
      </c>
      <c r="F2536" s="4" t="s">
        <v>3190</v>
      </c>
      <c r="G2536" s="4" t="str">
        <f aca="false">INDEX(PurchaseOrders!$B$2:$B$3001,MATCH(B2536,PurchaseOrders!$A$2:$A$3001,0))</f>
        <v>V044</v>
      </c>
    </row>
    <row r="2537" customFormat="false" ht="15" hidden="false" customHeight="true" outlineLevel="0" collapsed="false">
      <c r="A2537" s="4" t="s">
        <v>5724</v>
      </c>
      <c r="B2537" s="4" t="s">
        <v>2713</v>
      </c>
      <c r="C2537" s="4" t="n">
        <v>3846</v>
      </c>
      <c r="D2537" s="4" t="n">
        <v>173</v>
      </c>
      <c r="E2537" s="13" t="n">
        <v>45006</v>
      </c>
      <c r="F2537" s="4" t="s">
        <v>3188</v>
      </c>
      <c r="G2537" s="4" t="str">
        <f aca="false">INDEX(PurchaseOrders!$B$2:$B$3001,MATCH(B2537,PurchaseOrders!$A$2:$A$3001,0))</f>
        <v>V014</v>
      </c>
    </row>
    <row r="2538" customFormat="false" ht="15" hidden="false" customHeight="true" outlineLevel="0" collapsed="false">
      <c r="A2538" s="4" t="s">
        <v>5725</v>
      </c>
      <c r="B2538" s="4" t="s">
        <v>2714</v>
      </c>
      <c r="C2538" s="4" t="n">
        <v>278</v>
      </c>
      <c r="D2538" s="4" t="n">
        <v>11</v>
      </c>
      <c r="E2538" s="13" t="n">
        <v>45208</v>
      </c>
      <c r="F2538" s="4" t="s">
        <v>3188</v>
      </c>
      <c r="G2538" s="4" t="str">
        <f aca="false">INDEX(PurchaseOrders!$B$2:$B$3001,MATCH(B2538,PurchaseOrders!$A$2:$A$3001,0))</f>
        <v>V033</v>
      </c>
    </row>
    <row r="2539" customFormat="false" ht="15" hidden="false" customHeight="true" outlineLevel="0" collapsed="false">
      <c r="A2539" s="4" t="s">
        <v>5726</v>
      </c>
      <c r="B2539" s="4" t="s">
        <v>2715</v>
      </c>
      <c r="C2539" s="4" t="n">
        <v>817</v>
      </c>
      <c r="D2539" s="4" t="n">
        <v>17</v>
      </c>
      <c r="E2539" s="13" t="n">
        <v>45373</v>
      </c>
      <c r="F2539" s="4" t="s">
        <v>3186</v>
      </c>
      <c r="G2539" s="4" t="str">
        <f aca="false">INDEX(PurchaseOrders!$B$2:$B$3001,MATCH(B2539,PurchaseOrders!$A$2:$A$3001,0))</f>
        <v>V051</v>
      </c>
    </row>
    <row r="2540" customFormat="false" ht="15" hidden="false" customHeight="true" outlineLevel="0" collapsed="false">
      <c r="A2540" s="4" t="s">
        <v>5727</v>
      </c>
      <c r="B2540" s="4" t="s">
        <v>2716</v>
      </c>
      <c r="C2540" s="4" t="n">
        <v>4014</v>
      </c>
      <c r="D2540" s="4" t="n">
        <v>218</v>
      </c>
      <c r="E2540" s="13" t="n">
        <v>45089</v>
      </c>
      <c r="F2540" s="4" t="s">
        <v>3188</v>
      </c>
      <c r="G2540" s="4" t="str">
        <f aca="false">INDEX(PurchaseOrders!$B$2:$B$3001,MATCH(B2540,PurchaseOrders!$A$2:$A$3001,0))</f>
        <v>V001</v>
      </c>
    </row>
    <row r="2541" customFormat="false" ht="15" hidden="false" customHeight="true" outlineLevel="0" collapsed="false">
      <c r="A2541" s="4" t="s">
        <v>5728</v>
      </c>
      <c r="B2541" s="4" t="s">
        <v>2717</v>
      </c>
      <c r="C2541" s="4" t="n">
        <v>4961</v>
      </c>
      <c r="D2541" s="4" t="n">
        <v>42</v>
      </c>
      <c r="E2541" s="13" t="n">
        <v>45448</v>
      </c>
      <c r="F2541" s="4" t="s">
        <v>3184</v>
      </c>
      <c r="G2541" s="4" t="str">
        <f aca="false">INDEX(PurchaseOrders!$B$2:$B$3001,MATCH(B2541,PurchaseOrders!$A$2:$A$3001,0))</f>
        <v>V003</v>
      </c>
    </row>
    <row r="2542" customFormat="false" ht="15" hidden="false" customHeight="true" outlineLevel="0" collapsed="false">
      <c r="A2542" s="4" t="s">
        <v>5729</v>
      </c>
      <c r="B2542" s="4" t="s">
        <v>2718</v>
      </c>
      <c r="C2542" s="4" t="n">
        <v>8</v>
      </c>
      <c r="D2542" s="4" t="n">
        <v>1</v>
      </c>
      <c r="E2542" s="13" t="n">
        <v>45067</v>
      </c>
      <c r="F2542" s="4" t="s">
        <v>3192</v>
      </c>
      <c r="G2542" s="4" t="str">
        <f aca="false">INDEX(PurchaseOrders!$B$2:$B$3001,MATCH(B2542,PurchaseOrders!$A$2:$A$3001,0))</f>
        <v>V053</v>
      </c>
    </row>
    <row r="2543" customFormat="false" ht="15" hidden="false" customHeight="true" outlineLevel="0" collapsed="false">
      <c r="A2543" s="4" t="s">
        <v>5730</v>
      </c>
      <c r="B2543" s="4" t="s">
        <v>2719</v>
      </c>
      <c r="C2543" s="4" t="n">
        <v>292</v>
      </c>
      <c r="D2543" s="4" t="n">
        <v>24</v>
      </c>
      <c r="E2543" s="13" t="n">
        <v>45214</v>
      </c>
      <c r="F2543" s="4" t="s">
        <v>3186</v>
      </c>
      <c r="G2543" s="4" t="str">
        <f aca="false">INDEX(PurchaseOrders!$B$2:$B$3001,MATCH(B2543,PurchaseOrders!$A$2:$A$3001,0))</f>
        <v>V009</v>
      </c>
    </row>
    <row r="2544" customFormat="false" ht="15" hidden="false" customHeight="true" outlineLevel="0" collapsed="false">
      <c r="A2544" s="4" t="s">
        <v>5731</v>
      </c>
      <c r="B2544" s="4" t="s">
        <v>2720</v>
      </c>
      <c r="C2544" s="4" t="n">
        <v>128</v>
      </c>
      <c r="D2544" s="4" t="n">
        <v>5</v>
      </c>
      <c r="E2544" s="13" t="n">
        <v>45058</v>
      </c>
      <c r="F2544" s="4" t="s">
        <v>3184</v>
      </c>
      <c r="G2544" s="4" t="str">
        <f aca="false">INDEX(PurchaseOrders!$B$2:$B$3001,MATCH(B2544,PurchaseOrders!$A$2:$A$3001,0))</f>
        <v>V060</v>
      </c>
    </row>
    <row r="2545" customFormat="false" ht="15" hidden="false" customHeight="true" outlineLevel="0" collapsed="false">
      <c r="A2545" s="4" t="s">
        <v>5732</v>
      </c>
      <c r="B2545" s="4" t="s">
        <v>2721</v>
      </c>
      <c r="C2545" s="4" t="n">
        <v>3862</v>
      </c>
      <c r="D2545" s="4" t="n">
        <v>512</v>
      </c>
      <c r="E2545" s="13" t="n">
        <v>45395</v>
      </c>
      <c r="F2545" s="4" t="s">
        <v>3184</v>
      </c>
      <c r="G2545" s="4" t="str">
        <f aca="false">INDEX(PurchaseOrders!$B$2:$B$3001,MATCH(B2545,PurchaseOrders!$A$2:$A$3001,0))</f>
        <v>V026</v>
      </c>
    </row>
    <row r="2546" customFormat="false" ht="15" hidden="false" customHeight="true" outlineLevel="0" collapsed="false">
      <c r="A2546" s="4" t="s">
        <v>5733</v>
      </c>
      <c r="B2546" s="4" t="s">
        <v>2722</v>
      </c>
      <c r="C2546" s="4" t="n">
        <v>1840</v>
      </c>
      <c r="D2546" s="4" t="n">
        <v>149</v>
      </c>
      <c r="E2546" s="13" t="n">
        <v>45075</v>
      </c>
      <c r="F2546" s="4" t="s">
        <v>3186</v>
      </c>
      <c r="G2546" s="4" t="str">
        <f aca="false">INDEX(PurchaseOrders!$B$2:$B$3001,MATCH(B2546,PurchaseOrders!$A$2:$A$3001,0))</f>
        <v>V050</v>
      </c>
    </row>
    <row r="2547" customFormat="false" ht="15" hidden="false" customHeight="true" outlineLevel="0" collapsed="false">
      <c r="A2547" s="4" t="s">
        <v>5734</v>
      </c>
      <c r="B2547" s="4" t="s">
        <v>2723</v>
      </c>
      <c r="C2547" s="4" t="n">
        <v>51</v>
      </c>
      <c r="D2547" s="4" t="n">
        <v>4</v>
      </c>
      <c r="E2547" s="13" t="n">
        <v>45216</v>
      </c>
      <c r="F2547" s="4" t="s">
        <v>3202</v>
      </c>
      <c r="G2547" s="4" t="str">
        <f aca="false">INDEX(PurchaseOrders!$B$2:$B$3001,MATCH(B2547,PurchaseOrders!$A$2:$A$3001,0))</f>
        <v>V049</v>
      </c>
    </row>
    <row r="2548" customFormat="false" ht="15" hidden="false" customHeight="true" outlineLevel="0" collapsed="false">
      <c r="A2548" s="4" t="s">
        <v>5735</v>
      </c>
      <c r="B2548" s="4" t="s">
        <v>2724</v>
      </c>
      <c r="C2548" s="4" t="n">
        <v>3777</v>
      </c>
      <c r="D2548" s="4" t="n">
        <v>598</v>
      </c>
      <c r="E2548" s="13" t="n">
        <v>45386</v>
      </c>
      <c r="F2548" s="4" t="s">
        <v>3202</v>
      </c>
      <c r="G2548" s="4" t="str">
        <f aca="false">INDEX(PurchaseOrders!$B$2:$B$3001,MATCH(B2548,PurchaseOrders!$A$2:$A$3001,0))</f>
        <v>V057</v>
      </c>
    </row>
    <row r="2549" customFormat="false" ht="15" hidden="false" customHeight="true" outlineLevel="0" collapsed="false">
      <c r="A2549" s="4" t="s">
        <v>5736</v>
      </c>
      <c r="B2549" s="4" t="s">
        <v>2725</v>
      </c>
      <c r="C2549" s="4" t="n">
        <v>108</v>
      </c>
      <c r="D2549" s="4" t="n">
        <v>6</v>
      </c>
      <c r="E2549" s="13" t="n">
        <v>45496</v>
      </c>
      <c r="F2549" s="4" t="s">
        <v>3202</v>
      </c>
      <c r="G2549" s="4" t="str">
        <f aca="false">INDEX(PurchaseOrders!$B$2:$B$3001,MATCH(B2549,PurchaseOrders!$A$2:$A$3001,0))</f>
        <v>V012</v>
      </c>
    </row>
    <row r="2550" customFormat="false" ht="15" hidden="false" customHeight="true" outlineLevel="0" collapsed="false">
      <c r="A2550" s="4" t="s">
        <v>5737</v>
      </c>
      <c r="B2550" s="4" t="s">
        <v>2726</v>
      </c>
      <c r="C2550" s="4" t="n">
        <v>228</v>
      </c>
      <c r="D2550" s="4" t="n">
        <v>5</v>
      </c>
      <c r="E2550" s="13" t="n">
        <v>45049</v>
      </c>
      <c r="F2550" s="4" t="s">
        <v>3188</v>
      </c>
      <c r="G2550" s="4" t="str">
        <f aca="false">INDEX(PurchaseOrders!$B$2:$B$3001,MATCH(B2550,PurchaseOrders!$A$2:$A$3001,0))</f>
        <v>V037</v>
      </c>
    </row>
    <row r="2551" customFormat="false" ht="15" hidden="false" customHeight="true" outlineLevel="0" collapsed="false">
      <c r="A2551" s="4" t="s">
        <v>5738</v>
      </c>
      <c r="B2551" s="4" t="s">
        <v>2727</v>
      </c>
      <c r="C2551" s="4" t="n">
        <v>273</v>
      </c>
      <c r="D2551" s="4" t="n">
        <v>2</v>
      </c>
      <c r="E2551" s="13" t="n">
        <v>45453</v>
      </c>
      <c r="F2551" s="4" t="s">
        <v>3202</v>
      </c>
      <c r="G2551" s="4" t="str">
        <f aca="false">INDEX(PurchaseOrders!$B$2:$B$3001,MATCH(B2551,PurchaseOrders!$A$2:$A$3001,0))</f>
        <v>V029</v>
      </c>
    </row>
    <row r="2552" customFormat="false" ht="15" hidden="false" customHeight="true" outlineLevel="0" collapsed="false">
      <c r="A2552" s="4" t="s">
        <v>5739</v>
      </c>
      <c r="B2552" s="4" t="s">
        <v>2728</v>
      </c>
      <c r="C2552" s="4" t="n">
        <v>266</v>
      </c>
      <c r="D2552" s="4" t="n">
        <v>20</v>
      </c>
      <c r="E2552" s="13" t="n">
        <v>45555</v>
      </c>
      <c r="F2552" s="4" t="s">
        <v>3190</v>
      </c>
      <c r="G2552" s="4" t="str">
        <f aca="false">INDEX(PurchaseOrders!$B$2:$B$3001,MATCH(B2552,PurchaseOrders!$A$2:$A$3001,0))</f>
        <v>V012</v>
      </c>
    </row>
    <row r="2553" customFormat="false" ht="15" hidden="false" customHeight="true" outlineLevel="0" collapsed="false">
      <c r="A2553" s="4" t="s">
        <v>5740</v>
      </c>
      <c r="B2553" s="4" t="s">
        <v>2729</v>
      </c>
      <c r="C2553" s="4" t="n">
        <v>196</v>
      </c>
      <c r="D2553" s="4" t="n">
        <v>1</v>
      </c>
      <c r="E2553" s="13" t="n">
        <v>45112</v>
      </c>
      <c r="F2553" s="4" t="s">
        <v>3190</v>
      </c>
      <c r="G2553" s="4" t="str">
        <f aca="false">INDEX(PurchaseOrders!$B$2:$B$3001,MATCH(B2553,PurchaseOrders!$A$2:$A$3001,0))</f>
        <v>V052</v>
      </c>
    </row>
    <row r="2554" customFormat="false" ht="15" hidden="false" customHeight="true" outlineLevel="0" collapsed="false">
      <c r="A2554" s="4" t="s">
        <v>5741</v>
      </c>
      <c r="B2554" s="4" t="s">
        <v>2730</v>
      </c>
      <c r="C2554" s="4" t="n">
        <v>2531</v>
      </c>
      <c r="D2554" s="4" t="n">
        <v>100</v>
      </c>
      <c r="E2554" s="13" t="n">
        <v>45541</v>
      </c>
      <c r="F2554" s="4" t="s">
        <v>3184</v>
      </c>
      <c r="G2554" s="4" t="str">
        <f aca="false">INDEX(PurchaseOrders!$B$2:$B$3001,MATCH(B2554,PurchaseOrders!$A$2:$A$3001,0))</f>
        <v>V015</v>
      </c>
    </row>
    <row r="2555" customFormat="false" ht="15" hidden="false" customHeight="true" outlineLevel="0" collapsed="false">
      <c r="A2555" s="4" t="s">
        <v>5742</v>
      </c>
      <c r="B2555" s="4" t="s">
        <v>2731</v>
      </c>
      <c r="C2555" s="4" t="n">
        <v>5</v>
      </c>
      <c r="D2555" s="4" t="n">
        <v>0</v>
      </c>
      <c r="E2555" s="13" t="n">
        <v>45598</v>
      </c>
      <c r="F2555" s="4"/>
      <c r="G2555" s="4" t="str">
        <f aca="false">INDEX(PurchaseOrders!$B$2:$B$3001,MATCH(B2555,PurchaseOrders!$A$2:$A$3001,0))</f>
        <v>V019</v>
      </c>
    </row>
    <row r="2556" customFormat="false" ht="15" hidden="false" customHeight="true" outlineLevel="0" collapsed="false">
      <c r="A2556" s="4" t="s">
        <v>5743</v>
      </c>
      <c r="B2556" s="4" t="s">
        <v>2732</v>
      </c>
      <c r="C2556" s="4" t="n">
        <v>1444</v>
      </c>
      <c r="D2556" s="4" t="n">
        <v>0</v>
      </c>
      <c r="E2556" s="13" t="n">
        <v>45529</v>
      </c>
      <c r="F2556" s="4"/>
      <c r="G2556" s="4" t="str">
        <f aca="false">INDEX(PurchaseOrders!$B$2:$B$3001,MATCH(B2556,PurchaseOrders!$A$2:$A$3001,0))</f>
        <v>V015</v>
      </c>
    </row>
    <row r="2557" customFormat="false" ht="15" hidden="false" customHeight="true" outlineLevel="0" collapsed="false">
      <c r="A2557" s="4" t="s">
        <v>5744</v>
      </c>
      <c r="B2557" s="4" t="s">
        <v>2733</v>
      </c>
      <c r="C2557" s="4" t="n">
        <v>272</v>
      </c>
      <c r="D2557" s="4" t="n">
        <v>26</v>
      </c>
      <c r="E2557" s="13" t="n">
        <v>44971</v>
      </c>
      <c r="F2557" s="4" t="s">
        <v>3186</v>
      </c>
      <c r="G2557" s="4" t="str">
        <f aca="false">INDEX(PurchaseOrders!$B$2:$B$3001,MATCH(B2557,PurchaseOrders!$A$2:$A$3001,0))</f>
        <v>V036</v>
      </c>
    </row>
    <row r="2558" customFormat="false" ht="15" hidden="false" customHeight="true" outlineLevel="0" collapsed="false">
      <c r="A2558" s="4" t="s">
        <v>5745</v>
      </c>
      <c r="B2558" s="4" t="s">
        <v>2734</v>
      </c>
      <c r="C2558" s="4" t="n">
        <v>2625</v>
      </c>
      <c r="D2558" s="4" t="n">
        <v>218</v>
      </c>
      <c r="E2558" s="13" t="n">
        <v>45006</v>
      </c>
      <c r="F2558" s="4" t="s">
        <v>3202</v>
      </c>
      <c r="G2558" s="4" t="str">
        <f aca="false">INDEX(PurchaseOrders!$B$2:$B$3001,MATCH(B2558,PurchaseOrders!$A$2:$A$3001,0))</f>
        <v>V050</v>
      </c>
    </row>
    <row r="2559" customFormat="false" ht="15" hidden="false" customHeight="true" outlineLevel="0" collapsed="false">
      <c r="A2559" s="4" t="s">
        <v>5746</v>
      </c>
      <c r="B2559" s="4" t="s">
        <v>2735</v>
      </c>
      <c r="C2559" s="4" t="n">
        <v>13</v>
      </c>
      <c r="D2559" s="4" t="n">
        <v>0</v>
      </c>
      <c r="E2559" s="13" t="n">
        <v>45350</v>
      </c>
      <c r="F2559" s="4"/>
      <c r="G2559" s="4" t="str">
        <f aca="false">INDEX(PurchaseOrders!$B$2:$B$3001,MATCH(B2559,PurchaseOrders!$A$2:$A$3001,0))</f>
        <v>V053</v>
      </c>
    </row>
    <row r="2560" customFormat="false" ht="15" hidden="false" customHeight="true" outlineLevel="0" collapsed="false">
      <c r="A2560" s="4" t="s">
        <v>5747</v>
      </c>
      <c r="B2560" s="4" t="s">
        <v>2736</v>
      </c>
      <c r="C2560" s="4" t="n">
        <v>1497</v>
      </c>
      <c r="D2560" s="4" t="n">
        <v>105</v>
      </c>
      <c r="E2560" s="13" t="n">
        <v>45571</v>
      </c>
      <c r="F2560" s="4" t="s">
        <v>3192</v>
      </c>
      <c r="G2560" s="4" t="str">
        <f aca="false">INDEX(PurchaseOrders!$B$2:$B$3001,MATCH(B2560,PurchaseOrders!$A$2:$A$3001,0))</f>
        <v>V005</v>
      </c>
    </row>
    <row r="2561" customFormat="false" ht="15" hidden="false" customHeight="true" outlineLevel="0" collapsed="false">
      <c r="A2561" s="4" t="s">
        <v>5748</v>
      </c>
      <c r="B2561" s="4" t="s">
        <v>2737</v>
      </c>
      <c r="C2561" s="4" t="n">
        <v>264</v>
      </c>
      <c r="D2561" s="4" t="n">
        <v>0</v>
      </c>
      <c r="E2561" s="13" t="n">
        <v>45561</v>
      </c>
      <c r="F2561" s="4"/>
      <c r="G2561" s="4" t="str">
        <f aca="false">INDEX(PurchaseOrders!$B$2:$B$3001,MATCH(B2561,PurchaseOrders!$A$2:$A$3001,0))</f>
        <v>V040</v>
      </c>
    </row>
    <row r="2562" customFormat="false" ht="15" hidden="false" customHeight="true" outlineLevel="0" collapsed="false">
      <c r="A2562" s="4" t="s">
        <v>5749</v>
      </c>
      <c r="B2562" s="4" t="s">
        <v>2738</v>
      </c>
      <c r="C2562" s="4" t="n">
        <v>1905</v>
      </c>
      <c r="D2562" s="4" t="n">
        <v>156</v>
      </c>
      <c r="E2562" s="13" t="n">
        <v>45500</v>
      </c>
      <c r="F2562" s="4" t="s">
        <v>3202</v>
      </c>
      <c r="G2562" s="4" t="str">
        <f aca="false">INDEX(PurchaseOrders!$B$2:$B$3001,MATCH(B2562,PurchaseOrders!$A$2:$A$3001,0))</f>
        <v>V032</v>
      </c>
    </row>
    <row r="2563" customFormat="false" ht="15" hidden="false" customHeight="true" outlineLevel="0" collapsed="false">
      <c r="A2563" s="4" t="s">
        <v>5750</v>
      </c>
      <c r="B2563" s="4" t="s">
        <v>2739</v>
      </c>
      <c r="C2563" s="4" t="n">
        <v>124</v>
      </c>
      <c r="D2563" s="4" t="n">
        <v>7</v>
      </c>
      <c r="E2563" s="13" t="n">
        <v>45553</v>
      </c>
      <c r="F2563" s="4" t="s">
        <v>3186</v>
      </c>
      <c r="G2563" s="4" t="str">
        <f aca="false">INDEX(PurchaseOrders!$B$2:$B$3001,MATCH(B2563,PurchaseOrders!$A$2:$A$3001,0))</f>
        <v>V037</v>
      </c>
    </row>
    <row r="2564" customFormat="false" ht="15" hidden="false" customHeight="true" outlineLevel="0" collapsed="false">
      <c r="A2564" s="4" t="s">
        <v>5751</v>
      </c>
      <c r="B2564" s="4" t="s">
        <v>2740</v>
      </c>
      <c r="C2564" s="4" t="n">
        <v>252</v>
      </c>
      <c r="D2564" s="4" t="n">
        <v>24</v>
      </c>
      <c r="E2564" s="13" t="n">
        <v>45362</v>
      </c>
      <c r="F2564" s="4" t="s">
        <v>3202</v>
      </c>
      <c r="G2564" s="4" t="str">
        <f aca="false">INDEX(PurchaseOrders!$B$2:$B$3001,MATCH(B2564,PurchaseOrders!$A$2:$A$3001,0))</f>
        <v>V012</v>
      </c>
    </row>
    <row r="2565" customFormat="false" ht="15" hidden="false" customHeight="true" outlineLevel="0" collapsed="false">
      <c r="A2565" s="4" t="s">
        <v>5752</v>
      </c>
      <c r="B2565" s="4" t="s">
        <v>2741</v>
      </c>
      <c r="C2565" s="4" t="n">
        <v>697</v>
      </c>
      <c r="D2565" s="4" t="n">
        <v>20</v>
      </c>
      <c r="E2565" s="13" t="n">
        <v>45288</v>
      </c>
      <c r="F2565" s="4" t="s">
        <v>3190</v>
      </c>
      <c r="G2565" s="4" t="str">
        <f aca="false">INDEX(PurchaseOrders!$B$2:$B$3001,MATCH(B2565,PurchaseOrders!$A$2:$A$3001,0))</f>
        <v>V022</v>
      </c>
    </row>
    <row r="2566" customFormat="false" ht="15" hidden="false" customHeight="true" outlineLevel="0" collapsed="false">
      <c r="A2566" s="4" t="s">
        <v>5753</v>
      </c>
      <c r="B2566" s="4" t="s">
        <v>2742</v>
      </c>
      <c r="C2566" s="4" t="n">
        <v>746</v>
      </c>
      <c r="D2566" s="4" t="n">
        <v>27</v>
      </c>
      <c r="E2566" s="13" t="n">
        <v>45528</v>
      </c>
      <c r="F2566" s="4" t="s">
        <v>3184</v>
      </c>
      <c r="G2566" s="4" t="str">
        <f aca="false">INDEX(PurchaseOrders!$B$2:$B$3001,MATCH(B2566,PurchaseOrders!$A$2:$A$3001,0))</f>
        <v>V011</v>
      </c>
    </row>
    <row r="2567" customFormat="false" ht="15" hidden="false" customHeight="true" outlineLevel="0" collapsed="false">
      <c r="A2567" s="4" t="s">
        <v>5754</v>
      </c>
      <c r="B2567" s="4" t="s">
        <v>2743</v>
      </c>
      <c r="C2567" s="4" t="n">
        <v>124</v>
      </c>
      <c r="D2567" s="4" t="n">
        <v>12</v>
      </c>
      <c r="E2567" s="13" t="n">
        <v>45134</v>
      </c>
      <c r="F2567" s="4" t="s">
        <v>3202</v>
      </c>
      <c r="G2567" s="4" t="str">
        <f aca="false">INDEX(PurchaseOrders!$B$2:$B$3001,MATCH(B2567,PurchaseOrders!$A$2:$A$3001,0))</f>
        <v>V009</v>
      </c>
    </row>
    <row r="2568" customFormat="false" ht="15" hidden="false" customHeight="true" outlineLevel="0" collapsed="false">
      <c r="A2568" s="4" t="s">
        <v>5755</v>
      </c>
      <c r="B2568" s="4" t="s">
        <v>2744</v>
      </c>
      <c r="C2568" s="4" t="n">
        <v>362</v>
      </c>
      <c r="D2568" s="4" t="n">
        <v>12</v>
      </c>
      <c r="E2568" s="13" t="n">
        <v>45662</v>
      </c>
      <c r="F2568" s="4" t="s">
        <v>3186</v>
      </c>
      <c r="G2568" s="4" t="str">
        <f aca="false">INDEX(PurchaseOrders!$B$2:$B$3001,MATCH(B2568,PurchaseOrders!$A$2:$A$3001,0))</f>
        <v>V034</v>
      </c>
    </row>
    <row r="2569" customFormat="false" ht="15" hidden="false" customHeight="true" outlineLevel="0" collapsed="false">
      <c r="A2569" s="4" t="s">
        <v>5756</v>
      </c>
      <c r="B2569" s="4" t="s">
        <v>2745</v>
      </c>
      <c r="C2569" s="4" t="n">
        <v>149</v>
      </c>
      <c r="D2569" s="4" t="n">
        <v>20</v>
      </c>
      <c r="E2569" s="13" t="n">
        <v>45417</v>
      </c>
      <c r="F2569" s="4" t="s">
        <v>3186</v>
      </c>
      <c r="G2569" s="4" t="str">
        <f aca="false">INDEX(PurchaseOrders!$B$2:$B$3001,MATCH(B2569,PurchaseOrders!$A$2:$A$3001,0))</f>
        <v>V030</v>
      </c>
    </row>
    <row r="2570" customFormat="false" ht="15" hidden="false" customHeight="true" outlineLevel="0" collapsed="false">
      <c r="A2570" s="4" t="s">
        <v>5757</v>
      </c>
      <c r="B2570" s="4" t="s">
        <v>2746</v>
      </c>
      <c r="C2570" s="4" t="n">
        <v>289</v>
      </c>
      <c r="D2570" s="4" t="n">
        <v>39</v>
      </c>
      <c r="E2570" s="13" t="n">
        <v>44991</v>
      </c>
      <c r="F2570" s="4" t="s">
        <v>3190</v>
      </c>
      <c r="G2570" s="4" t="str">
        <f aca="false">INDEX(PurchaseOrders!$B$2:$B$3001,MATCH(B2570,PurchaseOrders!$A$2:$A$3001,0))</f>
        <v>V013</v>
      </c>
    </row>
    <row r="2571" customFormat="false" ht="15" hidden="false" customHeight="true" outlineLevel="0" collapsed="false">
      <c r="A2571" s="4" t="s">
        <v>5758</v>
      </c>
      <c r="B2571" s="4" t="s">
        <v>2747</v>
      </c>
      <c r="C2571" s="4" t="n">
        <v>287</v>
      </c>
      <c r="D2571" s="4" t="n">
        <v>0</v>
      </c>
      <c r="E2571" s="13" t="n">
        <v>45595</v>
      </c>
      <c r="F2571" s="4"/>
      <c r="G2571" s="4" t="str">
        <f aca="false">INDEX(PurchaseOrders!$B$2:$B$3001,MATCH(B2571,PurchaseOrders!$A$2:$A$3001,0))</f>
        <v>V047</v>
      </c>
    </row>
    <row r="2572" customFormat="false" ht="15" hidden="false" customHeight="true" outlineLevel="0" collapsed="false">
      <c r="A2572" s="4" t="s">
        <v>5759</v>
      </c>
      <c r="B2572" s="4" t="s">
        <v>2748</v>
      </c>
      <c r="C2572" s="4" t="n">
        <v>17</v>
      </c>
      <c r="D2572" s="4" t="n">
        <v>2</v>
      </c>
      <c r="E2572" s="13" t="n">
        <v>45290</v>
      </c>
      <c r="F2572" s="4" t="s">
        <v>3188</v>
      </c>
      <c r="G2572" s="4" t="str">
        <f aca="false">INDEX(PurchaseOrders!$B$2:$B$3001,MATCH(B2572,PurchaseOrders!$A$2:$A$3001,0))</f>
        <v>V054</v>
      </c>
    </row>
    <row r="2573" customFormat="false" ht="15" hidden="false" customHeight="true" outlineLevel="0" collapsed="false">
      <c r="A2573" s="4" t="s">
        <v>5760</v>
      </c>
      <c r="B2573" s="4" t="s">
        <v>2749</v>
      </c>
      <c r="C2573" s="4" t="n">
        <v>496</v>
      </c>
      <c r="D2573" s="4" t="n">
        <v>7</v>
      </c>
      <c r="E2573" s="13" t="n">
        <v>45463</v>
      </c>
      <c r="F2573" s="4" t="s">
        <v>3192</v>
      </c>
      <c r="G2573" s="4" t="str">
        <f aca="false">INDEX(PurchaseOrders!$B$2:$B$3001,MATCH(B2573,PurchaseOrders!$A$2:$A$3001,0))</f>
        <v>V059</v>
      </c>
    </row>
    <row r="2574" customFormat="false" ht="15" hidden="false" customHeight="true" outlineLevel="0" collapsed="false">
      <c r="A2574" s="4" t="s">
        <v>5761</v>
      </c>
      <c r="B2574" s="4" t="s">
        <v>2750</v>
      </c>
      <c r="C2574" s="4" t="n">
        <v>172</v>
      </c>
      <c r="D2574" s="4" t="n">
        <v>19</v>
      </c>
      <c r="E2574" s="13" t="n">
        <v>45636</v>
      </c>
      <c r="F2574" s="4" t="s">
        <v>3188</v>
      </c>
      <c r="G2574" s="4" t="str">
        <f aca="false">INDEX(PurchaseOrders!$B$2:$B$3001,MATCH(B2574,PurchaseOrders!$A$2:$A$3001,0))</f>
        <v>V049</v>
      </c>
    </row>
    <row r="2575" customFormat="false" ht="15" hidden="false" customHeight="true" outlineLevel="0" collapsed="false">
      <c r="A2575" s="4" t="s">
        <v>5762</v>
      </c>
      <c r="B2575" s="4" t="s">
        <v>2751</v>
      </c>
      <c r="C2575" s="4" t="n">
        <v>1344</v>
      </c>
      <c r="D2575" s="4" t="n">
        <v>168</v>
      </c>
      <c r="E2575" s="13" t="n">
        <v>45212</v>
      </c>
      <c r="F2575" s="4" t="s">
        <v>3190</v>
      </c>
      <c r="G2575" s="4" t="str">
        <f aca="false">INDEX(PurchaseOrders!$B$2:$B$3001,MATCH(B2575,PurchaseOrders!$A$2:$A$3001,0))</f>
        <v>V044</v>
      </c>
    </row>
    <row r="2576" customFormat="false" ht="15" hidden="false" customHeight="true" outlineLevel="0" collapsed="false">
      <c r="A2576" s="4" t="s">
        <v>5763</v>
      </c>
      <c r="B2576" s="4" t="s">
        <v>2752</v>
      </c>
      <c r="C2576" s="4" t="n">
        <v>129</v>
      </c>
      <c r="D2576" s="4" t="n">
        <v>7</v>
      </c>
      <c r="E2576" s="13" t="n">
        <v>45342</v>
      </c>
      <c r="F2576" s="4" t="s">
        <v>3184</v>
      </c>
      <c r="G2576" s="4" t="str">
        <f aca="false">INDEX(PurchaseOrders!$B$2:$B$3001,MATCH(B2576,PurchaseOrders!$A$2:$A$3001,0))</f>
        <v>V033</v>
      </c>
    </row>
    <row r="2577" customFormat="false" ht="15" hidden="false" customHeight="true" outlineLevel="0" collapsed="false">
      <c r="A2577" s="4" t="s">
        <v>5764</v>
      </c>
      <c r="B2577" s="4" t="s">
        <v>2753</v>
      </c>
      <c r="C2577" s="4" t="n">
        <v>183</v>
      </c>
      <c r="D2577" s="4" t="n">
        <v>20</v>
      </c>
      <c r="E2577" s="13" t="n">
        <v>45124</v>
      </c>
      <c r="F2577" s="4" t="s">
        <v>3192</v>
      </c>
      <c r="G2577" s="4" t="str">
        <f aca="false">INDEX(PurchaseOrders!$B$2:$B$3001,MATCH(B2577,PurchaseOrders!$A$2:$A$3001,0))</f>
        <v>V036</v>
      </c>
    </row>
    <row r="2578" customFormat="false" ht="15" hidden="false" customHeight="true" outlineLevel="0" collapsed="false">
      <c r="A2578" s="4" t="s">
        <v>5765</v>
      </c>
      <c r="B2578" s="4" t="s">
        <v>2754</v>
      </c>
      <c r="C2578" s="4" t="n">
        <v>506</v>
      </c>
      <c r="D2578" s="4" t="n">
        <v>113</v>
      </c>
      <c r="E2578" s="13" t="n">
        <v>45266</v>
      </c>
      <c r="F2578" s="4" t="s">
        <v>3202</v>
      </c>
      <c r="G2578" s="4" t="str">
        <f aca="false">INDEX(PurchaseOrders!$B$2:$B$3001,MATCH(B2578,PurchaseOrders!$A$2:$A$3001,0))</f>
        <v>V039</v>
      </c>
    </row>
    <row r="2579" customFormat="false" ht="15" hidden="false" customHeight="true" outlineLevel="0" collapsed="false">
      <c r="A2579" s="4" t="s">
        <v>5766</v>
      </c>
      <c r="B2579" s="4" t="s">
        <v>2755</v>
      </c>
      <c r="C2579" s="4" t="n">
        <v>202</v>
      </c>
      <c r="D2579" s="4" t="n">
        <v>13</v>
      </c>
      <c r="E2579" s="13" t="n">
        <v>44971</v>
      </c>
      <c r="F2579" s="4" t="s">
        <v>3188</v>
      </c>
      <c r="G2579" s="4" t="str">
        <f aca="false">INDEX(PurchaseOrders!$B$2:$B$3001,MATCH(B2579,PurchaseOrders!$A$2:$A$3001,0))</f>
        <v>V030</v>
      </c>
    </row>
    <row r="2580" customFormat="false" ht="15" hidden="false" customHeight="true" outlineLevel="0" collapsed="false">
      <c r="A2580" s="4" t="s">
        <v>5767</v>
      </c>
      <c r="B2580" s="4" t="s">
        <v>2756</v>
      </c>
      <c r="C2580" s="4" t="n">
        <v>213</v>
      </c>
      <c r="D2580" s="4" t="n">
        <v>3</v>
      </c>
      <c r="E2580" s="13" t="n">
        <v>45193</v>
      </c>
      <c r="F2580" s="4" t="s">
        <v>3202</v>
      </c>
      <c r="G2580" s="4" t="str">
        <f aca="false">INDEX(PurchaseOrders!$B$2:$B$3001,MATCH(B2580,PurchaseOrders!$A$2:$A$3001,0))</f>
        <v>V046</v>
      </c>
    </row>
    <row r="2581" customFormat="false" ht="15" hidden="false" customHeight="true" outlineLevel="0" collapsed="false">
      <c r="A2581" s="4" t="s">
        <v>5768</v>
      </c>
      <c r="B2581" s="4" t="s">
        <v>2757</v>
      </c>
      <c r="C2581" s="4" t="n">
        <v>3746</v>
      </c>
      <c r="D2581" s="4" t="n">
        <v>258</v>
      </c>
      <c r="E2581" s="13" t="n">
        <v>45048</v>
      </c>
      <c r="F2581" s="4" t="s">
        <v>3184</v>
      </c>
      <c r="G2581" s="4" t="str">
        <f aca="false">INDEX(PurchaseOrders!$B$2:$B$3001,MATCH(B2581,PurchaseOrders!$A$2:$A$3001,0))</f>
        <v>V014</v>
      </c>
    </row>
    <row r="2582" customFormat="false" ht="15" hidden="false" customHeight="true" outlineLevel="0" collapsed="false">
      <c r="A2582" s="4" t="s">
        <v>5769</v>
      </c>
      <c r="B2582" s="4" t="s">
        <v>2758</v>
      </c>
      <c r="C2582" s="4" t="n">
        <v>1861</v>
      </c>
      <c r="D2582" s="4" t="n">
        <v>184</v>
      </c>
      <c r="E2582" s="13" t="n">
        <v>45570</v>
      </c>
      <c r="F2582" s="4" t="s">
        <v>3186</v>
      </c>
      <c r="G2582" s="4" t="str">
        <f aca="false">INDEX(PurchaseOrders!$B$2:$B$3001,MATCH(B2582,PurchaseOrders!$A$2:$A$3001,0))</f>
        <v>V044</v>
      </c>
    </row>
    <row r="2583" customFormat="false" ht="15" hidden="false" customHeight="true" outlineLevel="0" collapsed="false">
      <c r="A2583" s="4" t="s">
        <v>5770</v>
      </c>
      <c r="B2583" s="4" t="s">
        <v>2759</v>
      </c>
      <c r="C2583" s="4" t="n">
        <v>127</v>
      </c>
      <c r="D2583" s="4" t="n">
        <v>0</v>
      </c>
      <c r="E2583" s="13" t="n">
        <v>45535</v>
      </c>
      <c r="F2583" s="4"/>
      <c r="G2583" s="4" t="str">
        <f aca="false">INDEX(PurchaseOrders!$B$2:$B$3001,MATCH(B2583,PurchaseOrders!$A$2:$A$3001,0))</f>
        <v>V052</v>
      </c>
    </row>
    <row r="2584" customFormat="false" ht="15" hidden="false" customHeight="true" outlineLevel="0" collapsed="false">
      <c r="A2584" s="4" t="s">
        <v>5771</v>
      </c>
      <c r="B2584" s="4" t="s">
        <v>2760</v>
      </c>
      <c r="C2584" s="4" t="n">
        <v>96</v>
      </c>
      <c r="D2584" s="4" t="n">
        <v>0</v>
      </c>
      <c r="E2584" s="13" t="n">
        <v>45156</v>
      </c>
      <c r="F2584" s="4"/>
      <c r="G2584" s="4" t="str">
        <f aca="false">INDEX(PurchaseOrders!$B$2:$B$3001,MATCH(B2584,PurchaseOrders!$A$2:$A$3001,0))</f>
        <v>V052</v>
      </c>
    </row>
    <row r="2585" customFormat="false" ht="15" hidden="false" customHeight="true" outlineLevel="0" collapsed="false">
      <c r="A2585" s="4" t="s">
        <v>5772</v>
      </c>
      <c r="B2585" s="4" t="s">
        <v>2761</v>
      </c>
      <c r="C2585" s="4" t="n">
        <v>4059</v>
      </c>
      <c r="D2585" s="4" t="n">
        <v>52</v>
      </c>
      <c r="E2585" s="13" t="n">
        <v>44974</v>
      </c>
      <c r="F2585" s="4" t="s">
        <v>3192</v>
      </c>
      <c r="G2585" s="4" t="str">
        <f aca="false">INDEX(PurchaseOrders!$B$2:$B$3001,MATCH(B2585,PurchaseOrders!$A$2:$A$3001,0))</f>
        <v>V015</v>
      </c>
    </row>
    <row r="2586" customFormat="false" ht="15" hidden="false" customHeight="true" outlineLevel="0" collapsed="false">
      <c r="A2586" s="4" t="s">
        <v>5773</v>
      </c>
      <c r="B2586" s="4" t="s">
        <v>2762</v>
      </c>
      <c r="C2586" s="4" t="n">
        <v>207</v>
      </c>
      <c r="D2586" s="4" t="n">
        <v>16</v>
      </c>
      <c r="E2586" s="13" t="n">
        <v>45614</v>
      </c>
      <c r="F2586" s="4" t="s">
        <v>3190</v>
      </c>
      <c r="G2586" s="4" t="str">
        <f aca="false">INDEX(PurchaseOrders!$B$2:$B$3001,MATCH(B2586,PurchaseOrders!$A$2:$A$3001,0))</f>
        <v>V037</v>
      </c>
    </row>
    <row r="2587" customFormat="false" ht="15" hidden="false" customHeight="true" outlineLevel="0" collapsed="false">
      <c r="A2587" s="4" t="s">
        <v>5774</v>
      </c>
      <c r="B2587" s="4" t="s">
        <v>2763</v>
      </c>
      <c r="C2587" s="4" t="n">
        <v>103</v>
      </c>
      <c r="D2587" s="4" t="n">
        <v>9</v>
      </c>
      <c r="E2587" s="13" t="n">
        <v>44967</v>
      </c>
      <c r="F2587" s="4" t="s">
        <v>3202</v>
      </c>
      <c r="G2587" s="4" t="str">
        <f aca="false">INDEX(PurchaseOrders!$B$2:$B$3001,MATCH(B2587,PurchaseOrders!$A$2:$A$3001,0))</f>
        <v>V036</v>
      </c>
    </row>
    <row r="2588" customFormat="false" ht="15" hidden="false" customHeight="true" outlineLevel="0" collapsed="false">
      <c r="A2588" s="4" t="s">
        <v>5775</v>
      </c>
      <c r="B2588" s="4" t="s">
        <v>2764</v>
      </c>
      <c r="C2588" s="4" t="n">
        <v>208</v>
      </c>
      <c r="D2588" s="4" t="n">
        <v>6</v>
      </c>
      <c r="E2588" s="13" t="n">
        <v>45609</v>
      </c>
      <c r="F2588" s="4" t="s">
        <v>3190</v>
      </c>
      <c r="G2588" s="4" t="str">
        <f aca="false">INDEX(PurchaseOrders!$B$2:$B$3001,MATCH(B2588,PurchaseOrders!$A$2:$A$3001,0))</f>
        <v>V011</v>
      </c>
    </row>
    <row r="2589" customFormat="false" ht="15" hidden="false" customHeight="true" outlineLevel="0" collapsed="false">
      <c r="A2589" s="4" t="s">
        <v>5776</v>
      </c>
      <c r="B2589" s="4" t="s">
        <v>2765</v>
      </c>
      <c r="C2589" s="4" t="n">
        <v>404</v>
      </c>
      <c r="D2589" s="4" t="n">
        <v>35</v>
      </c>
      <c r="E2589" s="13" t="n">
        <v>45193</v>
      </c>
      <c r="F2589" s="4" t="s">
        <v>3186</v>
      </c>
      <c r="G2589" s="4" t="str">
        <f aca="false">INDEX(PurchaseOrders!$B$2:$B$3001,MATCH(B2589,PurchaseOrders!$A$2:$A$3001,0))</f>
        <v>V033</v>
      </c>
    </row>
    <row r="2590" customFormat="false" ht="15" hidden="false" customHeight="true" outlineLevel="0" collapsed="false">
      <c r="A2590" s="4" t="s">
        <v>5777</v>
      </c>
      <c r="B2590" s="4" t="s">
        <v>2766</v>
      </c>
      <c r="C2590" s="4" t="n">
        <v>109</v>
      </c>
      <c r="D2590" s="4" t="n">
        <v>9</v>
      </c>
      <c r="E2590" s="13" t="n">
        <v>45400</v>
      </c>
      <c r="F2590" s="4" t="s">
        <v>3186</v>
      </c>
      <c r="G2590" s="4" t="str">
        <f aca="false">INDEX(PurchaseOrders!$B$2:$B$3001,MATCH(B2590,PurchaseOrders!$A$2:$A$3001,0))</f>
        <v>V009</v>
      </c>
    </row>
    <row r="2591" customFormat="false" ht="15" hidden="false" customHeight="true" outlineLevel="0" collapsed="false">
      <c r="A2591" s="4" t="s">
        <v>5778</v>
      </c>
      <c r="B2591" s="4" t="s">
        <v>2767</v>
      </c>
      <c r="C2591" s="4" t="n">
        <v>87</v>
      </c>
      <c r="D2591" s="4" t="n">
        <v>0</v>
      </c>
      <c r="E2591" s="13" t="n">
        <v>45040</v>
      </c>
      <c r="F2591" s="4"/>
      <c r="G2591" s="4" t="str">
        <f aca="false">INDEX(PurchaseOrders!$B$2:$B$3001,MATCH(B2591,PurchaseOrders!$A$2:$A$3001,0))</f>
        <v>V008</v>
      </c>
    </row>
    <row r="2592" customFormat="false" ht="15" hidden="false" customHeight="true" outlineLevel="0" collapsed="false">
      <c r="A2592" s="4" t="s">
        <v>5779</v>
      </c>
      <c r="B2592" s="4" t="s">
        <v>2768</v>
      </c>
      <c r="C2592" s="4" t="n">
        <v>418</v>
      </c>
      <c r="D2592" s="4" t="n">
        <v>27</v>
      </c>
      <c r="E2592" s="13" t="n">
        <v>45109</v>
      </c>
      <c r="F2592" s="4" t="s">
        <v>3190</v>
      </c>
      <c r="G2592" s="4" t="str">
        <f aca="false">INDEX(PurchaseOrders!$B$2:$B$3001,MATCH(B2592,PurchaseOrders!$A$2:$A$3001,0))</f>
        <v>V006</v>
      </c>
    </row>
    <row r="2593" customFormat="false" ht="15" hidden="false" customHeight="true" outlineLevel="0" collapsed="false">
      <c r="A2593" s="4" t="s">
        <v>5780</v>
      </c>
      <c r="B2593" s="4" t="s">
        <v>2769</v>
      </c>
      <c r="C2593" s="4" t="n">
        <v>1335</v>
      </c>
      <c r="D2593" s="4" t="n">
        <v>95</v>
      </c>
      <c r="E2593" s="13" t="n">
        <v>45575</v>
      </c>
      <c r="F2593" s="4" t="s">
        <v>3184</v>
      </c>
      <c r="G2593" s="4" t="str">
        <f aca="false">INDEX(PurchaseOrders!$B$2:$B$3001,MATCH(B2593,PurchaseOrders!$A$2:$A$3001,0))</f>
        <v>V034</v>
      </c>
    </row>
    <row r="2594" customFormat="false" ht="15" hidden="false" customHeight="true" outlineLevel="0" collapsed="false">
      <c r="A2594" s="4" t="s">
        <v>5781</v>
      </c>
      <c r="B2594" s="4" t="s">
        <v>2770</v>
      </c>
      <c r="C2594" s="4" t="n">
        <v>593</v>
      </c>
      <c r="D2594" s="4" t="n">
        <v>87</v>
      </c>
      <c r="E2594" s="13" t="n">
        <v>45221</v>
      </c>
      <c r="F2594" s="4" t="s">
        <v>3188</v>
      </c>
      <c r="G2594" s="4" t="str">
        <f aca="false">INDEX(PurchaseOrders!$B$2:$B$3001,MATCH(B2594,PurchaseOrders!$A$2:$A$3001,0))</f>
        <v>V038</v>
      </c>
    </row>
    <row r="2595" customFormat="false" ht="15" hidden="false" customHeight="true" outlineLevel="0" collapsed="false">
      <c r="A2595" s="4" t="s">
        <v>5782</v>
      </c>
      <c r="B2595" s="4" t="s">
        <v>2771</v>
      </c>
      <c r="C2595" s="4" t="n">
        <v>1744</v>
      </c>
      <c r="D2595" s="4" t="n">
        <v>264</v>
      </c>
      <c r="E2595" s="13" t="n">
        <v>45431</v>
      </c>
      <c r="F2595" s="4" t="s">
        <v>3184</v>
      </c>
      <c r="G2595" s="4" t="str">
        <f aca="false">INDEX(PurchaseOrders!$B$2:$B$3001,MATCH(B2595,PurchaseOrders!$A$2:$A$3001,0))</f>
        <v>V025</v>
      </c>
    </row>
    <row r="2596" customFormat="false" ht="15" hidden="false" customHeight="true" outlineLevel="0" collapsed="false">
      <c r="A2596" s="4" t="s">
        <v>5783</v>
      </c>
      <c r="B2596" s="4" t="s">
        <v>2772</v>
      </c>
      <c r="C2596" s="4" t="n">
        <v>98</v>
      </c>
      <c r="D2596" s="4" t="n">
        <v>3</v>
      </c>
      <c r="E2596" s="13" t="n">
        <v>44987</v>
      </c>
      <c r="F2596" s="4" t="s">
        <v>3190</v>
      </c>
      <c r="G2596" s="4" t="str">
        <f aca="false">INDEX(PurchaseOrders!$B$2:$B$3001,MATCH(B2596,PurchaseOrders!$A$2:$A$3001,0))</f>
        <v>V012</v>
      </c>
    </row>
    <row r="2597" customFormat="false" ht="15" hidden="false" customHeight="true" outlineLevel="0" collapsed="false">
      <c r="A2597" s="4" t="s">
        <v>5784</v>
      </c>
      <c r="B2597" s="4" t="s">
        <v>2773</v>
      </c>
      <c r="C2597" s="4" t="n">
        <v>24</v>
      </c>
      <c r="D2597" s="4" t="n">
        <v>1</v>
      </c>
      <c r="E2597" s="13" t="n">
        <v>45426</v>
      </c>
      <c r="F2597" s="4" t="s">
        <v>3188</v>
      </c>
      <c r="G2597" s="4" t="str">
        <f aca="false">INDEX(PurchaseOrders!$B$2:$B$3001,MATCH(B2597,PurchaseOrders!$A$2:$A$3001,0))</f>
        <v>V037</v>
      </c>
    </row>
    <row r="2598" customFormat="false" ht="15" hidden="false" customHeight="true" outlineLevel="0" collapsed="false">
      <c r="A2598" s="4" t="s">
        <v>5785</v>
      </c>
      <c r="B2598" s="4" t="s">
        <v>2774</v>
      </c>
      <c r="C2598" s="4" t="n">
        <v>1072</v>
      </c>
      <c r="D2598" s="4" t="n">
        <v>26</v>
      </c>
      <c r="E2598" s="13" t="n">
        <v>45487</v>
      </c>
      <c r="F2598" s="4" t="s">
        <v>3192</v>
      </c>
      <c r="G2598" s="4" t="str">
        <f aca="false">INDEX(PurchaseOrders!$B$2:$B$3001,MATCH(B2598,PurchaseOrders!$A$2:$A$3001,0))</f>
        <v>V021</v>
      </c>
    </row>
    <row r="2599" customFormat="false" ht="15" hidden="false" customHeight="true" outlineLevel="0" collapsed="false">
      <c r="A2599" s="4" t="s">
        <v>5786</v>
      </c>
      <c r="B2599" s="4" t="s">
        <v>2775</v>
      </c>
      <c r="C2599" s="4" t="n">
        <v>1280</v>
      </c>
      <c r="D2599" s="4" t="n">
        <v>59</v>
      </c>
      <c r="E2599" s="13" t="n">
        <v>45320</v>
      </c>
      <c r="F2599" s="4" t="s">
        <v>3192</v>
      </c>
      <c r="G2599" s="4" t="str">
        <f aca="false">INDEX(PurchaseOrders!$B$2:$B$3001,MATCH(B2599,PurchaseOrders!$A$2:$A$3001,0))</f>
        <v>V002</v>
      </c>
    </row>
    <row r="2600" customFormat="false" ht="15" hidden="false" customHeight="true" outlineLevel="0" collapsed="false">
      <c r="A2600" s="4" t="s">
        <v>5787</v>
      </c>
      <c r="B2600" s="4" t="s">
        <v>2776</v>
      </c>
      <c r="C2600" s="4" t="n">
        <v>253</v>
      </c>
      <c r="D2600" s="4" t="n">
        <v>17</v>
      </c>
      <c r="E2600" s="13" t="n">
        <v>45033</v>
      </c>
      <c r="F2600" s="4" t="s">
        <v>3190</v>
      </c>
      <c r="G2600" s="4" t="str">
        <f aca="false">INDEX(PurchaseOrders!$B$2:$B$3001,MATCH(B2600,PurchaseOrders!$A$2:$A$3001,0))</f>
        <v>V013</v>
      </c>
    </row>
    <row r="2601" customFormat="false" ht="15" hidden="false" customHeight="true" outlineLevel="0" collapsed="false">
      <c r="A2601" s="4" t="s">
        <v>5788</v>
      </c>
      <c r="B2601" s="4" t="s">
        <v>2777</v>
      </c>
      <c r="C2601" s="4" t="n">
        <v>67</v>
      </c>
      <c r="D2601" s="4" t="n">
        <v>7</v>
      </c>
      <c r="E2601" s="13" t="n">
        <v>45152</v>
      </c>
      <c r="F2601" s="4" t="s">
        <v>3192</v>
      </c>
      <c r="G2601" s="4" t="str">
        <f aca="false">INDEX(PurchaseOrders!$B$2:$B$3001,MATCH(B2601,PurchaseOrders!$A$2:$A$3001,0))</f>
        <v>V043</v>
      </c>
    </row>
    <row r="2602" customFormat="false" ht="15" hidden="false" customHeight="true" outlineLevel="0" collapsed="false">
      <c r="A2602" s="4" t="s">
        <v>5789</v>
      </c>
      <c r="B2602" s="4" t="s">
        <v>2778</v>
      </c>
      <c r="C2602" s="4" t="n">
        <v>18</v>
      </c>
      <c r="D2602" s="4" t="n">
        <v>2</v>
      </c>
      <c r="E2602" s="13" t="n">
        <v>45097</v>
      </c>
      <c r="F2602" s="4" t="s">
        <v>3186</v>
      </c>
      <c r="G2602" s="4" t="str">
        <f aca="false">INDEX(PurchaseOrders!$B$2:$B$3001,MATCH(B2602,PurchaseOrders!$A$2:$A$3001,0))</f>
        <v>V054</v>
      </c>
    </row>
    <row r="2603" customFormat="false" ht="15" hidden="false" customHeight="true" outlineLevel="0" collapsed="false">
      <c r="A2603" s="4" t="s">
        <v>5790</v>
      </c>
      <c r="B2603" s="4" t="s">
        <v>2779</v>
      </c>
      <c r="C2603" s="4" t="n">
        <v>812</v>
      </c>
      <c r="D2603" s="4" t="n">
        <v>5</v>
      </c>
      <c r="E2603" s="13" t="n">
        <v>45035</v>
      </c>
      <c r="F2603" s="4" t="s">
        <v>3186</v>
      </c>
      <c r="G2603" s="4" t="str">
        <f aca="false">INDEX(PurchaseOrders!$B$2:$B$3001,MATCH(B2603,PurchaseOrders!$A$2:$A$3001,0))</f>
        <v>V017</v>
      </c>
    </row>
    <row r="2604" customFormat="false" ht="15" hidden="false" customHeight="true" outlineLevel="0" collapsed="false">
      <c r="A2604" s="4" t="s">
        <v>5791</v>
      </c>
      <c r="B2604" s="4" t="s">
        <v>2780</v>
      </c>
      <c r="C2604" s="4" t="n">
        <v>1497</v>
      </c>
      <c r="D2604" s="4" t="n">
        <v>77</v>
      </c>
      <c r="E2604" s="13" t="n">
        <v>45009</v>
      </c>
      <c r="F2604" s="4" t="s">
        <v>3202</v>
      </c>
      <c r="G2604" s="4" t="str">
        <f aca="false">INDEX(PurchaseOrders!$B$2:$B$3001,MATCH(B2604,PurchaseOrders!$A$2:$A$3001,0))</f>
        <v>V007</v>
      </c>
    </row>
    <row r="2605" customFormat="false" ht="15" hidden="false" customHeight="true" outlineLevel="0" collapsed="false">
      <c r="A2605" s="4" t="s">
        <v>5792</v>
      </c>
      <c r="B2605" s="4" t="s">
        <v>2781</v>
      </c>
      <c r="C2605" s="4" t="n">
        <v>425</v>
      </c>
      <c r="D2605" s="4" t="n">
        <v>36</v>
      </c>
      <c r="E2605" s="13" t="n">
        <v>45402</v>
      </c>
      <c r="F2605" s="4" t="s">
        <v>3184</v>
      </c>
      <c r="G2605" s="4" t="str">
        <f aca="false">INDEX(PurchaseOrders!$B$2:$B$3001,MATCH(B2605,PurchaseOrders!$A$2:$A$3001,0))</f>
        <v>V004</v>
      </c>
    </row>
    <row r="2606" customFormat="false" ht="15" hidden="false" customHeight="true" outlineLevel="0" collapsed="false">
      <c r="A2606" s="4" t="s">
        <v>5793</v>
      </c>
      <c r="B2606" s="4" t="s">
        <v>2782</v>
      </c>
      <c r="C2606" s="4" t="n">
        <v>729</v>
      </c>
      <c r="D2606" s="4" t="n">
        <v>37</v>
      </c>
      <c r="E2606" s="13" t="n">
        <v>45666</v>
      </c>
      <c r="F2606" s="4" t="s">
        <v>3184</v>
      </c>
      <c r="G2606" s="4" t="str">
        <f aca="false">INDEX(PurchaseOrders!$B$2:$B$3001,MATCH(B2606,PurchaseOrders!$A$2:$A$3001,0))</f>
        <v>V045</v>
      </c>
    </row>
    <row r="2607" customFormat="false" ht="15" hidden="false" customHeight="true" outlineLevel="0" collapsed="false">
      <c r="A2607" s="4" t="s">
        <v>5794</v>
      </c>
      <c r="B2607" s="4" t="s">
        <v>2783</v>
      </c>
      <c r="C2607" s="4" t="n">
        <v>307</v>
      </c>
      <c r="D2607" s="4" t="n">
        <v>0</v>
      </c>
      <c r="E2607" s="13" t="n">
        <v>45283</v>
      </c>
      <c r="F2607" s="4"/>
      <c r="G2607" s="4" t="str">
        <f aca="false">INDEX(PurchaseOrders!$B$2:$B$3001,MATCH(B2607,PurchaseOrders!$A$2:$A$3001,0))</f>
        <v>V047</v>
      </c>
    </row>
    <row r="2608" customFormat="false" ht="15" hidden="false" customHeight="true" outlineLevel="0" collapsed="false">
      <c r="A2608" s="4" t="s">
        <v>5795</v>
      </c>
      <c r="B2608" s="4" t="s">
        <v>2784</v>
      </c>
      <c r="C2608" s="4" t="n">
        <v>371</v>
      </c>
      <c r="D2608" s="4" t="n">
        <v>33</v>
      </c>
      <c r="E2608" s="13" t="n">
        <v>45047</v>
      </c>
      <c r="F2608" s="4" t="s">
        <v>3190</v>
      </c>
      <c r="G2608" s="4" t="str">
        <f aca="false">INDEX(PurchaseOrders!$B$2:$B$3001,MATCH(B2608,PurchaseOrders!$A$2:$A$3001,0))</f>
        <v>V007</v>
      </c>
    </row>
    <row r="2609" customFormat="false" ht="15" hidden="false" customHeight="true" outlineLevel="0" collapsed="false">
      <c r="A2609" s="4" t="s">
        <v>5796</v>
      </c>
      <c r="B2609" s="4" t="s">
        <v>2785</v>
      </c>
      <c r="C2609" s="4" t="n">
        <v>86</v>
      </c>
      <c r="D2609" s="4" t="n">
        <v>8</v>
      </c>
      <c r="E2609" s="13" t="n">
        <v>44998</v>
      </c>
      <c r="F2609" s="4" t="s">
        <v>3186</v>
      </c>
      <c r="G2609" s="4" t="str">
        <f aca="false">INDEX(PurchaseOrders!$B$2:$B$3001,MATCH(B2609,PurchaseOrders!$A$2:$A$3001,0))</f>
        <v>V033</v>
      </c>
    </row>
    <row r="2610" customFormat="false" ht="15" hidden="false" customHeight="true" outlineLevel="0" collapsed="false">
      <c r="A2610" s="4" t="s">
        <v>5797</v>
      </c>
      <c r="B2610" s="4" t="s">
        <v>2786</v>
      </c>
      <c r="C2610" s="4" t="n">
        <v>110</v>
      </c>
      <c r="D2610" s="4" t="n">
        <v>7</v>
      </c>
      <c r="E2610" s="13" t="n">
        <v>45446</v>
      </c>
      <c r="F2610" s="4" t="s">
        <v>3188</v>
      </c>
      <c r="G2610" s="4" t="str">
        <f aca="false">INDEX(PurchaseOrders!$B$2:$B$3001,MATCH(B2610,PurchaseOrders!$A$2:$A$3001,0))</f>
        <v>V033</v>
      </c>
    </row>
    <row r="2611" customFormat="false" ht="15" hidden="false" customHeight="true" outlineLevel="0" collapsed="false">
      <c r="A2611" s="4" t="s">
        <v>5798</v>
      </c>
      <c r="B2611" s="4" t="s">
        <v>2787</v>
      </c>
      <c r="C2611" s="4" t="n">
        <v>182</v>
      </c>
      <c r="D2611" s="4" t="n">
        <v>6</v>
      </c>
      <c r="E2611" s="13" t="n">
        <v>45042</v>
      </c>
      <c r="F2611" s="4" t="s">
        <v>3188</v>
      </c>
      <c r="G2611" s="4" t="str">
        <f aca="false">INDEX(PurchaseOrders!$B$2:$B$3001,MATCH(B2611,PurchaseOrders!$A$2:$A$3001,0))</f>
        <v>V024</v>
      </c>
    </row>
    <row r="2612" customFormat="false" ht="15" hidden="false" customHeight="true" outlineLevel="0" collapsed="false">
      <c r="A2612" s="4" t="s">
        <v>5799</v>
      </c>
      <c r="B2612" s="4" t="s">
        <v>2788</v>
      </c>
      <c r="C2612" s="4" t="n">
        <v>256</v>
      </c>
      <c r="D2612" s="4" t="n">
        <v>30</v>
      </c>
      <c r="E2612" s="13" t="n">
        <v>45266</v>
      </c>
      <c r="F2612" s="4" t="s">
        <v>3192</v>
      </c>
      <c r="G2612" s="4" t="str">
        <f aca="false">INDEX(PurchaseOrders!$B$2:$B$3001,MATCH(B2612,PurchaseOrders!$A$2:$A$3001,0))</f>
        <v>V036</v>
      </c>
    </row>
    <row r="2613" customFormat="false" ht="15" hidden="false" customHeight="true" outlineLevel="0" collapsed="false">
      <c r="A2613" s="4" t="s">
        <v>5800</v>
      </c>
      <c r="B2613" s="4" t="s">
        <v>2789</v>
      </c>
      <c r="C2613" s="4" t="n">
        <v>111</v>
      </c>
      <c r="D2613" s="4" t="n">
        <v>4</v>
      </c>
      <c r="E2613" s="13" t="n">
        <v>45052</v>
      </c>
      <c r="F2613" s="4" t="s">
        <v>3192</v>
      </c>
      <c r="G2613" s="4" t="str">
        <f aca="false">INDEX(PurchaseOrders!$B$2:$B$3001,MATCH(B2613,PurchaseOrders!$A$2:$A$3001,0))</f>
        <v>V040</v>
      </c>
    </row>
    <row r="2614" customFormat="false" ht="15" hidden="false" customHeight="true" outlineLevel="0" collapsed="false">
      <c r="A2614" s="4" t="s">
        <v>5801</v>
      </c>
      <c r="B2614" s="4" t="s">
        <v>2790</v>
      </c>
      <c r="C2614" s="4" t="n">
        <v>120</v>
      </c>
      <c r="D2614" s="4" t="n">
        <v>7</v>
      </c>
      <c r="E2614" s="13" t="n">
        <v>45182</v>
      </c>
      <c r="F2614" s="4" t="s">
        <v>3202</v>
      </c>
      <c r="G2614" s="4" t="str">
        <f aca="false">INDEX(PurchaseOrders!$B$2:$B$3001,MATCH(B2614,PurchaseOrders!$A$2:$A$3001,0))</f>
        <v>V052</v>
      </c>
    </row>
    <row r="2615" customFormat="false" ht="15" hidden="false" customHeight="true" outlineLevel="0" collapsed="false">
      <c r="A2615" s="4" t="s">
        <v>5802</v>
      </c>
      <c r="B2615" s="4" t="s">
        <v>2791</v>
      </c>
      <c r="C2615" s="4" t="n">
        <v>3187</v>
      </c>
      <c r="D2615" s="4" t="n">
        <v>510</v>
      </c>
      <c r="E2615" s="13" t="n">
        <v>44995</v>
      </c>
      <c r="F2615" s="4" t="s">
        <v>3188</v>
      </c>
      <c r="G2615" s="4" t="str">
        <f aca="false">INDEX(PurchaseOrders!$B$2:$B$3001,MATCH(B2615,PurchaseOrders!$A$2:$A$3001,0))</f>
        <v>V026</v>
      </c>
    </row>
    <row r="2616" customFormat="false" ht="15" hidden="false" customHeight="true" outlineLevel="0" collapsed="false">
      <c r="A2616" s="4" t="s">
        <v>5803</v>
      </c>
      <c r="B2616" s="4" t="s">
        <v>2792</v>
      </c>
      <c r="C2616" s="4" t="n">
        <v>1710</v>
      </c>
      <c r="D2616" s="4" t="n">
        <v>74</v>
      </c>
      <c r="E2616" s="13" t="n">
        <v>45225</v>
      </c>
      <c r="F2616" s="4" t="s">
        <v>3186</v>
      </c>
      <c r="G2616" s="4" t="str">
        <f aca="false">INDEX(PurchaseOrders!$B$2:$B$3001,MATCH(B2616,PurchaseOrders!$A$2:$A$3001,0))</f>
        <v>V058</v>
      </c>
    </row>
    <row r="2617" customFormat="false" ht="15" hidden="false" customHeight="true" outlineLevel="0" collapsed="false">
      <c r="A2617" s="4" t="s">
        <v>5804</v>
      </c>
      <c r="B2617" s="4" t="s">
        <v>2793</v>
      </c>
      <c r="C2617" s="4" t="n">
        <v>104</v>
      </c>
      <c r="D2617" s="4" t="n">
        <v>11</v>
      </c>
      <c r="E2617" s="13" t="n">
        <v>45594</v>
      </c>
      <c r="F2617" s="4" t="s">
        <v>3202</v>
      </c>
      <c r="G2617" s="4" t="str">
        <f aca="false">INDEX(PurchaseOrders!$B$2:$B$3001,MATCH(B2617,PurchaseOrders!$A$2:$A$3001,0))</f>
        <v>V049</v>
      </c>
    </row>
    <row r="2618" customFormat="false" ht="15" hidden="false" customHeight="true" outlineLevel="0" collapsed="false">
      <c r="A2618" s="4" t="s">
        <v>5805</v>
      </c>
      <c r="B2618" s="4" t="s">
        <v>2794</v>
      </c>
      <c r="C2618" s="4" t="n">
        <v>142</v>
      </c>
      <c r="D2618" s="4" t="n">
        <v>7</v>
      </c>
      <c r="E2618" s="13" t="n">
        <v>45229</v>
      </c>
      <c r="F2618" s="4" t="s">
        <v>3188</v>
      </c>
      <c r="G2618" s="4" t="str">
        <f aca="false">INDEX(PurchaseOrders!$B$2:$B$3001,MATCH(B2618,PurchaseOrders!$A$2:$A$3001,0))</f>
        <v>V018</v>
      </c>
    </row>
    <row r="2619" customFormat="false" ht="15" hidden="false" customHeight="true" outlineLevel="0" collapsed="false">
      <c r="A2619" s="4" t="s">
        <v>5806</v>
      </c>
      <c r="B2619" s="4" t="s">
        <v>2795</v>
      </c>
      <c r="C2619" s="4" t="n">
        <v>106</v>
      </c>
      <c r="D2619" s="4" t="n">
        <v>4</v>
      </c>
      <c r="E2619" s="13" t="n">
        <v>45059</v>
      </c>
      <c r="F2619" s="4" t="s">
        <v>3190</v>
      </c>
      <c r="G2619" s="4" t="str">
        <f aca="false">INDEX(PurchaseOrders!$B$2:$B$3001,MATCH(B2619,PurchaseOrders!$A$2:$A$3001,0))</f>
        <v>V037</v>
      </c>
    </row>
    <row r="2620" customFormat="false" ht="15" hidden="false" customHeight="true" outlineLevel="0" collapsed="false">
      <c r="A2620" s="4" t="s">
        <v>5807</v>
      </c>
      <c r="B2620" s="4" t="s">
        <v>2796</v>
      </c>
      <c r="C2620" s="4" t="n">
        <v>2394</v>
      </c>
      <c r="D2620" s="4" t="n">
        <v>180</v>
      </c>
      <c r="E2620" s="13" t="n">
        <v>45089</v>
      </c>
      <c r="F2620" s="4" t="s">
        <v>3188</v>
      </c>
      <c r="G2620" s="4" t="str">
        <f aca="false">INDEX(PurchaseOrders!$B$2:$B$3001,MATCH(B2620,PurchaseOrders!$A$2:$A$3001,0))</f>
        <v>V002</v>
      </c>
    </row>
    <row r="2621" customFormat="false" ht="15" hidden="false" customHeight="true" outlineLevel="0" collapsed="false">
      <c r="A2621" s="4" t="s">
        <v>5808</v>
      </c>
      <c r="B2621" s="4" t="s">
        <v>2797</v>
      </c>
      <c r="C2621" s="4" t="n">
        <v>509</v>
      </c>
      <c r="D2621" s="4" t="n">
        <v>30</v>
      </c>
      <c r="E2621" s="13" t="n">
        <v>45118</v>
      </c>
      <c r="F2621" s="4" t="s">
        <v>3184</v>
      </c>
      <c r="G2621" s="4" t="str">
        <f aca="false">INDEX(PurchaseOrders!$B$2:$B$3001,MATCH(B2621,PurchaseOrders!$A$2:$A$3001,0))</f>
        <v>V017</v>
      </c>
    </row>
    <row r="2622" customFormat="false" ht="15" hidden="false" customHeight="true" outlineLevel="0" collapsed="false">
      <c r="A2622" s="4" t="s">
        <v>5809</v>
      </c>
      <c r="B2622" s="4" t="s">
        <v>2798</v>
      </c>
      <c r="C2622" s="4" t="n">
        <v>925</v>
      </c>
      <c r="D2622" s="4" t="n">
        <v>8</v>
      </c>
      <c r="E2622" s="13" t="n">
        <v>45586</v>
      </c>
      <c r="F2622" s="4" t="s">
        <v>3186</v>
      </c>
      <c r="G2622" s="4" t="str">
        <f aca="false">INDEX(PurchaseOrders!$B$2:$B$3001,MATCH(B2622,PurchaseOrders!$A$2:$A$3001,0))</f>
        <v>V045</v>
      </c>
    </row>
    <row r="2623" customFormat="false" ht="15" hidden="false" customHeight="true" outlineLevel="0" collapsed="false">
      <c r="A2623" s="4" t="s">
        <v>5810</v>
      </c>
      <c r="B2623" s="4" t="s">
        <v>2799</v>
      </c>
      <c r="C2623" s="4" t="n">
        <v>11</v>
      </c>
      <c r="D2623" s="4" t="n">
        <v>1</v>
      </c>
      <c r="E2623" s="13" t="n">
        <v>45651</v>
      </c>
      <c r="F2623" s="4" t="s">
        <v>3186</v>
      </c>
      <c r="G2623" s="4" t="str">
        <f aca="false">INDEX(PurchaseOrders!$B$2:$B$3001,MATCH(B2623,PurchaseOrders!$A$2:$A$3001,0))</f>
        <v>V042</v>
      </c>
    </row>
    <row r="2624" customFormat="false" ht="15" hidden="false" customHeight="true" outlineLevel="0" collapsed="false">
      <c r="A2624" s="4" t="s">
        <v>5811</v>
      </c>
      <c r="B2624" s="4" t="s">
        <v>2800</v>
      </c>
      <c r="C2624" s="4" t="n">
        <v>300</v>
      </c>
      <c r="D2624" s="4" t="n">
        <v>21</v>
      </c>
      <c r="E2624" s="13" t="n">
        <v>45335</v>
      </c>
      <c r="F2624" s="4" t="s">
        <v>3190</v>
      </c>
      <c r="G2624" s="4" t="str">
        <f aca="false">INDEX(PurchaseOrders!$B$2:$B$3001,MATCH(B2624,PurchaseOrders!$A$2:$A$3001,0))</f>
        <v>V030</v>
      </c>
    </row>
    <row r="2625" customFormat="false" ht="15" hidden="false" customHeight="true" outlineLevel="0" collapsed="false">
      <c r="A2625" s="4" t="s">
        <v>5812</v>
      </c>
      <c r="B2625" s="4" t="s">
        <v>2801</v>
      </c>
      <c r="C2625" s="4" t="n">
        <v>114</v>
      </c>
      <c r="D2625" s="4" t="n">
        <v>2</v>
      </c>
      <c r="E2625" s="13" t="n">
        <v>45149</v>
      </c>
      <c r="F2625" s="4" t="s">
        <v>3186</v>
      </c>
      <c r="G2625" s="4" t="str">
        <f aca="false">INDEX(PurchaseOrders!$B$2:$B$3001,MATCH(B2625,PurchaseOrders!$A$2:$A$3001,0))</f>
        <v>V004</v>
      </c>
    </row>
    <row r="2626" customFormat="false" ht="15" hidden="false" customHeight="true" outlineLevel="0" collapsed="false">
      <c r="A2626" s="4" t="s">
        <v>5813</v>
      </c>
      <c r="B2626" s="4" t="s">
        <v>2802</v>
      </c>
      <c r="C2626" s="4" t="n">
        <v>3775</v>
      </c>
      <c r="D2626" s="4" t="n">
        <v>35</v>
      </c>
      <c r="E2626" s="13" t="n">
        <v>45458</v>
      </c>
      <c r="F2626" s="4" t="s">
        <v>3190</v>
      </c>
      <c r="G2626" s="4" t="str">
        <f aca="false">INDEX(PurchaseOrders!$B$2:$B$3001,MATCH(B2626,PurchaseOrders!$A$2:$A$3001,0))</f>
        <v>V015</v>
      </c>
    </row>
    <row r="2627" customFormat="false" ht="15" hidden="false" customHeight="true" outlineLevel="0" collapsed="false">
      <c r="A2627" s="4" t="s">
        <v>5814</v>
      </c>
      <c r="B2627" s="4" t="s">
        <v>2803</v>
      </c>
      <c r="C2627" s="4" t="n">
        <v>586</v>
      </c>
      <c r="D2627" s="4" t="n">
        <v>21</v>
      </c>
      <c r="E2627" s="13" t="n">
        <v>44949</v>
      </c>
      <c r="F2627" s="4" t="s">
        <v>3190</v>
      </c>
      <c r="G2627" s="4" t="str">
        <f aca="false">INDEX(PurchaseOrders!$B$2:$B$3001,MATCH(B2627,PurchaseOrders!$A$2:$A$3001,0))</f>
        <v>V022</v>
      </c>
    </row>
    <row r="2628" customFormat="false" ht="15" hidden="false" customHeight="true" outlineLevel="0" collapsed="false">
      <c r="A2628" s="4" t="s">
        <v>5815</v>
      </c>
      <c r="B2628" s="4" t="s">
        <v>2804</v>
      </c>
      <c r="C2628" s="4" t="n">
        <v>932</v>
      </c>
      <c r="D2628" s="4" t="n">
        <v>62</v>
      </c>
      <c r="E2628" s="13" t="n">
        <v>45456</v>
      </c>
      <c r="F2628" s="4" t="s">
        <v>3188</v>
      </c>
      <c r="G2628" s="4" t="str">
        <f aca="false">INDEX(PurchaseOrders!$B$2:$B$3001,MATCH(B2628,PurchaseOrders!$A$2:$A$3001,0))</f>
        <v>V005</v>
      </c>
    </row>
    <row r="2629" customFormat="false" ht="15" hidden="false" customHeight="true" outlineLevel="0" collapsed="false">
      <c r="A2629" s="4" t="s">
        <v>5816</v>
      </c>
      <c r="B2629" s="4" t="s">
        <v>2805</v>
      </c>
      <c r="C2629" s="4" t="n">
        <v>4</v>
      </c>
      <c r="D2629" s="4" t="n">
        <v>0</v>
      </c>
      <c r="E2629" s="13" t="n">
        <v>45221</v>
      </c>
      <c r="F2629" s="4"/>
      <c r="G2629" s="4" t="str">
        <f aca="false">INDEX(PurchaseOrders!$B$2:$B$3001,MATCH(B2629,PurchaseOrders!$A$2:$A$3001,0))</f>
        <v>V016</v>
      </c>
    </row>
    <row r="2630" customFormat="false" ht="15" hidden="false" customHeight="true" outlineLevel="0" collapsed="false">
      <c r="A2630" s="4" t="s">
        <v>5817</v>
      </c>
      <c r="B2630" s="4" t="s">
        <v>2806</v>
      </c>
      <c r="C2630" s="4" t="n">
        <v>1899</v>
      </c>
      <c r="D2630" s="4" t="n">
        <v>85</v>
      </c>
      <c r="E2630" s="13" t="n">
        <v>45421</v>
      </c>
      <c r="F2630" s="4" t="s">
        <v>3190</v>
      </c>
      <c r="G2630" s="4" t="str">
        <f aca="false">INDEX(PurchaseOrders!$B$2:$B$3001,MATCH(B2630,PurchaseOrders!$A$2:$A$3001,0))</f>
        <v>V034</v>
      </c>
    </row>
    <row r="2631" customFormat="false" ht="15" hidden="false" customHeight="true" outlineLevel="0" collapsed="false">
      <c r="A2631" s="4" t="s">
        <v>5818</v>
      </c>
      <c r="B2631" s="4" t="s">
        <v>2807</v>
      </c>
      <c r="C2631" s="4" t="n">
        <v>2408</v>
      </c>
      <c r="D2631" s="4" t="n">
        <v>150</v>
      </c>
      <c r="E2631" s="13" t="n">
        <v>45499</v>
      </c>
      <c r="F2631" s="4" t="s">
        <v>3188</v>
      </c>
      <c r="G2631" s="4" t="str">
        <f aca="false">INDEX(PurchaseOrders!$B$2:$B$3001,MATCH(B2631,PurchaseOrders!$A$2:$A$3001,0))</f>
        <v>V001</v>
      </c>
    </row>
    <row r="2632" customFormat="false" ht="15" hidden="false" customHeight="true" outlineLevel="0" collapsed="false">
      <c r="A2632" s="4" t="s">
        <v>5819</v>
      </c>
      <c r="B2632" s="4" t="s">
        <v>2808</v>
      </c>
      <c r="C2632" s="4" t="n">
        <v>1174</v>
      </c>
      <c r="D2632" s="4" t="n">
        <v>85</v>
      </c>
      <c r="E2632" s="13" t="n">
        <v>45541</v>
      </c>
      <c r="F2632" s="4" t="s">
        <v>3184</v>
      </c>
      <c r="G2632" s="4" t="str">
        <f aca="false">INDEX(PurchaseOrders!$B$2:$B$3001,MATCH(B2632,PurchaseOrders!$A$2:$A$3001,0))</f>
        <v>V007</v>
      </c>
    </row>
    <row r="2633" customFormat="false" ht="15" hidden="false" customHeight="true" outlineLevel="0" collapsed="false">
      <c r="A2633" s="4" t="s">
        <v>5820</v>
      </c>
      <c r="B2633" s="4" t="s">
        <v>2809</v>
      </c>
      <c r="C2633" s="4" t="n">
        <v>3753</v>
      </c>
      <c r="D2633" s="4" t="n">
        <v>129</v>
      </c>
      <c r="E2633" s="13" t="n">
        <v>45245</v>
      </c>
      <c r="F2633" s="4" t="s">
        <v>3192</v>
      </c>
      <c r="G2633" s="4" t="str">
        <f aca="false">INDEX(PurchaseOrders!$B$2:$B$3001,MATCH(B2633,PurchaseOrders!$A$2:$A$3001,0))</f>
        <v>V017</v>
      </c>
    </row>
    <row r="2634" customFormat="false" ht="15" hidden="false" customHeight="true" outlineLevel="0" collapsed="false">
      <c r="A2634" s="4" t="s">
        <v>5821</v>
      </c>
      <c r="B2634" s="4" t="s">
        <v>2810</v>
      </c>
      <c r="C2634" s="4" t="n">
        <v>2099</v>
      </c>
      <c r="D2634" s="4" t="n">
        <v>180</v>
      </c>
      <c r="E2634" s="13" t="n">
        <v>45130</v>
      </c>
      <c r="F2634" s="4" t="s">
        <v>3202</v>
      </c>
      <c r="G2634" s="4" t="str">
        <f aca="false">INDEX(PurchaseOrders!$B$2:$B$3001,MATCH(B2634,PurchaseOrders!$A$2:$A$3001,0))</f>
        <v>V057</v>
      </c>
    </row>
    <row r="2635" customFormat="false" ht="15" hidden="false" customHeight="true" outlineLevel="0" collapsed="false">
      <c r="A2635" s="4" t="s">
        <v>5822</v>
      </c>
      <c r="B2635" s="4" t="s">
        <v>2811</v>
      </c>
      <c r="C2635" s="4" t="n">
        <v>255</v>
      </c>
      <c r="D2635" s="4" t="n">
        <v>23</v>
      </c>
      <c r="E2635" s="13" t="n">
        <v>45347</v>
      </c>
      <c r="F2635" s="4" t="s">
        <v>3184</v>
      </c>
      <c r="G2635" s="4" t="str">
        <f aca="false">INDEX(PurchaseOrders!$B$2:$B$3001,MATCH(B2635,PurchaseOrders!$A$2:$A$3001,0))</f>
        <v>V027</v>
      </c>
    </row>
    <row r="2636" customFormat="false" ht="15" hidden="false" customHeight="true" outlineLevel="0" collapsed="false">
      <c r="A2636" s="4" t="s">
        <v>5823</v>
      </c>
      <c r="B2636" s="4" t="s">
        <v>2812</v>
      </c>
      <c r="C2636" s="4" t="n">
        <v>107</v>
      </c>
      <c r="D2636" s="4" t="n">
        <v>9</v>
      </c>
      <c r="E2636" s="13" t="n">
        <v>45054</v>
      </c>
      <c r="F2636" s="4" t="s">
        <v>3192</v>
      </c>
      <c r="G2636" s="4" t="str">
        <f aca="false">INDEX(PurchaseOrders!$B$2:$B$3001,MATCH(B2636,PurchaseOrders!$A$2:$A$3001,0))</f>
        <v>V049</v>
      </c>
    </row>
    <row r="2637" customFormat="false" ht="15" hidden="false" customHeight="true" outlineLevel="0" collapsed="false">
      <c r="A2637" s="4" t="s">
        <v>5824</v>
      </c>
      <c r="B2637" s="4" t="s">
        <v>2813</v>
      </c>
      <c r="C2637" s="4" t="n">
        <v>2543</v>
      </c>
      <c r="D2637" s="4" t="n">
        <v>77</v>
      </c>
      <c r="E2637" s="13" t="n">
        <v>45327</v>
      </c>
      <c r="F2637" s="4" t="s">
        <v>3186</v>
      </c>
      <c r="G2637" s="4" t="str">
        <f aca="false">INDEX(PurchaseOrders!$B$2:$B$3001,MATCH(B2637,PurchaseOrders!$A$2:$A$3001,0))</f>
        <v>V002</v>
      </c>
    </row>
    <row r="2638" customFormat="false" ht="15" hidden="false" customHeight="true" outlineLevel="0" collapsed="false">
      <c r="A2638" s="4" t="s">
        <v>5825</v>
      </c>
      <c r="B2638" s="4" t="s">
        <v>2814</v>
      </c>
      <c r="C2638" s="4" t="n">
        <v>90</v>
      </c>
      <c r="D2638" s="4" t="n">
        <v>8</v>
      </c>
      <c r="E2638" s="13" t="n">
        <v>45154</v>
      </c>
      <c r="F2638" s="4" t="s">
        <v>3192</v>
      </c>
      <c r="G2638" s="4" t="str">
        <f aca="false">INDEX(PurchaseOrders!$B$2:$B$3001,MATCH(B2638,PurchaseOrders!$A$2:$A$3001,0))</f>
        <v>V009</v>
      </c>
    </row>
    <row r="2639" customFormat="false" ht="15" hidden="false" customHeight="true" outlineLevel="0" collapsed="false">
      <c r="A2639" s="4" t="s">
        <v>5826</v>
      </c>
      <c r="B2639" s="4" t="s">
        <v>2815</v>
      </c>
      <c r="C2639" s="4" t="n">
        <v>191</v>
      </c>
      <c r="D2639" s="4" t="n">
        <v>10</v>
      </c>
      <c r="E2639" s="13" t="n">
        <v>45518</v>
      </c>
      <c r="F2639" s="4" t="s">
        <v>3202</v>
      </c>
      <c r="G2639" s="4" t="str">
        <f aca="false">INDEX(PurchaseOrders!$B$2:$B$3001,MATCH(B2639,PurchaseOrders!$A$2:$A$3001,0))</f>
        <v>V037</v>
      </c>
    </row>
    <row r="2640" customFormat="false" ht="15" hidden="false" customHeight="true" outlineLevel="0" collapsed="false">
      <c r="A2640" s="4" t="s">
        <v>5827</v>
      </c>
      <c r="B2640" s="4" t="s">
        <v>2816</v>
      </c>
      <c r="C2640" s="4" t="n">
        <v>956</v>
      </c>
      <c r="D2640" s="4" t="n">
        <v>89</v>
      </c>
      <c r="E2640" s="13" t="n">
        <v>44962</v>
      </c>
      <c r="F2640" s="4" t="s">
        <v>3202</v>
      </c>
      <c r="G2640" s="4" t="str">
        <f aca="false">INDEX(PurchaseOrders!$B$2:$B$3001,MATCH(B2640,PurchaseOrders!$A$2:$A$3001,0))</f>
        <v>V007</v>
      </c>
    </row>
    <row r="2641" customFormat="false" ht="15" hidden="false" customHeight="true" outlineLevel="0" collapsed="false">
      <c r="A2641" s="4" t="s">
        <v>5828</v>
      </c>
      <c r="B2641" s="4" t="s">
        <v>2817</v>
      </c>
      <c r="C2641" s="4" t="n">
        <v>64</v>
      </c>
      <c r="D2641" s="4" t="n">
        <v>8</v>
      </c>
      <c r="E2641" s="13" t="n">
        <v>45158</v>
      </c>
      <c r="F2641" s="4" t="s">
        <v>3184</v>
      </c>
      <c r="G2641" s="4" t="str">
        <f aca="false">INDEX(PurchaseOrders!$B$2:$B$3001,MATCH(B2641,PurchaseOrders!$A$2:$A$3001,0))</f>
        <v>V049</v>
      </c>
    </row>
    <row r="2642" customFormat="false" ht="15" hidden="false" customHeight="true" outlineLevel="0" collapsed="false">
      <c r="A2642" s="4" t="s">
        <v>5829</v>
      </c>
      <c r="B2642" s="4" t="s">
        <v>2818</v>
      </c>
      <c r="C2642" s="4" t="n">
        <v>1003</v>
      </c>
      <c r="D2642" s="4" t="n">
        <v>122</v>
      </c>
      <c r="E2642" s="13" t="n">
        <v>45659</v>
      </c>
      <c r="F2642" s="4" t="s">
        <v>3190</v>
      </c>
      <c r="G2642" s="4" t="str">
        <f aca="false">INDEX(PurchaseOrders!$B$2:$B$3001,MATCH(B2642,PurchaseOrders!$A$2:$A$3001,0))</f>
        <v>V044</v>
      </c>
    </row>
    <row r="2643" customFormat="false" ht="15" hidden="false" customHeight="true" outlineLevel="0" collapsed="false">
      <c r="A2643" s="4" t="s">
        <v>5830</v>
      </c>
      <c r="B2643" s="4" t="s">
        <v>2819</v>
      </c>
      <c r="C2643" s="4" t="n">
        <v>1037</v>
      </c>
      <c r="D2643" s="4" t="n">
        <v>19</v>
      </c>
      <c r="E2643" s="13" t="n">
        <v>45502</v>
      </c>
      <c r="F2643" s="4" t="s">
        <v>3188</v>
      </c>
      <c r="G2643" s="4" t="str">
        <f aca="false">INDEX(PurchaseOrders!$B$2:$B$3001,MATCH(B2643,PurchaseOrders!$A$2:$A$3001,0))</f>
        <v>V045</v>
      </c>
    </row>
    <row r="2644" customFormat="false" ht="15" hidden="false" customHeight="true" outlineLevel="0" collapsed="false">
      <c r="A2644" s="4" t="s">
        <v>5831</v>
      </c>
      <c r="B2644" s="4" t="s">
        <v>2820</v>
      </c>
      <c r="C2644" s="4" t="n">
        <v>413</v>
      </c>
      <c r="D2644" s="4" t="n">
        <v>38</v>
      </c>
      <c r="E2644" s="13" t="n">
        <v>45655</v>
      </c>
      <c r="F2644" s="4" t="s">
        <v>3190</v>
      </c>
      <c r="G2644" s="4" t="str">
        <f aca="false">INDEX(PurchaseOrders!$B$2:$B$3001,MATCH(B2644,PurchaseOrders!$A$2:$A$3001,0))</f>
        <v>V027</v>
      </c>
    </row>
    <row r="2645" customFormat="false" ht="15" hidden="false" customHeight="true" outlineLevel="0" collapsed="false">
      <c r="A2645" s="4" t="s">
        <v>5832</v>
      </c>
      <c r="B2645" s="4" t="s">
        <v>2821</v>
      </c>
      <c r="C2645" s="4" t="n">
        <v>275</v>
      </c>
      <c r="D2645" s="4" t="n">
        <v>0</v>
      </c>
      <c r="E2645" s="13" t="n">
        <v>45271</v>
      </c>
      <c r="F2645" s="4"/>
      <c r="G2645" s="4" t="str">
        <f aca="false">INDEX(PurchaseOrders!$B$2:$B$3001,MATCH(B2645,PurchaseOrders!$A$2:$A$3001,0))</f>
        <v>V046</v>
      </c>
    </row>
    <row r="2646" customFormat="false" ht="15" hidden="false" customHeight="true" outlineLevel="0" collapsed="false">
      <c r="A2646" s="4" t="s">
        <v>5833</v>
      </c>
      <c r="B2646" s="4" t="s">
        <v>2822</v>
      </c>
      <c r="C2646" s="4" t="n">
        <v>66</v>
      </c>
      <c r="D2646" s="4" t="n">
        <v>0</v>
      </c>
      <c r="E2646" s="13" t="n">
        <v>45058</v>
      </c>
      <c r="F2646" s="4"/>
      <c r="G2646" s="4" t="str">
        <f aca="false">INDEX(PurchaseOrders!$B$2:$B$3001,MATCH(B2646,PurchaseOrders!$A$2:$A$3001,0))</f>
        <v>V047</v>
      </c>
    </row>
    <row r="2647" customFormat="false" ht="15" hidden="false" customHeight="true" outlineLevel="0" collapsed="false">
      <c r="A2647" s="4" t="s">
        <v>5834</v>
      </c>
      <c r="B2647" s="4" t="s">
        <v>2823</v>
      </c>
      <c r="C2647" s="4" t="n">
        <v>3750</v>
      </c>
      <c r="D2647" s="4" t="n">
        <v>204</v>
      </c>
      <c r="E2647" s="13" t="n">
        <v>45299</v>
      </c>
      <c r="F2647" s="4" t="s">
        <v>3186</v>
      </c>
      <c r="G2647" s="4" t="str">
        <f aca="false">INDEX(PurchaseOrders!$B$2:$B$3001,MATCH(B2647,PurchaseOrders!$A$2:$A$3001,0))</f>
        <v>V050</v>
      </c>
    </row>
    <row r="2648" customFormat="false" ht="15" hidden="false" customHeight="true" outlineLevel="0" collapsed="false">
      <c r="A2648" s="4" t="s">
        <v>5835</v>
      </c>
      <c r="B2648" s="4" t="s">
        <v>2824</v>
      </c>
      <c r="C2648" s="4" t="n">
        <v>530</v>
      </c>
      <c r="D2648" s="4" t="n">
        <v>33</v>
      </c>
      <c r="E2648" s="13" t="n">
        <v>44991</v>
      </c>
      <c r="F2648" s="4" t="s">
        <v>3188</v>
      </c>
      <c r="G2648" s="4" t="str">
        <f aca="false">INDEX(PurchaseOrders!$B$2:$B$3001,MATCH(B2648,PurchaseOrders!$A$2:$A$3001,0))</f>
        <v>V051</v>
      </c>
    </row>
    <row r="2649" customFormat="false" ht="15" hidden="false" customHeight="true" outlineLevel="0" collapsed="false">
      <c r="A2649" s="4" t="s">
        <v>5836</v>
      </c>
      <c r="B2649" s="4" t="s">
        <v>2825</v>
      </c>
      <c r="C2649" s="4" t="n">
        <v>4634</v>
      </c>
      <c r="D2649" s="4" t="n">
        <v>709</v>
      </c>
      <c r="E2649" s="13" t="n">
        <v>44983</v>
      </c>
      <c r="F2649" s="4" t="s">
        <v>3186</v>
      </c>
      <c r="G2649" s="4" t="str">
        <f aca="false">INDEX(PurchaseOrders!$B$2:$B$3001,MATCH(B2649,PurchaseOrders!$A$2:$A$3001,0))</f>
        <v>V038</v>
      </c>
    </row>
    <row r="2650" customFormat="false" ht="15" hidden="false" customHeight="true" outlineLevel="0" collapsed="false">
      <c r="A2650" s="4" t="s">
        <v>5837</v>
      </c>
      <c r="B2650" s="4" t="s">
        <v>2826</v>
      </c>
      <c r="C2650" s="4" t="n">
        <v>524</v>
      </c>
      <c r="D2650" s="4" t="n">
        <v>17</v>
      </c>
      <c r="E2650" s="13" t="n">
        <v>45545</v>
      </c>
      <c r="F2650" s="4" t="s">
        <v>3190</v>
      </c>
      <c r="G2650" s="4" t="str">
        <f aca="false">INDEX(PurchaseOrders!$B$2:$B$3001,MATCH(B2650,PurchaseOrders!$A$2:$A$3001,0))</f>
        <v>V014</v>
      </c>
    </row>
    <row r="2651" customFormat="false" ht="15" hidden="false" customHeight="true" outlineLevel="0" collapsed="false">
      <c r="A2651" s="4" t="s">
        <v>5838</v>
      </c>
      <c r="B2651" s="4" t="s">
        <v>2827</v>
      </c>
      <c r="C2651" s="4" t="n">
        <v>1576</v>
      </c>
      <c r="D2651" s="4" t="n">
        <v>99</v>
      </c>
      <c r="E2651" s="13" t="n">
        <v>45436</v>
      </c>
      <c r="F2651" s="4" t="s">
        <v>3188</v>
      </c>
      <c r="G2651" s="4" t="str">
        <f aca="false">INDEX(PurchaseOrders!$B$2:$B$3001,MATCH(B2651,PurchaseOrders!$A$2:$A$3001,0))</f>
        <v>V034</v>
      </c>
    </row>
    <row r="2652" customFormat="false" ht="15" hidden="false" customHeight="true" outlineLevel="0" collapsed="false">
      <c r="A2652" s="4" t="s">
        <v>5839</v>
      </c>
      <c r="B2652" s="4" t="s">
        <v>2828</v>
      </c>
      <c r="C2652" s="4" t="n">
        <v>3983</v>
      </c>
      <c r="D2652" s="4" t="n">
        <v>476</v>
      </c>
      <c r="E2652" s="13" t="n">
        <v>45444</v>
      </c>
      <c r="F2652" s="4" t="s">
        <v>3188</v>
      </c>
      <c r="G2652" s="4" t="str">
        <f aca="false">INDEX(PurchaseOrders!$B$2:$B$3001,MATCH(B2652,PurchaseOrders!$A$2:$A$3001,0))</f>
        <v>V038</v>
      </c>
    </row>
    <row r="2653" customFormat="false" ht="15" hidden="false" customHeight="true" outlineLevel="0" collapsed="false">
      <c r="A2653" s="4" t="s">
        <v>5840</v>
      </c>
      <c r="B2653" s="4" t="s">
        <v>2829</v>
      </c>
      <c r="C2653" s="4" t="n">
        <v>117</v>
      </c>
      <c r="D2653" s="4" t="n">
        <v>13</v>
      </c>
      <c r="E2653" s="13" t="n">
        <v>45517</v>
      </c>
      <c r="F2653" s="4" t="s">
        <v>3184</v>
      </c>
      <c r="G2653" s="4" t="str">
        <f aca="false">INDEX(PurchaseOrders!$B$2:$B$3001,MATCH(B2653,PurchaseOrders!$A$2:$A$3001,0))</f>
        <v>V036</v>
      </c>
    </row>
    <row r="2654" customFormat="false" ht="15" hidden="false" customHeight="true" outlineLevel="0" collapsed="false">
      <c r="A2654" s="4" t="s">
        <v>5841</v>
      </c>
      <c r="B2654" s="4" t="s">
        <v>2830</v>
      </c>
      <c r="C2654" s="4" t="n">
        <v>1594</v>
      </c>
      <c r="D2654" s="4" t="n">
        <v>102</v>
      </c>
      <c r="E2654" s="13" t="n">
        <v>45598</v>
      </c>
      <c r="F2654" s="4" t="s">
        <v>3202</v>
      </c>
      <c r="G2654" s="4" t="str">
        <f aca="false">INDEX(PurchaseOrders!$B$2:$B$3001,MATCH(B2654,PurchaseOrders!$A$2:$A$3001,0))</f>
        <v>V051</v>
      </c>
    </row>
    <row r="2655" customFormat="false" ht="15" hidden="false" customHeight="true" outlineLevel="0" collapsed="false">
      <c r="A2655" s="4" t="s">
        <v>5842</v>
      </c>
      <c r="B2655" s="4" t="s">
        <v>2831</v>
      </c>
      <c r="C2655" s="4" t="n">
        <v>3957</v>
      </c>
      <c r="D2655" s="4" t="n">
        <v>132</v>
      </c>
      <c r="E2655" s="13" t="n">
        <v>45228</v>
      </c>
      <c r="F2655" s="4" t="s">
        <v>3202</v>
      </c>
      <c r="G2655" s="4" t="str">
        <f aca="false">INDEX(PurchaseOrders!$B$2:$B$3001,MATCH(B2655,PurchaseOrders!$A$2:$A$3001,0))</f>
        <v>V002</v>
      </c>
    </row>
    <row r="2656" customFormat="false" ht="15" hidden="false" customHeight="true" outlineLevel="0" collapsed="false">
      <c r="A2656" s="4" t="s">
        <v>5843</v>
      </c>
      <c r="B2656" s="4" t="s">
        <v>2832</v>
      </c>
      <c r="C2656" s="4" t="n">
        <v>285</v>
      </c>
      <c r="D2656" s="4" t="n">
        <v>60</v>
      </c>
      <c r="E2656" s="13" t="n">
        <v>45035</v>
      </c>
      <c r="F2656" s="4" t="s">
        <v>3202</v>
      </c>
      <c r="G2656" s="4" t="str">
        <f aca="false">INDEX(PurchaseOrders!$B$2:$B$3001,MATCH(B2656,PurchaseOrders!$A$2:$A$3001,0))</f>
        <v>V039</v>
      </c>
    </row>
    <row r="2657" customFormat="false" ht="15" hidden="false" customHeight="true" outlineLevel="0" collapsed="false">
      <c r="A2657" s="4" t="s">
        <v>5844</v>
      </c>
      <c r="B2657" s="4" t="s">
        <v>2833</v>
      </c>
      <c r="C2657" s="4" t="n">
        <v>3541</v>
      </c>
      <c r="D2657" s="4" t="n">
        <v>165</v>
      </c>
      <c r="E2657" s="13" t="n">
        <v>45425</v>
      </c>
      <c r="F2657" s="4" t="s">
        <v>3186</v>
      </c>
      <c r="G2657" s="4" t="str">
        <f aca="false">INDEX(PurchaseOrders!$B$2:$B$3001,MATCH(B2657,PurchaseOrders!$A$2:$A$3001,0))</f>
        <v>V002</v>
      </c>
    </row>
    <row r="2658" customFormat="false" ht="15" hidden="false" customHeight="true" outlineLevel="0" collapsed="false">
      <c r="A2658" s="4" t="s">
        <v>5845</v>
      </c>
      <c r="B2658" s="4" t="s">
        <v>2834</v>
      </c>
      <c r="C2658" s="4" t="n">
        <v>4</v>
      </c>
      <c r="D2658" s="4" t="n">
        <v>0</v>
      </c>
      <c r="E2658" s="13" t="n">
        <v>45310</v>
      </c>
      <c r="F2658" s="4"/>
      <c r="G2658" s="4" t="str">
        <f aca="false">INDEX(PurchaseOrders!$B$2:$B$3001,MATCH(B2658,PurchaseOrders!$A$2:$A$3001,0))</f>
        <v>V019</v>
      </c>
    </row>
    <row r="2659" customFormat="false" ht="15" hidden="false" customHeight="true" outlineLevel="0" collapsed="false">
      <c r="A2659" s="4" t="s">
        <v>5846</v>
      </c>
      <c r="B2659" s="4" t="s">
        <v>2835</v>
      </c>
      <c r="C2659" s="4" t="n">
        <v>36</v>
      </c>
      <c r="D2659" s="4" t="n">
        <v>0</v>
      </c>
      <c r="E2659" s="13" t="n">
        <v>45496</v>
      </c>
      <c r="F2659" s="4"/>
      <c r="G2659" s="4" t="str">
        <f aca="false">INDEX(PurchaseOrders!$B$2:$B$3001,MATCH(B2659,PurchaseOrders!$A$2:$A$3001,0))</f>
        <v>V046</v>
      </c>
    </row>
    <row r="2660" customFormat="false" ht="15" hidden="false" customHeight="true" outlineLevel="0" collapsed="false">
      <c r="A2660" s="4" t="s">
        <v>5847</v>
      </c>
      <c r="B2660" s="4" t="s">
        <v>2836</v>
      </c>
      <c r="C2660" s="4" t="n">
        <v>240</v>
      </c>
      <c r="D2660" s="4" t="n">
        <v>33</v>
      </c>
      <c r="E2660" s="13" t="n">
        <v>45214</v>
      </c>
      <c r="F2660" s="4" t="s">
        <v>3188</v>
      </c>
      <c r="G2660" s="4" t="str">
        <f aca="false">INDEX(PurchaseOrders!$B$2:$B$3001,MATCH(B2660,PurchaseOrders!$A$2:$A$3001,0))</f>
        <v>V043</v>
      </c>
    </row>
    <row r="2661" customFormat="false" ht="15" hidden="false" customHeight="true" outlineLevel="0" collapsed="false">
      <c r="A2661" s="4" t="s">
        <v>5848</v>
      </c>
      <c r="B2661" s="4" t="s">
        <v>2837</v>
      </c>
      <c r="C2661" s="4" t="n">
        <v>5</v>
      </c>
      <c r="D2661" s="4" t="n">
        <v>0</v>
      </c>
      <c r="E2661" s="13" t="n">
        <v>45022</v>
      </c>
      <c r="F2661" s="4"/>
      <c r="G2661" s="4" t="str">
        <f aca="false">INDEX(PurchaseOrders!$B$2:$B$3001,MATCH(B2661,PurchaseOrders!$A$2:$A$3001,0))</f>
        <v>V016</v>
      </c>
    </row>
    <row r="2662" customFormat="false" ht="15" hidden="false" customHeight="true" outlineLevel="0" collapsed="false">
      <c r="A2662" s="4" t="s">
        <v>5849</v>
      </c>
      <c r="B2662" s="4" t="s">
        <v>2838</v>
      </c>
      <c r="C2662" s="4" t="n">
        <v>479</v>
      </c>
      <c r="D2662" s="4" t="n">
        <v>30</v>
      </c>
      <c r="E2662" s="13" t="n">
        <v>45534</v>
      </c>
      <c r="F2662" s="4" t="s">
        <v>3192</v>
      </c>
      <c r="G2662" s="4" t="str">
        <f aca="false">INDEX(PurchaseOrders!$B$2:$B$3001,MATCH(B2662,PurchaseOrders!$A$2:$A$3001,0))</f>
        <v>V048</v>
      </c>
    </row>
    <row r="2663" customFormat="false" ht="15" hidden="false" customHeight="true" outlineLevel="0" collapsed="false">
      <c r="A2663" s="4" t="s">
        <v>5850</v>
      </c>
      <c r="B2663" s="4" t="s">
        <v>2839</v>
      </c>
      <c r="C2663" s="4" t="n">
        <v>278</v>
      </c>
      <c r="D2663" s="4" t="n">
        <v>31</v>
      </c>
      <c r="E2663" s="13" t="n">
        <v>45539</v>
      </c>
      <c r="F2663" s="4" t="s">
        <v>3188</v>
      </c>
      <c r="G2663" s="4" t="str">
        <f aca="false">INDEX(PurchaseOrders!$B$2:$B$3001,MATCH(B2663,PurchaseOrders!$A$2:$A$3001,0))</f>
        <v>V009</v>
      </c>
    </row>
    <row r="2664" customFormat="false" ht="15" hidden="false" customHeight="true" outlineLevel="0" collapsed="false">
      <c r="A2664" s="4" t="s">
        <v>5851</v>
      </c>
      <c r="B2664" s="4" t="s">
        <v>2840</v>
      </c>
      <c r="C2664" s="4" t="n">
        <v>265</v>
      </c>
      <c r="D2664" s="4" t="n">
        <v>16</v>
      </c>
      <c r="E2664" s="13" t="n">
        <v>45019</v>
      </c>
      <c r="F2664" s="4" t="s">
        <v>3192</v>
      </c>
      <c r="G2664" s="4" t="str">
        <f aca="false">INDEX(PurchaseOrders!$B$2:$B$3001,MATCH(B2664,PurchaseOrders!$A$2:$A$3001,0))</f>
        <v>V033</v>
      </c>
    </row>
    <row r="2665" customFormat="false" ht="15" hidden="false" customHeight="true" outlineLevel="0" collapsed="false">
      <c r="A2665" s="4" t="s">
        <v>5852</v>
      </c>
      <c r="B2665" s="4" t="s">
        <v>2841</v>
      </c>
      <c r="C2665" s="4" t="n">
        <v>4</v>
      </c>
      <c r="D2665" s="4" t="n">
        <v>0</v>
      </c>
      <c r="E2665" s="13" t="n">
        <v>45078</v>
      </c>
      <c r="F2665" s="4"/>
      <c r="G2665" s="4" t="str">
        <f aca="false">INDEX(PurchaseOrders!$B$2:$B$3001,MATCH(B2665,PurchaseOrders!$A$2:$A$3001,0))</f>
        <v>V053</v>
      </c>
    </row>
    <row r="2666" customFormat="false" ht="15" hidden="false" customHeight="true" outlineLevel="0" collapsed="false">
      <c r="A2666" s="4" t="s">
        <v>5853</v>
      </c>
      <c r="B2666" s="4" t="s">
        <v>2842</v>
      </c>
      <c r="C2666" s="4" t="n">
        <v>326</v>
      </c>
      <c r="D2666" s="4" t="n">
        <v>4</v>
      </c>
      <c r="E2666" s="13" t="n">
        <v>45166</v>
      </c>
      <c r="F2666" s="4" t="s">
        <v>3192</v>
      </c>
      <c r="G2666" s="4" t="str">
        <f aca="false">INDEX(PurchaseOrders!$B$2:$B$3001,MATCH(B2666,PurchaseOrders!$A$2:$A$3001,0))</f>
        <v>V006</v>
      </c>
    </row>
    <row r="2667" customFormat="false" ht="15" hidden="false" customHeight="true" outlineLevel="0" collapsed="false">
      <c r="A2667" s="4" t="s">
        <v>5854</v>
      </c>
      <c r="B2667" s="4" t="s">
        <v>2843</v>
      </c>
      <c r="C2667" s="4" t="n">
        <v>1731</v>
      </c>
      <c r="D2667" s="4" t="n">
        <v>255</v>
      </c>
      <c r="E2667" s="13" t="n">
        <v>44978</v>
      </c>
      <c r="F2667" s="4" t="s">
        <v>3184</v>
      </c>
      <c r="G2667" s="4" t="str">
        <f aca="false">INDEX(PurchaseOrders!$B$2:$B$3001,MATCH(B2667,PurchaseOrders!$A$2:$A$3001,0))</f>
        <v>V025</v>
      </c>
    </row>
    <row r="2668" customFormat="false" ht="15" hidden="false" customHeight="true" outlineLevel="0" collapsed="false">
      <c r="A2668" s="4" t="s">
        <v>5855</v>
      </c>
      <c r="B2668" s="4" t="s">
        <v>2844</v>
      </c>
      <c r="C2668" s="4" t="n">
        <v>6</v>
      </c>
      <c r="D2668" s="4" t="n">
        <v>0</v>
      </c>
      <c r="E2668" s="13" t="n">
        <v>45602</v>
      </c>
      <c r="F2668" s="4"/>
      <c r="G2668" s="4" t="str">
        <f aca="false">INDEX(PurchaseOrders!$B$2:$B$3001,MATCH(B2668,PurchaseOrders!$A$2:$A$3001,0))</f>
        <v>V053</v>
      </c>
    </row>
    <row r="2669" customFormat="false" ht="15" hidden="false" customHeight="true" outlineLevel="0" collapsed="false">
      <c r="A2669" s="4" t="s">
        <v>5856</v>
      </c>
      <c r="B2669" s="4" t="s">
        <v>2845</v>
      </c>
      <c r="C2669" s="4" t="n">
        <v>13</v>
      </c>
      <c r="D2669" s="4" t="n">
        <v>1</v>
      </c>
      <c r="E2669" s="13" t="n">
        <v>45022</v>
      </c>
      <c r="F2669" s="4" t="s">
        <v>3190</v>
      </c>
      <c r="G2669" s="4" t="str">
        <f aca="false">INDEX(PurchaseOrders!$B$2:$B$3001,MATCH(B2669,PurchaseOrders!$A$2:$A$3001,0))</f>
        <v>V042</v>
      </c>
    </row>
    <row r="2670" customFormat="false" ht="15" hidden="false" customHeight="true" outlineLevel="0" collapsed="false">
      <c r="A2670" s="4" t="s">
        <v>5857</v>
      </c>
      <c r="B2670" s="4" t="s">
        <v>2846</v>
      </c>
      <c r="C2670" s="4" t="n">
        <v>170</v>
      </c>
      <c r="D2670" s="4" t="n">
        <v>3</v>
      </c>
      <c r="E2670" s="13" t="n">
        <v>45427</v>
      </c>
      <c r="F2670" s="4" t="s">
        <v>3188</v>
      </c>
      <c r="G2670" s="4" t="str">
        <f aca="false">INDEX(PurchaseOrders!$B$2:$B$3001,MATCH(B2670,PurchaseOrders!$A$2:$A$3001,0))</f>
        <v>V047</v>
      </c>
    </row>
    <row r="2671" customFormat="false" ht="15" hidden="false" customHeight="true" outlineLevel="0" collapsed="false">
      <c r="A2671" s="4" t="s">
        <v>5858</v>
      </c>
      <c r="B2671" s="4" t="s">
        <v>2847</v>
      </c>
      <c r="C2671" s="4" t="n">
        <v>127</v>
      </c>
      <c r="D2671" s="4" t="n">
        <v>15</v>
      </c>
      <c r="E2671" s="13" t="n">
        <v>45609</v>
      </c>
      <c r="F2671" s="4" t="s">
        <v>3202</v>
      </c>
      <c r="G2671" s="4" t="str">
        <f aca="false">INDEX(PurchaseOrders!$B$2:$B$3001,MATCH(B2671,PurchaseOrders!$A$2:$A$3001,0))</f>
        <v>V013</v>
      </c>
    </row>
    <row r="2672" customFormat="false" ht="15" hidden="false" customHeight="true" outlineLevel="0" collapsed="false">
      <c r="A2672" s="4" t="s">
        <v>5859</v>
      </c>
      <c r="B2672" s="4" t="s">
        <v>2848</v>
      </c>
      <c r="C2672" s="4" t="n">
        <v>1425</v>
      </c>
      <c r="D2672" s="4" t="n">
        <v>47</v>
      </c>
      <c r="E2672" s="13" t="n">
        <v>45133</v>
      </c>
      <c r="F2672" s="4" t="s">
        <v>3188</v>
      </c>
      <c r="G2672" s="4" t="str">
        <f aca="false">INDEX(PurchaseOrders!$B$2:$B$3001,MATCH(B2672,PurchaseOrders!$A$2:$A$3001,0))</f>
        <v>V017</v>
      </c>
    </row>
    <row r="2673" customFormat="false" ht="15" hidden="false" customHeight="true" outlineLevel="0" collapsed="false">
      <c r="A2673" s="4" t="s">
        <v>5860</v>
      </c>
      <c r="B2673" s="4" t="s">
        <v>2849</v>
      </c>
      <c r="C2673" s="4" t="n">
        <v>529</v>
      </c>
      <c r="D2673" s="4" t="n">
        <v>30</v>
      </c>
      <c r="E2673" s="13" t="n">
        <v>45246</v>
      </c>
      <c r="F2673" s="4" t="s">
        <v>3184</v>
      </c>
      <c r="G2673" s="4" t="str">
        <f aca="false">INDEX(PurchaseOrders!$B$2:$B$3001,MATCH(B2673,PurchaseOrders!$A$2:$A$3001,0))</f>
        <v>V048</v>
      </c>
    </row>
    <row r="2674" customFormat="false" ht="15" hidden="false" customHeight="true" outlineLevel="0" collapsed="false">
      <c r="A2674" s="4" t="s">
        <v>5861</v>
      </c>
      <c r="B2674" s="4" t="s">
        <v>2850</v>
      </c>
      <c r="C2674" s="4" t="n">
        <v>327</v>
      </c>
      <c r="D2674" s="4" t="n">
        <v>0</v>
      </c>
      <c r="E2674" s="13" t="n">
        <v>45508</v>
      </c>
      <c r="F2674" s="4"/>
      <c r="G2674" s="4" t="str">
        <f aca="false">INDEX(PurchaseOrders!$B$2:$B$3001,MATCH(B2674,PurchaseOrders!$A$2:$A$3001,0))</f>
        <v>V060</v>
      </c>
    </row>
    <row r="2675" customFormat="false" ht="15" hidden="false" customHeight="true" outlineLevel="0" collapsed="false">
      <c r="A2675" s="4" t="s">
        <v>5862</v>
      </c>
      <c r="B2675" s="4" t="s">
        <v>2851</v>
      </c>
      <c r="C2675" s="4" t="n">
        <v>1588</v>
      </c>
      <c r="D2675" s="4" t="n">
        <v>184</v>
      </c>
      <c r="E2675" s="13" t="n">
        <v>45070</v>
      </c>
      <c r="F2675" s="4" t="s">
        <v>3202</v>
      </c>
      <c r="G2675" s="4" t="str">
        <f aca="false">INDEX(PurchaseOrders!$B$2:$B$3001,MATCH(B2675,PurchaseOrders!$A$2:$A$3001,0))</f>
        <v>V032</v>
      </c>
    </row>
    <row r="2676" customFormat="false" ht="15" hidden="false" customHeight="true" outlineLevel="0" collapsed="false">
      <c r="A2676" s="4" t="s">
        <v>5863</v>
      </c>
      <c r="B2676" s="4" t="s">
        <v>2852</v>
      </c>
      <c r="C2676" s="4" t="n">
        <v>3994</v>
      </c>
      <c r="D2676" s="4" t="n">
        <v>820</v>
      </c>
      <c r="E2676" s="13" t="n">
        <v>45316</v>
      </c>
      <c r="F2676" s="4" t="s">
        <v>3184</v>
      </c>
      <c r="G2676" s="4" t="str">
        <f aca="false">INDEX(PurchaseOrders!$B$2:$B$3001,MATCH(B2676,PurchaseOrders!$A$2:$A$3001,0))</f>
        <v>V026</v>
      </c>
    </row>
    <row r="2677" customFormat="false" ht="15" hidden="false" customHeight="true" outlineLevel="0" collapsed="false">
      <c r="A2677" s="4" t="s">
        <v>5864</v>
      </c>
      <c r="B2677" s="4" t="s">
        <v>2853</v>
      </c>
      <c r="C2677" s="4" t="n">
        <v>1548</v>
      </c>
      <c r="D2677" s="4" t="n">
        <v>72</v>
      </c>
      <c r="E2677" s="13" t="n">
        <v>45014</v>
      </c>
      <c r="F2677" s="4" t="s">
        <v>3202</v>
      </c>
      <c r="G2677" s="4" t="str">
        <f aca="false">INDEX(PurchaseOrders!$B$2:$B$3001,MATCH(B2677,PurchaseOrders!$A$2:$A$3001,0))</f>
        <v>V022</v>
      </c>
    </row>
    <row r="2678" customFormat="false" ht="15" hidden="false" customHeight="true" outlineLevel="0" collapsed="false">
      <c r="A2678" s="4" t="s">
        <v>5865</v>
      </c>
      <c r="B2678" s="4" t="s">
        <v>2854</v>
      </c>
      <c r="C2678" s="4" t="n">
        <v>2090</v>
      </c>
      <c r="D2678" s="4" t="n">
        <v>278</v>
      </c>
      <c r="E2678" s="13" t="n">
        <v>45397</v>
      </c>
      <c r="F2678" s="4" t="s">
        <v>3202</v>
      </c>
      <c r="G2678" s="4" t="str">
        <f aca="false">INDEX(PurchaseOrders!$B$2:$B$3001,MATCH(B2678,PurchaseOrders!$A$2:$A$3001,0))</f>
        <v>V032</v>
      </c>
    </row>
    <row r="2679" customFormat="false" ht="15" hidden="false" customHeight="true" outlineLevel="0" collapsed="false">
      <c r="A2679" s="4" t="s">
        <v>5866</v>
      </c>
      <c r="B2679" s="4" t="s">
        <v>2855</v>
      </c>
      <c r="C2679" s="4" t="n">
        <v>3630</v>
      </c>
      <c r="D2679" s="4" t="n">
        <v>153</v>
      </c>
      <c r="E2679" s="13" t="n">
        <v>45636</v>
      </c>
      <c r="F2679" s="4" t="s">
        <v>3184</v>
      </c>
      <c r="G2679" s="4" t="str">
        <f aca="false">INDEX(PurchaseOrders!$B$2:$B$3001,MATCH(B2679,PurchaseOrders!$A$2:$A$3001,0))</f>
        <v>V002</v>
      </c>
    </row>
    <row r="2680" customFormat="false" ht="15" hidden="false" customHeight="true" outlineLevel="0" collapsed="false">
      <c r="A2680" s="4" t="s">
        <v>5867</v>
      </c>
      <c r="B2680" s="4" t="s">
        <v>2856</v>
      </c>
      <c r="C2680" s="4" t="n">
        <v>737</v>
      </c>
      <c r="D2680" s="4" t="n">
        <v>45</v>
      </c>
      <c r="E2680" s="13" t="n">
        <v>45330</v>
      </c>
      <c r="F2680" s="4" t="s">
        <v>3192</v>
      </c>
      <c r="G2680" s="4" t="str">
        <f aca="false">INDEX(PurchaseOrders!$B$2:$B$3001,MATCH(B2680,PurchaseOrders!$A$2:$A$3001,0))</f>
        <v>V032</v>
      </c>
    </row>
    <row r="2681" customFormat="false" ht="15" hidden="false" customHeight="true" outlineLevel="0" collapsed="false">
      <c r="A2681" s="4" t="s">
        <v>5868</v>
      </c>
      <c r="B2681" s="4" t="s">
        <v>2857</v>
      </c>
      <c r="C2681" s="4" t="n">
        <v>643</v>
      </c>
      <c r="D2681" s="4" t="n">
        <v>47</v>
      </c>
      <c r="E2681" s="13" t="n">
        <v>45305</v>
      </c>
      <c r="F2681" s="4" t="s">
        <v>3190</v>
      </c>
      <c r="G2681" s="4" t="str">
        <f aca="false">INDEX(PurchaseOrders!$B$2:$B$3001,MATCH(B2681,PurchaseOrders!$A$2:$A$3001,0))</f>
        <v>V032</v>
      </c>
    </row>
    <row r="2682" customFormat="false" ht="15" hidden="false" customHeight="true" outlineLevel="0" collapsed="false">
      <c r="A2682" s="4" t="s">
        <v>5869</v>
      </c>
      <c r="B2682" s="4" t="s">
        <v>2858</v>
      </c>
      <c r="C2682" s="4" t="n">
        <v>793</v>
      </c>
      <c r="D2682" s="4" t="n">
        <v>41</v>
      </c>
      <c r="E2682" s="13" t="n">
        <v>45189</v>
      </c>
      <c r="F2682" s="4" t="s">
        <v>3190</v>
      </c>
      <c r="G2682" s="4" t="str">
        <f aca="false">INDEX(PurchaseOrders!$B$2:$B$3001,MATCH(B2682,PurchaseOrders!$A$2:$A$3001,0))</f>
        <v>V045</v>
      </c>
    </row>
    <row r="2683" customFormat="false" ht="15" hidden="false" customHeight="true" outlineLevel="0" collapsed="false">
      <c r="A2683" s="4" t="s">
        <v>5870</v>
      </c>
      <c r="B2683" s="4" t="s">
        <v>2859</v>
      </c>
      <c r="C2683" s="4" t="n">
        <v>1784</v>
      </c>
      <c r="D2683" s="4" t="n">
        <v>5</v>
      </c>
      <c r="E2683" s="13" t="n">
        <v>45536</v>
      </c>
      <c r="F2683" s="4" t="s">
        <v>3192</v>
      </c>
      <c r="G2683" s="4" t="str">
        <f aca="false">INDEX(PurchaseOrders!$B$2:$B$3001,MATCH(B2683,PurchaseOrders!$A$2:$A$3001,0))</f>
        <v>V002</v>
      </c>
    </row>
    <row r="2684" customFormat="false" ht="15" hidden="false" customHeight="true" outlineLevel="0" collapsed="false">
      <c r="A2684" s="4" t="s">
        <v>5871</v>
      </c>
      <c r="B2684" s="4" t="s">
        <v>2860</v>
      </c>
      <c r="C2684" s="4" t="n">
        <v>498</v>
      </c>
      <c r="D2684" s="4" t="n">
        <v>105</v>
      </c>
      <c r="E2684" s="13" t="n">
        <v>45098</v>
      </c>
      <c r="F2684" s="4" t="s">
        <v>3192</v>
      </c>
      <c r="G2684" s="4" t="str">
        <f aca="false">INDEX(PurchaseOrders!$B$2:$B$3001,MATCH(B2684,PurchaseOrders!$A$2:$A$3001,0))</f>
        <v>V039</v>
      </c>
    </row>
    <row r="2685" customFormat="false" ht="15" hidden="false" customHeight="true" outlineLevel="0" collapsed="false">
      <c r="A2685" s="4" t="s">
        <v>5872</v>
      </c>
      <c r="B2685" s="4" t="s">
        <v>2861</v>
      </c>
      <c r="C2685" s="4" t="n">
        <v>17</v>
      </c>
      <c r="D2685" s="4" t="n">
        <v>0</v>
      </c>
      <c r="E2685" s="13" t="n">
        <v>45564</v>
      </c>
      <c r="F2685" s="4"/>
      <c r="G2685" s="4" t="str">
        <f aca="false">INDEX(PurchaseOrders!$B$2:$B$3001,MATCH(B2685,PurchaseOrders!$A$2:$A$3001,0))</f>
        <v>V016</v>
      </c>
    </row>
    <row r="2686" customFormat="false" ht="15" hidden="false" customHeight="true" outlineLevel="0" collapsed="false">
      <c r="A2686" s="4" t="s">
        <v>5873</v>
      </c>
      <c r="B2686" s="4" t="s">
        <v>2862</v>
      </c>
      <c r="C2686" s="4" t="n">
        <v>417</v>
      </c>
      <c r="D2686" s="4" t="n">
        <v>33</v>
      </c>
      <c r="E2686" s="13" t="n">
        <v>44956</v>
      </c>
      <c r="F2686" s="4" t="s">
        <v>3192</v>
      </c>
      <c r="G2686" s="4" t="str">
        <f aca="false">INDEX(PurchaseOrders!$B$2:$B$3001,MATCH(B2686,PurchaseOrders!$A$2:$A$3001,0))</f>
        <v>V033</v>
      </c>
    </row>
    <row r="2687" customFormat="false" ht="15" hidden="false" customHeight="true" outlineLevel="0" collapsed="false">
      <c r="A2687" s="4" t="s">
        <v>5874</v>
      </c>
      <c r="B2687" s="4" t="s">
        <v>2863</v>
      </c>
      <c r="C2687" s="4" t="n">
        <v>351</v>
      </c>
      <c r="D2687" s="4" t="n">
        <v>30</v>
      </c>
      <c r="E2687" s="13" t="n">
        <v>45546</v>
      </c>
      <c r="F2687" s="4" t="s">
        <v>3186</v>
      </c>
      <c r="G2687" s="4" t="str">
        <f aca="false">INDEX(PurchaseOrders!$B$2:$B$3001,MATCH(B2687,PurchaseOrders!$A$2:$A$3001,0))</f>
        <v>V013</v>
      </c>
    </row>
    <row r="2688" customFormat="false" ht="15" hidden="false" customHeight="true" outlineLevel="0" collapsed="false">
      <c r="A2688" s="4" t="s">
        <v>5875</v>
      </c>
      <c r="B2688" s="4" t="s">
        <v>2864</v>
      </c>
      <c r="C2688" s="4" t="n">
        <v>1701</v>
      </c>
      <c r="D2688" s="4" t="n">
        <v>57</v>
      </c>
      <c r="E2688" s="13" t="n">
        <v>45288</v>
      </c>
      <c r="F2688" s="4" t="s">
        <v>3186</v>
      </c>
      <c r="G2688" s="4" t="str">
        <f aca="false">INDEX(PurchaseOrders!$B$2:$B$3001,MATCH(B2688,PurchaseOrders!$A$2:$A$3001,0))</f>
        <v>V011</v>
      </c>
    </row>
    <row r="2689" customFormat="false" ht="15" hidden="false" customHeight="true" outlineLevel="0" collapsed="false">
      <c r="A2689" s="4" t="s">
        <v>5876</v>
      </c>
      <c r="B2689" s="4" t="s">
        <v>2865</v>
      </c>
      <c r="C2689" s="4" t="n">
        <v>2295</v>
      </c>
      <c r="D2689" s="4" t="n">
        <v>192</v>
      </c>
      <c r="E2689" s="13" t="n">
        <v>45661</v>
      </c>
      <c r="F2689" s="4" t="s">
        <v>3202</v>
      </c>
      <c r="G2689" s="4" t="str">
        <f aca="false">INDEX(PurchaseOrders!$B$2:$B$3001,MATCH(B2689,PurchaseOrders!$A$2:$A$3001,0))</f>
        <v>V001</v>
      </c>
    </row>
    <row r="2690" customFormat="false" ht="15" hidden="false" customHeight="true" outlineLevel="0" collapsed="false">
      <c r="A2690" s="4" t="s">
        <v>5877</v>
      </c>
      <c r="B2690" s="4" t="s">
        <v>2866</v>
      </c>
      <c r="C2690" s="4" t="n">
        <v>399</v>
      </c>
      <c r="D2690" s="4" t="n">
        <v>22</v>
      </c>
      <c r="E2690" s="13" t="n">
        <v>45349</v>
      </c>
      <c r="F2690" s="4" t="s">
        <v>3186</v>
      </c>
      <c r="G2690" s="4" t="str">
        <f aca="false">INDEX(PurchaseOrders!$B$2:$B$3001,MATCH(B2690,PurchaseOrders!$A$2:$A$3001,0))</f>
        <v>V029</v>
      </c>
    </row>
    <row r="2691" customFormat="false" ht="15" hidden="false" customHeight="true" outlineLevel="0" collapsed="false">
      <c r="A2691" s="4" t="s">
        <v>5878</v>
      </c>
      <c r="B2691" s="4" t="s">
        <v>2867</v>
      </c>
      <c r="C2691" s="4" t="n">
        <v>1197</v>
      </c>
      <c r="D2691" s="4" t="n">
        <v>84</v>
      </c>
      <c r="E2691" s="13" t="n">
        <v>45097</v>
      </c>
      <c r="F2691" s="4" t="s">
        <v>3188</v>
      </c>
      <c r="G2691" s="4" t="str">
        <f aca="false">INDEX(PurchaseOrders!$B$2:$B$3001,MATCH(B2691,PurchaseOrders!$A$2:$A$3001,0))</f>
        <v>V007</v>
      </c>
    </row>
    <row r="2692" customFormat="false" ht="15" hidden="false" customHeight="true" outlineLevel="0" collapsed="false">
      <c r="A2692" s="4" t="s">
        <v>5879</v>
      </c>
      <c r="B2692" s="4" t="s">
        <v>2868</v>
      </c>
      <c r="C2692" s="4" t="n">
        <v>121</v>
      </c>
      <c r="D2692" s="4" t="n">
        <v>8</v>
      </c>
      <c r="E2692" s="13" t="n">
        <v>44974</v>
      </c>
      <c r="F2692" s="4" t="s">
        <v>3188</v>
      </c>
      <c r="G2692" s="4" t="str">
        <f aca="false">INDEX(PurchaseOrders!$B$2:$B$3001,MATCH(B2692,PurchaseOrders!$A$2:$A$3001,0))</f>
        <v>V012</v>
      </c>
    </row>
    <row r="2693" customFormat="false" ht="15" hidden="false" customHeight="true" outlineLevel="0" collapsed="false">
      <c r="A2693" s="4" t="s">
        <v>5880</v>
      </c>
      <c r="B2693" s="4" t="s">
        <v>2869</v>
      </c>
      <c r="C2693" s="4" t="n">
        <v>419</v>
      </c>
      <c r="D2693" s="4" t="n">
        <v>14</v>
      </c>
      <c r="E2693" s="13" t="n">
        <v>45327</v>
      </c>
      <c r="F2693" s="4" t="s">
        <v>3202</v>
      </c>
      <c r="G2693" s="4" t="str">
        <f aca="false">INDEX(PurchaseOrders!$B$2:$B$3001,MATCH(B2693,PurchaseOrders!$A$2:$A$3001,0))</f>
        <v>V047</v>
      </c>
    </row>
    <row r="2694" customFormat="false" ht="15" hidden="false" customHeight="true" outlineLevel="0" collapsed="false">
      <c r="A2694" s="4" t="s">
        <v>5881</v>
      </c>
      <c r="B2694" s="4" t="s">
        <v>2870</v>
      </c>
      <c r="C2694" s="4" t="n">
        <v>4351</v>
      </c>
      <c r="D2694" s="4" t="n">
        <v>270</v>
      </c>
      <c r="E2694" s="13" t="n">
        <v>45226</v>
      </c>
      <c r="F2694" s="4" t="s">
        <v>3192</v>
      </c>
      <c r="G2694" s="4" t="str">
        <f aca="false">INDEX(PurchaseOrders!$B$2:$B$3001,MATCH(B2694,PurchaseOrders!$A$2:$A$3001,0))</f>
        <v>V050</v>
      </c>
    </row>
    <row r="2695" customFormat="false" ht="15" hidden="false" customHeight="true" outlineLevel="0" collapsed="false">
      <c r="A2695" s="4" t="s">
        <v>5882</v>
      </c>
      <c r="B2695" s="4" t="s">
        <v>2871</v>
      </c>
      <c r="C2695" s="4" t="n">
        <v>1028</v>
      </c>
      <c r="D2695" s="4" t="n">
        <v>60</v>
      </c>
      <c r="E2695" s="13" t="n">
        <v>45386</v>
      </c>
      <c r="F2695" s="4" t="s">
        <v>3186</v>
      </c>
      <c r="G2695" s="4" t="str">
        <f aca="false">INDEX(PurchaseOrders!$B$2:$B$3001,MATCH(B2695,PurchaseOrders!$A$2:$A$3001,0))</f>
        <v>V003</v>
      </c>
    </row>
    <row r="2696" customFormat="false" ht="15" hidden="false" customHeight="true" outlineLevel="0" collapsed="false">
      <c r="A2696" s="4" t="s">
        <v>5883</v>
      </c>
      <c r="B2696" s="4" t="s">
        <v>2872</v>
      </c>
      <c r="C2696" s="4" t="n">
        <v>1798</v>
      </c>
      <c r="D2696" s="4" t="n">
        <v>113</v>
      </c>
      <c r="E2696" s="13" t="n">
        <v>45205</v>
      </c>
      <c r="F2696" s="4" t="s">
        <v>3188</v>
      </c>
      <c r="G2696" s="4" t="str">
        <f aca="false">INDEX(PurchaseOrders!$B$2:$B$3001,MATCH(B2696,PurchaseOrders!$A$2:$A$3001,0))</f>
        <v>V045</v>
      </c>
    </row>
    <row r="2697" customFormat="false" ht="15" hidden="false" customHeight="true" outlineLevel="0" collapsed="false">
      <c r="A2697" s="4" t="s">
        <v>5884</v>
      </c>
      <c r="B2697" s="4" t="s">
        <v>2873</v>
      </c>
      <c r="C2697" s="4" t="n">
        <v>129</v>
      </c>
      <c r="D2697" s="4" t="n">
        <v>13</v>
      </c>
      <c r="E2697" s="13" t="n">
        <v>45470</v>
      </c>
      <c r="F2697" s="4" t="s">
        <v>3184</v>
      </c>
      <c r="G2697" s="4" t="str">
        <f aca="false">INDEX(PurchaseOrders!$B$2:$B$3001,MATCH(B2697,PurchaseOrders!$A$2:$A$3001,0))</f>
        <v>V049</v>
      </c>
    </row>
    <row r="2698" customFormat="false" ht="15" hidden="false" customHeight="true" outlineLevel="0" collapsed="false">
      <c r="A2698" s="4" t="s">
        <v>5885</v>
      </c>
      <c r="B2698" s="4" t="s">
        <v>2874</v>
      </c>
      <c r="C2698" s="4" t="n">
        <v>567</v>
      </c>
      <c r="D2698" s="4" t="n">
        <v>24</v>
      </c>
      <c r="E2698" s="13" t="n">
        <v>45383</v>
      </c>
      <c r="F2698" s="4" t="s">
        <v>3184</v>
      </c>
      <c r="G2698" s="4" t="str">
        <f aca="false">INDEX(PurchaseOrders!$B$2:$B$3001,MATCH(B2698,PurchaseOrders!$A$2:$A$3001,0))</f>
        <v>V010</v>
      </c>
    </row>
    <row r="2699" customFormat="false" ht="15" hidden="false" customHeight="true" outlineLevel="0" collapsed="false">
      <c r="A2699" s="4" t="s">
        <v>5886</v>
      </c>
      <c r="B2699" s="4" t="s">
        <v>2875</v>
      </c>
      <c r="C2699" s="4" t="n">
        <v>393</v>
      </c>
      <c r="D2699" s="4" t="n">
        <v>29</v>
      </c>
      <c r="E2699" s="13" t="n">
        <v>44960</v>
      </c>
      <c r="F2699" s="4" t="s">
        <v>3190</v>
      </c>
      <c r="G2699" s="4" t="str">
        <f aca="false">INDEX(PurchaseOrders!$B$2:$B$3001,MATCH(B2699,PurchaseOrders!$A$2:$A$3001,0))</f>
        <v>V012</v>
      </c>
    </row>
    <row r="2700" customFormat="false" ht="15" hidden="false" customHeight="true" outlineLevel="0" collapsed="false">
      <c r="A2700" s="4" t="s">
        <v>5887</v>
      </c>
      <c r="B2700" s="4" t="s">
        <v>2876</v>
      </c>
      <c r="C2700" s="4" t="n">
        <v>159</v>
      </c>
      <c r="D2700" s="4" t="n">
        <v>6</v>
      </c>
      <c r="E2700" s="13" t="n">
        <v>45655</v>
      </c>
      <c r="F2700" s="4" t="s">
        <v>3186</v>
      </c>
      <c r="G2700" s="4" t="str">
        <f aca="false">INDEX(PurchaseOrders!$B$2:$B$3001,MATCH(B2700,PurchaseOrders!$A$2:$A$3001,0))</f>
        <v>V018</v>
      </c>
    </row>
    <row r="2701" customFormat="false" ht="15" hidden="false" customHeight="true" outlineLevel="0" collapsed="false">
      <c r="A2701" s="4" t="s">
        <v>5888</v>
      </c>
      <c r="B2701" s="4" t="s">
        <v>2877</v>
      </c>
      <c r="C2701" s="4" t="n">
        <v>5</v>
      </c>
      <c r="D2701" s="4" t="n">
        <v>1</v>
      </c>
      <c r="E2701" s="13" t="n">
        <v>45139</v>
      </c>
      <c r="F2701" s="4" t="s">
        <v>3192</v>
      </c>
      <c r="G2701" s="4" t="str">
        <f aca="false">INDEX(PurchaseOrders!$B$2:$B$3001,MATCH(B2701,PurchaseOrders!$A$2:$A$3001,0))</f>
        <v>V041</v>
      </c>
    </row>
    <row r="2702" customFormat="false" ht="15" hidden="false" customHeight="true" outlineLevel="0" collapsed="false">
      <c r="A2702" s="4" t="s">
        <v>5889</v>
      </c>
      <c r="B2702" s="4" t="s">
        <v>2878</v>
      </c>
      <c r="C2702" s="4" t="n">
        <v>11</v>
      </c>
      <c r="D2702" s="4" t="n">
        <v>0</v>
      </c>
      <c r="E2702" s="13" t="n">
        <v>45107</v>
      </c>
      <c r="F2702" s="4"/>
      <c r="G2702" s="4" t="str">
        <f aca="false">INDEX(PurchaseOrders!$B$2:$B$3001,MATCH(B2702,PurchaseOrders!$A$2:$A$3001,0))</f>
        <v>V016</v>
      </c>
    </row>
    <row r="2703" customFormat="false" ht="15" hidden="false" customHeight="true" outlineLevel="0" collapsed="false">
      <c r="A2703" s="4" t="s">
        <v>5890</v>
      </c>
      <c r="B2703" s="4" t="s">
        <v>2879</v>
      </c>
      <c r="C2703" s="4" t="n">
        <v>145</v>
      </c>
      <c r="D2703" s="4" t="n">
        <v>0</v>
      </c>
      <c r="E2703" s="13" t="n">
        <v>45414</v>
      </c>
      <c r="F2703" s="4"/>
      <c r="G2703" s="4" t="str">
        <f aca="false">INDEX(PurchaseOrders!$B$2:$B$3001,MATCH(B2703,PurchaseOrders!$A$2:$A$3001,0))</f>
        <v>V040</v>
      </c>
    </row>
    <row r="2704" customFormat="false" ht="15" hidden="false" customHeight="true" outlineLevel="0" collapsed="false">
      <c r="A2704" s="4" t="s">
        <v>5891</v>
      </c>
      <c r="B2704" s="4" t="s">
        <v>2880</v>
      </c>
      <c r="C2704" s="4" t="n">
        <v>292</v>
      </c>
      <c r="D2704" s="4" t="n">
        <v>27</v>
      </c>
      <c r="E2704" s="13" t="n">
        <v>45133</v>
      </c>
      <c r="F2704" s="4" t="s">
        <v>3190</v>
      </c>
      <c r="G2704" s="4" t="str">
        <f aca="false">INDEX(PurchaseOrders!$B$2:$B$3001,MATCH(B2704,PurchaseOrders!$A$2:$A$3001,0))</f>
        <v>V009</v>
      </c>
    </row>
    <row r="2705" customFormat="false" ht="15" hidden="false" customHeight="true" outlineLevel="0" collapsed="false">
      <c r="A2705" s="4" t="s">
        <v>5892</v>
      </c>
      <c r="B2705" s="4" t="s">
        <v>2881</v>
      </c>
      <c r="C2705" s="4" t="n">
        <v>175</v>
      </c>
      <c r="D2705" s="4" t="n">
        <v>5</v>
      </c>
      <c r="E2705" s="13" t="n">
        <v>45577</v>
      </c>
      <c r="F2705" s="4" t="s">
        <v>3188</v>
      </c>
      <c r="G2705" s="4" t="str">
        <f aca="false">INDEX(PurchaseOrders!$B$2:$B$3001,MATCH(B2705,PurchaseOrders!$A$2:$A$3001,0))</f>
        <v>V046</v>
      </c>
    </row>
    <row r="2706" customFormat="false" ht="15" hidden="false" customHeight="true" outlineLevel="0" collapsed="false">
      <c r="A2706" s="4" t="s">
        <v>5893</v>
      </c>
      <c r="B2706" s="4" t="s">
        <v>2882</v>
      </c>
      <c r="C2706" s="4" t="n">
        <v>346</v>
      </c>
      <c r="D2706" s="4" t="n">
        <v>26</v>
      </c>
      <c r="E2706" s="13" t="n">
        <v>45056</v>
      </c>
      <c r="F2706" s="4" t="s">
        <v>3192</v>
      </c>
      <c r="G2706" s="4" t="str">
        <f aca="false">INDEX(PurchaseOrders!$B$2:$B$3001,MATCH(B2706,PurchaseOrders!$A$2:$A$3001,0))</f>
        <v>V018</v>
      </c>
    </row>
    <row r="2707" customFormat="false" ht="15" hidden="false" customHeight="true" outlineLevel="0" collapsed="false">
      <c r="A2707" s="4" t="s">
        <v>5894</v>
      </c>
      <c r="B2707" s="4" t="s">
        <v>2883</v>
      </c>
      <c r="C2707" s="4" t="n">
        <v>140</v>
      </c>
      <c r="D2707" s="4" t="n">
        <v>12</v>
      </c>
      <c r="E2707" s="13" t="n">
        <v>45077</v>
      </c>
      <c r="F2707" s="4" t="s">
        <v>3190</v>
      </c>
      <c r="G2707" s="4" t="str">
        <f aca="false">INDEX(PurchaseOrders!$B$2:$B$3001,MATCH(B2707,PurchaseOrders!$A$2:$A$3001,0))</f>
        <v>V055</v>
      </c>
    </row>
    <row r="2708" customFormat="false" ht="15" hidden="false" customHeight="true" outlineLevel="0" collapsed="false">
      <c r="A2708" s="4" t="s">
        <v>5895</v>
      </c>
      <c r="B2708" s="4" t="s">
        <v>2884</v>
      </c>
      <c r="C2708" s="4" t="n">
        <v>14</v>
      </c>
      <c r="D2708" s="4" t="n">
        <v>2</v>
      </c>
      <c r="E2708" s="13" t="n">
        <v>45355</v>
      </c>
      <c r="F2708" s="4" t="s">
        <v>3184</v>
      </c>
      <c r="G2708" s="4" t="str">
        <f aca="false">INDEX(PurchaseOrders!$B$2:$B$3001,MATCH(B2708,PurchaseOrders!$A$2:$A$3001,0))</f>
        <v>V054</v>
      </c>
    </row>
    <row r="2709" customFormat="false" ht="15" hidden="false" customHeight="true" outlineLevel="0" collapsed="false">
      <c r="A2709" s="4" t="s">
        <v>5896</v>
      </c>
      <c r="B2709" s="4" t="s">
        <v>2885</v>
      </c>
      <c r="C2709" s="4" t="n">
        <v>1126</v>
      </c>
      <c r="D2709" s="4" t="n">
        <v>25</v>
      </c>
      <c r="E2709" s="13" t="n">
        <v>45325</v>
      </c>
      <c r="F2709" s="4" t="s">
        <v>3202</v>
      </c>
      <c r="G2709" s="4" t="str">
        <f aca="false">INDEX(PurchaseOrders!$B$2:$B$3001,MATCH(B2709,PurchaseOrders!$A$2:$A$3001,0))</f>
        <v>V045</v>
      </c>
    </row>
    <row r="2710" customFormat="false" ht="15" hidden="false" customHeight="true" outlineLevel="0" collapsed="false">
      <c r="A2710" s="4" t="s">
        <v>5897</v>
      </c>
      <c r="B2710" s="4" t="s">
        <v>2886</v>
      </c>
      <c r="C2710" s="4" t="n">
        <v>1699</v>
      </c>
      <c r="D2710" s="4" t="n">
        <v>88</v>
      </c>
      <c r="E2710" s="13" t="n">
        <v>44975</v>
      </c>
      <c r="F2710" s="4" t="s">
        <v>3186</v>
      </c>
      <c r="G2710" s="4" t="str">
        <f aca="false">INDEX(PurchaseOrders!$B$2:$B$3001,MATCH(B2710,PurchaseOrders!$A$2:$A$3001,0))</f>
        <v>V048</v>
      </c>
    </row>
    <row r="2711" customFormat="false" ht="15" hidden="false" customHeight="true" outlineLevel="0" collapsed="false">
      <c r="A2711" s="4" t="s">
        <v>5898</v>
      </c>
      <c r="B2711" s="4" t="s">
        <v>2887</v>
      </c>
      <c r="C2711" s="4" t="n">
        <v>2313</v>
      </c>
      <c r="D2711" s="4" t="n">
        <v>266</v>
      </c>
      <c r="E2711" s="13" t="n">
        <v>45047</v>
      </c>
      <c r="F2711" s="4" t="s">
        <v>3192</v>
      </c>
      <c r="G2711" s="4" t="str">
        <f aca="false">INDEX(PurchaseOrders!$B$2:$B$3001,MATCH(B2711,PurchaseOrders!$A$2:$A$3001,0))</f>
        <v>V057</v>
      </c>
    </row>
    <row r="2712" customFormat="false" ht="15" hidden="false" customHeight="true" outlineLevel="0" collapsed="false">
      <c r="A2712" s="4" t="s">
        <v>5899</v>
      </c>
      <c r="B2712" s="4" t="s">
        <v>2888</v>
      </c>
      <c r="C2712" s="4" t="n">
        <v>1033</v>
      </c>
      <c r="D2712" s="4" t="n">
        <v>35</v>
      </c>
      <c r="E2712" s="13" t="n">
        <v>45580</v>
      </c>
      <c r="F2712" s="4" t="s">
        <v>3202</v>
      </c>
      <c r="G2712" s="4" t="str">
        <f aca="false">INDEX(PurchaseOrders!$B$2:$B$3001,MATCH(B2712,PurchaseOrders!$A$2:$A$3001,0))</f>
        <v>V020</v>
      </c>
    </row>
    <row r="2713" customFormat="false" ht="15" hidden="false" customHeight="true" outlineLevel="0" collapsed="false">
      <c r="A2713" s="4" t="s">
        <v>5900</v>
      </c>
      <c r="B2713" s="4" t="s">
        <v>2889</v>
      </c>
      <c r="C2713" s="4" t="n">
        <v>4419</v>
      </c>
      <c r="D2713" s="4" t="n">
        <v>240</v>
      </c>
      <c r="E2713" s="13" t="n">
        <v>45010</v>
      </c>
      <c r="F2713" s="4" t="s">
        <v>3184</v>
      </c>
      <c r="G2713" s="4" t="str">
        <f aca="false">INDEX(PurchaseOrders!$B$2:$B$3001,MATCH(B2713,PurchaseOrders!$A$2:$A$3001,0))</f>
        <v>V058</v>
      </c>
    </row>
    <row r="2714" customFormat="false" ht="15" hidden="false" customHeight="true" outlineLevel="0" collapsed="false">
      <c r="A2714" s="4" t="s">
        <v>5901</v>
      </c>
      <c r="B2714" s="4" t="s">
        <v>2890</v>
      </c>
      <c r="C2714" s="4" t="n">
        <v>186</v>
      </c>
      <c r="D2714" s="4" t="n">
        <v>10</v>
      </c>
      <c r="E2714" s="13" t="n">
        <v>45298</v>
      </c>
      <c r="F2714" s="4" t="s">
        <v>3186</v>
      </c>
      <c r="G2714" s="4" t="str">
        <f aca="false">INDEX(PurchaseOrders!$B$2:$B$3001,MATCH(B2714,PurchaseOrders!$A$2:$A$3001,0))</f>
        <v>V033</v>
      </c>
    </row>
    <row r="2715" customFormat="false" ht="15" hidden="false" customHeight="true" outlineLevel="0" collapsed="false">
      <c r="A2715" s="4" t="s">
        <v>5902</v>
      </c>
      <c r="B2715" s="4" t="s">
        <v>2891</v>
      </c>
      <c r="C2715" s="4" t="n">
        <v>235</v>
      </c>
      <c r="D2715" s="4" t="n">
        <v>9</v>
      </c>
      <c r="E2715" s="13" t="n">
        <v>45166</v>
      </c>
      <c r="F2715" s="4" t="s">
        <v>3190</v>
      </c>
      <c r="G2715" s="4" t="str">
        <f aca="false">INDEX(PurchaseOrders!$B$2:$B$3001,MATCH(B2715,PurchaseOrders!$A$2:$A$3001,0))</f>
        <v>V033</v>
      </c>
    </row>
    <row r="2716" customFormat="false" ht="15" hidden="false" customHeight="true" outlineLevel="0" collapsed="false">
      <c r="A2716" s="4" t="s">
        <v>5903</v>
      </c>
      <c r="B2716" s="4" t="s">
        <v>2892</v>
      </c>
      <c r="C2716" s="4" t="n">
        <v>1555</v>
      </c>
      <c r="D2716" s="4" t="n">
        <v>19</v>
      </c>
      <c r="E2716" s="13" t="n">
        <v>45004</v>
      </c>
      <c r="F2716" s="4" t="s">
        <v>3188</v>
      </c>
      <c r="G2716" s="4" t="str">
        <f aca="false">INDEX(PurchaseOrders!$B$2:$B$3001,MATCH(B2716,PurchaseOrders!$A$2:$A$3001,0))</f>
        <v>V059</v>
      </c>
    </row>
    <row r="2717" customFormat="false" ht="15" hidden="false" customHeight="true" outlineLevel="0" collapsed="false">
      <c r="A2717" s="4" t="s">
        <v>5904</v>
      </c>
      <c r="B2717" s="4" t="s">
        <v>2893</v>
      </c>
      <c r="C2717" s="4" t="n">
        <v>1625</v>
      </c>
      <c r="D2717" s="4" t="n">
        <v>58</v>
      </c>
      <c r="E2717" s="13" t="n">
        <v>45593</v>
      </c>
      <c r="F2717" s="4" t="s">
        <v>3188</v>
      </c>
      <c r="G2717" s="4" t="str">
        <f aca="false">INDEX(PurchaseOrders!$B$2:$B$3001,MATCH(B2717,PurchaseOrders!$A$2:$A$3001,0))</f>
        <v>V045</v>
      </c>
    </row>
    <row r="2718" customFormat="false" ht="15" hidden="false" customHeight="true" outlineLevel="0" collapsed="false">
      <c r="A2718" s="4" t="s">
        <v>5905</v>
      </c>
      <c r="B2718" s="4" t="s">
        <v>2894</v>
      </c>
      <c r="C2718" s="4" t="n">
        <v>2976</v>
      </c>
      <c r="D2718" s="4" t="n">
        <v>585</v>
      </c>
      <c r="E2718" s="13" t="n">
        <v>45253</v>
      </c>
      <c r="F2718" s="4" t="s">
        <v>3186</v>
      </c>
      <c r="G2718" s="4" t="str">
        <f aca="false">INDEX(PurchaseOrders!$B$2:$B$3001,MATCH(B2718,PurchaseOrders!$A$2:$A$3001,0))</f>
        <v>V026</v>
      </c>
    </row>
    <row r="2719" customFormat="false" ht="15" hidden="false" customHeight="true" outlineLevel="0" collapsed="false">
      <c r="A2719" s="4" t="s">
        <v>5906</v>
      </c>
      <c r="B2719" s="4" t="s">
        <v>2895</v>
      </c>
      <c r="C2719" s="4" t="n">
        <v>6</v>
      </c>
      <c r="D2719" s="4" t="n">
        <v>1</v>
      </c>
      <c r="E2719" s="13" t="n">
        <v>45121</v>
      </c>
      <c r="F2719" s="4" t="s">
        <v>3202</v>
      </c>
      <c r="G2719" s="4" t="str">
        <f aca="false">INDEX(PurchaseOrders!$B$2:$B$3001,MATCH(B2719,PurchaseOrders!$A$2:$A$3001,0))</f>
        <v>V042</v>
      </c>
    </row>
    <row r="2720" customFormat="false" ht="15" hidden="false" customHeight="true" outlineLevel="0" collapsed="false">
      <c r="A2720" s="4" t="s">
        <v>5907</v>
      </c>
      <c r="B2720" s="4" t="s">
        <v>2896</v>
      </c>
      <c r="C2720" s="4" t="n">
        <v>689</v>
      </c>
      <c r="D2720" s="4" t="n">
        <v>42</v>
      </c>
      <c r="E2720" s="13" t="n">
        <v>45494</v>
      </c>
      <c r="F2720" s="4" t="s">
        <v>3192</v>
      </c>
      <c r="G2720" s="4" t="str">
        <f aca="false">INDEX(PurchaseOrders!$B$2:$B$3001,MATCH(B2720,PurchaseOrders!$A$2:$A$3001,0))</f>
        <v>V050</v>
      </c>
    </row>
    <row r="2721" customFormat="false" ht="15" hidden="false" customHeight="true" outlineLevel="0" collapsed="false">
      <c r="A2721" s="4" t="s">
        <v>5908</v>
      </c>
      <c r="B2721" s="4" t="s">
        <v>2897</v>
      </c>
      <c r="C2721" s="4" t="n">
        <v>1807</v>
      </c>
      <c r="D2721" s="4" t="n">
        <v>95</v>
      </c>
      <c r="E2721" s="13" t="n">
        <v>45580</v>
      </c>
      <c r="F2721" s="4" t="s">
        <v>3192</v>
      </c>
      <c r="G2721" s="4" t="str">
        <f aca="false">INDEX(PurchaseOrders!$B$2:$B$3001,MATCH(B2721,PurchaseOrders!$A$2:$A$3001,0))</f>
        <v>V021</v>
      </c>
    </row>
    <row r="2722" customFormat="false" ht="15" hidden="false" customHeight="true" outlineLevel="0" collapsed="false">
      <c r="A2722" s="4" t="s">
        <v>5909</v>
      </c>
      <c r="B2722" s="4" t="s">
        <v>2898</v>
      </c>
      <c r="C2722" s="4" t="n">
        <v>2848</v>
      </c>
      <c r="D2722" s="4" t="n">
        <v>0</v>
      </c>
      <c r="E2722" s="13" t="n">
        <v>45344</v>
      </c>
      <c r="F2722" s="4"/>
      <c r="G2722" s="4" t="str">
        <f aca="false">INDEX(PurchaseOrders!$B$2:$B$3001,MATCH(B2722,PurchaseOrders!$A$2:$A$3001,0))</f>
        <v>V002</v>
      </c>
    </row>
    <row r="2723" customFormat="false" ht="15" hidden="false" customHeight="true" outlineLevel="0" collapsed="false">
      <c r="A2723" s="4" t="s">
        <v>5910</v>
      </c>
      <c r="B2723" s="4" t="s">
        <v>2899</v>
      </c>
      <c r="C2723" s="4" t="n">
        <v>2997</v>
      </c>
      <c r="D2723" s="4" t="n">
        <v>6</v>
      </c>
      <c r="E2723" s="13" t="n">
        <v>45115</v>
      </c>
      <c r="F2723" s="4" t="s">
        <v>3184</v>
      </c>
      <c r="G2723" s="4" t="str">
        <f aca="false">INDEX(PurchaseOrders!$B$2:$B$3001,MATCH(B2723,PurchaseOrders!$A$2:$A$3001,0))</f>
        <v>V015</v>
      </c>
    </row>
    <row r="2724" customFormat="false" ht="15" hidden="false" customHeight="true" outlineLevel="0" collapsed="false">
      <c r="A2724" s="4" t="s">
        <v>5911</v>
      </c>
      <c r="B2724" s="4" t="s">
        <v>2900</v>
      </c>
      <c r="C2724" s="4" t="n">
        <v>4169</v>
      </c>
      <c r="D2724" s="4" t="n">
        <v>189</v>
      </c>
      <c r="E2724" s="13" t="n">
        <v>45087</v>
      </c>
      <c r="F2724" s="4" t="s">
        <v>3188</v>
      </c>
      <c r="G2724" s="4" t="str">
        <f aca="false">INDEX(PurchaseOrders!$B$2:$B$3001,MATCH(B2724,PurchaseOrders!$A$2:$A$3001,0))</f>
        <v>V002</v>
      </c>
    </row>
    <row r="2725" customFormat="false" ht="15" hidden="false" customHeight="true" outlineLevel="0" collapsed="false">
      <c r="A2725" s="4" t="s">
        <v>5912</v>
      </c>
      <c r="B2725" s="4" t="s">
        <v>2901</v>
      </c>
      <c r="C2725" s="4" t="n">
        <v>4079</v>
      </c>
      <c r="D2725" s="4" t="n">
        <v>320</v>
      </c>
      <c r="E2725" s="13" t="n">
        <v>45431</v>
      </c>
      <c r="F2725" s="4" t="s">
        <v>3192</v>
      </c>
      <c r="G2725" s="4" t="str">
        <f aca="false">INDEX(PurchaseOrders!$B$2:$B$3001,MATCH(B2725,PurchaseOrders!$A$2:$A$3001,0))</f>
        <v>V050</v>
      </c>
    </row>
    <row r="2726" customFormat="false" ht="15" hidden="false" customHeight="true" outlineLevel="0" collapsed="false">
      <c r="A2726" s="4" t="s">
        <v>5913</v>
      </c>
      <c r="B2726" s="4" t="s">
        <v>2902</v>
      </c>
      <c r="C2726" s="4" t="n">
        <v>922</v>
      </c>
      <c r="D2726" s="4" t="n">
        <v>67</v>
      </c>
      <c r="E2726" s="13" t="n">
        <v>45276</v>
      </c>
      <c r="F2726" s="4" t="s">
        <v>3202</v>
      </c>
      <c r="G2726" s="4" t="str">
        <f aca="false">INDEX(PurchaseOrders!$B$2:$B$3001,MATCH(B2726,PurchaseOrders!$A$2:$A$3001,0))</f>
        <v>V034</v>
      </c>
    </row>
    <row r="2727" customFormat="false" ht="15" hidden="false" customHeight="true" outlineLevel="0" collapsed="false">
      <c r="A2727" s="4" t="s">
        <v>5914</v>
      </c>
      <c r="B2727" s="4" t="s">
        <v>2903</v>
      </c>
      <c r="C2727" s="4" t="n">
        <v>1</v>
      </c>
      <c r="D2727" s="4" t="n">
        <v>0</v>
      </c>
      <c r="E2727" s="13" t="n">
        <v>45123</v>
      </c>
      <c r="F2727" s="4"/>
      <c r="G2727" s="4" t="str">
        <f aca="false">INDEX(PurchaseOrders!$B$2:$B$3001,MATCH(B2727,PurchaseOrders!$A$2:$A$3001,0))</f>
        <v>V023</v>
      </c>
    </row>
    <row r="2728" customFormat="false" ht="15" hidden="false" customHeight="true" outlineLevel="0" collapsed="false">
      <c r="A2728" s="4" t="s">
        <v>5915</v>
      </c>
      <c r="B2728" s="4" t="s">
        <v>2904</v>
      </c>
      <c r="C2728" s="4" t="n">
        <v>443</v>
      </c>
      <c r="D2728" s="4" t="n">
        <v>13</v>
      </c>
      <c r="E2728" s="13" t="n">
        <v>45529</v>
      </c>
      <c r="F2728" s="4" t="s">
        <v>3202</v>
      </c>
      <c r="G2728" s="4" t="str">
        <f aca="false">INDEX(PurchaseOrders!$B$2:$B$3001,MATCH(B2728,PurchaseOrders!$A$2:$A$3001,0))</f>
        <v>V029</v>
      </c>
    </row>
    <row r="2729" customFormat="false" ht="15" hidden="false" customHeight="true" outlineLevel="0" collapsed="false">
      <c r="A2729" s="4" t="s">
        <v>5916</v>
      </c>
      <c r="B2729" s="4" t="s">
        <v>2905</v>
      </c>
      <c r="C2729" s="4" t="n">
        <v>1323</v>
      </c>
      <c r="D2729" s="4" t="n">
        <v>209</v>
      </c>
      <c r="E2729" s="13" t="n">
        <v>45284</v>
      </c>
      <c r="F2729" s="4" t="s">
        <v>3192</v>
      </c>
      <c r="G2729" s="4" t="str">
        <f aca="false">INDEX(PurchaseOrders!$B$2:$B$3001,MATCH(B2729,PurchaseOrders!$A$2:$A$3001,0))</f>
        <v>V026</v>
      </c>
    </row>
    <row r="2730" customFormat="false" ht="15" hidden="false" customHeight="true" outlineLevel="0" collapsed="false">
      <c r="A2730" s="4" t="s">
        <v>5917</v>
      </c>
      <c r="B2730" s="4" t="s">
        <v>2906</v>
      </c>
      <c r="C2730" s="4" t="n">
        <v>426</v>
      </c>
      <c r="D2730" s="4" t="n">
        <v>34</v>
      </c>
      <c r="E2730" s="13" t="n">
        <v>45207</v>
      </c>
      <c r="F2730" s="4" t="s">
        <v>3186</v>
      </c>
      <c r="G2730" s="4" t="str">
        <f aca="false">INDEX(PurchaseOrders!$B$2:$B$3001,MATCH(B2730,PurchaseOrders!$A$2:$A$3001,0))</f>
        <v>V030</v>
      </c>
    </row>
    <row r="2731" customFormat="false" ht="15" hidden="false" customHeight="true" outlineLevel="0" collapsed="false">
      <c r="A2731" s="4" t="s">
        <v>5918</v>
      </c>
      <c r="B2731" s="4" t="s">
        <v>2907</v>
      </c>
      <c r="C2731" s="4" t="n">
        <v>1535</v>
      </c>
      <c r="D2731" s="4" t="n">
        <v>68</v>
      </c>
      <c r="E2731" s="13" t="n">
        <v>45476</v>
      </c>
      <c r="F2731" s="4" t="s">
        <v>3188</v>
      </c>
      <c r="G2731" s="4" t="str">
        <f aca="false">INDEX(PurchaseOrders!$B$2:$B$3001,MATCH(B2731,PurchaseOrders!$A$2:$A$3001,0))</f>
        <v>V021</v>
      </c>
    </row>
    <row r="2732" customFormat="false" ht="15" hidden="false" customHeight="true" outlineLevel="0" collapsed="false">
      <c r="A2732" s="4" t="s">
        <v>5919</v>
      </c>
      <c r="B2732" s="4" t="s">
        <v>2908</v>
      </c>
      <c r="C2732" s="4" t="n">
        <v>1181</v>
      </c>
      <c r="D2732" s="4" t="n">
        <v>38</v>
      </c>
      <c r="E2732" s="13" t="n">
        <v>45493</v>
      </c>
      <c r="F2732" s="4" t="s">
        <v>3184</v>
      </c>
      <c r="G2732" s="4" t="str">
        <f aca="false">INDEX(PurchaseOrders!$B$2:$B$3001,MATCH(B2732,PurchaseOrders!$A$2:$A$3001,0))</f>
        <v>V048</v>
      </c>
    </row>
    <row r="2733" customFormat="false" ht="15" hidden="false" customHeight="true" outlineLevel="0" collapsed="false">
      <c r="A2733" s="4" t="s">
        <v>5920</v>
      </c>
      <c r="B2733" s="4" t="s">
        <v>2909</v>
      </c>
      <c r="C2733" s="4" t="n">
        <v>1375</v>
      </c>
      <c r="D2733" s="4" t="n">
        <v>42</v>
      </c>
      <c r="E2733" s="13" t="n">
        <v>45226</v>
      </c>
      <c r="F2733" s="4" t="s">
        <v>3184</v>
      </c>
      <c r="G2733" s="4" t="str">
        <f aca="false">INDEX(PurchaseOrders!$B$2:$B$3001,MATCH(B2733,PurchaseOrders!$A$2:$A$3001,0))</f>
        <v>V015</v>
      </c>
    </row>
    <row r="2734" customFormat="false" ht="15" hidden="false" customHeight="true" outlineLevel="0" collapsed="false">
      <c r="A2734" s="4" t="s">
        <v>5921</v>
      </c>
      <c r="B2734" s="4" t="s">
        <v>2910</v>
      </c>
      <c r="C2734" s="4" t="n">
        <v>2478</v>
      </c>
      <c r="D2734" s="4" t="n">
        <v>118</v>
      </c>
      <c r="E2734" s="13" t="n">
        <v>45538</v>
      </c>
      <c r="F2734" s="4" t="s">
        <v>3188</v>
      </c>
      <c r="G2734" s="4" t="str">
        <f aca="false">INDEX(PurchaseOrders!$B$2:$B$3001,MATCH(B2734,PurchaseOrders!$A$2:$A$3001,0))</f>
        <v>V002</v>
      </c>
    </row>
    <row r="2735" customFormat="false" ht="15" hidden="false" customHeight="true" outlineLevel="0" collapsed="false">
      <c r="A2735" s="4" t="s">
        <v>5922</v>
      </c>
      <c r="B2735" s="4" t="s">
        <v>2911</v>
      </c>
      <c r="C2735" s="4" t="n">
        <v>69</v>
      </c>
      <c r="D2735" s="4" t="n">
        <v>0</v>
      </c>
      <c r="E2735" s="13" t="n">
        <v>45186</v>
      </c>
      <c r="F2735" s="4"/>
      <c r="G2735" s="4" t="str">
        <f aca="false">INDEX(PurchaseOrders!$B$2:$B$3001,MATCH(B2735,PurchaseOrders!$A$2:$A$3001,0))</f>
        <v>V052</v>
      </c>
    </row>
    <row r="2736" customFormat="false" ht="15" hidden="false" customHeight="true" outlineLevel="0" collapsed="false">
      <c r="A2736" s="4" t="s">
        <v>5923</v>
      </c>
      <c r="B2736" s="4" t="s">
        <v>2912</v>
      </c>
      <c r="C2736" s="4" t="n">
        <v>327</v>
      </c>
      <c r="D2736" s="4" t="n">
        <v>0</v>
      </c>
      <c r="E2736" s="13" t="n">
        <v>44982</v>
      </c>
      <c r="F2736" s="4"/>
      <c r="G2736" s="4" t="str">
        <f aca="false">INDEX(PurchaseOrders!$B$2:$B$3001,MATCH(B2736,PurchaseOrders!$A$2:$A$3001,0))</f>
        <v>V059</v>
      </c>
    </row>
    <row r="2737" customFormat="false" ht="15" hidden="false" customHeight="true" outlineLevel="0" collapsed="false">
      <c r="A2737" s="4" t="s">
        <v>5924</v>
      </c>
      <c r="B2737" s="4" t="s">
        <v>2913</v>
      </c>
      <c r="C2737" s="4" t="n">
        <v>1606</v>
      </c>
      <c r="D2737" s="4" t="n">
        <v>162</v>
      </c>
      <c r="E2737" s="13" t="n">
        <v>45352</v>
      </c>
      <c r="F2737" s="4" t="s">
        <v>3186</v>
      </c>
      <c r="G2737" s="4" t="str">
        <f aca="false">INDEX(PurchaseOrders!$B$2:$B$3001,MATCH(B2737,PurchaseOrders!$A$2:$A$3001,0))</f>
        <v>V027</v>
      </c>
    </row>
    <row r="2738" customFormat="false" ht="15" hidden="false" customHeight="true" outlineLevel="0" collapsed="false">
      <c r="A2738" s="4" t="s">
        <v>5925</v>
      </c>
      <c r="B2738" s="4" t="s">
        <v>2914</v>
      </c>
      <c r="C2738" s="4" t="n">
        <v>112</v>
      </c>
      <c r="D2738" s="4" t="n">
        <v>9</v>
      </c>
      <c r="E2738" s="13" t="n">
        <v>45371</v>
      </c>
      <c r="F2738" s="4" t="s">
        <v>3202</v>
      </c>
      <c r="G2738" s="4" t="str">
        <f aca="false">INDEX(PurchaseOrders!$B$2:$B$3001,MATCH(B2738,PurchaseOrders!$A$2:$A$3001,0))</f>
        <v>V049</v>
      </c>
    </row>
    <row r="2739" customFormat="false" ht="15" hidden="false" customHeight="true" outlineLevel="0" collapsed="false">
      <c r="A2739" s="4" t="s">
        <v>5926</v>
      </c>
      <c r="B2739" s="4" t="s">
        <v>2915</v>
      </c>
      <c r="C2739" s="4" t="n">
        <v>480</v>
      </c>
      <c r="D2739" s="4" t="n">
        <v>39</v>
      </c>
      <c r="E2739" s="13" t="n">
        <v>45020</v>
      </c>
      <c r="F2739" s="4" t="s">
        <v>3192</v>
      </c>
      <c r="G2739" s="4" t="str">
        <f aca="false">INDEX(PurchaseOrders!$B$2:$B$3001,MATCH(B2739,PurchaseOrders!$A$2:$A$3001,0))</f>
        <v>V028</v>
      </c>
    </row>
    <row r="2740" customFormat="false" ht="15" hidden="false" customHeight="true" outlineLevel="0" collapsed="false">
      <c r="A2740" s="4" t="s">
        <v>5927</v>
      </c>
      <c r="B2740" s="4" t="s">
        <v>2916</v>
      </c>
      <c r="C2740" s="4" t="n">
        <v>138</v>
      </c>
      <c r="D2740" s="4" t="n">
        <v>1</v>
      </c>
      <c r="E2740" s="13" t="n">
        <v>45520</v>
      </c>
      <c r="F2740" s="4" t="s">
        <v>3188</v>
      </c>
      <c r="G2740" s="4" t="str">
        <f aca="false">INDEX(PurchaseOrders!$B$2:$B$3001,MATCH(B2740,PurchaseOrders!$A$2:$A$3001,0))</f>
        <v>V029</v>
      </c>
    </row>
    <row r="2741" customFormat="false" ht="15" hidden="false" customHeight="true" outlineLevel="0" collapsed="false">
      <c r="A2741" s="4" t="s">
        <v>5928</v>
      </c>
      <c r="B2741" s="4" t="s">
        <v>2917</v>
      </c>
      <c r="C2741" s="4" t="n">
        <v>1591</v>
      </c>
      <c r="D2741" s="4" t="n">
        <v>154</v>
      </c>
      <c r="E2741" s="13" t="n">
        <v>45554</v>
      </c>
      <c r="F2741" s="4" t="s">
        <v>3186</v>
      </c>
      <c r="G2741" s="4" t="str">
        <f aca="false">INDEX(PurchaseOrders!$B$2:$B$3001,MATCH(B2741,PurchaseOrders!$A$2:$A$3001,0))</f>
        <v>V027</v>
      </c>
    </row>
    <row r="2742" customFormat="false" ht="15" hidden="false" customHeight="true" outlineLevel="0" collapsed="false">
      <c r="A2742" s="4" t="s">
        <v>5929</v>
      </c>
      <c r="B2742" s="4" t="s">
        <v>2918</v>
      </c>
      <c r="C2742" s="4" t="n">
        <v>415</v>
      </c>
      <c r="D2742" s="4" t="n">
        <v>22</v>
      </c>
      <c r="E2742" s="13" t="n">
        <v>45106</v>
      </c>
      <c r="F2742" s="4" t="s">
        <v>3188</v>
      </c>
      <c r="G2742" s="4" t="str">
        <f aca="false">INDEX(PurchaseOrders!$B$2:$B$3001,MATCH(B2742,PurchaseOrders!$A$2:$A$3001,0))</f>
        <v>V005</v>
      </c>
    </row>
    <row r="2743" customFormat="false" ht="15" hidden="false" customHeight="true" outlineLevel="0" collapsed="false">
      <c r="A2743" s="4" t="s">
        <v>5930</v>
      </c>
      <c r="B2743" s="4" t="s">
        <v>2919</v>
      </c>
      <c r="C2743" s="4" t="n">
        <v>5</v>
      </c>
      <c r="D2743" s="4" t="n">
        <v>0</v>
      </c>
      <c r="E2743" s="13" t="n">
        <v>45636</v>
      </c>
      <c r="F2743" s="4"/>
      <c r="G2743" s="4" t="str">
        <f aca="false">INDEX(PurchaseOrders!$B$2:$B$3001,MATCH(B2743,PurchaseOrders!$A$2:$A$3001,0))</f>
        <v>V053</v>
      </c>
    </row>
    <row r="2744" customFormat="false" ht="15" hidden="false" customHeight="true" outlineLevel="0" collapsed="false">
      <c r="A2744" s="4" t="s">
        <v>5931</v>
      </c>
      <c r="B2744" s="4" t="s">
        <v>2920</v>
      </c>
      <c r="C2744" s="4" t="n">
        <v>2376</v>
      </c>
      <c r="D2744" s="4" t="n">
        <v>89</v>
      </c>
      <c r="E2744" s="13" t="n">
        <v>45015</v>
      </c>
      <c r="F2744" s="4" t="s">
        <v>3184</v>
      </c>
      <c r="G2744" s="4" t="str">
        <f aca="false">INDEX(PurchaseOrders!$B$2:$B$3001,MATCH(B2744,PurchaseOrders!$A$2:$A$3001,0))</f>
        <v>V002</v>
      </c>
    </row>
    <row r="2745" customFormat="false" ht="15" hidden="false" customHeight="true" outlineLevel="0" collapsed="false">
      <c r="A2745" s="4" t="s">
        <v>5932</v>
      </c>
      <c r="B2745" s="4" t="s">
        <v>2921</v>
      </c>
      <c r="C2745" s="4" t="n">
        <v>1870</v>
      </c>
      <c r="D2745" s="4" t="n">
        <v>98</v>
      </c>
      <c r="E2745" s="13" t="n">
        <v>45172</v>
      </c>
      <c r="F2745" s="4" t="s">
        <v>3192</v>
      </c>
      <c r="G2745" s="4" t="str">
        <f aca="false">INDEX(PurchaseOrders!$B$2:$B$3001,MATCH(B2745,PurchaseOrders!$A$2:$A$3001,0))</f>
        <v>V021</v>
      </c>
    </row>
    <row r="2746" customFormat="false" ht="15" hidden="false" customHeight="true" outlineLevel="0" collapsed="false">
      <c r="A2746" s="4" t="s">
        <v>5933</v>
      </c>
      <c r="B2746" s="4" t="s">
        <v>2922</v>
      </c>
      <c r="C2746" s="4" t="n">
        <v>1260</v>
      </c>
      <c r="D2746" s="4" t="n">
        <v>241</v>
      </c>
      <c r="E2746" s="13" t="n">
        <v>45582</v>
      </c>
      <c r="F2746" s="4" t="s">
        <v>3184</v>
      </c>
      <c r="G2746" s="4" t="str">
        <f aca="false">INDEX(PurchaseOrders!$B$2:$B$3001,MATCH(B2746,PurchaseOrders!$A$2:$A$3001,0))</f>
        <v>V025</v>
      </c>
    </row>
    <row r="2747" customFormat="false" ht="15" hidden="false" customHeight="true" outlineLevel="0" collapsed="false">
      <c r="A2747" s="4" t="s">
        <v>5934</v>
      </c>
      <c r="B2747" s="4" t="s">
        <v>2923</v>
      </c>
      <c r="C2747" s="4" t="n">
        <v>1120</v>
      </c>
      <c r="D2747" s="4" t="n">
        <v>33</v>
      </c>
      <c r="E2747" s="13" t="n">
        <v>45379</v>
      </c>
      <c r="F2747" s="4" t="s">
        <v>3184</v>
      </c>
      <c r="G2747" s="4" t="str">
        <f aca="false">INDEX(PurchaseOrders!$B$2:$B$3001,MATCH(B2747,PurchaseOrders!$A$2:$A$3001,0))</f>
        <v>V010</v>
      </c>
    </row>
    <row r="2748" customFormat="false" ht="15" hidden="false" customHeight="true" outlineLevel="0" collapsed="false">
      <c r="A2748" s="4" t="s">
        <v>5935</v>
      </c>
      <c r="B2748" s="4" t="s">
        <v>2924</v>
      </c>
      <c r="C2748" s="4" t="n">
        <v>247</v>
      </c>
      <c r="D2748" s="4" t="n">
        <v>6</v>
      </c>
      <c r="E2748" s="13" t="n">
        <v>45005</v>
      </c>
      <c r="F2748" s="4" t="s">
        <v>3202</v>
      </c>
      <c r="G2748" s="4" t="str">
        <f aca="false">INDEX(PurchaseOrders!$B$2:$B$3001,MATCH(B2748,PurchaseOrders!$A$2:$A$3001,0))</f>
        <v>V051</v>
      </c>
    </row>
    <row r="2749" customFormat="false" ht="15" hidden="false" customHeight="true" outlineLevel="0" collapsed="false">
      <c r="A2749" s="4" t="s">
        <v>5936</v>
      </c>
      <c r="B2749" s="4" t="s">
        <v>2925</v>
      </c>
      <c r="C2749" s="4" t="n">
        <v>784</v>
      </c>
      <c r="D2749" s="4" t="n">
        <v>88</v>
      </c>
      <c r="E2749" s="13" t="n">
        <v>45454</v>
      </c>
      <c r="F2749" s="4" t="s">
        <v>3186</v>
      </c>
      <c r="G2749" s="4" t="str">
        <f aca="false">INDEX(PurchaseOrders!$B$2:$B$3001,MATCH(B2749,PurchaseOrders!$A$2:$A$3001,0))</f>
        <v>V044</v>
      </c>
    </row>
    <row r="2750" customFormat="false" ht="15" hidden="false" customHeight="true" outlineLevel="0" collapsed="false">
      <c r="A2750" s="4" t="s">
        <v>5937</v>
      </c>
      <c r="B2750" s="4" t="s">
        <v>2926</v>
      </c>
      <c r="C2750" s="4" t="n">
        <v>349</v>
      </c>
      <c r="D2750" s="4" t="n">
        <v>22</v>
      </c>
      <c r="E2750" s="13" t="n">
        <v>45619</v>
      </c>
      <c r="F2750" s="4" t="s">
        <v>3190</v>
      </c>
      <c r="G2750" s="4" t="str">
        <f aca="false">INDEX(PurchaseOrders!$B$2:$B$3001,MATCH(B2750,PurchaseOrders!$A$2:$A$3001,0))</f>
        <v>V018</v>
      </c>
    </row>
    <row r="2751" customFormat="false" ht="15" hidden="false" customHeight="true" outlineLevel="0" collapsed="false">
      <c r="A2751" s="4" t="s">
        <v>5938</v>
      </c>
      <c r="B2751" s="4" t="s">
        <v>2927</v>
      </c>
      <c r="C2751" s="4" t="n">
        <v>2283</v>
      </c>
      <c r="D2751" s="4" t="n">
        <v>286</v>
      </c>
      <c r="E2751" s="13" t="n">
        <v>45200</v>
      </c>
      <c r="F2751" s="4" t="s">
        <v>3192</v>
      </c>
      <c r="G2751" s="4" t="str">
        <f aca="false">INDEX(PurchaseOrders!$B$2:$B$3001,MATCH(B2751,PurchaseOrders!$A$2:$A$3001,0))</f>
        <v>V032</v>
      </c>
    </row>
    <row r="2752" customFormat="false" ht="15" hidden="false" customHeight="true" outlineLevel="0" collapsed="false">
      <c r="A2752" s="4" t="s">
        <v>5939</v>
      </c>
      <c r="B2752" s="4" t="s">
        <v>2928</v>
      </c>
      <c r="C2752" s="4" t="n">
        <v>365</v>
      </c>
      <c r="D2752" s="4" t="n">
        <v>28</v>
      </c>
      <c r="E2752" s="13" t="n">
        <v>45019</v>
      </c>
      <c r="F2752" s="4" t="s">
        <v>3184</v>
      </c>
      <c r="G2752" s="4" t="str">
        <f aca="false">INDEX(PurchaseOrders!$B$2:$B$3001,MATCH(B2752,PurchaseOrders!$A$2:$A$3001,0))</f>
        <v>V049</v>
      </c>
    </row>
    <row r="2753" customFormat="false" ht="15" hidden="false" customHeight="true" outlineLevel="0" collapsed="false">
      <c r="A2753" s="4" t="s">
        <v>5940</v>
      </c>
      <c r="B2753" s="4" t="s">
        <v>2929</v>
      </c>
      <c r="C2753" s="4" t="n">
        <v>2387</v>
      </c>
      <c r="D2753" s="4" t="n">
        <v>76</v>
      </c>
      <c r="E2753" s="13" t="n">
        <v>45383</v>
      </c>
      <c r="F2753" s="4" t="s">
        <v>3202</v>
      </c>
      <c r="G2753" s="4" t="str">
        <f aca="false">INDEX(PurchaseOrders!$B$2:$B$3001,MATCH(B2753,PurchaseOrders!$A$2:$A$3001,0))</f>
        <v>V015</v>
      </c>
    </row>
    <row r="2754" customFormat="false" ht="15" hidden="false" customHeight="true" outlineLevel="0" collapsed="false">
      <c r="A2754" s="4" t="s">
        <v>5941</v>
      </c>
      <c r="B2754" s="4" t="s">
        <v>2930</v>
      </c>
      <c r="C2754" s="4" t="n">
        <v>296</v>
      </c>
      <c r="D2754" s="4" t="n">
        <v>31</v>
      </c>
      <c r="E2754" s="13" t="n">
        <v>45494</v>
      </c>
      <c r="F2754" s="4" t="s">
        <v>3188</v>
      </c>
      <c r="G2754" s="4" t="str">
        <f aca="false">INDEX(PurchaseOrders!$B$2:$B$3001,MATCH(B2754,PurchaseOrders!$A$2:$A$3001,0))</f>
        <v>V043</v>
      </c>
    </row>
    <row r="2755" customFormat="false" ht="15" hidden="false" customHeight="true" outlineLevel="0" collapsed="false">
      <c r="A2755" s="4" t="s">
        <v>5942</v>
      </c>
      <c r="B2755" s="4" t="s">
        <v>2931</v>
      </c>
      <c r="C2755" s="4" t="n">
        <v>48</v>
      </c>
      <c r="D2755" s="4" t="n">
        <v>1</v>
      </c>
      <c r="E2755" s="13" t="n">
        <v>45073</v>
      </c>
      <c r="F2755" s="4" t="s">
        <v>3202</v>
      </c>
      <c r="G2755" s="4" t="str">
        <f aca="false">INDEX(PurchaseOrders!$B$2:$B$3001,MATCH(B2755,PurchaseOrders!$A$2:$A$3001,0))</f>
        <v>V040</v>
      </c>
    </row>
    <row r="2756" customFormat="false" ht="15" hidden="false" customHeight="true" outlineLevel="0" collapsed="false">
      <c r="A2756" s="4" t="s">
        <v>5943</v>
      </c>
      <c r="B2756" s="4" t="s">
        <v>2932</v>
      </c>
      <c r="C2756" s="4" t="n">
        <v>293</v>
      </c>
      <c r="D2756" s="4" t="n">
        <v>50</v>
      </c>
      <c r="E2756" s="13" t="n">
        <v>45578</v>
      </c>
      <c r="F2756" s="4" t="s">
        <v>3188</v>
      </c>
      <c r="G2756" s="4" t="str">
        <f aca="false">INDEX(PurchaseOrders!$B$2:$B$3001,MATCH(B2756,PurchaseOrders!$A$2:$A$3001,0))</f>
        <v>V025</v>
      </c>
    </row>
    <row r="2757" customFormat="false" ht="15" hidden="false" customHeight="true" outlineLevel="0" collapsed="false">
      <c r="A2757" s="4" t="s">
        <v>5944</v>
      </c>
      <c r="B2757" s="4" t="s">
        <v>2933</v>
      </c>
      <c r="C2757" s="4" t="n">
        <v>66</v>
      </c>
      <c r="D2757" s="4" t="n">
        <v>6</v>
      </c>
      <c r="E2757" s="13" t="n">
        <v>45389</v>
      </c>
      <c r="F2757" s="4" t="s">
        <v>3202</v>
      </c>
      <c r="G2757" s="4" t="str">
        <f aca="false">INDEX(PurchaseOrders!$B$2:$B$3001,MATCH(B2757,PurchaseOrders!$A$2:$A$3001,0))</f>
        <v>V009</v>
      </c>
    </row>
    <row r="2758" customFormat="false" ht="15" hidden="false" customHeight="true" outlineLevel="0" collapsed="false">
      <c r="A2758" s="4" t="s">
        <v>5945</v>
      </c>
      <c r="B2758" s="4" t="s">
        <v>2934</v>
      </c>
      <c r="C2758" s="4" t="n">
        <v>168</v>
      </c>
      <c r="D2758" s="4" t="n">
        <v>21</v>
      </c>
      <c r="E2758" s="13" t="n">
        <v>45135</v>
      </c>
      <c r="F2758" s="4" t="s">
        <v>3184</v>
      </c>
      <c r="G2758" s="4" t="str">
        <f aca="false">INDEX(PurchaseOrders!$B$2:$B$3001,MATCH(B2758,PurchaseOrders!$A$2:$A$3001,0))</f>
        <v>V049</v>
      </c>
    </row>
    <row r="2759" customFormat="false" ht="15" hidden="false" customHeight="true" outlineLevel="0" collapsed="false">
      <c r="A2759" s="4" t="s">
        <v>5946</v>
      </c>
      <c r="B2759" s="4" t="s">
        <v>2935</v>
      </c>
      <c r="C2759" s="4" t="n">
        <v>214</v>
      </c>
      <c r="D2759" s="4" t="n">
        <v>16</v>
      </c>
      <c r="E2759" s="13" t="n">
        <v>45250</v>
      </c>
      <c r="F2759" s="4" t="s">
        <v>3184</v>
      </c>
      <c r="G2759" s="4" t="str">
        <f aca="false">INDEX(PurchaseOrders!$B$2:$B$3001,MATCH(B2759,PurchaseOrders!$A$2:$A$3001,0))</f>
        <v>V043</v>
      </c>
    </row>
    <row r="2760" customFormat="false" ht="15" hidden="false" customHeight="true" outlineLevel="0" collapsed="false">
      <c r="A2760" s="4" t="s">
        <v>5947</v>
      </c>
      <c r="B2760" s="4" t="s">
        <v>2936</v>
      </c>
      <c r="C2760" s="4" t="n">
        <v>270</v>
      </c>
      <c r="D2760" s="4" t="n">
        <v>13</v>
      </c>
      <c r="E2760" s="13" t="n">
        <v>44999</v>
      </c>
      <c r="F2760" s="4" t="s">
        <v>3188</v>
      </c>
      <c r="G2760" s="4" t="str">
        <f aca="false">INDEX(PurchaseOrders!$B$2:$B$3001,MATCH(B2760,PurchaseOrders!$A$2:$A$3001,0))</f>
        <v>V037</v>
      </c>
    </row>
    <row r="2761" customFormat="false" ht="15" hidden="false" customHeight="true" outlineLevel="0" collapsed="false">
      <c r="A2761" s="4" t="s">
        <v>5948</v>
      </c>
      <c r="B2761" s="4" t="s">
        <v>2937</v>
      </c>
      <c r="C2761" s="4" t="n">
        <v>191</v>
      </c>
      <c r="D2761" s="4" t="n">
        <v>2</v>
      </c>
      <c r="E2761" s="13" t="n">
        <v>45609</v>
      </c>
      <c r="F2761" s="4" t="s">
        <v>3184</v>
      </c>
      <c r="G2761" s="4" t="str">
        <f aca="false">INDEX(PurchaseOrders!$B$2:$B$3001,MATCH(B2761,PurchaseOrders!$A$2:$A$3001,0))</f>
        <v>V006</v>
      </c>
    </row>
    <row r="2762" customFormat="false" ht="15" hidden="false" customHeight="true" outlineLevel="0" collapsed="false">
      <c r="A2762" s="4" t="s">
        <v>5949</v>
      </c>
      <c r="B2762" s="4" t="s">
        <v>2938</v>
      </c>
      <c r="C2762" s="4" t="n">
        <v>1337</v>
      </c>
      <c r="D2762" s="4" t="n">
        <v>148</v>
      </c>
      <c r="E2762" s="13" t="n">
        <v>45419</v>
      </c>
      <c r="F2762" s="4" t="s">
        <v>3188</v>
      </c>
      <c r="G2762" s="4" t="str">
        <f aca="false">INDEX(PurchaseOrders!$B$2:$B$3001,MATCH(B2762,PurchaseOrders!$A$2:$A$3001,0))</f>
        <v>V048</v>
      </c>
    </row>
    <row r="2763" customFormat="false" ht="15" hidden="false" customHeight="true" outlineLevel="0" collapsed="false">
      <c r="A2763" s="4" t="s">
        <v>5950</v>
      </c>
      <c r="B2763" s="4" t="s">
        <v>2939</v>
      </c>
      <c r="C2763" s="4" t="n">
        <v>1926</v>
      </c>
      <c r="D2763" s="4" t="n">
        <v>155</v>
      </c>
      <c r="E2763" s="13" t="n">
        <v>45161</v>
      </c>
      <c r="F2763" s="4" t="s">
        <v>3188</v>
      </c>
      <c r="G2763" s="4" t="str">
        <f aca="false">INDEX(PurchaseOrders!$B$2:$B$3001,MATCH(B2763,PurchaseOrders!$A$2:$A$3001,0))</f>
        <v>V014</v>
      </c>
    </row>
    <row r="2764" customFormat="false" ht="15" hidden="false" customHeight="true" outlineLevel="0" collapsed="false">
      <c r="A2764" s="4" t="s">
        <v>5951</v>
      </c>
      <c r="B2764" s="4" t="s">
        <v>2940</v>
      </c>
      <c r="C2764" s="4" t="n">
        <v>3349</v>
      </c>
      <c r="D2764" s="4" t="n">
        <v>207</v>
      </c>
      <c r="E2764" s="13" t="n">
        <v>45186</v>
      </c>
      <c r="F2764" s="4" t="s">
        <v>3184</v>
      </c>
      <c r="G2764" s="4" t="str">
        <f aca="false">INDEX(PurchaseOrders!$B$2:$B$3001,MATCH(B2764,PurchaseOrders!$A$2:$A$3001,0))</f>
        <v>V056</v>
      </c>
    </row>
    <row r="2765" customFormat="false" ht="15" hidden="false" customHeight="true" outlineLevel="0" collapsed="false">
      <c r="A2765" s="4" t="s">
        <v>5952</v>
      </c>
      <c r="B2765" s="4" t="s">
        <v>2941</v>
      </c>
      <c r="C2765" s="4" t="n">
        <v>858</v>
      </c>
      <c r="D2765" s="4" t="n">
        <v>21</v>
      </c>
      <c r="E2765" s="13" t="n">
        <v>45245</v>
      </c>
      <c r="F2765" s="4" t="s">
        <v>3184</v>
      </c>
      <c r="G2765" s="4" t="str">
        <f aca="false">INDEX(PurchaseOrders!$B$2:$B$3001,MATCH(B2765,PurchaseOrders!$A$2:$A$3001,0))</f>
        <v>V022</v>
      </c>
    </row>
    <row r="2766" customFormat="false" ht="15" hidden="false" customHeight="true" outlineLevel="0" collapsed="false">
      <c r="A2766" s="4" t="s">
        <v>5953</v>
      </c>
      <c r="B2766" s="4" t="s">
        <v>2942</v>
      </c>
      <c r="C2766" s="4" t="n">
        <v>284</v>
      </c>
      <c r="D2766" s="4" t="n">
        <v>0</v>
      </c>
      <c r="E2766" s="13" t="n">
        <v>45085</v>
      </c>
      <c r="F2766" s="4"/>
      <c r="G2766" s="4" t="str">
        <f aca="false">INDEX(PurchaseOrders!$B$2:$B$3001,MATCH(B2766,PurchaseOrders!$A$2:$A$3001,0))</f>
        <v>V052</v>
      </c>
    </row>
    <row r="2767" customFormat="false" ht="15" hidden="false" customHeight="true" outlineLevel="0" collapsed="false">
      <c r="A2767" s="4" t="s">
        <v>5954</v>
      </c>
      <c r="B2767" s="4" t="s">
        <v>2943</v>
      </c>
      <c r="C2767" s="4" t="n">
        <v>1395</v>
      </c>
      <c r="D2767" s="4" t="n">
        <v>135</v>
      </c>
      <c r="E2767" s="13" t="n">
        <v>45118</v>
      </c>
      <c r="F2767" s="4" t="s">
        <v>3192</v>
      </c>
      <c r="G2767" s="4" t="str">
        <f aca="false">INDEX(PurchaseOrders!$B$2:$B$3001,MATCH(B2767,PurchaseOrders!$A$2:$A$3001,0))</f>
        <v>V028</v>
      </c>
    </row>
    <row r="2768" customFormat="false" ht="15" hidden="false" customHeight="true" outlineLevel="0" collapsed="false">
      <c r="A2768" s="4" t="s">
        <v>5955</v>
      </c>
      <c r="B2768" s="4" t="s">
        <v>2944</v>
      </c>
      <c r="C2768" s="4" t="n">
        <v>293</v>
      </c>
      <c r="D2768" s="4" t="n">
        <v>8</v>
      </c>
      <c r="E2768" s="13" t="n">
        <v>45107</v>
      </c>
      <c r="F2768" s="4" t="s">
        <v>3190</v>
      </c>
      <c r="G2768" s="4" t="str">
        <f aca="false">INDEX(PurchaseOrders!$B$2:$B$3001,MATCH(B2768,PurchaseOrders!$A$2:$A$3001,0))</f>
        <v>V031</v>
      </c>
    </row>
    <row r="2769" customFormat="false" ht="15" hidden="false" customHeight="true" outlineLevel="0" collapsed="false">
      <c r="A2769" s="4" t="s">
        <v>5956</v>
      </c>
      <c r="B2769" s="4" t="s">
        <v>2945</v>
      </c>
      <c r="C2769" s="4" t="n">
        <v>371</v>
      </c>
      <c r="D2769" s="4" t="n">
        <v>22</v>
      </c>
      <c r="E2769" s="13" t="n">
        <v>45318</v>
      </c>
      <c r="F2769" s="4" t="s">
        <v>3186</v>
      </c>
      <c r="G2769" s="4" t="str">
        <f aca="false">INDEX(PurchaseOrders!$B$2:$B$3001,MATCH(B2769,PurchaseOrders!$A$2:$A$3001,0))</f>
        <v>V033</v>
      </c>
    </row>
    <row r="2770" customFormat="false" ht="15" hidden="false" customHeight="true" outlineLevel="0" collapsed="false">
      <c r="A2770" s="4" t="s">
        <v>5957</v>
      </c>
      <c r="B2770" s="4" t="s">
        <v>2946</v>
      </c>
      <c r="C2770" s="4" t="n">
        <v>4</v>
      </c>
      <c r="D2770" s="4" t="n">
        <v>0</v>
      </c>
      <c r="E2770" s="13" t="n">
        <v>45523</v>
      </c>
      <c r="F2770" s="4"/>
      <c r="G2770" s="4" t="str">
        <f aca="false">INDEX(PurchaseOrders!$B$2:$B$3001,MATCH(B2770,PurchaseOrders!$A$2:$A$3001,0))</f>
        <v>V041</v>
      </c>
    </row>
    <row r="2771" customFormat="false" ht="15" hidden="false" customHeight="true" outlineLevel="0" collapsed="false">
      <c r="A2771" s="4" t="s">
        <v>5958</v>
      </c>
      <c r="B2771" s="4" t="s">
        <v>2947</v>
      </c>
      <c r="C2771" s="4" t="n">
        <v>12</v>
      </c>
      <c r="D2771" s="4" t="n">
        <v>1</v>
      </c>
      <c r="E2771" s="13" t="n">
        <v>45129</v>
      </c>
      <c r="F2771" s="4" t="s">
        <v>3202</v>
      </c>
      <c r="G2771" s="4" t="str">
        <f aca="false">INDEX(PurchaseOrders!$B$2:$B$3001,MATCH(B2771,PurchaseOrders!$A$2:$A$3001,0))</f>
        <v>V041</v>
      </c>
    </row>
    <row r="2772" customFormat="false" ht="15" hidden="false" customHeight="true" outlineLevel="0" collapsed="false">
      <c r="A2772" s="4" t="s">
        <v>5959</v>
      </c>
      <c r="B2772" s="4" t="s">
        <v>2948</v>
      </c>
      <c r="C2772" s="4" t="n">
        <v>100</v>
      </c>
      <c r="D2772" s="4" t="n">
        <v>13</v>
      </c>
      <c r="E2772" s="13" t="n">
        <v>45677</v>
      </c>
      <c r="F2772" s="4" t="s">
        <v>3190</v>
      </c>
      <c r="G2772" s="4" t="str">
        <f aca="false">INDEX(PurchaseOrders!$B$2:$B$3001,MATCH(B2772,PurchaseOrders!$A$2:$A$3001,0))</f>
        <v>V030</v>
      </c>
    </row>
    <row r="2773" customFormat="false" ht="15" hidden="false" customHeight="true" outlineLevel="0" collapsed="false">
      <c r="A2773" s="4" t="s">
        <v>5960</v>
      </c>
      <c r="B2773" s="4" t="s">
        <v>2949</v>
      </c>
      <c r="C2773" s="4" t="n">
        <v>421</v>
      </c>
      <c r="D2773" s="4" t="n">
        <v>0</v>
      </c>
      <c r="E2773" s="13" t="n">
        <v>45666</v>
      </c>
      <c r="F2773" s="4"/>
      <c r="G2773" s="4" t="str">
        <f aca="false">INDEX(PurchaseOrders!$B$2:$B$3001,MATCH(B2773,PurchaseOrders!$A$2:$A$3001,0))</f>
        <v>V029</v>
      </c>
    </row>
    <row r="2774" customFormat="false" ht="15" hidden="false" customHeight="true" outlineLevel="0" collapsed="false">
      <c r="A2774" s="4" t="s">
        <v>5961</v>
      </c>
      <c r="B2774" s="4" t="s">
        <v>2950</v>
      </c>
      <c r="C2774" s="4" t="n">
        <v>294</v>
      </c>
      <c r="D2774" s="4" t="n">
        <v>8</v>
      </c>
      <c r="E2774" s="13" t="n">
        <v>45271</v>
      </c>
      <c r="F2774" s="4" t="s">
        <v>3188</v>
      </c>
      <c r="G2774" s="4" t="str">
        <f aca="false">INDEX(PurchaseOrders!$B$2:$B$3001,MATCH(B2774,PurchaseOrders!$A$2:$A$3001,0))</f>
        <v>V024</v>
      </c>
    </row>
    <row r="2775" customFormat="false" ht="15" hidden="false" customHeight="true" outlineLevel="0" collapsed="false">
      <c r="A2775" s="4" t="s">
        <v>5962</v>
      </c>
      <c r="B2775" s="4" t="s">
        <v>2951</v>
      </c>
      <c r="C2775" s="4" t="n">
        <v>9</v>
      </c>
      <c r="D2775" s="4" t="n">
        <v>0</v>
      </c>
      <c r="E2775" s="13" t="n">
        <v>45651</v>
      </c>
      <c r="F2775" s="4"/>
      <c r="G2775" s="4" t="str">
        <f aca="false">INDEX(PurchaseOrders!$B$2:$B$3001,MATCH(B2775,PurchaseOrders!$A$2:$A$3001,0))</f>
        <v>V019</v>
      </c>
    </row>
    <row r="2776" customFormat="false" ht="15" hidden="false" customHeight="true" outlineLevel="0" collapsed="false">
      <c r="A2776" s="4" t="s">
        <v>5963</v>
      </c>
      <c r="B2776" s="4" t="s">
        <v>2952</v>
      </c>
      <c r="C2776" s="4" t="n">
        <v>376</v>
      </c>
      <c r="D2776" s="4" t="n">
        <v>21</v>
      </c>
      <c r="E2776" s="13" t="n">
        <v>45368</v>
      </c>
      <c r="F2776" s="4" t="s">
        <v>3184</v>
      </c>
      <c r="G2776" s="4" t="str">
        <f aca="false">INDEX(PurchaseOrders!$B$2:$B$3001,MATCH(B2776,PurchaseOrders!$A$2:$A$3001,0))</f>
        <v>V006</v>
      </c>
    </row>
    <row r="2777" customFormat="false" ht="15" hidden="false" customHeight="true" outlineLevel="0" collapsed="false">
      <c r="A2777" s="4" t="s">
        <v>5964</v>
      </c>
      <c r="B2777" s="4" t="s">
        <v>2953</v>
      </c>
      <c r="C2777" s="4" t="n">
        <v>711</v>
      </c>
      <c r="D2777" s="4" t="n">
        <v>15</v>
      </c>
      <c r="E2777" s="13" t="n">
        <v>45383</v>
      </c>
      <c r="F2777" s="4" t="s">
        <v>3186</v>
      </c>
      <c r="G2777" s="4" t="str">
        <f aca="false">INDEX(PurchaseOrders!$B$2:$B$3001,MATCH(B2777,PurchaseOrders!$A$2:$A$3001,0))</f>
        <v>V021</v>
      </c>
    </row>
    <row r="2778" customFormat="false" ht="15" hidden="false" customHeight="true" outlineLevel="0" collapsed="false">
      <c r="A2778" s="4" t="s">
        <v>5965</v>
      </c>
      <c r="B2778" s="4" t="s">
        <v>2954</v>
      </c>
      <c r="C2778" s="4" t="n">
        <v>120</v>
      </c>
      <c r="D2778" s="4" t="n">
        <v>1</v>
      </c>
      <c r="E2778" s="13" t="n">
        <v>45143</v>
      </c>
      <c r="F2778" s="4" t="s">
        <v>3192</v>
      </c>
      <c r="G2778" s="4" t="str">
        <f aca="false">INDEX(PurchaseOrders!$B$2:$B$3001,MATCH(B2778,PurchaseOrders!$A$2:$A$3001,0))</f>
        <v>V047</v>
      </c>
    </row>
    <row r="2779" customFormat="false" ht="15" hidden="false" customHeight="true" outlineLevel="0" collapsed="false">
      <c r="A2779" s="4" t="s">
        <v>5966</v>
      </c>
      <c r="B2779" s="4" t="s">
        <v>2955</v>
      </c>
      <c r="C2779" s="4" t="n">
        <v>480</v>
      </c>
      <c r="D2779" s="4" t="n">
        <v>8</v>
      </c>
      <c r="E2779" s="13" t="n">
        <v>45178</v>
      </c>
      <c r="F2779" s="4" t="s">
        <v>3202</v>
      </c>
      <c r="G2779" s="4" t="str">
        <f aca="false">INDEX(PurchaseOrders!$B$2:$B$3001,MATCH(B2779,PurchaseOrders!$A$2:$A$3001,0))</f>
        <v>V024</v>
      </c>
    </row>
    <row r="2780" customFormat="false" ht="15" hidden="false" customHeight="true" outlineLevel="0" collapsed="false">
      <c r="A2780" s="4" t="s">
        <v>5967</v>
      </c>
      <c r="B2780" s="4" t="s">
        <v>2956</v>
      </c>
      <c r="C2780" s="4" t="n">
        <v>3816</v>
      </c>
      <c r="D2780" s="4" t="n">
        <v>267</v>
      </c>
      <c r="E2780" s="13" t="n">
        <v>45442</v>
      </c>
      <c r="F2780" s="4" t="s">
        <v>3202</v>
      </c>
      <c r="G2780" s="4" t="str">
        <f aca="false">INDEX(PurchaseOrders!$B$2:$B$3001,MATCH(B2780,PurchaseOrders!$A$2:$A$3001,0))</f>
        <v>V050</v>
      </c>
    </row>
    <row r="2781" customFormat="false" ht="15" hidden="false" customHeight="true" outlineLevel="0" collapsed="false">
      <c r="A2781" s="4" t="s">
        <v>5968</v>
      </c>
      <c r="B2781" s="4" t="s">
        <v>2957</v>
      </c>
      <c r="C2781" s="4" t="n">
        <v>13</v>
      </c>
      <c r="D2781" s="4" t="n">
        <v>1</v>
      </c>
      <c r="E2781" s="13" t="n">
        <v>45062</v>
      </c>
      <c r="F2781" s="4" t="s">
        <v>3186</v>
      </c>
      <c r="G2781" s="4" t="str">
        <f aca="false">INDEX(PurchaseOrders!$B$2:$B$3001,MATCH(B2781,PurchaseOrders!$A$2:$A$3001,0))</f>
        <v>V054</v>
      </c>
    </row>
    <row r="2782" customFormat="false" ht="15" hidden="false" customHeight="true" outlineLevel="0" collapsed="false">
      <c r="A2782" s="4" t="s">
        <v>5969</v>
      </c>
      <c r="B2782" s="4" t="s">
        <v>2958</v>
      </c>
      <c r="C2782" s="4" t="n">
        <v>4560</v>
      </c>
      <c r="D2782" s="4" t="n">
        <v>239</v>
      </c>
      <c r="E2782" s="13" t="n">
        <v>45074</v>
      </c>
      <c r="F2782" s="4" t="s">
        <v>3184</v>
      </c>
      <c r="G2782" s="4" t="str">
        <f aca="false">INDEX(PurchaseOrders!$B$2:$B$3001,MATCH(B2782,PurchaseOrders!$A$2:$A$3001,0))</f>
        <v>V002</v>
      </c>
    </row>
    <row r="2783" customFormat="false" ht="15" hidden="false" customHeight="true" outlineLevel="0" collapsed="false">
      <c r="A2783" s="4" t="s">
        <v>5970</v>
      </c>
      <c r="B2783" s="4" t="s">
        <v>2959</v>
      </c>
      <c r="C2783" s="4" t="n">
        <v>488</v>
      </c>
      <c r="D2783" s="4" t="n">
        <v>60</v>
      </c>
      <c r="E2783" s="13" t="n">
        <v>45157</v>
      </c>
      <c r="F2783" s="4" t="s">
        <v>3190</v>
      </c>
      <c r="G2783" s="4" t="str">
        <f aca="false">INDEX(PurchaseOrders!$B$2:$B$3001,MATCH(B2783,PurchaseOrders!$A$2:$A$3001,0))</f>
        <v>V005</v>
      </c>
    </row>
    <row r="2784" customFormat="false" ht="15" hidden="false" customHeight="true" outlineLevel="0" collapsed="false">
      <c r="A2784" s="4" t="s">
        <v>5971</v>
      </c>
      <c r="B2784" s="4" t="s">
        <v>2960</v>
      </c>
      <c r="C2784" s="4" t="n">
        <v>4960</v>
      </c>
      <c r="D2784" s="4" t="n">
        <v>844</v>
      </c>
      <c r="E2784" s="13" t="n">
        <v>45385</v>
      </c>
      <c r="F2784" s="4" t="s">
        <v>3188</v>
      </c>
      <c r="G2784" s="4" t="str">
        <f aca="false">INDEX(PurchaseOrders!$B$2:$B$3001,MATCH(B2784,PurchaseOrders!$A$2:$A$3001,0))</f>
        <v>V026</v>
      </c>
    </row>
    <row r="2785" customFormat="false" ht="15" hidden="false" customHeight="true" outlineLevel="0" collapsed="false">
      <c r="A2785" s="4" t="s">
        <v>5972</v>
      </c>
      <c r="B2785" s="4" t="s">
        <v>2961</v>
      </c>
      <c r="C2785" s="4" t="n">
        <v>4228</v>
      </c>
      <c r="D2785" s="4" t="n">
        <v>167</v>
      </c>
      <c r="E2785" s="13" t="n">
        <v>45596</v>
      </c>
      <c r="F2785" s="4" t="s">
        <v>3192</v>
      </c>
      <c r="G2785" s="4" t="str">
        <f aca="false">INDEX(PurchaseOrders!$B$2:$B$3001,MATCH(B2785,PurchaseOrders!$A$2:$A$3001,0))</f>
        <v>V002</v>
      </c>
    </row>
    <row r="2786" customFormat="false" ht="15" hidden="false" customHeight="true" outlineLevel="0" collapsed="false">
      <c r="A2786" s="4" t="s">
        <v>5973</v>
      </c>
      <c r="B2786" s="4" t="s">
        <v>2962</v>
      </c>
      <c r="C2786" s="4" t="n">
        <v>224</v>
      </c>
      <c r="D2786" s="4" t="n">
        <v>21</v>
      </c>
      <c r="E2786" s="13" t="n">
        <v>45064</v>
      </c>
      <c r="F2786" s="4" t="s">
        <v>3188</v>
      </c>
      <c r="G2786" s="4" t="str">
        <f aca="false">INDEX(PurchaseOrders!$B$2:$B$3001,MATCH(B2786,PurchaseOrders!$A$2:$A$3001,0))</f>
        <v>V030</v>
      </c>
    </row>
    <row r="2787" customFormat="false" ht="15" hidden="false" customHeight="true" outlineLevel="0" collapsed="false">
      <c r="A2787" s="4" t="s">
        <v>5974</v>
      </c>
      <c r="B2787" s="4" t="s">
        <v>2963</v>
      </c>
      <c r="C2787" s="4" t="n">
        <v>2079</v>
      </c>
      <c r="D2787" s="4" t="n">
        <v>248</v>
      </c>
      <c r="E2787" s="13" t="n">
        <v>45170</v>
      </c>
      <c r="F2787" s="4" t="s">
        <v>3190</v>
      </c>
      <c r="G2787" s="4" t="str">
        <f aca="false">INDEX(PurchaseOrders!$B$2:$B$3001,MATCH(B2787,PurchaseOrders!$A$2:$A$3001,0))</f>
        <v>V038</v>
      </c>
    </row>
    <row r="2788" customFormat="false" ht="15" hidden="false" customHeight="true" outlineLevel="0" collapsed="false">
      <c r="A2788" s="4" t="s">
        <v>5975</v>
      </c>
      <c r="B2788" s="4" t="s">
        <v>2964</v>
      </c>
      <c r="C2788" s="4" t="n">
        <v>1686</v>
      </c>
      <c r="D2788" s="4" t="n">
        <v>78</v>
      </c>
      <c r="E2788" s="13" t="n">
        <v>45150</v>
      </c>
      <c r="F2788" s="4" t="s">
        <v>3186</v>
      </c>
      <c r="G2788" s="4" t="str">
        <f aca="false">INDEX(PurchaseOrders!$B$2:$B$3001,MATCH(B2788,PurchaseOrders!$A$2:$A$3001,0))</f>
        <v>V048</v>
      </c>
    </row>
    <row r="2789" customFormat="false" ht="15" hidden="false" customHeight="true" outlineLevel="0" collapsed="false">
      <c r="A2789" s="4" t="s">
        <v>5976</v>
      </c>
      <c r="B2789" s="4" t="s">
        <v>2965</v>
      </c>
      <c r="C2789" s="4" t="n">
        <v>2203</v>
      </c>
      <c r="D2789" s="4" t="n">
        <v>420</v>
      </c>
      <c r="E2789" s="13" t="n">
        <v>45490</v>
      </c>
      <c r="F2789" s="4" t="s">
        <v>3192</v>
      </c>
      <c r="G2789" s="4" t="str">
        <f aca="false">INDEX(PurchaseOrders!$B$2:$B$3001,MATCH(B2789,PurchaseOrders!$A$2:$A$3001,0))</f>
        <v>V026</v>
      </c>
    </row>
    <row r="2790" customFormat="false" ht="15" hidden="false" customHeight="true" outlineLevel="0" collapsed="false">
      <c r="A2790" s="4" t="s">
        <v>5977</v>
      </c>
      <c r="B2790" s="4" t="s">
        <v>2966</v>
      </c>
      <c r="C2790" s="4" t="n">
        <v>1815</v>
      </c>
      <c r="D2790" s="4" t="n">
        <v>162</v>
      </c>
      <c r="E2790" s="13" t="n">
        <v>45321</v>
      </c>
      <c r="F2790" s="4" t="s">
        <v>3202</v>
      </c>
      <c r="G2790" s="4" t="str">
        <f aca="false">INDEX(PurchaseOrders!$B$2:$B$3001,MATCH(B2790,PurchaseOrders!$A$2:$A$3001,0))</f>
        <v>V021</v>
      </c>
    </row>
    <row r="2791" customFormat="false" ht="15" hidden="false" customHeight="true" outlineLevel="0" collapsed="false">
      <c r="A2791" s="4" t="s">
        <v>5978</v>
      </c>
      <c r="B2791" s="4" t="s">
        <v>2967</v>
      </c>
      <c r="C2791" s="4" t="n">
        <v>1970</v>
      </c>
      <c r="D2791" s="4" t="n">
        <v>124</v>
      </c>
      <c r="E2791" s="13" t="n">
        <v>45177</v>
      </c>
      <c r="F2791" s="4" t="s">
        <v>3192</v>
      </c>
      <c r="G2791" s="4" t="str">
        <f aca="false">INDEX(PurchaseOrders!$B$2:$B$3001,MATCH(B2791,PurchaseOrders!$A$2:$A$3001,0))</f>
        <v>V014</v>
      </c>
    </row>
    <row r="2792" customFormat="false" ht="15" hidden="false" customHeight="true" outlineLevel="0" collapsed="false">
      <c r="A2792" s="4" t="s">
        <v>5979</v>
      </c>
      <c r="B2792" s="4" t="s">
        <v>2968</v>
      </c>
      <c r="C2792" s="4" t="n">
        <v>1453</v>
      </c>
      <c r="D2792" s="4" t="n">
        <v>275</v>
      </c>
      <c r="E2792" s="13" t="n">
        <v>45372</v>
      </c>
      <c r="F2792" s="4" t="s">
        <v>3190</v>
      </c>
      <c r="G2792" s="4" t="str">
        <f aca="false">INDEX(PurchaseOrders!$B$2:$B$3001,MATCH(B2792,PurchaseOrders!$A$2:$A$3001,0))</f>
        <v>V025</v>
      </c>
    </row>
    <row r="2793" customFormat="false" ht="15" hidden="false" customHeight="true" outlineLevel="0" collapsed="false">
      <c r="A2793" s="4" t="s">
        <v>5980</v>
      </c>
      <c r="B2793" s="4" t="s">
        <v>2969</v>
      </c>
      <c r="C2793" s="4" t="n">
        <v>772</v>
      </c>
      <c r="D2793" s="4" t="n">
        <v>11</v>
      </c>
      <c r="E2793" s="13" t="n">
        <v>45618</v>
      </c>
      <c r="F2793" s="4" t="s">
        <v>3190</v>
      </c>
      <c r="G2793" s="4" t="str">
        <f aca="false">INDEX(PurchaseOrders!$B$2:$B$3001,MATCH(B2793,PurchaseOrders!$A$2:$A$3001,0))</f>
        <v>V021</v>
      </c>
    </row>
    <row r="2794" customFormat="false" ht="15" hidden="false" customHeight="true" outlineLevel="0" collapsed="false">
      <c r="A2794" s="4" t="s">
        <v>5981</v>
      </c>
      <c r="B2794" s="4" t="s">
        <v>2970</v>
      </c>
      <c r="C2794" s="4" t="n">
        <v>4103</v>
      </c>
      <c r="D2794" s="4" t="n">
        <v>413</v>
      </c>
      <c r="E2794" s="13" t="n">
        <v>45042</v>
      </c>
      <c r="F2794" s="4" t="s">
        <v>3202</v>
      </c>
      <c r="G2794" s="4" t="str">
        <f aca="false">INDEX(PurchaseOrders!$B$2:$B$3001,MATCH(B2794,PurchaseOrders!$A$2:$A$3001,0))</f>
        <v>V028</v>
      </c>
    </row>
    <row r="2795" customFormat="false" ht="15" hidden="false" customHeight="true" outlineLevel="0" collapsed="false">
      <c r="A2795" s="4" t="s">
        <v>5982</v>
      </c>
      <c r="B2795" s="4" t="s">
        <v>2971</v>
      </c>
      <c r="C2795" s="4" t="n">
        <v>17</v>
      </c>
      <c r="D2795" s="4" t="n">
        <v>1</v>
      </c>
      <c r="E2795" s="13" t="n">
        <v>45052</v>
      </c>
      <c r="F2795" s="4" t="s">
        <v>3192</v>
      </c>
      <c r="G2795" s="4" t="str">
        <f aca="false">INDEX(PurchaseOrders!$B$2:$B$3001,MATCH(B2795,PurchaseOrders!$A$2:$A$3001,0))</f>
        <v>V016</v>
      </c>
    </row>
    <row r="2796" customFormat="false" ht="15" hidden="false" customHeight="true" outlineLevel="0" collapsed="false">
      <c r="A2796" s="4" t="s">
        <v>5983</v>
      </c>
      <c r="B2796" s="4" t="s">
        <v>2972</v>
      </c>
      <c r="C2796" s="4" t="n">
        <v>523</v>
      </c>
      <c r="D2796" s="4" t="n">
        <v>96</v>
      </c>
      <c r="E2796" s="13" t="n">
        <v>45116</v>
      </c>
      <c r="F2796" s="4" t="s">
        <v>3190</v>
      </c>
      <c r="G2796" s="4" t="str">
        <f aca="false">INDEX(PurchaseOrders!$B$2:$B$3001,MATCH(B2796,PurchaseOrders!$A$2:$A$3001,0))</f>
        <v>V026</v>
      </c>
    </row>
    <row r="2797" customFormat="false" ht="15" hidden="false" customHeight="true" outlineLevel="0" collapsed="false">
      <c r="A2797" s="4" t="s">
        <v>5984</v>
      </c>
      <c r="B2797" s="4" t="s">
        <v>2973</v>
      </c>
      <c r="C2797" s="4" t="n">
        <v>71</v>
      </c>
      <c r="D2797" s="4" t="n">
        <v>3</v>
      </c>
      <c r="E2797" s="13" t="n">
        <v>45660</v>
      </c>
      <c r="F2797" s="4" t="s">
        <v>3192</v>
      </c>
      <c r="G2797" s="4" t="str">
        <f aca="false">INDEX(PurchaseOrders!$B$2:$B$3001,MATCH(B2797,PurchaseOrders!$A$2:$A$3001,0))</f>
        <v>V031</v>
      </c>
    </row>
    <row r="2798" customFormat="false" ht="15" hidden="false" customHeight="true" outlineLevel="0" collapsed="false">
      <c r="A2798" s="4" t="s">
        <v>5985</v>
      </c>
      <c r="B2798" s="4" t="s">
        <v>2974</v>
      </c>
      <c r="C2798" s="4" t="n">
        <v>1942</v>
      </c>
      <c r="D2798" s="4" t="n">
        <v>215</v>
      </c>
      <c r="E2798" s="13" t="n">
        <v>45154</v>
      </c>
      <c r="F2798" s="4" t="s">
        <v>3202</v>
      </c>
      <c r="G2798" s="4" t="str">
        <f aca="false">INDEX(PurchaseOrders!$B$2:$B$3001,MATCH(B2798,PurchaseOrders!$A$2:$A$3001,0))</f>
        <v>V057</v>
      </c>
    </row>
    <row r="2799" customFormat="false" ht="15" hidden="false" customHeight="true" outlineLevel="0" collapsed="false">
      <c r="A2799" s="4" t="s">
        <v>5986</v>
      </c>
      <c r="B2799" s="4" t="s">
        <v>2975</v>
      </c>
      <c r="C2799" s="4" t="n">
        <v>1585</v>
      </c>
      <c r="D2799" s="4" t="n">
        <v>337</v>
      </c>
      <c r="E2799" s="13" t="n">
        <v>45285</v>
      </c>
      <c r="F2799" s="4" t="s">
        <v>3192</v>
      </c>
      <c r="G2799" s="4" t="str">
        <f aca="false">INDEX(PurchaseOrders!$B$2:$B$3001,MATCH(B2799,PurchaseOrders!$A$2:$A$3001,0))</f>
        <v>V039</v>
      </c>
    </row>
    <row r="2800" customFormat="false" ht="15" hidden="false" customHeight="true" outlineLevel="0" collapsed="false">
      <c r="A2800" s="4" t="s">
        <v>5987</v>
      </c>
      <c r="B2800" s="4" t="s">
        <v>2976</v>
      </c>
      <c r="C2800" s="4" t="n">
        <v>1657</v>
      </c>
      <c r="D2800" s="4" t="n">
        <v>97</v>
      </c>
      <c r="E2800" s="13" t="n">
        <v>45434</v>
      </c>
      <c r="F2800" s="4" t="s">
        <v>3184</v>
      </c>
      <c r="G2800" s="4" t="str">
        <f aca="false">INDEX(PurchaseOrders!$B$2:$B$3001,MATCH(B2800,PurchaseOrders!$A$2:$A$3001,0))</f>
        <v>V003</v>
      </c>
    </row>
    <row r="2801" customFormat="false" ht="15" hidden="false" customHeight="true" outlineLevel="0" collapsed="false">
      <c r="A2801" s="4" t="s">
        <v>5988</v>
      </c>
      <c r="B2801" s="4" t="s">
        <v>2977</v>
      </c>
      <c r="C2801" s="4" t="n">
        <v>1269</v>
      </c>
      <c r="D2801" s="4" t="n">
        <v>30</v>
      </c>
      <c r="E2801" s="13" t="n">
        <v>45328</v>
      </c>
      <c r="F2801" s="4" t="s">
        <v>3188</v>
      </c>
      <c r="G2801" s="4" t="str">
        <f aca="false">INDEX(PurchaseOrders!$B$2:$B$3001,MATCH(B2801,PurchaseOrders!$A$2:$A$3001,0))</f>
        <v>V002</v>
      </c>
    </row>
    <row r="2802" customFormat="false" ht="15" hidden="false" customHeight="true" outlineLevel="0" collapsed="false">
      <c r="A2802" s="4" t="s">
        <v>5989</v>
      </c>
      <c r="B2802" s="4" t="s">
        <v>2978</v>
      </c>
      <c r="C2802" s="4" t="n">
        <v>419</v>
      </c>
      <c r="D2802" s="4" t="n">
        <v>10</v>
      </c>
      <c r="E2802" s="13" t="n">
        <v>45063</v>
      </c>
      <c r="F2802" s="4" t="s">
        <v>3202</v>
      </c>
      <c r="G2802" s="4" t="str">
        <f aca="false">INDEX(PurchaseOrders!$B$2:$B$3001,MATCH(B2802,PurchaseOrders!$A$2:$A$3001,0))</f>
        <v>V008</v>
      </c>
    </row>
    <row r="2803" customFormat="false" ht="15" hidden="false" customHeight="true" outlineLevel="0" collapsed="false">
      <c r="A2803" s="4" t="s">
        <v>5990</v>
      </c>
      <c r="B2803" s="4" t="s">
        <v>2979</v>
      </c>
      <c r="C2803" s="4" t="n">
        <v>381</v>
      </c>
      <c r="D2803" s="4" t="n">
        <v>25</v>
      </c>
      <c r="E2803" s="13" t="n">
        <v>45418</v>
      </c>
      <c r="F2803" s="4" t="s">
        <v>3192</v>
      </c>
      <c r="G2803" s="4" t="str">
        <f aca="false">INDEX(PurchaseOrders!$B$2:$B$3001,MATCH(B2803,PurchaseOrders!$A$2:$A$3001,0))</f>
        <v>V012</v>
      </c>
    </row>
    <row r="2804" customFormat="false" ht="15" hidden="false" customHeight="true" outlineLevel="0" collapsed="false">
      <c r="A2804" s="4" t="s">
        <v>5991</v>
      </c>
      <c r="B2804" s="4" t="s">
        <v>2980</v>
      </c>
      <c r="C2804" s="4" t="n">
        <v>1075</v>
      </c>
      <c r="D2804" s="4" t="n">
        <v>17</v>
      </c>
      <c r="E2804" s="13" t="n">
        <v>45029</v>
      </c>
      <c r="F2804" s="4" t="s">
        <v>3184</v>
      </c>
      <c r="G2804" s="4" t="str">
        <f aca="false">INDEX(PurchaseOrders!$B$2:$B$3001,MATCH(B2804,PurchaseOrders!$A$2:$A$3001,0))</f>
        <v>V020</v>
      </c>
    </row>
    <row r="2805" customFormat="false" ht="15" hidden="false" customHeight="true" outlineLevel="0" collapsed="false">
      <c r="A2805" s="4" t="s">
        <v>5992</v>
      </c>
      <c r="B2805" s="4" t="s">
        <v>2981</v>
      </c>
      <c r="C2805" s="4" t="n">
        <v>1508</v>
      </c>
      <c r="D2805" s="4" t="n">
        <v>42</v>
      </c>
      <c r="E2805" s="13" t="n">
        <v>45266</v>
      </c>
      <c r="F2805" s="4" t="s">
        <v>3192</v>
      </c>
      <c r="G2805" s="4" t="str">
        <f aca="false">INDEX(PurchaseOrders!$B$2:$B$3001,MATCH(B2805,PurchaseOrders!$A$2:$A$3001,0))</f>
        <v>V059</v>
      </c>
    </row>
    <row r="2806" customFormat="false" ht="15" hidden="false" customHeight="true" outlineLevel="0" collapsed="false">
      <c r="A2806" s="4" t="s">
        <v>5993</v>
      </c>
      <c r="B2806" s="4" t="s">
        <v>2982</v>
      </c>
      <c r="C2806" s="4" t="n">
        <v>3214</v>
      </c>
      <c r="D2806" s="4" t="n">
        <v>259</v>
      </c>
      <c r="E2806" s="13" t="n">
        <v>45411</v>
      </c>
      <c r="F2806" s="4" t="s">
        <v>3202</v>
      </c>
      <c r="G2806" s="4" t="str">
        <f aca="false">INDEX(PurchaseOrders!$B$2:$B$3001,MATCH(B2806,PurchaseOrders!$A$2:$A$3001,0))</f>
        <v>V032</v>
      </c>
    </row>
    <row r="2807" customFormat="false" ht="15" hidden="false" customHeight="true" outlineLevel="0" collapsed="false">
      <c r="A2807" s="4" t="s">
        <v>5994</v>
      </c>
      <c r="B2807" s="4" t="s">
        <v>2983</v>
      </c>
      <c r="C2807" s="4" t="n">
        <v>678</v>
      </c>
      <c r="D2807" s="4" t="n">
        <v>0</v>
      </c>
      <c r="E2807" s="13" t="n">
        <v>44993</v>
      </c>
      <c r="F2807" s="4"/>
      <c r="G2807" s="4" t="str">
        <f aca="false">INDEX(PurchaseOrders!$B$2:$B$3001,MATCH(B2807,PurchaseOrders!$A$2:$A$3001,0))</f>
        <v>V020</v>
      </c>
    </row>
    <row r="2808" customFormat="false" ht="15" hidden="false" customHeight="true" outlineLevel="0" collapsed="false">
      <c r="A2808" s="4" t="s">
        <v>5995</v>
      </c>
      <c r="B2808" s="4" t="s">
        <v>2984</v>
      </c>
      <c r="C2808" s="4" t="n">
        <v>306</v>
      </c>
      <c r="D2808" s="4" t="n">
        <v>12</v>
      </c>
      <c r="E2808" s="13" t="n">
        <v>45169</v>
      </c>
      <c r="F2808" s="4" t="s">
        <v>3190</v>
      </c>
      <c r="G2808" s="4" t="str">
        <f aca="false">INDEX(PurchaseOrders!$B$2:$B$3001,MATCH(B2808,PurchaseOrders!$A$2:$A$3001,0))</f>
        <v>V031</v>
      </c>
    </row>
    <row r="2809" customFormat="false" ht="15" hidden="false" customHeight="true" outlineLevel="0" collapsed="false">
      <c r="A2809" s="4" t="s">
        <v>5996</v>
      </c>
      <c r="B2809" s="4" t="s">
        <v>2985</v>
      </c>
      <c r="C2809" s="4" t="n">
        <v>1302</v>
      </c>
      <c r="D2809" s="4" t="n">
        <v>128</v>
      </c>
      <c r="E2809" s="13" t="n">
        <v>45285</v>
      </c>
      <c r="F2809" s="4" t="s">
        <v>3190</v>
      </c>
      <c r="G2809" s="4" t="str">
        <f aca="false">INDEX(PurchaseOrders!$B$2:$B$3001,MATCH(B2809,PurchaseOrders!$A$2:$A$3001,0))</f>
        <v>V005</v>
      </c>
    </row>
    <row r="2810" customFormat="false" ht="15" hidden="false" customHeight="true" outlineLevel="0" collapsed="false">
      <c r="A2810" s="4" t="s">
        <v>5997</v>
      </c>
      <c r="B2810" s="4" t="s">
        <v>2986</v>
      </c>
      <c r="C2810" s="4" t="n">
        <v>13</v>
      </c>
      <c r="D2810" s="4" t="n">
        <v>1</v>
      </c>
      <c r="E2810" s="13" t="n">
        <v>45430</v>
      </c>
      <c r="F2810" s="4" t="s">
        <v>3202</v>
      </c>
      <c r="G2810" s="4" t="str">
        <f aca="false">INDEX(PurchaseOrders!$B$2:$B$3001,MATCH(B2810,PurchaseOrders!$A$2:$A$3001,0))</f>
        <v>V023</v>
      </c>
    </row>
    <row r="2811" customFormat="false" ht="15" hidden="false" customHeight="true" outlineLevel="0" collapsed="false">
      <c r="A2811" s="4" t="s">
        <v>5998</v>
      </c>
      <c r="B2811" s="4" t="s">
        <v>2987</v>
      </c>
      <c r="C2811" s="4" t="n">
        <v>4409</v>
      </c>
      <c r="D2811" s="4" t="n">
        <v>125</v>
      </c>
      <c r="E2811" s="13" t="n">
        <v>45469</v>
      </c>
      <c r="F2811" s="4" t="s">
        <v>3202</v>
      </c>
      <c r="G2811" s="4" t="str">
        <f aca="false">INDEX(PurchaseOrders!$B$2:$B$3001,MATCH(B2811,PurchaseOrders!$A$2:$A$3001,0))</f>
        <v>V014</v>
      </c>
    </row>
    <row r="2812" customFormat="false" ht="15" hidden="false" customHeight="true" outlineLevel="0" collapsed="false">
      <c r="A2812" s="4" t="s">
        <v>5999</v>
      </c>
      <c r="B2812" s="4" t="s">
        <v>2988</v>
      </c>
      <c r="C2812" s="4" t="n">
        <v>590</v>
      </c>
      <c r="D2812" s="4" t="n">
        <v>49</v>
      </c>
      <c r="E2812" s="13" t="n">
        <v>45075</v>
      </c>
      <c r="F2812" s="4" t="s">
        <v>3190</v>
      </c>
      <c r="G2812" s="4" t="str">
        <f aca="false">INDEX(PurchaseOrders!$B$2:$B$3001,MATCH(B2812,PurchaseOrders!$A$2:$A$3001,0))</f>
        <v>V027</v>
      </c>
    </row>
    <row r="2813" customFormat="false" ht="15" hidden="false" customHeight="true" outlineLevel="0" collapsed="false">
      <c r="A2813" s="4" t="s">
        <v>6000</v>
      </c>
      <c r="B2813" s="4" t="s">
        <v>2989</v>
      </c>
      <c r="C2813" s="4" t="n">
        <v>4011</v>
      </c>
      <c r="D2813" s="4" t="n">
        <v>447</v>
      </c>
      <c r="E2813" s="13" t="n">
        <v>45303</v>
      </c>
      <c r="F2813" s="4" t="s">
        <v>3190</v>
      </c>
      <c r="G2813" s="4" t="str">
        <f aca="false">INDEX(PurchaseOrders!$B$2:$B$3001,MATCH(B2813,PurchaseOrders!$A$2:$A$3001,0))</f>
        <v>V032</v>
      </c>
    </row>
    <row r="2814" customFormat="false" ht="15" hidden="false" customHeight="true" outlineLevel="0" collapsed="false">
      <c r="A2814" s="4" t="s">
        <v>6001</v>
      </c>
      <c r="B2814" s="4" t="s">
        <v>2990</v>
      </c>
      <c r="C2814" s="4" t="n">
        <v>3120</v>
      </c>
      <c r="D2814" s="4" t="n">
        <v>258</v>
      </c>
      <c r="E2814" s="13" t="n">
        <v>45366</v>
      </c>
      <c r="F2814" s="4" t="s">
        <v>3190</v>
      </c>
      <c r="G2814" s="4" t="str">
        <f aca="false">INDEX(PurchaseOrders!$B$2:$B$3001,MATCH(B2814,PurchaseOrders!$A$2:$A$3001,0))</f>
        <v>V014</v>
      </c>
    </row>
    <row r="2815" customFormat="false" ht="15" hidden="false" customHeight="true" outlineLevel="0" collapsed="false">
      <c r="A2815" s="4" t="s">
        <v>6002</v>
      </c>
      <c r="B2815" s="4" t="s">
        <v>2991</v>
      </c>
      <c r="C2815" s="4" t="n">
        <v>1818</v>
      </c>
      <c r="D2815" s="4" t="n">
        <v>121</v>
      </c>
      <c r="E2815" s="13" t="n">
        <v>45645</v>
      </c>
      <c r="F2815" s="4" t="s">
        <v>3202</v>
      </c>
      <c r="G2815" s="4" t="str">
        <f aca="false">INDEX(PurchaseOrders!$B$2:$B$3001,MATCH(B2815,PurchaseOrders!$A$2:$A$3001,0))</f>
        <v>V005</v>
      </c>
    </row>
    <row r="2816" customFormat="false" ht="15" hidden="false" customHeight="true" outlineLevel="0" collapsed="false">
      <c r="A2816" s="4" t="s">
        <v>6003</v>
      </c>
      <c r="B2816" s="4" t="s">
        <v>2992</v>
      </c>
      <c r="C2816" s="4" t="n">
        <v>4513</v>
      </c>
      <c r="D2816" s="4" t="n">
        <v>387</v>
      </c>
      <c r="E2816" s="13" t="n">
        <v>45460</v>
      </c>
      <c r="F2816" s="4" t="s">
        <v>3186</v>
      </c>
      <c r="G2816" s="4" t="str">
        <f aca="false">INDEX(PurchaseOrders!$B$2:$B$3001,MATCH(B2816,PurchaseOrders!$A$2:$A$3001,0))</f>
        <v>V057</v>
      </c>
    </row>
    <row r="2817" customFormat="false" ht="15" hidden="false" customHeight="true" outlineLevel="0" collapsed="false">
      <c r="A2817" s="4" t="s">
        <v>6004</v>
      </c>
      <c r="B2817" s="4" t="s">
        <v>2993</v>
      </c>
      <c r="C2817" s="4" t="n">
        <v>452</v>
      </c>
      <c r="D2817" s="4" t="n">
        <v>33</v>
      </c>
      <c r="E2817" s="13" t="n">
        <v>45659</v>
      </c>
      <c r="F2817" s="4" t="s">
        <v>3202</v>
      </c>
      <c r="G2817" s="4" t="str">
        <f aca="false">INDEX(PurchaseOrders!$B$2:$B$3001,MATCH(B2817,PurchaseOrders!$A$2:$A$3001,0))</f>
        <v>V055</v>
      </c>
    </row>
    <row r="2818" customFormat="false" ht="15" hidden="false" customHeight="true" outlineLevel="0" collapsed="false">
      <c r="A2818" s="4" t="s">
        <v>6005</v>
      </c>
      <c r="B2818" s="4" t="s">
        <v>2994</v>
      </c>
      <c r="C2818" s="4" t="n">
        <v>214</v>
      </c>
      <c r="D2818" s="4" t="n">
        <v>5</v>
      </c>
      <c r="E2818" s="13" t="n">
        <v>45153</v>
      </c>
      <c r="F2818" s="4" t="s">
        <v>3184</v>
      </c>
      <c r="G2818" s="4" t="str">
        <f aca="false">INDEX(PurchaseOrders!$B$2:$B$3001,MATCH(B2818,PurchaseOrders!$A$2:$A$3001,0))</f>
        <v>V033</v>
      </c>
    </row>
    <row r="2819" customFormat="false" ht="15" hidden="false" customHeight="true" outlineLevel="0" collapsed="false">
      <c r="A2819" s="4" t="s">
        <v>6006</v>
      </c>
      <c r="B2819" s="4" t="s">
        <v>2995</v>
      </c>
      <c r="C2819" s="4" t="n">
        <v>1342</v>
      </c>
      <c r="D2819" s="4" t="n">
        <v>146</v>
      </c>
      <c r="E2819" s="13" t="n">
        <v>45372</v>
      </c>
      <c r="F2819" s="4" t="s">
        <v>3188</v>
      </c>
      <c r="G2819" s="4" t="str">
        <f aca="false">INDEX(PurchaseOrders!$B$2:$B$3001,MATCH(B2819,PurchaseOrders!$A$2:$A$3001,0))</f>
        <v>V044</v>
      </c>
    </row>
    <row r="2820" customFormat="false" ht="15" hidden="false" customHeight="true" outlineLevel="0" collapsed="false">
      <c r="A2820" s="4" t="s">
        <v>6007</v>
      </c>
      <c r="B2820" s="4" t="s">
        <v>2996</v>
      </c>
      <c r="C2820" s="4" t="n">
        <v>816</v>
      </c>
      <c r="D2820" s="4" t="n">
        <v>87</v>
      </c>
      <c r="E2820" s="13" t="n">
        <v>45126</v>
      </c>
      <c r="F2820" s="4" t="s">
        <v>3192</v>
      </c>
      <c r="G2820" s="4" t="str">
        <f aca="false">INDEX(PurchaseOrders!$B$2:$B$3001,MATCH(B2820,PurchaseOrders!$A$2:$A$3001,0))</f>
        <v>V038</v>
      </c>
    </row>
    <row r="2821" customFormat="false" ht="15" hidden="false" customHeight="true" outlineLevel="0" collapsed="false">
      <c r="A2821" s="4" t="s">
        <v>6008</v>
      </c>
      <c r="B2821" s="4" t="s">
        <v>2997</v>
      </c>
      <c r="C2821" s="4" t="n">
        <v>109</v>
      </c>
      <c r="D2821" s="4" t="n">
        <v>0</v>
      </c>
      <c r="E2821" s="13" t="n">
        <v>45462</v>
      </c>
      <c r="F2821" s="4"/>
      <c r="G2821" s="4" t="str">
        <f aca="false">INDEX(PurchaseOrders!$B$2:$B$3001,MATCH(B2821,PurchaseOrders!$A$2:$A$3001,0))</f>
        <v>V052</v>
      </c>
    </row>
    <row r="2822" customFormat="false" ht="15" hidden="false" customHeight="true" outlineLevel="0" collapsed="false">
      <c r="A2822" s="4" t="s">
        <v>6009</v>
      </c>
      <c r="B2822" s="4" t="s">
        <v>2998</v>
      </c>
      <c r="C2822" s="4" t="n">
        <v>1</v>
      </c>
      <c r="D2822" s="4" t="n">
        <v>0</v>
      </c>
      <c r="E2822" s="13" t="n">
        <v>45320</v>
      </c>
      <c r="F2822" s="4"/>
      <c r="G2822" s="4" t="str">
        <f aca="false">INDEX(PurchaseOrders!$B$2:$B$3001,MATCH(B2822,PurchaseOrders!$A$2:$A$3001,0))</f>
        <v>V023</v>
      </c>
    </row>
    <row r="2823" customFormat="false" ht="15" hidden="false" customHeight="true" outlineLevel="0" collapsed="false">
      <c r="A2823" s="4" t="s">
        <v>6010</v>
      </c>
      <c r="B2823" s="4" t="s">
        <v>2999</v>
      </c>
      <c r="C2823" s="4" t="n">
        <v>1540</v>
      </c>
      <c r="D2823" s="4" t="n">
        <v>96</v>
      </c>
      <c r="E2823" s="13" t="n">
        <v>45458</v>
      </c>
      <c r="F2823" s="4" t="s">
        <v>3184</v>
      </c>
      <c r="G2823" s="4" t="str">
        <f aca="false">INDEX(PurchaseOrders!$B$2:$B$3001,MATCH(B2823,PurchaseOrders!$A$2:$A$3001,0))</f>
        <v>V003</v>
      </c>
    </row>
    <row r="2824" customFormat="false" ht="15" hidden="false" customHeight="true" outlineLevel="0" collapsed="false">
      <c r="A2824" s="4" t="s">
        <v>6011</v>
      </c>
      <c r="B2824" s="4" t="s">
        <v>3000</v>
      </c>
      <c r="C2824" s="4" t="n">
        <v>4</v>
      </c>
      <c r="D2824" s="4" t="n">
        <v>0</v>
      </c>
      <c r="E2824" s="13" t="n">
        <v>45650</v>
      </c>
      <c r="F2824" s="4"/>
      <c r="G2824" s="4" t="str">
        <f aca="false">INDEX(PurchaseOrders!$B$2:$B$3001,MATCH(B2824,PurchaseOrders!$A$2:$A$3001,0))</f>
        <v>V016</v>
      </c>
    </row>
    <row r="2825" customFormat="false" ht="15" hidden="false" customHeight="true" outlineLevel="0" collapsed="false">
      <c r="A2825" s="4" t="s">
        <v>6012</v>
      </c>
      <c r="B2825" s="4" t="s">
        <v>3001</v>
      </c>
      <c r="C2825" s="4" t="n">
        <v>217</v>
      </c>
      <c r="D2825" s="4" t="n">
        <v>0</v>
      </c>
      <c r="E2825" s="13" t="n">
        <v>45492</v>
      </c>
      <c r="F2825" s="4"/>
      <c r="G2825" s="4" t="str">
        <f aca="false">INDEX(PurchaseOrders!$B$2:$B$3001,MATCH(B2825,PurchaseOrders!$A$2:$A$3001,0))</f>
        <v>V052</v>
      </c>
    </row>
    <row r="2826" customFormat="false" ht="15" hidden="false" customHeight="true" outlineLevel="0" collapsed="false">
      <c r="A2826" s="4" t="s">
        <v>6013</v>
      </c>
      <c r="B2826" s="4" t="s">
        <v>3002</v>
      </c>
      <c r="C2826" s="4" t="n">
        <v>232</v>
      </c>
      <c r="D2826" s="4" t="n">
        <v>13</v>
      </c>
      <c r="E2826" s="13" t="n">
        <v>45093</v>
      </c>
      <c r="F2826" s="4" t="s">
        <v>3188</v>
      </c>
      <c r="G2826" s="4" t="str">
        <f aca="false">INDEX(PurchaseOrders!$B$2:$B$3001,MATCH(B2826,PurchaseOrders!$A$2:$A$3001,0))</f>
        <v>V033</v>
      </c>
    </row>
    <row r="2827" customFormat="false" ht="15" hidden="false" customHeight="true" outlineLevel="0" collapsed="false">
      <c r="A2827" s="4" t="s">
        <v>6014</v>
      </c>
      <c r="B2827" s="4" t="s">
        <v>3003</v>
      </c>
      <c r="C2827" s="4" t="n">
        <v>2518</v>
      </c>
      <c r="D2827" s="4" t="n">
        <v>151</v>
      </c>
      <c r="E2827" s="13" t="n">
        <v>45580</v>
      </c>
      <c r="F2827" s="4" t="s">
        <v>3202</v>
      </c>
      <c r="G2827" s="4" t="str">
        <f aca="false">INDEX(PurchaseOrders!$B$2:$B$3001,MATCH(B2827,PurchaseOrders!$A$2:$A$3001,0))</f>
        <v>V057</v>
      </c>
    </row>
    <row r="2828" customFormat="false" ht="15" hidden="false" customHeight="true" outlineLevel="0" collapsed="false">
      <c r="A2828" s="4" t="s">
        <v>6015</v>
      </c>
      <c r="B2828" s="4" t="s">
        <v>3004</v>
      </c>
      <c r="C2828" s="4" t="n">
        <v>411</v>
      </c>
      <c r="D2828" s="4" t="n">
        <v>41</v>
      </c>
      <c r="E2828" s="13" t="n">
        <v>45246</v>
      </c>
      <c r="F2828" s="4" t="s">
        <v>3188</v>
      </c>
      <c r="G2828" s="4" t="str">
        <f aca="false">INDEX(PurchaseOrders!$B$2:$B$3001,MATCH(B2828,PurchaseOrders!$A$2:$A$3001,0))</f>
        <v>V044</v>
      </c>
    </row>
    <row r="2829" customFormat="false" ht="15" hidden="false" customHeight="true" outlineLevel="0" collapsed="false">
      <c r="A2829" s="4" t="s">
        <v>6016</v>
      </c>
      <c r="B2829" s="4" t="s">
        <v>3005</v>
      </c>
      <c r="C2829" s="4" t="n">
        <v>362</v>
      </c>
      <c r="D2829" s="4" t="n">
        <v>7</v>
      </c>
      <c r="E2829" s="13" t="n">
        <v>45240</v>
      </c>
      <c r="F2829" s="4" t="s">
        <v>3188</v>
      </c>
      <c r="G2829" s="4" t="str">
        <f aca="false">INDEX(PurchaseOrders!$B$2:$B$3001,MATCH(B2829,PurchaseOrders!$A$2:$A$3001,0))</f>
        <v>V024</v>
      </c>
    </row>
    <row r="2830" customFormat="false" ht="15" hidden="false" customHeight="true" outlineLevel="0" collapsed="false">
      <c r="A2830" s="4" t="s">
        <v>6017</v>
      </c>
      <c r="B2830" s="4" t="s">
        <v>3006</v>
      </c>
      <c r="C2830" s="4" t="n">
        <v>430</v>
      </c>
      <c r="D2830" s="4" t="n">
        <v>0</v>
      </c>
      <c r="E2830" s="13" t="n">
        <v>45229</v>
      </c>
      <c r="F2830" s="4"/>
      <c r="G2830" s="4" t="str">
        <f aca="false">INDEX(PurchaseOrders!$B$2:$B$3001,MATCH(B2830,PurchaseOrders!$A$2:$A$3001,0))</f>
        <v>V060</v>
      </c>
    </row>
    <row r="2831" customFormat="false" ht="15" hidden="false" customHeight="true" outlineLevel="0" collapsed="false">
      <c r="A2831" s="4" t="s">
        <v>6018</v>
      </c>
      <c r="B2831" s="4" t="s">
        <v>3007</v>
      </c>
      <c r="C2831" s="4" t="n">
        <v>2732</v>
      </c>
      <c r="D2831" s="4" t="n">
        <v>340</v>
      </c>
      <c r="E2831" s="13" t="n">
        <v>45300</v>
      </c>
      <c r="F2831" s="4" t="s">
        <v>3190</v>
      </c>
      <c r="G2831" s="4" t="str">
        <f aca="false">INDEX(PurchaseOrders!$B$2:$B$3001,MATCH(B2831,PurchaseOrders!$A$2:$A$3001,0))</f>
        <v>V026</v>
      </c>
    </row>
    <row r="2832" customFormat="false" ht="15" hidden="false" customHeight="true" outlineLevel="0" collapsed="false">
      <c r="A2832" s="4" t="s">
        <v>6019</v>
      </c>
      <c r="B2832" s="4" t="s">
        <v>3008</v>
      </c>
      <c r="C2832" s="4" t="n">
        <v>584</v>
      </c>
      <c r="D2832" s="4" t="n">
        <v>32</v>
      </c>
      <c r="E2832" s="13" t="n">
        <v>44975</v>
      </c>
      <c r="F2832" s="4" t="s">
        <v>3192</v>
      </c>
      <c r="G2832" s="4" t="str">
        <f aca="false">INDEX(PurchaseOrders!$B$2:$B$3001,MATCH(B2832,PurchaseOrders!$A$2:$A$3001,0))</f>
        <v>V007</v>
      </c>
    </row>
    <row r="2833" customFormat="false" ht="15" hidden="false" customHeight="true" outlineLevel="0" collapsed="false">
      <c r="A2833" s="4" t="s">
        <v>6020</v>
      </c>
      <c r="B2833" s="4" t="s">
        <v>3009</v>
      </c>
      <c r="C2833" s="4" t="n">
        <v>1475</v>
      </c>
      <c r="D2833" s="4" t="n">
        <v>95</v>
      </c>
      <c r="E2833" s="13" t="n">
        <v>44966</v>
      </c>
      <c r="F2833" s="4" t="s">
        <v>3186</v>
      </c>
      <c r="G2833" s="4" t="str">
        <f aca="false">INDEX(PurchaseOrders!$B$2:$B$3001,MATCH(B2833,PurchaseOrders!$A$2:$A$3001,0))</f>
        <v>V010</v>
      </c>
    </row>
    <row r="2834" customFormat="false" ht="15" hidden="false" customHeight="true" outlineLevel="0" collapsed="false">
      <c r="A2834" s="4" t="s">
        <v>6021</v>
      </c>
      <c r="B2834" s="4" t="s">
        <v>3010</v>
      </c>
      <c r="C2834" s="4" t="n">
        <v>176</v>
      </c>
      <c r="D2834" s="4" t="n">
        <v>16</v>
      </c>
      <c r="E2834" s="13" t="n">
        <v>45035</v>
      </c>
      <c r="F2834" s="4" t="s">
        <v>3188</v>
      </c>
      <c r="G2834" s="4" t="str">
        <f aca="false">INDEX(PurchaseOrders!$B$2:$B$3001,MATCH(B2834,PurchaseOrders!$A$2:$A$3001,0))</f>
        <v>V055</v>
      </c>
    </row>
    <row r="2835" customFormat="false" ht="15" hidden="false" customHeight="true" outlineLevel="0" collapsed="false">
      <c r="A2835" s="4" t="s">
        <v>6022</v>
      </c>
      <c r="B2835" s="4" t="s">
        <v>3011</v>
      </c>
      <c r="C2835" s="4" t="n">
        <v>80</v>
      </c>
      <c r="D2835" s="4" t="n">
        <v>2</v>
      </c>
      <c r="E2835" s="13" t="n">
        <v>45536</v>
      </c>
      <c r="F2835" s="4" t="s">
        <v>3186</v>
      </c>
      <c r="G2835" s="4" t="str">
        <f aca="false">INDEX(PurchaseOrders!$B$2:$B$3001,MATCH(B2835,PurchaseOrders!$A$2:$A$3001,0))</f>
        <v>V037</v>
      </c>
    </row>
    <row r="2836" customFormat="false" ht="15" hidden="false" customHeight="true" outlineLevel="0" collapsed="false">
      <c r="A2836" s="4" t="s">
        <v>6023</v>
      </c>
      <c r="B2836" s="4" t="s">
        <v>3012</v>
      </c>
      <c r="C2836" s="4" t="n">
        <v>1287</v>
      </c>
      <c r="D2836" s="4" t="n">
        <v>135</v>
      </c>
      <c r="E2836" s="13" t="n">
        <v>45369</v>
      </c>
      <c r="F2836" s="4" t="s">
        <v>3184</v>
      </c>
      <c r="G2836" s="4" t="str">
        <f aca="false">INDEX(PurchaseOrders!$B$2:$B$3001,MATCH(B2836,PurchaseOrders!$A$2:$A$3001,0))</f>
        <v>V027</v>
      </c>
    </row>
    <row r="2837" customFormat="false" ht="15" hidden="false" customHeight="true" outlineLevel="0" collapsed="false">
      <c r="A2837" s="4" t="s">
        <v>6024</v>
      </c>
      <c r="B2837" s="4" t="s">
        <v>3013</v>
      </c>
      <c r="C2837" s="4" t="n">
        <v>1823</v>
      </c>
      <c r="D2837" s="4" t="n">
        <v>280</v>
      </c>
      <c r="E2837" s="13" t="n">
        <v>45069</v>
      </c>
      <c r="F2837" s="4" t="s">
        <v>3192</v>
      </c>
      <c r="G2837" s="4" t="str">
        <f aca="false">INDEX(PurchaseOrders!$B$2:$B$3001,MATCH(B2837,PurchaseOrders!$A$2:$A$3001,0))</f>
        <v>V025</v>
      </c>
    </row>
    <row r="2838" customFormat="false" ht="15" hidden="false" customHeight="true" outlineLevel="0" collapsed="false">
      <c r="A2838" s="4" t="s">
        <v>6025</v>
      </c>
      <c r="B2838" s="4" t="s">
        <v>3014</v>
      </c>
      <c r="C2838" s="4" t="n">
        <v>1266</v>
      </c>
      <c r="D2838" s="4" t="n">
        <v>63</v>
      </c>
      <c r="E2838" s="13" t="n">
        <v>45382</v>
      </c>
      <c r="F2838" s="4" t="s">
        <v>3190</v>
      </c>
      <c r="G2838" s="4" t="str">
        <f aca="false">INDEX(PurchaseOrders!$B$2:$B$3001,MATCH(B2838,PurchaseOrders!$A$2:$A$3001,0))</f>
        <v>V056</v>
      </c>
    </row>
    <row r="2839" customFormat="false" ht="15" hidden="false" customHeight="true" outlineLevel="0" collapsed="false">
      <c r="A2839" s="4" t="s">
        <v>6026</v>
      </c>
      <c r="B2839" s="4" t="s">
        <v>3015</v>
      </c>
      <c r="C2839" s="4" t="n">
        <v>169</v>
      </c>
      <c r="D2839" s="4" t="n">
        <v>5</v>
      </c>
      <c r="E2839" s="13" t="n">
        <v>44974</v>
      </c>
      <c r="F2839" s="4" t="s">
        <v>3202</v>
      </c>
      <c r="G2839" s="4" t="str">
        <f aca="false">INDEX(PurchaseOrders!$B$2:$B$3001,MATCH(B2839,PurchaseOrders!$A$2:$A$3001,0))</f>
        <v>V052</v>
      </c>
    </row>
    <row r="2840" customFormat="false" ht="15" hidden="false" customHeight="true" outlineLevel="0" collapsed="false">
      <c r="A2840" s="4" t="s">
        <v>6027</v>
      </c>
      <c r="B2840" s="4" t="s">
        <v>3016</v>
      </c>
      <c r="C2840" s="4" t="n">
        <v>239</v>
      </c>
      <c r="D2840" s="4" t="n">
        <v>0</v>
      </c>
      <c r="E2840" s="13" t="n">
        <v>45404</v>
      </c>
      <c r="F2840" s="4"/>
      <c r="G2840" s="4" t="str">
        <f aca="false">INDEX(PurchaseOrders!$B$2:$B$3001,MATCH(B2840,PurchaseOrders!$A$2:$A$3001,0))</f>
        <v>V006</v>
      </c>
    </row>
    <row r="2841" customFormat="false" ht="15" hidden="false" customHeight="true" outlineLevel="0" collapsed="false">
      <c r="A2841" s="4" t="s">
        <v>6028</v>
      </c>
      <c r="B2841" s="4" t="s">
        <v>3017</v>
      </c>
      <c r="C2841" s="4" t="n">
        <v>568</v>
      </c>
      <c r="D2841" s="4" t="n">
        <v>105</v>
      </c>
      <c r="E2841" s="13" t="n">
        <v>45268</v>
      </c>
      <c r="F2841" s="4" t="s">
        <v>3186</v>
      </c>
      <c r="G2841" s="4" t="str">
        <f aca="false">INDEX(PurchaseOrders!$B$2:$B$3001,MATCH(B2841,PurchaseOrders!$A$2:$A$3001,0))</f>
        <v>V025</v>
      </c>
    </row>
    <row r="2842" customFormat="false" ht="15" hidden="false" customHeight="true" outlineLevel="0" collapsed="false">
      <c r="A2842" s="4" t="s">
        <v>6029</v>
      </c>
      <c r="B2842" s="4" t="s">
        <v>3018</v>
      </c>
      <c r="C2842" s="4" t="n">
        <v>1818</v>
      </c>
      <c r="D2842" s="4" t="n">
        <v>271</v>
      </c>
      <c r="E2842" s="13" t="n">
        <v>45223</v>
      </c>
      <c r="F2842" s="4" t="s">
        <v>3184</v>
      </c>
      <c r="G2842" s="4" t="str">
        <f aca="false">INDEX(PurchaseOrders!$B$2:$B$3001,MATCH(B2842,PurchaseOrders!$A$2:$A$3001,0))</f>
        <v>V025</v>
      </c>
    </row>
    <row r="2843" customFormat="false" ht="15" hidden="false" customHeight="true" outlineLevel="0" collapsed="false">
      <c r="A2843" s="4" t="s">
        <v>6030</v>
      </c>
      <c r="B2843" s="4" t="s">
        <v>3019</v>
      </c>
      <c r="C2843" s="4" t="n">
        <v>13</v>
      </c>
      <c r="D2843" s="4" t="n">
        <v>2</v>
      </c>
      <c r="E2843" s="13" t="n">
        <v>45399</v>
      </c>
      <c r="F2843" s="4" t="s">
        <v>3186</v>
      </c>
      <c r="G2843" s="4" t="str">
        <f aca="false">INDEX(PurchaseOrders!$B$2:$B$3001,MATCH(B2843,PurchaseOrders!$A$2:$A$3001,0))</f>
        <v>V042</v>
      </c>
    </row>
    <row r="2844" customFormat="false" ht="15" hidden="false" customHeight="true" outlineLevel="0" collapsed="false">
      <c r="A2844" s="4" t="s">
        <v>6031</v>
      </c>
      <c r="B2844" s="4" t="s">
        <v>3020</v>
      </c>
      <c r="C2844" s="4" t="n">
        <v>381</v>
      </c>
      <c r="D2844" s="4" t="n">
        <v>26</v>
      </c>
      <c r="E2844" s="13" t="n">
        <v>44981</v>
      </c>
      <c r="F2844" s="4" t="s">
        <v>3192</v>
      </c>
      <c r="G2844" s="4" t="str">
        <f aca="false">INDEX(PurchaseOrders!$B$2:$B$3001,MATCH(B2844,PurchaseOrders!$A$2:$A$3001,0))</f>
        <v>V033</v>
      </c>
    </row>
    <row r="2845" customFormat="false" ht="15" hidden="false" customHeight="true" outlineLevel="0" collapsed="false">
      <c r="A2845" s="4" t="s">
        <v>6032</v>
      </c>
      <c r="B2845" s="4" t="s">
        <v>3021</v>
      </c>
      <c r="C2845" s="4" t="n">
        <v>325</v>
      </c>
      <c r="D2845" s="4" t="n">
        <v>0</v>
      </c>
      <c r="E2845" s="13" t="n">
        <v>45639</v>
      </c>
      <c r="F2845" s="4"/>
      <c r="G2845" s="4" t="str">
        <f aca="false">INDEX(PurchaseOrders!$B$2:$B$3001,MATCH(B2845,PurchaseOrders!$A$2:$A$3001,0))</f>
        <v>V008</v>
      </c>
    </row>
    <row r="2846" customFormat="false" ht="15" hidden="false" customHeight="true" outlineLevel="0" collapsed="false">
      <c r="A2846" s="4" t="s">
        <v>6033</v>
      </c>
      <c r="B2846" s="4" t="s">
        <v>3022</v>
      </c>
      <c r="C2846" s="4" t="n">
        <v>1926</v>
      </c>
      <c r="D2846" s="4" t="n">
        <v>316</v>
      </c>
      <c r="E2846" s="13" t="n">
        <v>45107</v>
      </c>
      <c r="F2846" s="4" t="s">
        <v>3202</v>
      </c>
      <c r="G2846" s="4" t="str">
        <f aca="false">INDEX(PurchaseOrders!$B$2:$B$3001,MATCH(B2846,PurchaseOrders!$A$2:$A$3001,0))</f>
        <v>V044</v>
      </c>
    </row>
    <row r="2847" customFormat="false" ht="15" hidden="false" customHeight="true" outlineLevel="0" collapsed="false">
      <c r="A2847" s="4" t="s">
        <v>6034</v>
      </c>
      <c r="B2847" s="4" t="s">
        <v>3023</v>
      </c>
      <c r="C2847" s="4" t="n">
        <v>1152</v>
      </c>
      <c r="D2847" s="4" t="n">
        <v>41</v>
      </c>
      <c r="E2847" s="13" t="n">
        <v>45468</v>
      </c>
      <c r="F2847" s="4" t="s">
        <v>3186</v>
      </c>
      <c r="G2847" s="4" t="str">
        <f aca="false">INDEX(PurchaseOrders!$B$2:$B$3001,MATCH(B2847,PurchaseOrders!$A$2:$A$3001,0))</f>
        <v>V022</v>
      </c>
    </row>
    <row r="2848" customFormat="false" ht="15" hidden="false" customHeight="true" outlineLevel="0" collapsed="false">
      <c r="A2848" s="4" t="s">
        <v>6035</v>
      </c>
      <c r="B2848" s="4" t="s">
        <v>3024</v>
      </c>
      <c r="C2848" s="4" t="n">
        <v>852</v>
      </c>
      <c r="D2848" s="4" t="n">
        <v>35</v>
      </c>
      <c r="E2848" s="13" t="n">
        <v>45082</v>
      </c>
      <c r="F2848" s="4" t="s">
        <v>3184</v>
      </c>
      <c r="G2848" s="4" t="str">
        <f aca="false">INDEX(PurchaseOrders!$B$2:$B$3001,MATCH(B2848,PurchaseOrders!$A$2:$A$3001,0))</f>
        <v>V022</v>
      </c>
    </row>
    <row r="2849" customFormat="false" ht="15" hidden="false" customHeight="true" outlineLevel="0" collapsed="false">
      <c r="A2849" s="4" t="s">
        <v>6036</v>
      </c>
      <c r="B2849" s="4" t="s">
        <v>3025</v>
      </c>
      <c r="C2849" s="4" t="n">
        <v>11</v>
      </c>
      <c r="D2849" s="4" t="n">
        <v>1</v>
      </c>
      <c r="E2849" s="13" t="n">
        <v>45215</v>
      </c>
      <c r="F2849" s="4" t="s">
        <v>3190</v>
      </c>
      <c r="G2849" s="4" t="str">
        <f aca="false">INDEX(PurchaseOrders!$B$2:$B$3001,MATCH(B2849,PurchaseOrders!$A$2:$A$3001,0))</f>
        <v>V053</v>
      </c>
    </row>
    <row r="2850" customFormat="false" ht="15" hidden="false" customHeight="true" outlineLevel="0" collapsed="false">
      <c r="A2850" s="4" t="s">
        <v>6037</v>
      </c>
      <c r="B2850" s="4" t="s">
        <v>3026</v>
      </c>
      <c r="C2850" s="4" t="n">
        <v>147</v>
      </c>
      <c r="D2850" s="4" t="n">
        <v>1</v>
      </c>
      <c r="E2850" s="13" t="n">
        <v>45254</v>
      </c>
      <c r="F2850" s="4" t="s">
        <v>3190</v>
      </c>
      <c r="G2850" s="4" t="str">
        <f aca="false">INDEX(PurchaseOrders!$B$2:$B$3001,MATCH(B2850,PurchaseOrders!$A$2:$A$3001,0))</f>
        <v>V018</v>
      </c>
    </row>
    <row r="2851" customFormat="false" ht="15" hidden="false" customHeight="true" outlineLevel="0" collapsed="false">
      <c r="A2851" s="4" t="s">
        <v>6038</v>
      </c>
      <c r="B2851" s="4" t="s">
        <v>3027</v>
      </c>
      <c r="C2851" s="4" t="n">
        <v>151</v>
      </c>
      <c r="D2851" s="4" t="n">
        <v>1</v>
      </c>
      <c r="E2851" s="13" t="n">
        <v>45658</v>
      </c>
      <c r="F2851" s="4" t="s">
        <v>3190</v>
      </c>
      <c r="G2851" s="4" t="str">
        <f aca="false">INDEX(PurchaseOrders!$B$2:$B$3001,MATCH(B2851,PurchaseOrders!$A$2:$A$3001,0))</f>
        <v>V052</v>
      </c>
    </row>
    <row r="2852" customFormat="false" ht="15" hidden="false" customHeight="true" outlineLevel="0" collapsed="false">
      <c r="A2852" s="4" t="s">
        <v>6039</v>
      </c>
      <c r="B2852" s="4" t="s">
        <v>3028</v>
      </c>
      <c r="C2852" s="4" t="n">
        <v>3399</v>
      </c>
      <c r="D2852" s="4" t="n">
        <v>74</v>
      </c>
      <c r="E2852" s="13" t="n">
        <v>45431</v>
      </c>
      <c r="F2852" s="4" t="s">
        <v>3202</v>
      </c>
      <c r="G2852" s="4" t="str">
        <f aca="false">INDEX(PurchaseOrders!$B$2:$B$3001,MATCH(B2852,PurchaseOrders!$A$2:$A$3001,0))</f>
        <v>V058</v>
      </c>
    </row>
    <row r="2853" customFormat="false" ht="15" hidden="false" customHeight="true" outlineLevel="0" collapsed="false">
      <c r="A2853" s="4" t="s">
        <v>6040</v>
      </c>
      <c r="B2853" s="4" t="s">
        <v>3029</v>
      </c>
      <c r="C2853" s="4" t="n">
        <v>341</v>
      </c>
      <c r="D2853" s="4" t="n">
        <v>6</v>
      </c>
      <c r="E2853" s="13" t="n">
        <v>45575</v>
      </c>
      <c r="F2853" s="4" t="s">
        <v>3184</v>
      </c>
      <c r="G2853" s="4" t="str">
        <f aca="false">INDEX(PurchaseOrders!$B$2:$B$3001,MATCH(B2853,PurchaseOrders!$A$2:$A$3001,0))</f>
        <v>V031</v>
      </c>
    </row>
    <row r="2854" customFormat="false" ht="15" hidden="false" customHeight="true" outlineLevel="0" collapsed="false">
      <c r="A2854" s="4" t="s">
        <v>6041</v>
      </c>
      <c r="B2854" s="4" t="s">
        <v>3030</v>
      </c>
      <c r="C2854" s="4" t="n">
        <v>1977</v>
      </c>
      <c r="D2854" s="4" t="n">
        <v>237</v>
      </c>
      <c r="E2854" s="13" t="n">
        <v>45384</v>
      </c>
      <c r="F2854" s="4" t="s">
        <v>3188</v>
      </c>
      <c r="G2854" s="4" t="str">
        <f aca="false">INDEX(PurchaseOrders!$B$2:$B$3001,MATCH(B2854,PurchaseOrders!$A$2:$A$3001,0))</f>
        <v>V038</v>
      </c>
    </row>
    <row r="2855" customFormat="false" ht="15" hidden="false" customHeight="true" outlineLevel="0" collapsed="false">
      <c r="A2855" s="4" t="s">
        <v>6042</v>
      </c>
      <c r="B2855" s="4" t="s">
        <v>3031</v>
      </c>
      <c r="C2855" s="4" t="n">
        <v>503</v>
      </c>
      <c r="D2855" s="4" t="n">
        <v>45</v>
      </c>
      <c r="E2855" s="13" t="n">
        <v>45177</v>
      </c>
      <c r="F2855" s="4" t="s">
        <v>3184</v>
      </c>
      <c r="G2855" s="4" t="str">
        <f aca="false">INDEX(PurchaseOrders!$B$2:$B$3001,MATCH(B2855,PurchaseOrders!$A$2:$A$3001,0))</f>
        <v>V005</v>
      </c>
    </row>
    <row r="2856" customFormat="false" ht="15" hidden="false" customHeight="true" outlineLevel="0" collapsed="false">
      <c r="A2856" s="4" t="s">
        <v>6043</v>
      </c>
      <c r="B2856" s="4" t="s">
        <v>3032</v>
      </c>
      <c r="C2856" s="4" t="n">
        <v>1457</v>
      </c>
      <c r="D2856" s="4" t="n">
        <v>21</v>
      </c>
      <c r="E2856" s="13" t="n">
        <v>45591</v>
      </c>
      <c r="F2856" s="4" t="s">
        <v>3202</v>
      </c>
      <c r="G2856" s="4" t="str">
        <f aca="false">INDEX(PurchaseOrders!$B$2:$B$3001,MATCH(B2856,PurchaseOrders!$A$2:$A$3001,0))</f>
        <v>V022</v>
      </c>
    </row>
    <row r="2857" customFormat="false" ht="15" hidden="false" customHeight="true" outlineLevel="0" collapsed="false">
      <c r="A2857" s="4" t="s">
        <v>6044</v>
      </c>
      <c r="B2857" s="4" t="s">
        <v>3033</v>
      </c>
      <c r="C2857" s="4" t="n">
        <v>1473</v>
      </c>
      <c r="D2857" s="4" t="n">
        <v>40</v>
      </c>
      <c r="E2857" s="13" t="n">
        <v>45469</v>
      </c>
      <c r="F2857" s="4" t="s">
        <v>3190</v>
      </c>
      <c r="G2857" s="4" t="str">
        <f aca="false">INDEX(PurchaseOrders!$B$2:$B$3001,MATCH(B2857,PurchaseOrders!$A$2:$A$3001,0))</f>
        <v>V011</v>
      </c>
    </row>
    <row r="2858" customFormat="false" ht="15" hidden="false" customHeight="true" outlineLevel="0" collapsed="false">
      <c r="A2858" s="4" t="s">
        <v>6045</v>
      </c>
      <c r="B2858" s="4" t="s">
        <v>3034</v>
      </c>
      <c r="C2858" s="4" t="n">
        <v>10</v>
      </c>
      <c r="D2858" s="4" t="n">
        <v>0</v>
      </c>
      <c r="E2858" s="13" t="n">
        <v>45466</v>
      </c>
      <c r="F2858" s="4"/>
      <c r="G2858" s="4" t="str">
        <f aca="false">INDEX(PurchaseOrders!$B$2:$B$3001,MATCH(B2858,PurchaseOrders!$A$2:$A$3001,0))</f>
        <v>V016</v>
      </c>
    </row>
    <row r="2859" customFormat="false" ht="15" hidden="false" customHeight="true" outlineLevel="0" collapsed="false">
      <c r="A2859" s="4" t="s">
        <v>6046</v>
      </c>
      <c r="B2859" s="4" t="s">
        <v>3035</v>
      </c>
      <c r="C2859" s="4" t="n">
        <v>452</v>
      </c>
      <c r="D2859" s="4" t="n">
        <v>5</v>
      </c>
      <c r="E2859" s="13" t="n">
        <v>45460</v>
      </c>
      <c r="F2859" s="4" t="s">
        <v>3192</v>
      </c>
      <c r="G2859" s="4" t="str">
        <f aca="false">INDEX(PurchaseOrders!$B$2:$B$3001,MATCH(B2859,PurchaseOrders!$A$2:$A$3001,0))</f>
        <v>V029</v>
      </c>
    </row>
    <row r="2860" customFormat="false" ht="15" hidden="false" customHeight="true" outlineLevel="0" collapsed="false">
      <c r="A2860" s="4" t="s">
        <v>6047</v>
      </c>
      <c r="B2860" s="4" t="s">
        <v>3036</v>
      </c>
      <c r="C2860" s="4" t="n">
        <v>2540</v>
      </c>
      <c r="D2860" s="4" t="n">
        <v>390</v>
      </c>
      <c r="E2860" s="13" t="n">
        <v>45519</v>
      </c>
      <c r="F2860" s="4" t="s">
        <v>3184</v>
      </c>
      <c r="G2860" s="4" t="str">
        <f aca="false">INDEX(PurchaseOrders!$B$2:$B$3001,MATCH(B2860,PurchaseOrders!$A$2:$A$3001,0))</f>
        <v>V057</v>
      </c>
    </row>
    <row r="2861" customFormat="false" ht="15" hidden="false" customHeight="true" outlineLevel="0" collapsed="false">
      <c r="A2861" s="4" t="s">
        <v>6048</v>
      </c>
      <c r="B2861" s="4" t="s">
        <v>3037</v>
      </c>
      <c r="C2861" s="4" t="n">
        <v>265</v>
      </c>
      <c r="D2861" s="4" t="n">
        <v>21</v>
      </c>
      <c r="E2861" s="13" t="n">
        <v>45171</v>
      </c>
      <c r="F2861" s="4" t="s">
        <v>3190</v>
      </c>
      <c r="G2861" s="4" t="str">
        <f aca="false">INDEX(PurchaseOrders!$B$2:$B$3001,MATCH(B2861,PurchaseOrders!$A$2:$A$3001,0))</f>
        <v>V046</v>
      </c>
    </row>
    <row r="2862" customFormat="false" ht="15" hidden="false" customHeight="true" outlineLevel="0" collapsed="false">
      <c r="A2862" s="4" t="s">
        <v>6049</v>
      </c>
      <c r="B2862" s="4" t="s">
        <v>3038</v>
      </c>
      <c r="C2862" s="4" t="n">
        <v>1141</v>
      </c>
      <c r="D2862" s="4" t="n">
        <v>43</v>
      </c>
      <c r="E2862" s="13" t="n">
        <v>45648</v>
      </c>
      <c r="F2862" s="4" t="s">
        <v>3192</v>
      </c>
      <c r="G2862" s="4" t="str">
        <f aca="false">INDEX(PurchaseOrders!$B$2:$B$3001,MATCH(B2862,PurchaseOrders!$A$2:$A$3001,0))</f>
        <v>V051</v>
      </c>
    </row>
    <row r="2863" customFormat="false" ht="15" hidden="false" customHeight="true" outlineLevel="0" collapsed="false">
      <c r="A2863" s="4" t="s">
        <v>6050</v>
      </c>
      <c r="B2863" s="4" t="s">
        <v>3039</v>
      </c>
      <c r="C2863" s="4" t="n">
        <v>141</v>
      </c>
      <c r="D2863" s="4" t="n">
        <v>10</v>
      </c>
      <c r="E2863" s="13" t="n">
        <v>45467</v>
      </c>
      <c r="F2863" s="4" t="s">
        <v>3190</v>
      </c>
      <c r="G2863" s="4" t="str">
        <f aca="false">INDEX(PurchaseOrders!$B$2:$B$3001,MATCH(B2863,PurchaseOrders!$A$2:$A$3001,0))</f>
        <v>V012</v>
      </c>
    </row>
    <row r="2864" customFormat="false" ht="15" hidden="false" customHeight="true" outlineLevel="0" collapsed="false">
      <c r="A2864" s="4" t="s">
        <v>6051</v>
      </c>
      <c r="B2864" s="4" t="s">
        <v>3040</v>
      </c>
      <c r="C2864" s="4" t="n">
        <v>399</v>
      </c>
      <c r="D2864" s="4" t="n">
        <v>43</v>
      </c>
      <c r="E2864" s="13" t="n">
        <v>45440</v>
      </c>
      <c r="F2864" s="4" t="s">
        <v>3202</v>
      </c>
      <c r="G2864" s="4" t="str">
        <f aca="false">INDEX(PurchaseOrders!$B$2:$B$3001,MATCH(B2864,PurchaseOrders!$A$2:$A$3001,0))</f>
        <v>V049</v>
      </c>
    </row>
    <row r="2865" customFormat="false" ht="15" hidden="false" customHeight="true" outlineLevel="0" collapsed="false">
      <c r="A2865" s="4" t="s">
        <v>6052</v>
      </c>
      <c r="B2865" s="4" t="s">
        <v>3041</v>
      </c>
      <c r="C2865" s="4" t="n">
        <v>2020</v>
      </c>
      <c r="D2865" s="4" t="n">
        <v>38</v>
      </c>
      <c r="E2865" s="13" t="n">
        <v>45047</v>
      </c>
      <c r="F2865" s="4" t="s">
        <v>3190</v>
      </c>
      <c r="G2865" s="4" t="str">
        <f aca="false">INDEX(PurchaseOrders!$B$2:$B$3001,MATCH(B2865,PurchaseOrders!$A$2:$A$3001,0))</f>
        <v>V003</v>
      </c>
    </row>
    <row r="2866" customFormat="false" ht="15" hidden="false" customHeight="true" outlineLevel="0" collapsed="false">
      <c r="A2866" s="4" t="s">
        <v>6053</v>
      </c>
      <c r="B2866" s="4" t="s">
        <v>3042</v>
      </c>
      <c r="C2866" s="4" t="n">
        <v>66</v>
      </c>
      <c r="D2866" s="4" t="n">
        <v>0</v>
      </c>
      <c r="E2866" s="13" t="n">
        <v>45405</v>
      </c>
      <c r="F2866" s="4"/>
      <c r="G2866" s="4" t="str">
        <f aca="false">INDEX(PurchaseOrders!$B$2:$B$3001,MATCH(B2866,PurchaseOrders!$A$2:$A$3001,0))</f>
        <v>V006</v>
      </c>
    </row>
    <row r="2867" customFormat="false" ht="15" hidden="false" customHeight="true" outlineLevel="0" collapsed="false">
      <c r="A2867" s="4" t="s">
        <v>6054</v>
      </c>
      <c r="B2867" s="4" t="s">
        <v>3043</v>
      </c>
      <c r="C2867" s="4" t="n">
        <v>3</v>
      </c>
      <c r="D2867" s="4" t="n">
        <v>0</v>
      </c>
      <c r="E2867" s="13" t="n">
        <v>45292</v>
      </c>
      <c r="F2867" s="4"/>
      <c r="G2867" s="4" t="str">
        <f aca="false">INDEX(PurchaseOrders!$B$2:$B$3001,MATCH(B2867,PurchaseOrders!$A$2:$A$3001,0))</f>
        <v>V019</v>
      </c>
    </row>
    <row r="2868" customFormat="false" ht="15" hidden="false" customHeight="true" outlineLevel="0" collapsed="false">
      <c r="A2868" s="4" t="s">
        <v>6055</v>
      </c>
      <c r="B2868" s="4" t="s">
        <v>3044</v>
      </c>
      <c r="C2868" s="4" t="n">
        <v>3318</v>
      </c>
      <c r="D2868" s="4" t="n">
        <v>210</v>
      </c>
      <c r="E2868" s="13" t="n">
        <v>45119</v>
      </c>
      <c r="F2868" s="4" t="s">
        <v>3186</v>
      </c>
      <c r="G2868" s="4" t="str">
        <f aca="false">INDEX(PurchaseOrders!$B$2:$B$3001,MATCH(B2868,PurchaseOrders!$A$2:$A$3001,0))</f>
        <v>V003</v>
      </c>
    </row>
    <row r="2869" customFormat="false" ht="15" hidden="false" customHeight="true" outlineLevel="0" collapsed="false">
      <c r="A2869" s="4" t="s">
        <v>6056</v>
      </c>
      <c r="B2869" s="4" t="s">
        <v>3045</v>
      </c>
      <c r="C2869" s="4" t="n">
        <v>13</v>
      </c>
      <c r="D2869" s="4" t="n">
        <v>0</v>
      </c>
      <c r="E2869" s="13" t="n">
        <v>45292</v>
      </c>
      <c r="F2869" s="4"/>
      <c r="G2869" s="4" t="str">
        <f aca="false">INDEX(PurchaseOrders!$B$2:$B$3001,MATCH(B2869,PurchaseOrders!$A$2:$A$3001,0))</f>
        <v>V019</v>
      </c>
    </row>
    <row r="2870" customFormat="false" ht="15" hidden="false" customHeight="true" outlineLevel="0" collapsed="false">
      <c r="A2870" s="4" t="s">
        <v>6057</v>
      </c>
      <c r="B2870" s="4" t="s">
        <v>3046</v>
      </c>
      <c r="C2870" s="4" t="n">
        <v>7</v>
      </c>
      <c r="D2870" s="4" t="n">
        <v>1</v>
      </c>
      <c r="E2870" s="13" t="n">
        <v>45220</v>
      </c>
      <c r="F2870" s="4" t="s">
        <v>3184</v>
      </c>
      <c r="G2870" s="4" t="str">
        <f aca="false">INDEX(PurchaseOrders!$B$2:$B$3001,MATCH(B2870,PurchaseOrders!$A$2:$A$3001,0))</f>
        <v>V041</v>
      </c>
    </row>
    <row r="2871" customFormat="false" ht="15" hidden="false" customHeight="true" outlineLevel="0" collapsed="false">
      <c r="A2871" s="4" t="s">
        <v>6058</v>
      </c>
      <c r="B2871" s="4" t="s">
        <v>3047</v>
      </c>
      <c r="C2871" s="4" t="n">
        <v>61</v>
      </c>
      <c r="D2871" s="4" t="n">
        <v>4</v>
      </c>
      <c r="E2871" s="13" t="n">
        <v>45060</v>
      </c>
      <c r="F2871" s="4" t="s">
        <v>3188</v>
      </c>
      <c r="G2871" s="4" t="str">
        <f aca="false">INDEX(PurchaseOrders!$B$2:$B$3001,MATCH(B2871,PurchaseOrders!$A$2:$A$3001,0))</f>
        <v>V018</v>
      </c>
    </row>
    <row r="2872" customFormat="false" ht="15" hidden="false" customHeight="true" outlineLevel="0" collapsed="false">
      <c r="A2872" s="4" t="s">
        <v>6059</v>
      </c>
      <c r="B2872" s="4" t="s">
        <v>3048</v>
      </c>
      <c r="C2872" s="4" t="n">
        <v>517</v>
      </c>
      <c r="D2872" s="4" t="n">
        <v>13</v>
      </c>
      <c r="E2872" s="13" t="n">
        <v>45300</v>
      </c>
      <c r="F2872" s="4" t="s">
        <v>3184</v>
      </c>
      <c r="G2872" s="4" t="str">
        <f aca="false">INDEX(PurchaseOrders!$B$2:$B$3001,MATCH(B2872,PurchaseOrders!$A$2:$A$3001,0))</f>
        <v>V058</v>
      </c>
    </row>
    <row r="2873" customFormat="false" ht="15" hidden="false" customHeight="true" outlineLevel="0" collapsed="false">
      <c r="A2873" s="4" t="s">
        <v>6060</v>
      </c>
      <c r="B2873" s="4" t="s">
        <v>3049</v>
      </c>
      <c r="C2873" s="4" t="n">
        <v>1665</v>
      </c>
      <c r="D2873" s="4" t="n">
        <v>222</v>
      </c>
      <c r="E2873" s="13" t="n">
        <v>45607</v>
      </c>
      <c r="F2873" s="4" t="s">
        <v>3190</v>
      </c>
      <c r="G2873" s="4" t="str">
        <f aca="false">INDEX(PurchaseOrders!$B$2:$B$3001,MATCH(B2873,PurchaseOrders!$A$2:$A$3001,0))</f>
        <v>V057</v>
      </c>
    </row>
    <row r="2874" customFormat="false" ht="15" hidden="false" customHeight="true" outlineLevel="0" collapsed="false">
      <c r="A2874" s="4" t="s">
        <v>6061</v>
      </c>
      <c r="B2874" s="4" t="s">
        <v>3050</v>
      </c>
      <c r="C2874" s="4" t="n">
        <v>16</v>
      </c>
      <c r="D2874" s="4" t="n">
        <v>1</v>
      </c>
      <c r="E2874" s="13" t="n">
        <v>45348</v>
      </c>
      <c r="F2874" s="4" t="s">
        <v>3190</v>
      </c>
      <c r="G2874" s="4" t="str">
        <f aca="false">INDEX(PurchaseOrders!$B$2:$B$3001,MATCH(B2874,PurchaseOrders!$A$2:$A$3001,0))</f>
        <v>V041</v>
      </c>
    </row>
    <row r="2875" customFormat="false" ht="15" hidden="false" customHeight="true" outlineLevel="0" collapsed="false">
      <c r="A2875" s="4" t="s">
        <v>6062</v>
      </c>
      <c r="B2875" s="4" t="s">
        <v>3051</v>
      </c>
      <c r="C2875" s="4" t="n">
        <v>172</v>
      </c>
      <c r="D2875" s="4" t="n">
        <v>14</v>
      </c>
      <c r="E2875" s="13" t="n">
        <v>45111</v>
      </c>
      <c r="F2875" s="4" t="s">
        <v>3186</v>
      </c>
      <c r="G2875" s="4" t="str">
        <f aca="false">INDEX(PurchaseOrders!$B$2:$B$3001,MATCH(B2875,PurchaseOrders!$A$2:$A$3001,0))</f>
        <v>V043</v>
      </c>
    </row>
    <row r="2876" customFormat="false" ht="15" hidden="false" customHeight="true" outlineLevel="0" collapsed="false">
      <c r="A2876" s="4" t="s">
        <v>6063</v>
      </c>
      <c r="B2876" s="4" t="s">
        <v>3052</v>
      </c>
      <c r="C2876" s="4" t="n">
        <v>420</v>
      </c>
      <c r="D2876" s="4" t="n">
        <v>32</v>
      </c>
      <c r="E2876" s="13" t="n">
        <v>45342</v>
      </c>
      <c r="F2876" s="4" t="s">
        <v>3192</v>
      </c>
      <c r="G2876" s="4" t="str">
        <f aca="false">INDEX(PurchaseOrders!$B$2:$B$3001,MATCH(B2876,PurchaseOrders!$A$2:$A$3001,0))</f>
        <v>V030</v>
      </c>
    </row>
    <row r="2877" customFormat="false" ht="15" hidden="false" customHeight="true" outlineLevel="0" collapsed="false">
      <c r="A2877" s="4" t="s">
        <v>6064</v>
      </c>
      <c r="B2877" s="4" t="s">
        <v>3053</v>
      </c>
      <c r="C2877" s="4" t="n">
        <v>359</v>
      </c>
      <c r="D2877" s="4" t="n">
        <v>11</v>
      </c>
      <c r="E2877" s="13" t="n">
        <v>45064</v>
      </c>
      <c r="F2877" s="4" t="s">
        <v>3184</v>
      </c>
      <c r="G2877" s="4" t="str">
        <f aca="false">INDEX(PurchaseOrders!$B$2:$B$3001,MATCH(B2877,PurchaseOrders!$A$2:$A$3001,0))</f>
        <v>V031</v>
      </c>
    </row>
    <row r="2878" customFormat="false" ht="15" hidden="false" customHeight="true" outlineLevel="0" collapsed="false">
      <c r="A2878" s="4" t="s">
        <v>6065</v>
      </c>
      <c r="B2878" s="4" t="s">
        <v>3054</v>
      </c>
      <c r="C2878" s="4" t="n">
        <v>457</v>
      </c>
      <c r="D2878" s="4" t="n">
        <v>5</v>
      </c>
      <c r="E2878" s="13" t="n">
        <v>45516</v>
      </c>
      <c r="F2878" s="4" t="s">
        <v>3184</v>
      </c>
      <c r="G2878" s="4" t="str">
        <f aca="false">INDEX(PurchaseOrders!$B$2:$B$3001,MATCH(B2878,PurchaseOrders!$A$2:$A$3001,0))</f>
        <v>V031</v>
      </c>
    </row>
    <row r="2879" customFormat="false" ht="15" hidden="false" customHeight="true" outlineLevel="0" collapsed="false">
      <c r="A2879" s="4" t="s">
        <v>6066</v>
      </c>
      <c r="B2879" s="4" t="s">
        <v>3055</v>
      </c>
      <c r="C2879" s="4" t="n">
        <v>1671</v>
      </c>
      <c r="D2879" s="4" t="n">
        <v>99</v>
      </c>
      <c r="E2879" s="13" t="n">
        <v>45362</v>
      </c>
      <c r="F2879" s="4" t="s">
        <v>3184</v>
      </c>
      <c r="G2879" s="4" t="str">
        <f aca="false">INDEX(PurchaseOrders!$B$2:$B$3001,MATCH(B2879,PurchaseOrders!$A$2:$A$3001,0))</f>
        <v>V034</v>
      </c>
    </row>
    <row r="2880" customFormat="false" ht="15" hidden="false" customHeight="true" outlineLevel="0" collapsed="false">
      <c r="A2880" s="4" t="s">
        <v>6067</v>
      </c>
      <c r="B2880" s="4" t="s">
        <v>3056</v>
      </c>
      <c r="C2880" s="4" t="n">
        <v>239</v>
      </c>
      <c r="D2880" s="4" t="n">
        <v>27</v>
      </c>
      <c r="E2880" s="13" t="n">
        <v>45330</v>
      </c>
      <c r="F2880" s="4" t="s">
        <v>3202</v>
      </c>
      <c r="G2880" s="4" t="str">
        <f aca="false">INDEX(PurchaseOrders!$B$2:$B$3001,MATCH(B2880,PurchaseOrders!$A$2:$A$3001,0))</f>
        <v>V036</v>
      </c>
    </row>
    <row r="2881" customFormat="false" ht="15" hidden="false" customHeight="true" outlineLevel="0" collapsed="false">
      <c r="A2881" s="4" t="s">
        <v>6068</v>
      </c>
      <c r="B2881" s="4" t="s">
        <v>3057</v>
      </c>
      <c r="C2881" s="4" t="n">
        <v>16</v>
      </c>
      <c r="D2881" s="4" t="n">
        <v>1</v>
      </c>
      <c r="E2881" s="13" t="n">
        <v>44961</v>
      </c>
      <c r="F2881" s="4" t="s">
        <v>3202</v>
      </c>
      <c r="G2881" s="4" t="str">
        <f aca="false">INDEX(PurchaseOrders!$B$2:$B$3001,MATCH(B2881,PurchaseOrders!$A$2:$A$3001,0))</f>
        <v>V019</v>
      </c>
    </row>
    <row r="2882" customFormat="false" ht="15" hidden="false" customHeight="true" outlineLevel="0" collapsed="false">
      <c r="A2882" s="4" t="s">
        <v>6069</v>
      </c>
      <c r="B2882" s="4" t="s">
        <v>3058</v>
      </c>
      <c r="C2882" s="4" t="n">
        <v>989</v>
      </c>
      <c r="D2882" s="4" t="n">
        <v>83</v>
      </c>
      <c r="E2882" s="13" t="n">
        <v>45639</v>
      </c>
      <c r="F2882" s="4" t="s">
        <v>3202</v>
      </c>
      <c r="G2882" s="4" t="str">
        <f aca="false">INDEX(PurchaseOrders!$B$2:$B$3001,MATCH(B2882,PurchaseOrders!$A$2:$A$3001,0))</f>
        <v>V032</v>
      </c>
    </row>
    <row r="2883" customFormat="false" ht="15" hidden="false" customHeight="true" outlineLevel="0" collapsed="false">
      <c r="A2883" s="4" t="s">
        <v>6070</v>
      </c>
      <c r="B2883" s="4" t="s">
        <v>3059</v>
      </c>
      <c r="C2883" s="4" t="n">
        <v>1542</v>
      </c>
      <c r="D2883" s="4" t="n">
        <v>14</v>
      </c>
      <c r="E2883" s="13" t="n">
        <v>45208</v>
      </c>
      <c r="F2883" s="4" t="s">
        <v>3184</v>
      </c>
      <c r="G2883" s="4" t="str">
        <f aca="false">INDEX(PurchaseOrders!$B$2:$B$3001,MATCH(B2883,PurchaseOrders!$A$2:$A$3001,0))</f>
        <v>V022</v>
      </c>
    </row>
    <row r="2884" customFormat="false" ht="15" hidden="false" customHeight="true" outlineLevel="0" collapsed="false">
      <c r="A2884" s="4" t="s">
        <v>6071</v>
      </c>
      <c r="B2884" s="4" t="s">
        <v>3060</v>
      </c>
      <c r="C2884" s="4" t="n">
        <v>84</v>
      </c>
      <c r="D2884" s="4" t="n">
        <v>1</v>
      </c>
      <c r="E2884" s="13" t="n">
        <v>45356</v>
      </c>
      <c r="F2884" s="4" t="s">
        <v>3190</v>
      </c>
      <c r="G2884" s="4" t="str">
        <f aca="false">INDEX(PurchaseOrders!$B$2:$B$3001,MATCH(B2884,PurchaseOrders!$A$2:$A$3001,0))</f>
        <v>V037</v>
      </c>
    </row>
    <row r="2885" customFormat="false" ht="15" hidden="false" customHeight="true" outlineLevel="0" collapsed="false">
      <c r="A2885" s="4" t="s">
        <v>6072</v>
      </c>
      <c r="B2885" s="4" t="s">
        <v>3061</v>
      </c>
      <c r="C2885" s="4" t="n">
        <v>570</v>
      </c>
      <c r="D2885" s="4" t="n">
        <v>57</v>
      </c>
      <c r="E2885" s="13" t="n">
        <v>45296</v>
      </c>
      <c r="F2885" s="4" t="s">
        <v>3192</v>
      </c>
      <c r="G2885" s="4" t="str">
        <f aca="false">INDEX(PurchaseOrders!$B$2:$B$3001,MATCH(B2885,PurchaseOrders!$A$2:$A$3001,0))</f>
        <v>V007</v>
      </c>
    </row>
    <row r="2886" customFormat="false" ht="15" hidden="false" customHeight="true" outlineLevel="0" collapsed="false">
      <c r="A2886" s="4" t="s">
        <v>6073</v>
      </c>
      <c r="B2886" s="4" t="s">
        <v>3062</v>
      </c>
      <c r="C2886" s="4" t="n">
        <v>527</v>
      </c>
      <c r="D2886" s="4" t="n">
        <v>0</v>
      </c>
      <c r="E2886" s="13" t="n">
        <v>45197</v>
      </c>
      <c r="F2886" s="4"/>
      <c r="G2886" s="4" t="str">
        <f aca="false">INDEX(PurchaseOrders!$B$2:$B$3001,MATCH(B2886,PurchaseOrders!$A$2:$A$3001,0))</f>
        <v>V035</v>
      </c>
    </row>
    <row r="2887" customFormat="false" ht="15" hidden="false" customHeight="true" outlineLevel="0" collapsed="false">
      <c r="A2887" s="4" t="s">
        <v>6074</v>
      </c>
      <c r="B2887" s="4" t="s">
        <v>3063</v>
      </c>
      <c r="C2887" s="4" t="n">
        <v>2725</v>
      </c>
      <c r="D2887" s="4" t="n">
        <v>272</v>
      </c>
      <c r="E2887" s="13" t="n">
        <v>45441</v>
      </c>
      <c r="F2887" s="4" t="s">
        <v>3190</v>
      </c>
      <c r="G2887" s="4" t="str">
        <f aca="false">INDEX(PurchaseOrders!$B$2:$B$3001,MATCH(B2887,PurchaseOrders!$A$2:$A$3001,0))</f>
        <v>V038</v>
      </c>
    </row>
    <row r="2888" customFormat="false" ht="15" hidden="false" customHeight="true" outlineLevel="0" collapsed="false">
      <c r="A2888" s="4" t="s">
        <v>6075</v>
      </c>
      <c r="B2888" s="4" t="s">
        <v>3064</v>
      </c>
      <c r="C2888" s="4" t="n">
        <v>267</v>
      </c>
      <c r="D2888" s="4" t="n">
        <v>0</v>
      </c>
      <c r="E2888" s="13" t="n">
        <v>45582</v>
      </c>
      <c r="F2888" s="4"/>
      <c r="G2888" s="4" t="str">
        <f aca="false">INDEX(PurchaseOrders!$B$2:$B$3001,MATCH(B2888,PurchaseOrders!$A$2:$A$3001,0))</f>
        <v>V040</v>
      </c>
    </row>
    <row r="2889" customFormat="false" ht="15" hidden="false" customHeight="true" outlineLevel="0" collapsed="false">
      <c r="A2889" s="4" t="s">
        <v>6076</v>
      </c>
      <c r="B2889" s="4" t="s">
        <v>3065</v>
      </c>
      <c r="C2889" s="4" t="n">
        <v>73</v>
      </c>
      <c r="D2889" s="4" t="n">
        <v>6</v>
      </c>
      <c r="E2889" s="13" t="n">
        <v>45414</v>
      </c>
      <c r="F2889" s="4" t="s">
        <v>3184</v>
      </c>
      <c r="G2889" s="4" t="str">
        <f aca="false">INDEX(PurchaseOrders!$B$2:$B$3001,MATCH(B2889,PurchaseOrders!$A$2:$A$3001,0))</f>
        <v>V013</v>
      </c>
    </row>
    <row r="2890" customFormat="false" ht="15" hidden="false" customHeight="true" outlineLevel="0" collapsed="false">
      <c r="A2890" s="4" t="s">
        <v>6077</v>
      </c>
      <c r="B2890" s="4" t="s">
        <v>3066</v>
      </c>
      <c r="C2890" s="4" t="n">
        <v>1730</v>
      </c>
      <c r="D2890" s="4" t="n">
        <v>251</v>
      </c>
      <c r="E2890" s="13" t="n">
        <v>45648</v>
      </c>
      <c r="F2890" s="4" t="s">
        <v>3188</v>
      </c>
      <c r="G2890" s="4" t="str">
        <f aca="false">INDEX(PurchaseOrders!$B$2:$B$3001,MATCH(B2890,PurchaseOrders!$A$2:$A$3001,0))</f>
        <v>V025</v>
      </c>
    </row>
    <row r="2891" customFormat="false" ht="15" hidden="false" customHeight="true" outlineLevel="0" collapsed="false">
      <c r="A2891" s="4" t="s">
        <v>6078</v>
      </c>
      <c r="B2891" s="4" t="s">
        <v>3067</v>
      </c>
      <c r="C2891" s="4" t="n">
        <v>1715</v>
      </c>
      <c r="D2891" s="4" t="n">
        <v>58</v>
      </c>
      <c r="E2891" s="13" t="n">
        <v>45234</v>
      </c>
      <c r="F2891" s="4" t="s">
        <v>3192</v>
      </c>
      <c r="G2891" s="4" t="str">
        <f aca="false">INDEX(PurchaseOrders!$B$2:$B$3001,MATCH(B2891,PurchaseOrders!$A$2:$A$3001,0))</f>
        <v>V021</v>
      </c>
    </row>
    <row r="2892" customFormat="false" ht="15" hidden="false" customHeight="true" outlineLevel="0" collapsed="false">
      <c r="A2892" s="4" t="s">
        <v>6079</v>
      </c>
      <c r="B2892" s="4" t="s">
        <v>3068</v>
      </c>
      <c r="C2892" s="4" t="n">
        <v>136</v>
      </c>
      <c r="D2892" s="4" t="n">
        <v>2</v>
      </c>
      <c r="E2892" s="13" t="n">
        <v>45053</v>
      </c>
      <c r="F2892" s="4" t="s">
        <v>3190</v>
      </c>
      <c r="G2892" s="4" t="str">
        <f aca="false">INDEX(PurchaseOrders!$B$2:$B$3001,MATCH(B2892,PurchaseOrders!$A$2:$A$3001,0))</f>
        <v>V029</v>
      </c>
    </row>
    <row r="2893" customFormat="false" ht="15" hidden="false" customHeight="true" outlineLevel="0" collapsed="false">
      <c r="A2893" s="4" t="s">
        <v>6080</v>
      </c>
      <c r="B2893" s="4" t="s">
        <v>3069</v>
      </c>
      <c r="C2893" s="4" t="n">
        <v>918</v>
      </c>
      <c r="D2893" s="4" t="n">
        <v>10</v>
      </c>
      <c r="E2893" s="13" t="n">
        <v>45464</v>
      </c>
      <c r="F2893" s="4" t="s">
        <v>3188</v>
      </c>
      <c r="G2893" s="4" t="str">
        <f aca="false">INDEX(PurchaseOrders!$B$2:$B$3001,MATCH(B2893,PurchaseOrders!$A$2:$A$3001,0))</f>
        <v>V035</v>
      </c>
    </row>
    <row r="2894" customFormat="false" ht="15" hidden="false" customHeight="true" outlineLevel="0" collapsed="false">
      <c r="A2894" s="4" t="s">
        <v>6081</v>
      </c>
      <c r="B2894" s="4" t="s">
        <v>3070</v>
      </c>
      <c r="C2894" s="4" t="n">
        <v>10</v>
      </c>
      <c r="D2894" s="4" t="n">
        <v>0</v>
      </c>
      <c r="E2894" s="13" t="n">
        <v>45407</v>
      </c>
      <c r="F2894" s="4"/>
      <c r="G2894" s="4" t="str">
        <f aca="false">INDEX(PurchaseOrders!$B$2:$B$3001,MATCH(B2894,PurchaseOrders!$A$2:$A$3001,0))</f>
        <v>V053</v>
      </c>
    </row>
    <row r="2895" customFormat="false" ht="15" hidden="false" customHeight="true" outlineLevel="0" collapsed="false">
      <c r="A2895" s="4" t="s">
        <v>6082</v>
      </c>
      <c r="B2895" s="4" t="s">
        <v>3071</v>
      </c>
      <c r="C2895" s="4" t="n">
        <v>2</v>
      </c>
      <c r="D2895" s="4" t="n">
        <v>0</v>
      </c>
      <c r="E2895" s="13" t="n">
        <v>44968</v>
      </c>
      <c r="F2895" s="4"/>
      <c r="G2895" s="4" t="str">
        <f aca="false">INDEX(PurchaseOrders!$B$2:$B$3001,MATCH(B2895,PurchaseOrders!$A$2:$A$3001,0))</f>
        <v>V041</v>
      </c>
    </row>
    <row r="2896" customFormat="false" ht="15" hidden="false" customHeight="true" outlineLevel="0" collapsed="false">
      <c r="A2896" s="4" t="s">
        <v>6083</v>
      </c>
      <c r="B2896" s="4" t="s">
        <v>3072</v>
      </c>
      <c r="C2896" s="4" t="n">
        <v>9</v>
      </c>
      <c r="D2896" s="4" t="n">
        <v>1</v>
      </c>
      <c r="E2896" s="13" t="n">
        <v>45273</v>
      </c>
      <c r="F2896" s="4" t="s">
        <v>3192</v>
      </c>
      <c r="G2896" s="4" t="str">
        <f aca="false">INDEX(PurchaseOrders!$B$2:$B$3001,MATCH(B2896,PurchaseOrders!$A$2:$A$3001,0))</f>
        <v>V041</v>
      </c>
    </row>
    <row r="2897" customFormat="false" ht="15" hidden="false" customHeight="true" outlineLevel="0" collapsed="false">
      <c r="A2897" s="4" t="s">
        <v>6084</v>
      </c>
      <c r="B2897" s="4" t="s">
        <v>3073</v>
      </c>
      <c r="C2897" s="4" t="n">
        <v>684</v>
      </c>
      <c r="D2897" s="4" t="n">
        <v>32</v>
      </c>
      <c r="E2897" s="13" t="n">
        <v>45409</v>
      </c>
      <c r="F2897" s="4" t="s">
        <v>3190</v>
      </c>
      <c r="G2897" s="4" t="str">
        <f aca="false">INDEX(PurchaseOrders!$B$2:$B$3001,MATCH(B2897,PurchaseOrders!$A$2:$A$3001,0))</f>
        <v>V059</v>
      </c>
    </row>
    <row r="2898" customFormat="false" ht="15" hidden="false" customHeight="true" outlineLevel="0" collapsed="false">
      <c r="A2898" s="4" t="s">
        <v>6085</v>
      </c>
      <c r="B2898" s="4" t="s">
        <v>3074</v>
      </c>
      <c r="C2898" s="4" t="n">
        <v>1686</v>
      </c>
      <c r="D2898" s="4" t="n">
        <v>68</v>
      </c>
      <c r="E2898" s="13" t="n">
        <v>45663</v>
      </c>
      <c r="F2898" s="4" t="s">
        <v>3192</v>
      </c>
      <c r="G2898" s="4" t="str">
        <f aca="false">INDEX(PurchaseOrders!$B$2:$B$3001,MATCH(B2898,PurchaseOrders!$A$2:$A$3001,0))</f>
        <v>V051</v>
      </c>
    </row>
    <row r="2899" customFormat="false" ht="15" hidden="false" customHeight="true" outlineLevel="0" collapsed="false">
      <c r="A2899" s="4" t="s">
        <v>6086</v>
      </c>
      <c r="B2899" s="4" t="s">
        <v>3075</v>
      </c>
      <c r="C2899" s="4" t="n">
        <v>52</v>
      </c>
      <c r="D2899" s="4" t="n">
        <v>0</v>
      </c>
      <c r="E2899" s="13" t="n">
        <v>45394</v>
      </c>
      <c r="F2899" s="4"/>
      <c r="G2899" s="4" t="str">
        <f aca="false">INDEX(PurchaseOrders!$B$2:$B$3001,MATCH(B2899,PurchaseOrders!$A$2:$A$3001,0))</f>
        <v>V029</v>
      </c>
    </row>
    <row r="2900" customFormat="false" ht="15" hidden="false" customHeight="true" outlineLevel="0" collapsed="false">
      <c r="A2900" s="4" t="s">
        <v>6087</v>
      </c>
      <c r="B2900" s="4" t="s">
        <v>3076</v>
      </c>
      <c r="C2900" s="4" t="n">
        <v>1312</v>
      </c>
      <c r="D2900" s="4" t="n">
        <v>126</v>
      </c>
      <c r="E2900" s="13" t="n">
        <v>45532</v>
      </c>
      <c r="F2900" s="4" t="s">
        <v>3192</v>
      </c>
      <c r="G2900" s="4" t="str">
        <f aca="false">INDEX(PurchaseOrders!$B$2:$B$3001,MATCH(B2900,PurchaseOrders!$A$2:$A$3001,0))</f>
        <v>V032</v>
      </c>
    </row>
    <row r="2901" customFormat="false" ht="15" hidden="false" customHeight="true" outlineLevel="0" collapsed="false">
      <c r="A2901" s="4" t="s">
        <v>6088</v>
      </c>
      <c r="B2901" s="4" t="s">
        <v>3077</v>
      </c>
      <c r="C2901" s="4" t="n">
        <v>186</v>
      </c>
      <c r="D2901" s="4" t="n">
        <v>1</v>
      </c>
      <c r="E2901" s="13" t="n">
        <v>45272</v>
      </c>
      <c r="F2901" s="4" t="s">
        <v>3192</v>
      </c>
      <c r="G2901" s="4" t="str">
        <f aca="false">INDEX(PurchaseOrders!$B$2:$B$3001,MATCH(B2901,PurchaseOrders!$A$2:$A$3001,0))</f>
        <v>V008</v>
      </c>
    </row>
    <row r="2902" customFormat="false" ht="15" hidden="false" customHeight="true" outlineLevel="0" collapsed="false">
      <c r="A2902" s="4" t="s">
        <v>6089</v>
      </c>
      <c r="B2902" s="4" t="s">
        <v>3078</v>
      </c>
      <c r="C2902" s="4" t="n">
        <v>475</v>
      </c>
      <c r="D2902" s="4" t="n">
        <v>64</v>
      </c>
      <c r="E2902" s="13" t="n">
        <v>45587</v>
      </c>
      <c r="F2902" s="4" t="s">
        <v>3192</v>
      </c>
      <c r="G2902" s="4" t="str">
        <f aca="false">INDEX(PurchaseOrders!$B$2:$B$3001,MATCH(B2902,PurchaseOrders!$A$2:$A$3001,0))</f>
        <v>V007</v>
      </c>
    </row>
    <row r="2903" customFormat="false" ht="15" hidden="false" customHeight="true" outlineLevel="0" collapsed="false">
      <c r="A2903" s="4" t="s">
        <v>6090</v>
      </c>
      <c r="B2903" s="4" t="s">
        <v>3079</v>
      </c>
      <c r="C2903" s="4" t="n">
        <v>1545</v>
      </c>
      <c r="D2903" s="4" t="n">
        <v>125</v>
      </c>
      <c r="E2903" s="13" t="n">
        <v>45537</v>
      </c>
      <c r="F2903" s="4" t="s">
        <v>3184</v>
      </c>
      <c r="G2903" s="4" t="str">
        <f aca="false">INDEX(PurchaseOrders!$B$2:$B$3001,MATCH(B2903,PurchaseOrders!$A$2:$A$3001,0))</f>
        <v>V005</v>
      </c>
    </row>
    <row r="2904" customFormat="false" ht="15" hidden="false" customHeight="true" outlineLevel="0" collapsed="false">
      <c r="A2904" s="4" t="s">
        <v>6091</v>
      </c>
      <c r="B2904" s="4" t="s">
        <v>3080</v>
      </c>
      <c r="C2904" s="4" t="n">
        <v>4131</v>
      </c>
      <c r="D2904" s="4" t="n">
        <v>18</v>
      </c>
      <c r="E2904" s="13" t="n">
        <v>45596</v>
      </c>
      <c r="F2904" s="4" t="s">
        <v>3192</v>
      </c>
      <c r="G2904" s="4" t="str">
        <f aca="false">INDEX(PurchaseOrders!$B$2:$B$3001,MATCH(B2904,PurchaseOrders!$A$2:$A$3001,0))</f>
        <v>V015</v>
      </c>
    </row>
    <row r="2905" customFormat="false" ht="15" hidden="false" customHeight="true" outlineLevel="0" collapsed="false">
      <c r="A2905" s="4" t="s">
        <v>6092</v>
      </c>
      <c r="B2905" s="4" t="s">
        <v>3081</v>
      </c>
      <c r="C2905" s="4" t="n">
        <v>1299</v>
      </c>
      <c r="D2905" s="4" t="n">
        <v>39</v>
      </c>
      <c r="E2905" s="13" t="n">
        <v>45533</v>
      </c>
      <c r="F2905" s="4" t="s">
        <v>3192</v>
      </c>
      <c r="G2905" s="4" t="str">
        <f aca="false">INDEX(PurchaseOrders!$B$2:$B$3001,MATCH(B2905,PurchaseOrders!$A$2:$A$3001,0))</f>
        <v>V003</v>
      </c>
    </row>
    <row r="2906" customFormat="false" ht="15" hidden="false" customHeight="true" outlineLevel="0" collapsed="false">
      <c r="A2906" s="4" t="s">
        <v>6093</v>
      </c>
      <c r="B2906" s="4" t="s">
        <v>3082</v>
      </c>
      <c r="C2906" s="4" t="n">
        <v>866</v>
      </c>
      <c r="D2906" s="4" t="n">
        <v>0</v>
      </c>
      <c r="E2906" s="13" t="n">
        <v>45518</v>
      </c>
      <c r="F2906" s="4"/>
      <c r="G2906" s="4" t="str">
        <f aca="false">INDEX(PurchaseOrders!$B$2:$B$3001,MATCH(B2906,PurchaseOrders!$A$2:$A$3001,0))</f>
        <v>V058</v>
      </c>
    </row>
    <row r="2907" customFormat="false" ht="15" hidden="false" customHeight="true" outlineLevel="0" collapsed="false">
      <c r="A2907" s="4" t="s">
        <v>6094</v>
      </c>
      <c r="B2907" s="4" t="s">
        <v>3083</v>
      </c>
      <c r="C2907" s="4" t="n">
        <v>240</v>
      </c>
      <c r="D2907" s="4" t="n">
        <v>4</v>
      </c>
      <c r="E2907" s="13" t="n">
        <v>45629</v>
      </c>
      <c r="F2907" s="4" t="s">
        <v>3184</v>
      </c>
      <c r="G2907" s="4" t="str">
        <f aca="false">INDEX(PurchaseOrders!$B$2:$B$3001,MATCH(B2907,PurchaseOrders!$A$2:$A$3001,0))</f>
        <v>V020</v>
      </c>
    </row>
    <row r="2908" customFormat="false" ht="15" hidden="false" customHeight="true" outlineLevel="0" collapsed="false">
      <c r="A2908" s="4" t="s">
        <v>6095</v>
      </c>
      <c r="B2908" s="4" t="s">
        <v>3084</v>
      </c>
      <c r="C2908" s="4" t="n">
        <v>3646</v>
      </c>
      <c r="D2908" s="4" t="n">
        <v>40</v>
      </c>
      <c r="E2908" s="13" t="n">
        <v>45219</v>
      </c>
      <c r="F2908" s="4" t="s">
        <v>3190</v>
      </c>
      <c r="G2908" s="4" t="str">
        <f aca="false">INDEX(PurchaseOrders!$B$2:$B$3001,MATCH(B2908,PurchaseOrders!$A$2:$A$3001,0))</f>
        <v>V017</v>
      </c>
    </row>
    <row r="2909" customFormat="false" ht="15" hidden="false" customHeight="true" outlineLevel="0" collapsed="false">
      <c r="A2909" s="4" t="s">
        <v>6096</v>
      </c>
      <c r="B2909" s="4" t="s">
        <v>3085</v>
      </c>
      <c r="C2909" s="4" t="n">
        <v>123</v>
      </c>
      <c r="D2909" s="4" t="n">
        <v>0</v>
      </c>
      <c r="E2909" s="13" t="n">
        <v>45307</v>
      </c>
      <c r="F2909" s="4"/>
      <c r="G2909" s="4" t="str">
        <f aca="false">INDEX(PurchaseOrders!$B$2:$B$3001,MATCH(B2909,PurchaseOrders!$A$2:$A$3001,0))</f>
        <v>V040</v>
      </c>
    </row>
    <row r="2910" customFormat="false" ht="15" hidden="false" customHeight="true" outlineLevel="0" collapsed="false">
      <c r="A2910" s="4" t="s">
        <v>6097</v>
      </c>
      <c r="B2910" s="4" t="s">
        <v>3086</v>
      </c>
      <c r="C2910" s="4" t="n">
        <v>4059</v>
      </c>
      <c r="D2910" s="4" t="n">
        <v>409</v>
      </c>
      <c r="E2910" s="13" t="n">
        <v>45512</v>
      </c>
      <c r="F2910" s="4" t="s">
        <v>3188</v>
      </c>
      <c r="G2910" s="4" t="str">
        <f aca="false">INDEX(PurchaseOrders!$B$2:$B$3001,MATCH(B2910,PurchaseOrders!$A$2:$A$3001,0))</f>
        <v>V032</v>
      </c>
    </row>
    <row r="2911" customFormat="false" ht="15" hidden="false" customHeight="true" outlineLevel="0" collapsed="false">
      <c r="A2911" s="4" t="s">
        <v>6098</v>
      </c>
      <c r="B2911" s="4" t="s">
        <v>3087</v>
      </c>
      <c r="C2911" s="4" t="n">
        <v>1027</v>
      </c>
      <c r="D2911" s="4" t="n">
        <v>56</v>
      </c>
      <c r="E2911" s="13" t="n">
        <v>45647</v>
      </c>
      <c r="F2911" s="4" t="s">
        <v>3188</v>
      </c>
      <c r="G2911" s="4" t="str">
        <f aca="false">INDEX(PurchaseOrders!$B$2:$B$3001,MATCH(B2911,PurchaseOrders!$A$2:$A$3001,0))</f>
        <v>V051</v>
      </c>
    </row>
    <row r="2912" customFormat="false" ht="15" hidden="false" customHeight="true" outlineLevel="0" collapsed="false">
      <c r="A2912" s="4" t="s">
        <v>6099</v>
      </c>
      <c r="B2912" s="4" t="s">
        <v>3088</v>
      </c>
      <c r="C2912" s="4" t="n">
        <v>534</v>
      </c>
      <c r="D2912" s="4" t="n">
        <v>29</v>
      </c>
      <c r="E2912" s="13" t="n">
        <v>45121</v>
      </c>
      <c r="F2912" s="4" t="s">
        <v>3188</v>
      </c>
      <c r="G2912" s="4" t="str">
        <f aca="false">INDEX(PurchaseOrders!$B$2:$B$3001,MATCH(B2912,PurchaseOrders!$A$2:$A$3001,0))</f>
        <v>V059</v>
      </c>
    </row>
    <row r="2913" customFormat="false" ht="15" hidden="false" customHeight="true" outlineLevel="0" collapsed="false">
      <c r="A2913" s="4" t="s">
        <v>6100</v>
      </c>
      <c r="B2913" s="4" t="s">
        <v>3089</v>
      </c>
      <c r="C2913" s="4" t="n">
        <v>832</v>
      </c>
      <c r="D2913" s="4" t="n">
        <v>0</v>
      </c>
      <c r="E2913" s="13" t="n">
        <v>45208</v>
      </c>
      <c r="F2913" s="4"/>
      <c r="G2913" s="4" t="str">
        <f aca="false">INDEX(PurchaseOrders!$B$2:$B$3001,MATCH(B2913,PurchaseOrders!$A$2:$A$3001,0))</f>
        <v>V022</v>
      </c>
    </row>
    <row r="2914" customFormat="false" ht="15" hidden="false" customHeight="true" outlineLevel="0" collapsed="false">
      <c r="A2914" s="4" t="s">
        <v>6101</v>
      </c>
      <c r="B2914" s="4" t="s">
        <v>3090</v>
      </c>
      <c r="C2914" s="4" t="n">
        <v>413</v>
      </c>
      <c r="D2914" s="4" t="n">
        <v>4</v>
      </c>
      <c r="E2914" s="13" t="n">
        <v>45362</v>
      </c>
      <c r="F2914" s="4" t="s">
        <v>3188</v>
      </c>
      <c r="G2914" s="4" t="str">
        <f aca="false">INDEX(PurchaseOrders!$B$2:$B$3001,MATCH(B2914,PurchaseOrders!$A$2:$A$3001,0))</f>
        <v>V029</v>
      </c>
    </row>
    <row r="2915" customFormat="false" ht="15" hidden="false" customHeight="true" outlineLevel="0" collapsed="false">
      <c r="A2915" s="4" t="s">
        <v>6102</v>
      </c>
      <c r="B2915" s="4" t="s">
        <v>3091</v>
      </c>
      <c r="C2915" s="4" t="n">
        <v>3735</v>
      </c>
      <c r="D2915" s="4" t="n">
        <v>19</v>
      </c>
      <c r="E2915" s="13" t="n">
        <v>45123</v>
      </c>
      <c r="F2915" s="4" t="s">
        <v>3190</v>
      </c>
      <c r="G2915" s="4" t="str">
        <f aca="false">INDEX(PurchaseOrders!$B$2:$B$3001,MATCH(B2915,PurchaseOrders!$A$2:$A$3001,0))</f>
        <v>V015</v>
      </c>
    </row>
    <row r="2916" customFormat="false" ht="15" hidden="false" customHeight="true" outlineLevel="0" collapsed="false">
      <c r="A2916" s="4" t="s">
        <v>6103</v>
      </c>
      <c r="B2916" s="4" t="s">
        <v>3092</v>
      </c>
      <c r="C2916" s="4" t="n">
        <v>353</v>
      </c>
      <c r="D2916" s="4" t="n">
        <v>1</v>
      </c>
      <c r="E2916" s="13" t="n">
        <v>45233</v>
      </c>
      <c r="F2916" s="4" t="s">
        <v>3190</v>
      </c>
      <c r="G2916" s="4" t="str">
        <f aca="false">INDEX(PurchaseOrders!$B$2:$B$3001,MATCH(B2916,PurchaseOrders!$A$2:$A$3001,0))</f>
        <v>V029</v>
      </c>
    </row>
    <row r="2917" customFormat="false" ht="15" hidden="false" customHeight="true" outlineLevel="0" collapsed="false">
      <c r="A2917" s="4" t="s">
        <v>6104</v>
      </c>
      <c r="B2917" s="4" t="s">
        <v>3093</v>
      </c>
      <c r="C2917" s="4" t="n">
        <v>2648</v>
      </c>
      <c r="D2917" s="4" t="n">
        <v>116</v>
      </c>
      <c r="E2917" s="13" t="n">
        <v>45434</v>
      </c>
      <c r="F2917" s="4" t="s">
        <v>3192</v>
      </c>
      <c r="G2917" s="4" t="str">
        <f aca="false">INDEX(PurchaseOrders!$B$2:$B$3001,MATCH(B2917,PurchaseOrders!$A$2:$A$3001,0))</f>
        <v>V014</v>
      </c>
    </row>
    <row r="2918" customFormat="false" ht="15" hidden="false" customHeight="true" outlineLevel="0" collapsed="false">
      <c r="A2918" s="4" t="s">
        <v>6105</v>
      </c>
      <c r="B2918" s="4" t="s">
        <v>3094</v>
      </c>
      <c r="C2918" s="4" t="n">
        <v>272</v>
      </c>
      <c r="D2918" s="4" t="n">
        <v>12</v>
      </c>
      <c r="E2918" s="13" t="n">
        <v>45491</v>
      </c>
      <c r="F2918" s="4" t="s">
        <v>3192</v>
      </c>
      <c r="G2918" s="4" t="str">
        <f aca="false">INDEX(PurchaseOrders!$B$2:$B$3001,MATCH(B2918,PurchaseOrders!$A$2:$A$3001,0))</f>
        <v>V021</v>
      </c>
    </row>
    <row r="2919" customFormat="false" ht="15" hidden="false" customHeight="true" outlineLevel="0" collapsed="false">
      <c r="A2919" s="4" t="s">
        <v>6106</v>
      </c>
      <c r="B2919" s="4" t="s">
        <v>3095</v>
      </c>
      <c r="C2919" s="4" t="n">
        <v>126</v>
      </c>
      <c r="D2919" s="4" t="n">
        <v>9</v>
      </c>
      <c r="E2919" s="13" t="n">
        <v>45648</v>
      </c>
      <c r="F2919" s="4" t="s">
        <v>3192</v>
      </c>
      <c r="G2919" s="4" t="str">
        <f aca="false">INDEX(PurchaseOrders!$B$2:$B$3001,MATCH(B2919,PurchaseOrders!$A$2:$A$3001,0))</f>
        <v>V018</v>
      </c>
    </row>
    <row r="2920" customFormat="false" ht="15" hidden="false" customHeight="true" outlineLevel="0" collapsed="false">
      <c r="A2920" s="4" t="s">
        <v>6107</v>
      </c>
      <c r="B2920" s="4" t="s">
        <v>3096</v>
      </c>
      <c r="C2920" s="4" t="n">
        <v>545</v>
      </c>
      <c r="D2920" s="4" t="n">
        <v>0</v>
      </c>
      <c r="E2920" s="13" t="n">
        <v>45113</v>
      </c>
      <c r="F2920" s="4"/>
      <c r="G2920" s="4" t="str">
        <f aca="false">INDEX(PurchaseOrders!$B$2:$B$3001,MATCH(B2920,PurchaseOrders!$A$2:$A$3001,0))</f>
        <v>V020</v>
      </c>
    </row>
    <row r="2921" customFormat="false" ht="15" hidden="false" customHeight="true" outlineLevel="0" collapsed="false">
      <c r="A2921" s="4" t="s">
        <v>6108</v>
      </c>
      <c r="B2921" s="4" t="s">
        <v>3097</v>
      </c>
      <c r="C2921" s="4" t="n">
        <v>1330</v>
      </c>
      <c r="D2921" s="4" t="n">
        <v>0</v>
      </c>
      <c r="E2921" s="13" t="n">
        <v>44962</v>
      </c>
      <c r="F2921" s="4"/>
      <c r="G2921" s="4" t="str">
        <f aca="false">INDEX(PurchaseOrders!$B$2:$B$3001,MATCH(B2921,PurchaseOrders!$A$2:$A$3001,0))</f>
        <v>V011</v>
      </c>
    </row>
    <row r="2922" customFormat="false" ht="15" hidden="false" customHeight="true" outlineLevel="0" collapsed="false">
      <c r="A2922" s="4" t="s">
        <v>6109</v>
      </c>
      <c r="B2922" s="4" t="s">
        <v>3098</v>
      </c>
      <c r="C2922" s="4" t="n">
        <v>318</v>
      </c>
      <c r="D2922" s="4" t="n">
        <v>3</v>
      </c>
      <c r="E2922" s="13" t="n">
        <v>45367</v>
      </c>
      <c r="F2922" s="4" t="s">
        <v>3202</v>
      </c>
      <c r="G2922" s="4" t="str">
        <f aca="false">INDEX(PurchaseOrders!$B$2:$B$3001,MATCH(B2922,PurchaseOrders!$A$2:$A$3001,0))</f>
        <v>V059</v>
      </c>
    </row>
    <row r="2923" customFormat="false" ht="15" hidden="false" customHeight="true" outlineLevel="0" collapsed="false">
      <c r="A2923" s="4" t="s">
        <v>6110</v>
      </c>
      <c r="B2923" s="4" t="s">
        <v>3099</v>
      </c>
      <c r="C2923" s="4" t="n">
        <v>4026</v>
      </c>
      <c r="D2923" s="4" t="n">
        <v>192</v>
      </c>
      <c r="E2923" s="13" t="n">
        <v>45016</v>
      </c>
      <c r="F2923" s="4" t="s">
        <v>3202</v>
      </c>
      <c r="G2923" s="4" t="str">
        <f aca="false">INDEX(PurchaseOrders!$B$2:$B$3001,MATCH(B2923,PurchaseOrders!$A$2:$A$3001,0))</f>
        <v>V050</v>
      </c>
    </row>
    <row r="2924" customFormat="false" ht="15" hidden="false" customHeight="true" outlineLevel="0" collapsed="false">
      <c r="A2924" s="4" t="s">
        <v>6111</v>
      </c>
      <c r="B2924" s="4" t="s">
        <v>3100</v>
      </c>
      <c r="C2924" s="4" t="n">
        <v>1415</v>
      </c>
      <c r="D2924" s="4" t="n">
        <v>23</v>
      </c>
      <c r="E2924" s="13" t="n">
        <v>45192</v>
      </c>
      <c r="F2924" s="4" t="s">
        <v>3192</v>
      </c>
      <c r="G2924" s="4" t="str">
        <f aca="false">INDEX(PurchaseOrders!$B$2:$B$3001,MATCH(B2924,PurchaseOrders!$A$2:$A$3001,0))</f>
        <v>V020</v>
      </c>
    </row>
    <row r="2925" customFormat="false" ht="15" hidden="false" customHeight="true" outlineLevel="0" collapsed="false">
      <c r="A2925" s="4" t="s">
        <v>6112</v>
      </c>
      <c r="B2925" s="4" t="s">
        <v>3101</v>
      </c>
      <c r="C2925" s="4" t="n">
        <v>1963</v>
      </c>
      <c r="D2925" s="4" t="n">
        <v>60</v>
      </c>
      <c r="E2925" s="13" t="n">
        <v>45400</v>
      </c>
      <c r="F2925" s="4" t="s">
        <v>3186</v>
      </c>
      <c r="G2925" s="4" t="str">
        <f aca="false">INDEX(PurchaseOrders!$B$2:$B$3001,MATCH(B2925,PurchaseOrders!$A$2:$A$3001,0))</f>
        <v>V058</v>
      </c>
    </row>
    <row r="2926" customFormat="false" ht="15" hidden="false" customHeight="true" outlineLevel="0" collapsed="false">
      <c r="A2926" s="4" t="s">
        <v>6113</v>
      </c>
      <c r="B2926" s="4" t="s">
        <v>3102</v>
      </c>
      <c r="C2926" s="4" t="n">
        <v>2833</v>
      </c>
      <c r="D2926" s="4" t="n">
        <v>369</v>
      </c>
      <c r="E2926" s="13" t="n">
        <v>44944</v>
      </c>
      <c r="F2926" s="4" t="s">
        <v>3190</v>
      </c>
      <c r="G2926" s="4" t="str">
        <f aca="false">INDEX(PurchaseOrders!$B$2:$B$3001,MATCH(B2926,PurchaseOrders!$A$2:$A$3001,0))</f>
        <v>V038</v>
      </c>
    </row>
    <row r="2927" customFormat="false" ht="15" hidden="false" customHeight="true" outlineLevel="0" collapsed="false">
      <c r="A2927" s="4" t="s">
        <v>6114</v>
      </c>
      <c r="B2927" s="4" t="s">
        <v>3103</v>
      </c>
      <c r="C2927" s="4" t="n">
        <v>1564</v>
      </c>
      <c r="D2927" s="4" t="n">
        <v>88</v>
      </c>
      <c r="E2927" s="13" t="n">
        <v>45350</v>
      </c>
      <c r="F2927" s="4" t="s">
        <v>3202</v>
      </c>
      <c r="G2927" s="4" t="str">
        <f aca="false">INDEX(PurchaseOrders!$B$2:$B$3001,MATCH(B2927,PurchaseOrders!$A$2:$A$3001,0))</f>
        <v>V021</v>
      </c>
    </row>
    <row r="2928" customFormat="false" ht="15" hidden="false" customHeight="true" outlineLevel="0" collapsed="false">
      <c r="A2928" s="4" t="s">
        <v>6115</v>
      </c>
      <c r="B2928" s="4" t="s">
        <v>3104</v>
      </c>
      <c r="C2928" s="4" t="n">
        <v>1986</v>
      </c>
      <c r="D2928" s="4" t="n">
        <v>136</v>
      </c>
      <c r="E2928" s="13" t="n">
        <v>45122</v>
      </c>
      <c r="F2928" s="4" t="s">
        <v>3190</v>
      </c>
      <c r="G2928" s="4" t="str">
        <f aca="false">INDEX(PurchaseOrders!$B$2:$B$3001,MATCH(B2928,PurchaseOrders!$A$2:$A$3001,0))</f>
        <v>V001</v>
      </c>
    </row>
    <row r="2929" customFormat="false" ht="15" hidden="false" customHeight="true" outlineLevel="0" collapsed="false">
      <c r="A2929" s="4" t="s">
        <v>6116</v>
      </c>
      <c r="B2929" s="4" t="s">
        <v>3105</v>
      </c>
      <c r="C2929" s="4" t="n">
        <v>1752</v>
      </c>
      <c r="D2929" s="4" t="n">
        <v>72</v>
      </c>
      <c r="E2929" s="13" t="n">
        <v>45457</v>
      </c>
      <c r="F2929" s="4" t="s">
        <v>3202</v>
      </c>
      <c r="G2929" s="4" t="str">
        <f aca="false">INDEX(PurchaseOrders!$B$2:$B$3001,MATCH(B2929,PurchaseOrders!$A$2:$A$3001,0))</f>
        <v>V059</v>
      </c>
    </row>
    <row r="2930" customFormat="false" ht="15" hidden="false" customHeight="true" outlineLevel="0" collapsed="false">
      <c r="A2930" s="4" t="s">
        <v>6117</v>
      </c>
      <c r="B2930" s="4" t="s">
        <v>3106</v>
      </c>
      <c r="C2930" s="4" t="n">
        <v>932</v>
      </c>
      <c r="D2930" s="4" t="n">
        <v>5</v>
      </c>
      <c r="E2930" s="13" t="n">
        <v>45412</v>
      </c>
      <c r="F2930" s="4" t="s">
        <v>3186</v>
      </c>
      <c r="G2930" s="4" t="str">
        <f aca="false">INDEX(PurchaseOrders!$B$2:$B$3001,MATCH(B2930,PurchaseOrders!$A$2:$A$3001,0))</f>
        <v>V020</v>
      </c>
    </row>
    <row r="2931" customFormat="false" ht="15" hidden="false" customHeight="true" outlineLevel="0" collapsed="false">
      <c r="A2931" s="4" t="s">
        <v>6118</v>
      </c>
      <c r="B2931" s="4" t="s">
        <v>3107</v>
      </c>
      <c r="C2931" s="4" t="n">
        <v>299</v>
      </c>
      <c r="D2931" s="4" t="n">
        <v>19</v>
      </c>
      <c r="E2931" s="13" t="n">
        <v>45525</v>
      </c>
      <c r="F2931" s="4" t="s">
        <v>3184</v>
      </c>
      <c r="G2931" s="4" t="str">
        <f aca="false">INDEX(PurchaseOrders!$B$2:$B$3001,MATCH(B2931,PurchaseOrders!$A$2:$A$3001,0))</f>
        <v>V018</v>
      </c>
    </row>
    <row r="2932" customFormat="false" ht="15" hidden="false" customHeight="true" outlineLevel="0" collapsed="false">
      <c r="A2932" s="4" t="s">
        <v>6119</v>
      </c>
      <c r="B2932" s="4" t="s">
        <v>3108</v>
      </c>
      <c r="C2932" s="4" t="n">
        <v>1251</v>
      </c>
      <c r="D2932" s="4" t="n">
        <v>39</v>
      </c>
      <c r="E2932" s="13" t="n">
        <v>45477</v>
      </c>
      <c r="F2932" s="4" t="s">
        <v>3188</v>
      </c>
      <c r="G2932" s="4" t="str">
        <f aca="false">INDEX(PurchaseOrders!$B$2:$B$3001,MATCH(B2932,PurchaseOrders!$A$2:$A$3001,0))</f>
        <v>V010</v>
      </c>
    </row>
    <row r="2933" customFormat="false" ht="15" hidden="false" customHeight="true" outlineLevel="0" collapsed="false">
      <c r="A2933" s="4" t="s">
        <v>6120</v>
      </c>
      <c r="B2933" s="4" t="s">
        <v>3109</v>
      </c>
      <c r="C2933" s="4" t="n">
        <v>728</v>
      </c>
      <c r="D2933" s="4" t="n">
        <v>115</v>
      </c>
      <c r="E2933" s="13" t="n">
        <v>45189</v>
      </c>
      <c r="F2933" s="4" t="s">
        <v>3192</v>
      </c>
      <c r="G2933" s="4" t="str">
        <f aca="false">INDEX(PurchaseOrders!$B$2:$B$3001,MATCH(B2933,PurchaseOrders!$A$2:$A$3001,0))</f>
        <v>V025</v>
      </c>
    </row>
    <row r="2934" customFormat="false" ht="15" hidden="false" customHeight="true" outlineLevel="0" collapsed="false">
      <c r="A2934" s="4" t="s">
        <v>6121</v>
      </c>
      <c r="B2934" s="4" t="s">
        <v>3110</v>
      </c>
      <c r="C2934" s="4" t="n">
        <v>2855</v>
      </c>
      <c r="D2934" s="4" t="n">
        <v>56</v>
      </c>
      <c r="E2934" s="13" t="n">
        <v>45349</v>
      </c>
      <c r="F2934" s="4" t="s">
        <v>3192</v>
      </c>
      <c r="G2934" s="4" t="str">
        <f aca="false">INDEX(PurchaseOrders!$B$2:$B$3001,MATCH(B2934,PurchaseOrders!$A$2:$A$3001,0))</f>
        <v>V014</v>
      </c>
    </row>
    <row r="2935" customFormat="false" ht="15" hidden="false" customHeight="true" outlineLevel="0" collapsed="false">
      <c r="A2935" s="4" t="s">
        <v>6122</v>
      </c>
      <c r="B2935" s="4" t="s">
        <v>3111</v>
      </c>
      <c r="C2935" s="4" t="n">
        <v>1469</v>
      </c>
      <c r="D2935" s="4" t="n">
        <v>0</v>
      </c>
      <c r="E2935" s="13" t="n">
        <v>45156</v>
      </c>
      <c r="F2935" s="4"/>
      <c r="G2935" s="4" t="str">
        <f aca="false">INDEX(PurchaseOrders!$B$2:$B$3001,MATCH(B2935,PurchaseOrders!$A$2:$A$3001,0))</f>
        <v>V011</v>
      </c>
    </row>
    <row r="2936" customFormat="false" ht="15" hidden="false" customHeight="true" outlineLevel="0" collapsed="false">
      <c r="A2936" s="4" t="s">
        <v>6123</v>
      </c>
      <c r="B2936" s="4" t="s">
        <v>3112</v>
      </c>
      <c r="C2936" s="4" t="n">
        <v>1359</v>
      </c>
      <c r="D2936" s="4" t="n">
        <v>55</v>
      </c>
      <c r="E2936" s="13" t="n">
        <v>45638</v>
      </c>
      <c r="F2936" s="4" t="s">
        <v>3192</v>
      </c>
      <c r="G2936" s="4" t="str">
        <f aca="false">INDEX(PurchaseOrders!$B$2:$B$3001,MATCH(B2936,PurchaseOrders!$A$2:$A$3001,0))</f>
        <v>V034</v>
      </c>
    </row>
    <row r="2937" customFormat="false" ht="15" hidden="false" customHeight="true" outlineLevel="0" collapsed="false">
      <c r="A2937" s="4" t="s">
        <v>6124</v>
      </c>
      <c r="B2937" s="4" t="s">
        <v>3113</v>
      </c>
      <c r="C2937" s="4" t="n">
        <v>764</v>
      </c>
      <c r="D2937" s="4" t="n">
        <v>107</v>
      </c>
      <c r="E2937" s="13" t="n">
        <v>45043</v>
      </c>
      <c r="F2937" s="4" t="s">
        <v>3192</v>
      </c>
      <c r="G2937" s="4" t="str">
        <f aca="false">INDEX(PurchaseOrders!$B$2:$B$3001,MATCH(B2937,PurchaseOrders!$A$2:$A$3001,0))</f>
        <v>V044</v>
      </c>
    </row>
    <row r="2938" customFormat="false" ht="15" hidden="false" customHeight="true" outlineLevel="0" collapsed="false">
      <c r="A2938" s="4" t="s">
        <v>6125</v>
      </c>
      <c r="B2938" s="4" t="s">
        <v>3114</v>
      </c>
      <c r="C2938" s="4" t="n">
        <v>96</v>
      </c>
      <c r="D2938" s="4" t="n">
        <v>4</v>
      </c>
      <c r="E2938" s="13" t="n">
        <v>45574</v>
      </c>
      <c r="F2938" s="4" t="s">
        <v>3188</v>
      </c>
      <c r="G2938" s="4" t="str">
        <f aca="false">INDEX(PurchaseOrders!$B$2:$B$3001,MATCH(B2938,PurchaseOrders!$A$2:$A$3001,0))</f>
        <v>V037</v>
      </c>
    </row>
    <row r="2939" customFormat="false" ht="15" hidden="false" customHeight="true" outlineLevel="0" collapsed="false">
      <c r="A2939" s="4" t="s">
        <v>6126</v>
      </c>
      <c r="B2939" s="4" t="s">
        <v>3115</v>
      </c>
      <c r="C2939" s="4" t="n">
        <v>2687</v>
      </c>
      <c r="D2939" s="4" t="n">
        <v>81</v>
      </c>
      <c r="E2939" s="13" t="n">
        <v>45129</v>
      </c>
      <c r="F2939" s="4" t="s">
        <v>3184</v>
      </c>
      <c r="G2939" s="4" t="str">
        <f aca="false">INDEX(PurchaseOrders!$B$2:$B$3001,MATCH(B2939,PurchaseOrders!$A$2:$A$3001,0))</f>
        <v>V017</v>
      </c>
    </row>
    <row r="2940" customFormat="false" ht="15" hidden="false" customHeight="true" outlineLevel="0" collapsed="false">
      <c r="A2940" s="4" t="s">
        <v>6127</v>
      </c>
      <c r="B2940" s="4" t="s">
        <v>3116</v>
      </c>
      <c r="C2940" s="4" t="n">
        <v>267</v>
      </c>
      <c r="D2940" s="4" t="n">
        <v>4</v>
      </c>
      <c r="E2940" s="13" t="n">
        <v>45518</v>
      </c>
      <c r="F2940" s="4" t="s">
        <v>3192</v>
      </c>
      <c r="G2940" s="4" t="str">
        <f aca="false">INDEX(PurchaseOrders!$B$2:$B$3001,MATCH(B2940,PurchaseOrders!$A$2:$A$3001,0))</f>
        <v>V024</v>
      </c>
    </row>
    <row r="2941" customFormat="false" ht="15" hidden="false" customHeight="true" outlineLevel="0" collapsed="false">
      <c r="A2941" s="4" t="s">
        <v>6128</v>
      </c>
      <c r="B2941" s="4" t="s">
        <v>3117</v>
      </c>
      <c r="C2941" s="4" t="n">
        <v>3709</v>
      </c>
      <c r="D2941" s="4" t="n">
        <v>173</v>
      </c>
      <c r="E2941" s="13" t="n">
        <v>45516</v>
      </c>
      <c r="F2941" s="4" t="s">
        <v>3192</v>
      </c>
      <c r="G2941" s="4" t="str">
        <f aca="false">INDEX(PurchaseOrders!$B$2:$B$3001,MATCH(B2941,PurchaseOrders!$A$2:$A$3001,0))</f>
        <v>V002</v>
      </c>
    </row>
    <row r="2942" customFormat="false" ht="15" hidden="false" customHeight="true" outlineLevel="0" collapsed="false">
      <c r="A2942" s="4" t="s">
        <v>6129</v>
      </c>
      <c r="B2942" s="4" t="s">
        <v>3118</v>
      </c>
      <c r="C2942" s="4" t="n">
        <v>308</v>
      </c>
      <c r="D2942" s="4" t="n">
        <v>6</v>
      </c>
      <c r="E2942" s="13" t="n">
        <v>45203</v>
      </c>
      <c r="F2942" s="4" t="s">
        <v>3186</v>
      </c>
      <c r="G2942" s="4" t="str">
        <f aca="false">INDEX(PurchaseOrders!$B$2:$B$3001,MATCH(B2942,PurchaseOrders!$A$2:$A$3001,0))</f>
        <v>V045</v>
      </c>
    </row>
    <row r="2943" customFormat="false" ht="15" hidden="false" customHeight="true" outlineLevel="0" collapsed="false">
      <c r="A2943" s="4" t="s">
        <v>6130</v>
      </c>
      <c r="B2943" s="4" t="s">
        <v>3119</v>
      </c>
      <c r="C2943" s="4" t="n">
        <v>298</v>
      </c>
      <c r="D2943" s="4" t="n">
        <v>1</v>
      </c>
      <c r="E2943" s="13" t="n">
        <v>45510</v>
      </c>
      <c r="F2943" s="4" t="s">
        <v>3186</v>
      </c>
      <c r="G2943" s="4" t="str">
        <f aca="false">INDEX(PurchaseOrders!$B$2:$B$3001,MATCH(B2943,PurchaseOrders!$A$2:$A$3001,0))</f>
        <v>V011</v>
      </c>
    </row>
    <row r="2944" customFormat="false" ht="15" hidden="false" customHeight="true" outlineLevel="0" collapsed="false">
      <c r="A2944" s="4" t="s">
        <v>6131</v>
      </c>
      <c r="B2944" s="4" t="s">
        <v>3120</v>
      </c>
      <c r="C2944" s="4" t="n">
        <v>2796</v>
      </c>
      <c r="D2944" s="4" t="n">
        <v>77</v>
      </c>
      <c r="E2944" s="13" t="n">
        <v>45586</v>
      </c>
      <c r="F2944" s="4" t="s">
        <v>3186</v>
      </c>
      <c r="G2944" s="4" t="str">
        <f aca="false">INDEX(PurchaseOrders!$B$2:$B$3001,MATCH(B2944,PurchaseOrders!$A$2:$A$3001,0))</f>
        <v>V015</v>
      </c>
    </row>
    <row r="2945" customFormat="false" ht="15" hidden="false" customHeight="true" outlineLevel="0" collapsed="false">
      <c r="A2945" s="4" t="s">
        <v>6132</v>
      </c>
      <c r="B2945" s="4" t="s">
        <v>3121</v>
      </c>
      <c r="C2945" s="4" t="n">
        <v>1206</v>
      </c>
      <c r="D2945" s="4" t="n">
        <v>243</v>
      </c>
      <c r="E2945" s="13" t="n">
        <v>45305</v>
      </c>
      <c r="F2945" s="4" t="s">
        <v>3202</v>
      </c>
      <c r="G2945" s="4" t="str">
        <f aca="false">INDEX(PurchaseOrders!$B$2:$B$3001,MATCH(B2945,PurchaseOrders!$A$2:$A$3001,0))</f>
        <v>V039</v>
      </c>
    </row>
    <row r="2946" customFormat="false" ht="15" hidden="false" customHeight="true" outlineLevel="0" collapsed="false">
      <c r="A2946" s="4" t="s">
        <v>6133</v>
      </c>
      <c r="B2946" s="4" t="s">
        <v>3122</v>
      </c>
      <c r="C2946" s="4" t="n">
        <v>347</v>
      </c>
      <c r="D2946" s="4" t="n">
        <v>37</v>
      </c>
      <c r="E2946" s="13" t="n">
        <v>45495</v>
      </c>
      <c r="F2946" s="4" t="s">
        <v>3186</v>
      </c>
      <c r="G2946" s="4" t="str">
        <f aca="false">INDEX(PurchaseOrders!$B$2:$B$3001,MATCH(B2946,PurchaseOrders!$A$2:$A$3001,0))</f>
        <v>V005</v>
      </c>
    </row>
    <row r="2947" customFormat="false" ht="15" hidden="false" customHeight="true" outlineLevel="0" collapsed="false">
      <c r="A2947" s="4" t="s">
        <v>6134</v>
      </c>
      <c r="B2947" s="4" t="s">
        <v>3123</v>
      </c>
      <c r="C2947" s="4" t="n">
        <v>233</v>
      </c>
      <c r="D2947" s="4" t="n">
        <v>12</v>
      </c>
      <c r="E2947" s="13" t="n">
        <v>45570</v>
      </c>
      <c r="F2947" s="4" t="s">
        <v>3188</v>
      </c>
      <c r="G2947" s="4" t="str">
        <f aca="false">INDEX(PurchaseOrders!$B$2:$B$3001,MATCH(B2947,PurchaseOrders!$A$2:$A$3001,0))</f>
        <v>V031</v>
      </c>
    </row>
    <row r="2948" customFormat="false" ht="15" hidden="false" customHeight="true" outlineLevel="0" collapsed="false">
      <c r="A2948" s="4" t="s">
        <v>6135</v>
      </c>
      <c r="B2948" s="4" t="s">
        <v>3124</v>
      </c>
      <c r="C2948" s="4" t="n">
        <v>278</v>
      </c>
      <c r="D2948" s="4" t="n">
        <v>7</v>
      </c>
      <c r="E2948" s="13" t="n">
        <v>45640</v>
      </c>
      <c r="F2948" s="4" t="s">
        <v>3190</v>
      </c>
      <c r="G2948" s="4" t="str">
        <f aca="false">INDEX(PurchaseOrders!$B$2:$B$3001,MATCH(B2948,PurchaseOrders!$A$2:$A$3001,0))</f>
        <v>V006</v>
      </c>
    </row>
    <row r="2949" customFormat="false" ht="15" hidden="false" customHeight="true" outlineLevel="0" collapsed="false">
      <c r="A2949" s="4" t="s">
        <v>6136</v>
      </c>
      <c r="B2949" s="4" t="s">
        <v>3125</v>
      </c>
      <c r="C2949" s="4" t="n">
        <v>30</v>
      </c>
      <c r="D2949" s="4" t="n">
        <v>1</v>
      </c>
      <c r="E2949" s="13" t="n">
        <v>45520</v>
      </c>
      <c r="F2949" s="4" t="s">
        <v>3186</v>
      </c>
      <c r="G2949" s="4" t="str">
        <f aca="false">INDEX(PurchaseOrders!$B$2:$B$3001,MATCH(B2949,PurchaseOrders!$A$2:$A$3001,0))</f>
        <v>V046</v>
      </c>
    </row>
    <row r="2950" customFormat="false" ht="15" hidden="false" customHeight="true" outlineLevel="0" collapsed="false">
      <c r="A2950" s="4" t="s">
        <v>6137</v>
      </c>
      <c r="B2950" s="4" t="s">
        <v>3126</v>
      </c>
      <c r="C2950" s="4" t="n">
        <v>914</v>
      </c>
      <c r="D2950" s="4" t="n">
        <v>7</v>
      </c>
      <c r="E2950" s="13" t="n">
        <v>45411</v>
      </c>
      <c r="F2950" s="4" t="s">
        <v>3184</v>
      </c>
      <c r="G2950" s="4" t="str">
        <f aca="false">INDEX(PurchaseOrders!$B$2:$B$3001,MATCH(B2950,PurchaseOrders!$A$2:$A$3001,0))</f>
        <v>V002</v>
      </c>
    </row>
    <row r="2951" customFormat="false" ht="15" hidden="false" customHeight="true" outlineLevel="0" collapsed="false">
      <c r="A2951" s="4" t="s">
        <v>6138</v>
      </c>
      <c r="B2951" s="4" t="s">
        <v>3127</v>
      </c>
      <c r="C2951" s="4" t="n">
        <v>905</v>
      </c>
      <c r="D2951" s="4" t="n">
        <v>35</v>
      </c>
      <c r="E2951" s="13" t="n">
        <v>45347</v>
      </c>
      <c r="F2951" s="4" t="s">
        <v>3188</v>
      </c>
      <c r="G2951" s="4" t="str">
        <f aca="false">INDEX(PurchaseOrders!$B$2:$B$3001,MATCH(B2951,PurchaseOrders!$A$2:$A$3001,0))</f>
        <v>V001</v>
      </c>
    </row>
    <row r="2952" customFormat="false" ht="15" hidden="false" customHeight="true" outlineLevel="0" collapsed="false">
      <c r="A2952" s="4" t="s">
        <v>6139</v>
      </c>
      <c r="B2952" s="4" t="s">
        <v>3128</v>
      </c>
      <c r="C2952" s="4" t="n">
        <v>196</v>
      </c>
      <c r="D2952" s="4" t="n">
        <v>22</v>
      </c>
      <c r="E2952" s="13" t="n">
        <v>45150</v>
      </c>
      <c r="F2952" s="4" t="s">
        <v>3188</v>
      </c>
      <c r="G2952" s="4" t="str">
        <f aca="false">INDEX(PurchaseOrders!$B$2:$B$3001,MATCH(B2952,PurchaseOrders!$A$2:$A$3001,0))</f>
        <v>V055</v>
      </c>
    </row>
    <row r="2953" customFormat="false" ht="15" hidden="false" customHeight="true" outlineLevel="0" collapsed="false">
      <c r="A2953" s="4" t="s">
        <v>6140</v>
      </c>
      <c r="B2953" s="4" t="s">
        <v>3129</v>
      </c>
      <c r="C2953" s="4" t="n">
        <v>1267</v>
      </c>
      <c r="D2953" s="4" t="n">
        <v>155</v>
      </c>
      <c r="E2953" s="13" t="n">
        <v>45327</v>
      </c>
      <c r="F2953" s="4" t="s">
        <v>3192</v>
      </c>
      <c r="G2953" s="4" t="str">
        <f aca="false">INDEX(PurchaseOrders!$B$2:$B$3001,MATCH(B2953,PurchaseOrders!$A$2:$A$3001,0))</f>
        <v>V027</v>
      </c>
    </row>
    <row r="2954" customFormat="false" ht="15" hidden="false" customHeight="true" outlineLevel="0" collapsed="false">
      <c r="A2954" s="4" t="s">
        <v>6141</v>
      </c>
      <c r="B2954" s="4" t="s">
        <v>3130</v>
      </c>
      <c r="C2954" s="4" t="n">
        <v>430</v>
      </c>
      <c r="D2954" s="4" t="n">
        <v>67</v>
      </c>
      <c r="E2954" s="13" t="n">
        <v>45117</v>
      </c>
      <c r="F2954" s="4" t="s">
        <v>3184</v>
      </c>
      <c r="G2954" s="4" t="str">
        <f aca="false">INDEX(PurchaseOrders!$B$2:$B$3001,MATCH(B2954,PurchaseOrders!$A$2:$A$3001,0))</f>
        <v>V025</v>
      </c>
    </row>
    <row r="2955" customFormat="false" ht="15" hidden="false" customHeight="true" outlineLevel="0" collapsed="false">
      <c r="A2955" s="4" t="s">
        <v>6142</v>
      </c>
      <c r="B2955" s="4" t="s">
        <v>3131</v>
      </c>
      <c r="C2955" s="4" t="n">
        <v>2</v>
      </c>
      <c r="D2955" s="4" t="n">
        <v>0</v>
      </c>
      <c r="E2955" s="13" t="n">
        <v>45557</v>
      </c>
      <c r="F2955" s="4"/>
      <c r="G2955" s="4" t="str">
        <f aca="false">INDEX(PurchaseOrders!$B$2:$B$3001,MATCH(B2955,PurchaseOrders!$A$2:$A$3001,0))</f>
        <v>V042</v>
      </c>
    </row>
    <row r="2956" customFormat="false" ht="15" hidden="false" customHeight="true" outlineLevel="0" collapsed="false">
      <c r="A2956" s="4" t="s">
        <v>6143</v>
      </c>
      <c r="B2956" s="4" t="s">
        <v>3132</v>
      </c>
      <c r="C2956" s="4" t="n">
        <v>445</v>
      </c>
      <c r="D2956" s="4" t="n">
        <v>14</v>
      </c>
      <c r="E2956" s="13" t="n">
        <v>45567</v>
      </c>
      <c r="F2956" s="4" t="s">
        <v>3184</v>
      </c>
      <c r="G2956" s="4" t="str">
        <f aca="false">INDEX(PurchaseOrders!$B$2:$B$3001,MATCH(B2956,PurchaseOrders!$A$2:$A$3001,0))</f>
        <v>V048</v>
      </c>
    </row>
    <row r="2957" customFormat="false" ht="15" hidden="false" customHeight="true" outlineLevel="0" collapsed="false">
      <c r="A2957" s="4" t="s">
        <v>6144</v>
      </c>
      <c r="B2957" s="4" t="s">
        <v>3133</v>
      </c>
      <c r="C2957" s="4" t="n">
        <v>654</v>
      </c>
      <c r="D2957" s="4" t="n">
        <v>8</v>
      </c>
      <c r="E2957" s="13" t="n">
        <v>45615</v>
      </c>
      <c r="F2957" s="4" t="s">
        <v>3190</v>
      </c>
      <c r="G2957" s="4" t="str">
        <f aca="false">INDEX(PurchaseOrders!$B$2:$B$3001,MATCH(B2957,PurchaseOrders!$A$2:$A$3001,0))</f>
        <v>V020</v>
      </c>
    </row>
    <row r="2958" customFormat="false" ht="15" hidden="false" customHeight="true" outlineLevel="0" collapsed="false">
      <c r="A2958" s="4" t="s">
        <v>6145</v>
      </c>
      <c r="B2958" s="4" t="s">
        <v>3134</v>
      </c>
      <c r="C2958" s="4" t="n">
        <v>1665</v>
      </c>
      <c r="D2958" s="4" t="n">
        <v>106</v>
      </c>
      <c r="E2958" s="13" t="n">
        <v>45562</v>
      </c>
      <c r="F2958" s="4" t="s">
        <v>3184</v>
      </c>
      <c r="G2958" s="4" t="str">
        <f aca="false">INDEX(PurchaseOrders!$B$2:$B$3001,MATCH(B2958,PurchaseOrders!$A$2:$A$3001,0))</f>
        <v>V056</v>
      </c>
    </row>
    <row r="2959" customFormat="false" ht="15" hidden="false" customHeight="true" outlineLevel="0" collapsed="false">
      <c r="A2959" s="4" t="s">
        <v>6146</v>
      </c>
      <c r="B2959" s="4" t="s">
        <v>3135</v>
      </c>
      <c r="C2959" s="4" t="n">
        <v>601</v>
      </c>
      <c r="D2959" s="4" t="n">
        <v>27</v>
      </c>
      <c r="E2959" s="13" t="n">
        <v>45018</v>
      </c>
      <c r="F2959" s="4" t="s">
        <v>3186</v>
      </c>
      <c r="G2959" s="4" t="str">
        <f aca="false">INDEX(PurchaseOrders!$B$2:$B$3001,MATCH(B2959,PurchaseOrders!$A$2:$A$3001,0))</f>
        <v>V017</v>
      </c>
    </row>
    <row r="2960" customFormat="false" ht="15" hidden="false" customHeight="true" outlineLevel="0" collapsed="false">
      <c r="A2960" s="4" t="s">
        <v>6147</v>
      </c>
      <c r="B2960" s="4" t="s">
        <v>3136</v>
      </c>
      <c r="C2960" s="4" t="n">
        <v>14</v>
      </c>
      <c r="D2960" s="4" t="n">
        <v>1</v>
      </c>
      <c r="E2960" s="13" t="n">
        <v>44950</v>
      </c>
      <c r="F2960" s="4" t="s">
        <v>3188</v>
      </c>
      <c r="G2960" s="4" t="str">
        <f aca="false">INDEX(PurchaseOrders!$B$2:$B$3001,MATCH(B2960,PurchaseOrders!$A$2:$A$3001,0))</f>
        <v>V041</v>
      </c>
    </row>
    <row r="2961" customFormat="false" ht="15" hidden="false" customHeight="true" outlineLevel="0" collapsed="false">
      <c r="A2961" s="4" t="s">
        <v>6148</v>
      </c>
      <c r="B2961" s="4" t="s">
        <v>3137</v>
      </c>
      <c r="C2961" s="4" t="n">
        <v>1271</v>
      </c>
      <c r="D2961" s="4" t="n">
        <v>125</v>
      </c>
      <c r="E2961" s="13" t="n">
        <v>45233</v>
      </c>
      <c r="F2961" s="4" t="s">
        <v>3186</v>
      </c>
      <c r="G2961" s="4" t="str">
        <f aca="false">INDEX(PurchaseOrders!$B$2:$B$3001,MATCH(B2961,PurchaseOrders!$A$2:$A$3001,0))</f>
        <v>V044</v>
      </c>
    </row>
    <row r="2962" customFormat="false" ht="15" hidden="false" customHeight="true" outlineLevel="0" collapsed="false">
      <c r="A2962" s="4" t="s">
        <v>6149</v>
      </c>
      <c r="B2962" s="4" t="s">
        <v>3138</v>
      </c>
      <c r="C2962" s="4" t="n">
        <v>237</v>
      </c>
      <c r="D2962" s="4" t="n">
        <v>15</v>
      </c>
      <c r="E2962" s="13" t="n">
        <v>45389</v>
      </c>
      <c r="F2962" s="4" t="s">
        <v>3192</v>
      </c>
      <c r="G2962" s="4" t="str">
        <f aca="false">INDEX(PurchaseOrders!$B$2:$B$3001,MATCH(B2962,PurchaseOrders!$A$2:$A$3001,0))</f>
        <v>V052</v>
      </c>
    </row>
    <row r="2963" customFormat="false" ht="15" hidden="false" customHeight="true" outlineLevel="0" collapsed="false">
      <c r="A2963" s="4" t="s">
        <v>6150</v>
      </c>
      <c r="B2963" s="4" t="s">
        <v>3139</v>
      </c>
      <c r="C2963" s="4" t="n">
        <v>13</v>
      </c>
      <c r="D2963" s="4" t="n">
        <v>1</v>
      </c>
      <c r="E2963" s="13" t="n">
        <v>45094</v>
      </c>
      <c r="F2963" s="4" t="s">
        <v>3184</v>
      </c>
      <c r="G2963" s="4" t="str">
        <f aca="false">INDEX(PurchaseOrders!$B$2:$B$3001,MATCH(B2963,PurchaseOrders!$A$2:$A$3001,0))</f>
        <v>V042</v>
      </c>
    </row>
    <row r="2964" customFormat="false" ht="15" hidden="false" customHeight="true" outlineLevel="0" collapsed="false">
      <c r="A2964" s="4" t="s">
        <v>6151</v>
      </c>
      <c r="B2964" s="4" t="s">
        <v>3140</v>
      </c>
      <c r="C2964" s="4" t="n">
        <v>1210</v>
      </c>
      <c r="D2964" s="4" t="n">
        <v>78</v>
      </c>
      <c r="E2964" s="13" t="n">
        <v>45256</v>
      </c>
      <c r="F2964" s="4" t="s">
        <v>3184</v>
      </c>
      <c r="G2964" s="4" t="str">
        <f aca="false">INDEX(PurchaseOrders!$B$2:$B$3001,MATCH(B2964,PurchaseOrders!$A$2:$A$3001,0))</f>
        <v>V007</v>
      </c>
    </row>
    <row r="2965" customFormat="false" ht="15" hidden="false" customHeight="true" outlineLevel="0" collapsed="false">
      <c r="A2965" s="4" t="s">
        <v>6152</v>
      </c>
      <c r="B2965" s="4" t="s">
        <v>3141</v>
      </c>
      <c r="C2965" s="4" t="n">
        <v>5</v>
      </c>
      <c r="D2965" s="4" t="n">
        <v>0</v>
      </c>
      <c r="E2965" s="13" t="n">
        <v>45403</v>
      </c>
      <c r="F2965" s="4"/>
      <c r="G2965" s="4" t="str">
        <f aca="false">INDEX(PurchaseOrders!$B$2:$B$3001,MATCH(B2965,PurchaseOrders!$A$2:$A$3001,0))</f>
        <v>V023</v>
      </c>
    </row>
    <row r="2966" customFormat="false" ht="15" hidden="false" customHeight="true" outlineLevel="0" collapsed="false">
      <c r="A2966" s="4" t="s">
        <v>6153</v>
      </c>
      <c r="B2966" s="4" t="s">
        <v>3142</v>
      </c>
      <c r="C2966" s="4" t="n">
        <v>50</v>
      </c>
      <c r="D2966" s="4" t="n">
        <v>5</v>
      </c>
      <c r="E2966" s="13" t="n">
        <v>45012</v>
      </c>
      <c r="F2966" s="4" t="s">
        <v>3202</v>
      </c>
      <c r="G2966" s="4" t="str">
        <f aca="false">INDEX(PurchaseOrders!$B$2:$B$3001,MATCH(B2966,PurchaseOrders!$A$2:$A$3001,0))</f>
        <v>V009</v>
      </c>
    </row>
    <row r="2967" customFormat="false" ht="15" hidden="false" customHeight="true" outlineLevel="0" collapsed="false">
      <c r="A2967" s="4" t="s">
        <v>6154</v>
      </c>
      <c r="B2967" s="4" t="s">
        <v>3143</v>
      </c>
      <c r="C2967" s="4" t="n">
        <v>1935</v>
      </c>
      <c r="D2967" s="4" t="n">
        <v>178</v>
      </c>
      <c r="E2967" s="13" t="n">
        <v>45359</v>
      </c>
      <c r="F2967" s="4" t="s">
        <v>3190</v>
      </c>
      <c r="G2967" s="4" t="str">
        <f aca="false">INDEX(PurchaseOrders!$B$2:$B$3001,MATCH(B2967,PurchaseOrders!$A$2:$A$3001,0))</f>
        <v>V027</v>
      </c>
    </row>
    <row r="2968" customFormat="false" ht="15" hidden="false" customHeight="true" outlineLevel="0" collapsed="false">
      <c r="A2968" s="4" t="s">
        <v>6155</v>
      </c>
      <c r="B2968" s="4" t="s">
        <v>3144</v>
      </c>
      <c r="C2968" s="4" t="n">
        <v>9</v>
      </c>
      <c r="D2968" s="4" t="n">
        <v>1</v>
      </c>
      <c r="E2968" s="13" t="n">
        <v>44999</v>
      </c>
      <c r="F2968" s="4" t="s">
        <v>3192</v>
      </c>
      <c r="G2968" s="4" t="str">
        <f aca="false">INDEX(PurchaseOrders!$B$2:$B$3001,MATCH(B2968,PurchaseOrders!$A$2:$A$3001,0))</f>
        <v>V042</v>
      </c>
    </row>
    <row r="2969" customFormat="false" ht="15" hidden="false" customHeight="true" outlineLevel="0" collapsed="false">
      <c r="A2969" s="4" t="s">
        <v>6156</v>
      </c>
      <c r="B2969" s="4" t="s">
        <v>3145</v>
      </c>
      <c r="C2969" s="4" t="n">
        <v>434</v>
      </c>
      <c r="D2969" s="4" t="n">
        <v>0</v>
      </c>
      <c r="E2969" s="13" t="n">
        <v>45482</v>
      </c>
      <c r="F2969" s="4"/>
      <c r="G2969" s="4" t="str">
        <f aca="false">INDEX(PurchaseOrders!$B$2:$B$3001,MATCH(B2969,PurchaseOrders!$A$2:$A$3001,0))</f>
        <v>V008</v>
      </c>
    </row>
    <row r="2970" customFormat="false" ht="15" hidden="false" customHeight="true" outlineLevel="0" collapsed="false">
      <c r="A2970" s="4" t="s">
        <v>6157</v>
      </c>
      <c r="B2970" s="4" t="s">
        <v>3146</v>
      </c>
      <c r="C2970" s="4" t="n">
        <v>511</v>
      </c>
      <c r="D2970" s="4" t="n">
        <v>32</v>
      </c>
      <c r="E2970" s="13" t="n">
        <v>45550</v>
      </c>
      <c r="F2970" s="4" t="s">
        <v>3188</v>
      </c>
      <c r="G2970" s="4" t="str">
        <f aca="false">INDEX(PurchaseOrders!$B$2:$B$3001,MATCH(B2970,PurchaseOrders!$A$2:$A$3001,0))</f>
        <v>V048</v>
      </c>
    </row>
    <row r="2971" customFormat="false" ht="15" hidden="false" customHeight="true" outlineLevel="0" collapsed="false">
      <c r="A2971" s="4" t="s">
        <v>6158</v>
      </c>
      <c r="B2971" s="4" t="s">
        <v>3147</v>
      </c>
      <c r="C2971" s="4" t="n">
        <v>3236</v>
      </c>
      <c r="D2971" s="4" t="n">
        <v>169</v>
      </c>
      <c r="E2971" s="13" t="n">
        <v>45002</v>
      </c>
      <c r="F2971" s="4" t="s">
        <v>3190</v>
      </c>
      <c r="G2971" s="4" t="str">
        <f aca="false">INDEX(PurchaseOrders!$B$2:$B$3001,MATCH(B2971,PurchaseOrders!$A$2:$A$3001,0))</f>
        <v>V002</v>
      </c>
    </row>
    <row r="2972" customFormat="false" ht="15" hidden="false" customHeight="true" outlineLevel="0" collapsed="false">
      <c r="A2972" s="4" t="s">
        <v>6159</v>
      </c>
      <c r="B2972" s="4" t="s">
        <v>3148</v>
      </c>
      <c r="C2972" s="4" t="n">
        <v>1682</v>
      </c>
      <c r="D2972" s="4" t="n">
        <v>112</v>
      </c>
      <c r="E2972" s="13" t="n">
        <v>45594</v>
      </c>
      <c r="F2972" s="4" t="s">
        <v>3186</v>
      </c>
      <c r="G2972" s="4" t="str">
        <f aca="false">INDEX(PurchaseOrders!$B$2:$B$3001,MATCH(B2972,PurchaseOrders!$A$2:$A$3001,0))</f>
        <v>V005</v>
      </c>
    </row>
    <row r="2973" customFormat="false" ht="15" hidden="false" customHeight="true" outlineLevel="0" collapsed="false">
      <c r="A2973" s="4" t="s">
        <v>6160</v>
      </c>
      <c r="B2973" s="4" t="s">
        <v>3149</v>
      </c>
      <c r="C2973" s="4" t="n">
        <v>1102</v>
      </c>
      <c r="D2973" s="4" t="n">
        <v>13</v>
      </c>
      <c r="E2973" s="13" t="n">
        <v>45201</v>
      </c>
      <c r="F2973" s="4" t="s">
        <v>3202</v>
      </c>
      <c r="G2973" s="4" t="str">
        <f aca="false">INDEX(PurchaseOrders!$B$2:$B$3001,MATCH(B2973,PurchaseOrders!$A$2:$A$3001,0))</f>
        <v>V017</v>
      </c>
    </row>
    <row r="2974" customFormat="false" ht="15" hidden="false" customHeight="true" outlineLevel="0" collapsed="false">
      <c r="A2974" s="4" t="s">
        <v>6161</v>
      </c>
      <c r="B2974" s="4" t="s">
        <v>3150</v>
      </c>
      <c r="C2974" s="4" t="n">
        <v>34</v>
      </c>
      <c r="D2974" s="4" t="n">
        <v>2</v>
      </c>
      <c r="E2974" s="13" t="n">
        <v>45115</v>
      </c>
      <c r="F2974" s="4" t="s">
        <v>3184</v>
      </c>
      <c r="G2974" s="4" t="str">
        <f aca="false">INDEX(PurchaseOrders!$B$2:$B$3001,MATCH(B2974,PurchaseOrders!$A$2:$A$3001,0))</f>
        <v>V037</v>
      </c>
    </row>
    <row r="2975" customFormat="false" ht="15" hidden="false" customHeight="true" outlineLevel="0" collapsed="false">
      <c r="A2975" s="4" t="s">
        <v>6162</v>
      </c>
      <c r="B2975" s="4" t="s">
        <v>3151</v>
      </c>
      <c r="C2975" s="4" t="n">
        <v>306</v>
      </c>
      <c r="D2975" s="4" t="n">
        <v>5</v>
      </c>
      <c r="E2975" s="13" t="n">
        <v>44998</v>
      </c>
      <c r="F2975" s="4" t="s">
        <v>3188</v>
      </c>
      <c r="G2975" s="4" t="str">
        <f aca="false">INDEX(PurchaseOrders!$B$2:$B$3001,MATCH(B2975,PurchaseOrders!$A$2:$A$3001,0))</f>
        <v>V029</v>
      </c>
    </row>
    <row r="2976" customFormat="false" ht="15" hidden="false" customHeight="true" outlineLevel="0" collapsed="false">
      <c r="A2976" s="4" t="s">
        <v>6163</v>
      </c>
      <c r="B2976" s="4" t="s">
        <v>3152</v>
      </c>
      <c r="C2976" s="4" t="n">
        <v>4449</v>
      </c>
      <c r="D2976" s="4" t="n">
        <v>246</v>
      </c>
      <c r="E2976" s="13" t="n">
        <v>44949</v>
      </c>
      <c r="F2976" s="4" t="s">
        <v>3192</v>
      </c>
      <c r="G2976" s="4" t="str">
        <f aca="false">INDEX(PurchaseOrders!$B$2:$B$3001,MATCH(B2976,PurchaseOrders!$A$2:$A$3001,0))</f>
        <v>V056</v>
      </c>
    </row>
    <row r="2977" customFormat="false" ht="15" hidden="false" customHeight="true" outlineLevel="0" collapsed="false">
      <c r="A2977" s="4" t="s">
        <v>6164</v>
      </c>
      <c r="B2977" s="4" t="s">
        <v>3153</v>
      </c>
      <c r="C2977" s="4" t="n">
        <v>299</v>
      </c>
      <c r="D2977" s="4" t="n">
        <v>12</v>
      </c>
      <c r="E2977" s="13" t="n">
        <v>45061</v>
      </c>
      <c r="F2977" s="4" t="s">
        <v>3202</v>
      </c>
      <c r="G2977" s="4" t="str">
        <f aca="false">INDEX(PurchaseOrders!$B$2:$B$3001,MATCH(B2977,PurchaseOrders!$A$2:$A$3001,0))</f>
        <v>V031</v>
      </c>
    </row>
    <row r="2978" customFormat="false" ht="15" hidden="false" customHeight="true" outlineLevel="0" collapsed="false">
      <c r="A2978" s="4" t="s">
        <v>6165</v>
      </c>
      <c r="B2978" s="4" t="s">
        <v>3154</v>
      </c>
      <c r="C2978" s="4" t="n">
        <v>4550</v>
      </c>
      <c r="D2978" s="4" t="n">
        <v>292</v>
      </c>
      <c r="E2978" s="13" t="n">
        <v>45620</v>
      </c>
      <c r="F2978" s="4" t="s">
        <v>3192</v>
      </c>
      <c r="G2978" s="4" t="str">
        <f aca="false">INDEX(PurchaseOrders!$B$2:$B$3001,MATCH(B2978,PurchaseOrders!$A$2:$A$3001,0))</f>
        <v>V056</v>
      </c>
    </row>
    <row r="2979" customFormat="false" ht="15" hidden="false" customHeight="true" outlineLevel="0" collapsed="false">
      <c r="A2979" s="4" t="s">
        <v>6166</v>
      </c>
      <c r="B2979" s="4" t="s">
        <v>3155</v>
      </c>
      <c r="C2979" s="4" t="n">
        <v>690</v>
      </c>
      <c r="D2979" s="4" t="n">
        <v>107</v>
      </c>
      <c r="E2979" s="13" t="n">
        <v>45587</v>
      </c>
      <c r="F2979" s="4" t="s">
        <v>3192</v>
      </c>
      <c r="G2979" s="4" t="str">
        <f aca="false">INDEX(PurchaseOrders!$B$2:$B$3001,MATCH(B2979,PurchaseOrders!$A$2:$A$3001,0))</f>
        <v>V025</v>
      </c>
    </row>
    <row r="2980" customFormat="false" ht="15" hidden="false" customHeight="true" outlineLevel="0" collapsed="false">
      <c r="A2980" s="4" t="s">
        <v>6167</v>
      </c>
      <c r="B2980" s="4" t="s">
        <v>3156</v>
      </c>
      <c r="C2980" s="4" t="n">
        <v>2456</v>
      </c>
      <c r="D2980" s="4" t="n">
        <v>1</v>
      </c>
      <c r="E2980" s="13" t="n">
        <v>45584</v>
      </c>
      <c r="F2980" s="4" t="s">
        <v>3192</v>
      </c>
      <c r="G2980" s="4" t="str">
        <f aca="false">INDEX(PurchaseOrders!$B$2:$B$3001,MATCH(B2980,PurchaseOrders!$A$2:$A$3001,0))</f>
        <v>V015</v>
      </c>
    </row>
    <row r="2981" customFormat="false" ht="15" hidden="false" customHeight="true" outlineLevel="0" collapsed="false">
      <c r="A2981" s="4" t="s">
        <v>6168</v>
      </c>
      <c r="B2981" s="4" t="s">
        <v>3157</v>
      </c>
      <c r="C2981" s="4" t="n">
        <v>2327</v>
      </c>
      <c r="D2981" s="4" t="n">
        <v>92</v>
      </c>
      <c r="E2981" s="13" t="n">
        <v>45560</v>
      </c>
      <c r="F2981" s="4" t="s">
        <v>3184</v>
      </c>
      <c r="G2981" s="4" t="str">
        <f aca="false">INDEX(PurchaseOrders!$B$2:$B$3001,MATCH(B2981,PurchaseOrders!$A$2:$A$3001,0))</f>
        <v>V003</v>
      </c>
    </row>
    <row r="2982" customFormat="false" ht="15" hidden="false" customHeight="true" outlineLevel="0" collapsed="false">
      <c r="A2982" s="4" t="s">
        <v>6169</v>
      </c>
      <c r="B2982" s="4" t="s">
        <v>3158</v>
      </c>
      <c r="C2982" s="4" t="n">
        <v>1870</v>
      </c>
      <c r="D2982" s="4" t="n">
        <v>281</v>
      </c>
      <c r="E2982" s="13" t="n">
        <v>45212</v>
      </c>
      <c r="F2982" s="4" t="s">
        <v>3184</v>
      </c>
      <c r="G2982" s="4" t="str">
        <f aca="false">INDEX(PurchaseOrders!$B$2:$B$3001,MATCH(B2982,PurchaseOrders!$A$2:$A$3001,0))</f>
        <v>V025</v>
      </c>
    </row>
    <row r="2983" customFormat="false" ht="15" hidden="false" customHeight="true" outlineLevel="0" collapsed="false">
      <c r="A2983" s="4" t="s">
        <v>6170</v>
      </c>
      <c r="B2983" s="4" t="s">
        <v>3159</v>
      </c>
      <c r="C2983" s="4" t="n">
        <v>8</v>
      </c>
      <c r="D2983" s="4" t="n">
        <v>0</v>
      </c>
      <c r="E2983" s="13" t="n">
        <v>45568</v>
      </c>
      <c r="F2983" s="4"/>
      <c r="G2983" s="4" t="str">
        <f aca="false">INDEX(PurchaseOrders!$B$2:$B$3001,MATCH(B2983,PurchaseOrders!$A$2:$A$3001,0))</f>
        <v>V041</v>
      </c>
    </row>
    <row r="2984" customFormat="false" ht="15" hidden="false" customHeight="true" outlineLevel="0" collapsed="false">
      <c r="A2984" s="4" t="s">
        <v>6171</v>
      </c>
      <c r="B2984" s="4" t="s">
        <v>3160</v>
      </c>
      <c r="C2984" s="4" t="n">
        <v>721</v>
      </c>
      <c r="D2984" s="4" t="n">
        <v>22</v>
      </c>
      <c r="E2984" s="13" t="n">
        <v>45464</v>
      </c>
      <c r="F2984" s="4" t="s">
        <v>3184</v>
      </c>
      <c r="G2984" s="4" t="str">
        <f aca="false">INDEX(PurchaseOrders!$B$2:$B$3001,MATCH(B2984,PurchaseOrders!$A$2:$A$3001,0))</f>
        <v>V022</v>
      </c>
    </row>
    <row r="2985" customFormat="false" ht="15" hidden="false" customHeight="true" outlineLevel="0" collapsed="false">
      <c r="A2985" s="4" t="s">
        <v>6172</v>
      </c>
      <c r="B2985" s="4" t="s">
        <v>3161</v>
      </c>
      <c r="C2985" s="4" t="n">
        <v>286</v>
      </c>
      <c r="D2985" s="4" t="n">
        <v>24</v>
      </c>
      <c r="E2985" s="13" t="n">
        <v>45414</v>
      </c>
      <c r="F2985" s="4" t="s">
        <v>3186</v>
      </c>
      <c r="G2985" s="4" t="str">
        <f aca="false">INDEX(PurchaseOrders!$B$2:$B$3001,MATCH(B2985,PurchaseOrders!$A$2:$A$3001,0))</f>
        <v>V030</v>
      </c>
    </row>
    <row r="2986" customFormat="false" ht="15" hidden="false" customHeight="true" outlineLevel="0" collapsed="false">
      <c r="A2986" s="4" t="s">
        <v>6173</v>
      </c>
      <c r="B2986" s="4" t="s">
        <v>3162</v>
      </c>
      <c r="C2986" s="4" t="n">
        <v>14</v>
      </c>
      <c r="D2986" s="4" t="n">
        <v>1</v>
      </c>
      <c r="E2986" s="13" t="n">
        <v>45079</v>
      </c>
      <c r="F2986" s="4" t="s">
        <v>3202</v>
      </c>
      <c r="G2986" s="4" t="str">
        <f aca="false">INDEX(PurchaseOrders!$B$2:$B$3001,MATCH(B2986,PurchaseOrders!$A$2:$A$3001,0))</f>
        <v>V041</v>
      </c>
    </row>
    <row r="2987" customFormat="false" ht="15" hidden="false" customHeight="true" outlineLevel="0" collapsed="false">
      <c r="A2987" s="4" t="s">
        <v>6174</v>
      </c>
      <c r="B2987" s="4" t="s">
        <v>3163</v>
      </c>
      <c r="C2987" s="4" t="n">
        <v>771</v>
      </c>
      <c r="D2987" s="4" t="n">
        <v>39</v>
      </c>
      <c r="E2987" s="13" t="n">
        <v>44958</v>
      </c>
      <c r="F2987" s="4" t="s">
        <v>3184</v>
      </c>
      <c r="G2987" s="4" t="str">
        <f aca="false">INDEX(PurchaseOrders!$B$2:$B$3001,MATCH(B2987,PurchaseOrders!$A$2:$A$3001,0))</f>
        <v>V028</v>
      </c>
    </row>
    <row r="2988" customFormat="false" ht="15" hidden="false" customHeight="true" outlineLevel="0" collapsed="false">
      <c r="A2988" s="4" t="s">
        <v>6175</v>
      </c>
      <c r="B2988" s="4" t="s">
        <v>3164</v>
      </c>
      <c r="C2988" s="4" t="n">
        <v>4578</v>
      </c>
      <c r="D2988" s="4" t="n">
        <v>460</v>
      </c>
      <c r="E2988" s="13" t="n">
        <v>45137</v>
      </c>
      <c r="F2988" s="4" t="s">
        <v>3186</v>
      </c>
      <c r="G2988" s="4" t="str">
        <f aca="false">INDEX(PurchaseOrders!$B$2:$B$3001,MATCH(B2988,PurchaseOrders!$A$2:$A$3001,0))</f>
        <v>V050</v>
      </c>
    </row>
    <row r="2989" customFormat="false" ht="15" hidden="false" customHeight="true" outlineLevel="0" collapsed="false">
      <c r="A2989" s="4" t="s">
        <v>6176</v>
      </c>
      <c r="B2989" s="4" t="s">
        <v>3165</v>
      </c>
      <c r="C2989" s="4" t="n">
        <v>304</v>
      </c>
      <c r="D2989" s="4" t="n">
        <v>70</v>
      </c>
      <c r="E2989" s="13" t="n">
        <v>45289</v>
      </c>
      <c r="F2989" s="4" t="s">
        <v>3202</v>
      </c>
      <c r="G2989" s="4" t="str">
        <f aca="false">INDEX(PurchaseOrders!$B$2:$B$3001,MATCH(B2989,PurchaseOrders!$A$2:$A$3001,0))</f>
        <v>V039</v>
      </c>
    </row>
    <row r="2990" customFormat="false" ht="15" hidden="false" customHeight="true" outlineLevel="0" collapsed="false">
      <c r="A2990" s="4" t="s">
        <v>6177</v>
      </c>
      <c r="B2990" s="4" t="s">
        <v>3166</v>
      </c>
      <c r="C2990" s="4" t="n">
        <v>342</v>
      </c>
      <c r="D2990" s="4" t="n">
        <v>26</v>
      </c>
      <c r="E2990" s="13" t="n">
        <v>45386</v>
      </c>
      <c r="F2990" s="4" t="s">
        <v>3192</v>
      </c>
      <c r="G2990" s="4" t="str">
        <f aca="false">INDEX(PurchaseOrders!$B$2:$B$3001,MATCH(B2990,PurchaseOrders!$A$2:$A$3001,0))</f>
        <v>V043</v>
      </c>
    </row>
    <row r="2991" customFormat="false" ht="15" hidden="false" customHeight="true" outlineLevel="0" collapsed="false">
      <c r="A2991" s="4" t="s">
        <v>6178</v>
      </c>
      <c r="B2991" s="4" t="s">
        <v>3167</v>
      </c>
      <c r="C2991" s="4" t="n">
        <v>232</v>
      </c>
      <c r="D2991" s="4" t="n">
        <v>26</v>
      </c>
      <c r="E2991" s="13" t="n">
        <v>45220</v>
      </c>
      <c r="F2991" s="4" t="s">
        <v>3184</v>
      </c>
      <c r="G2991" s="4" t="str">
        <f aca="false">INDEX(PurchaseOrders!$B$2:$B$3001,MATCH(B2991,PurchaseOrders!$A$2:$A$3001,0))</f>
        <v>V036</v>
      </c>
    </row>
    <row r="2992" customFormat="false" ht="15" hidden="false" customHeight="true" outlineLevel="0" collapsed="false">
      <c r="A2992" s="4" t="s">
        <v>6179</v>
      </c>
      <c r="B2992" s="4" t="s">
        <v>3168</v>
      </c>
      <c r="C2992" s="4" t="n">
        <v>205</v>
      </c>
      <c r="D2992" s="4" t="n">
        <v>0</v>
      </c>
      <c r="E2992" s="13" t="n">
        <v>45206</v>
      </c>
      <c r="F2992" s="4"/>
      <c r="G2992" s="4" t="str">
        <f aca="false">INDEX(PurchaseOrders!$B$2:$B$3001,MATCH(B2992,PurchaseOrders!$A$2:$A$3001,0))</f>
        <v>V052</v>
      </c>
    </row>
    <row r="2993" customFormat="false" ht="15" hidden="false" customHeight="true" outlineLevel="0" collapsed="false">
      <c r="A2993" s="4" t="s">
        <v>6180</v>
      </c>
      <c r="B2993" s="4" t="s">
        <v>3169</v>
      </c>
      <c r="C2993" s="4" t="n">
        <v>9</v>
      </c>
      <c r="D2993" s="4" t="n">
        <v>1</v>
      </c>
      <c r="E2993" s="13" t="n">
        <v>45225</v>
      </c>
      <c r="F2993" s="4" t="s">
        <v>3188</v>
      </c>
      <c r="G2993" s="4" t="str">
        <f aca="false">INDEX(PurchaseOrders!$B$2:$B$3001,MATCH(B2993,PurchaseOrders!$A$2:$A$3001,0))</f>
        <v>V054</v>
      </c>
    </row>
    <row r="2994" customFormat="false" ht="15" hidden="false" customHeight="true" outlineLevel="0" collapsed="false">
      <c r="A2994" s="4" t="s">
        <v>6181</v>
      </c>
      <c r="B2994" s="4" t="s">
        <v>3170</v>
      </c>
      <c r="C2994" s="4" t="n">
        <v>743</v>
      </c>
      <c r="D2994" s="4" t="n">
        <v>19</v>
      </c>
      <c r="E2994" s="13" t="n">
        <v>44961</v>
      </c>
      <c r="F2994" s="4" t="s">
        <v>3188</v>
      </c>
      <c r="G2994" s="4" t="str">
        <f aca="false">INDEX(PurchaseOrders!$B$2:$B$3001,MATCH(B2994,PurchaseOrders!$A$2:$A$3001,0))</f>
        <v>V011</v>
      </c>
    </row>
    <row r="2995" customFormat="false" ht="15" hidden="false" customHeight="true" outlineLevel="0" collapsed="false">
      <c r="A2995" s="4" t="s">
        <v>6182</v>
      </c>
      <c r="B2995" s="4" t="s">
        <v>3171</v>
      </c>
      <c r="C2995" s="4" t="n">
        <v>4</v>
      </c>
      <c r="D2995" s="4" t="n">
        <v>1</v>
      </c>
      <c r="E2995" s="13" t="n">
        <v>45634</v>
      </c>
      <c r="F2995" s="4" t="s">
        <v>3188</v>
      </c>
      <c r="G2995" s="4" t="str">
        <f aca="false">INDEX(PurchaseOrders!$B$2:$B$3001,MATCH(B2995,PurchaseOrders!$A$2:$A$3001,0))</f>
        <v>V042</v>
      </c>
    </row>
    <row r="2996" customFormat="false" ht="15" hidden="false" customHeight="true" outlineLevel="0" collapsed="false">
      <c r="A2996" s="4" t="s">
        <v>6183</v>
      </c>
      <c r="B2996" s="4" t="s">
        <v>3172</v>
      </c>
      <c r="C2996" s="4" t="n">
        <v>237</v>
      </c>
      <c r="D2996" s="4" t="n">
        <v>25</v>
      </c>
      <c r="E2996" s="13" t="n">
        <v>45365</v>
      </c>
      <c r="F2996" s="4" t="s">
        <v>3192</v>
      </c>
      <c r="G2996" s="4" t="str">
        <f aca="false">INDEX(PurchaseOrders!$B$2:$B$3001,MATCH(B2996,PurchaseOrders!$A$2:$A$3001,0))</f>
        <v>V036</v>
      </c>
    </row>
    <row r="2997" customFormat="false" ht="15" hidden="false" customHeight="true" outlineLevel="0" collapsed="false">
      <c r="A2997" s="4" t="s">
        <v>6184</v>
      </c>
      <c r="B2997" s="4" t="s">
        <v>3173</v>
      </c>
      <c r="C2997" s="4" t="n">
        <v>297</v>
      </c>
      <c r="D2997" s="4" t="n">
        <v>1</v>
      </c>
      <c r="E2997" s="13" t="n">
        <v>45261</v>
      </c>
      <c r="F2997" s="4" t="s">
        <v>3192</v>
      </c>
      <c r="G2997" s="4" t="str">
        <f aca="false">INDEX(PurchaseOrders!$B$2:$B$3001,MATCH(B2997,PurchaseOrders!$A$2:$A$3001,0))</f>
        <v>V060</v>
      </c>
    </row>
    <row r="2998" customFormat="false" ht="15" hidden="false" customHeight="true" outlineLevel="0" collapsed="false">
      <c r="A2998" s="4" t="s">
        <v>6185</v>
      </c>
      <c r="B2998" s="4" t="s">
        <v>3174</v>
      </c>
      <c r="C2998" s="4" t="n">
        <v>201</v>
      </c>
      <c r="D2998" s="4" t="n">
        <v>8</v>
      </c>
      <c r="E2998" s="13" t="n">
        <v>45389</v>
      </c>
      <c r="F2998" s="4" t="s">
        <v>3190</v>
      </c>
      <c r="G2998" s="4" t="str">
        <f aca="false">INDEX(PurchaseOrders!$B$2:$B$3001,MATCH(B2998,PurchaseOrders!$A$2:$A$3001,0))</f>
        <v>V040</v>
      </c>
    </row>
    <row r="2999" customFormat="false" ht="15" hidden="false" customHeight="true" outlineLevel="0" collapsed="false">
      <c r="A2999" s="4" t="s">
        <v>6186</v>
      </c>
      <c r="B2999" s="4" t="s">
        <v>3175</v>
      </c>
      <c r="C2999" s="4" t="n">
        <v>909</v>
      </c>
      <c r="D2999" s="4" t="n">
        <v>97</v>
      </c>
      <c r="E2999" s="13" t="n">
        <v>45656</v>
      </c>
      <c r="F2999" s="4" t="s">
        <v>3192</v>
      </c>
      <c r="G2999" s="4" t="str">
        <f aca="false">INDEX(PurchaseOrders!$B$2:$B$3001,MATCH(B2999,PurchaseOrders!$A$2:$A$3001,0))</f>
        <v>V027</v>
      </c>
    </row>
    <row r="3000" customFormat="false" ht="15" hidden="false" customHeight="true" outlineLevel="0" collapsed="false">
      <c r="A3000" s="4" t="s">
        <v>6187</v>
      </c>
      <c r="B3000" s="4" t="s">
        <v>3176</v>
      </c>
      <c r="C3000" s="4" t="n">
        <v>215</v>
      </c>
      <c r="D3000" s="4" t="n">
        <v>4</v>
      </c>
      <c r="E3000" s="13" t="n">
        <v>45614</v>
      </c>
      <c r="F3000" s="4" t="s">
        <v>3184</v>
      </c>
      <c r="G3000" s="4" t="str">
        <f aca="false">INDEX(PurchaseOrders!$B$2:$B$3001,MATCH(B3000,PurchaseOrders!$A$2:$A$3001,0))</f>
        <v>V037</v>
      </c>
    </row>
    <row r="3001" customFormat="false" ht="15" hidden="false" customHeight="true" outlineLevel="0" collapsed="false">
      <c r="A3001" s="4" t="s">
        <v>6188</v>
      </c>
      <c r="B3001" s="4" t="s">
        <v>3177</v>
      </c>
      <c r="C3001" s="4" t="n">
        <v>275</v>
      </c>
      <c r="D3001" s="4" t="n">
        <v>27</v>
      </c>
      <c r="E3001" s="13" t="n">
        <v>45156</v>
      </c>
      <c r="F3001" s="4" t="s">
        <v>3188</v>
      </c>
      <c r="G3001" s="4" t="str">
        <f aca="false">INDEX(PurchaseOrders!$B$2:$B$3001,MATCH(B3001,PurchaseOrders!$A$2:$A$3001,0))</f>
        <v>V009</v>
      </c>
    </row>
  </sheetData>
  <autoFilter ref="A1:G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26"/>
  </cols>
  <sheetData>
    <row r="1" customFormat="false" ht="15" hidden="false" customHeight="true" outlineLevel="0" collapsed="false">
      <c r="A1" s="12" t="s">
        <v>165</v>
      </c>
      <c r="B1" s="12" t="s">
        <v>6189</v>
      </c>
      <c r="C1" s="12" t="s">
        <v>6190</v>
      </c>
      <c r="D1" s="12" t="s">
        <v>6191</v>
      </c>
      <c r="E1" s="12" t="s">
        <v>6192</v>
      </c>
      <c r="F1" s="12" t="s">
        <v>6193</v>
      </c>
    </row>
    <row r="2" customFormat="false" ht="15" hidden="false" customHeight="true" outlineLevel="0" collapsed="false">
      <c r="A2" s="4" t="s">
        <v>178</v>
      </c>
      <c r="B2" s="13" t="n">
        <v>45504</v>
      </c>
      <c r="C2" s="4" t="s">
        <v>6194</v>
      </c>
      <c r="D2" s="4" t="s">
        <v>6195</v>
      </c>
      <c r="E2" s="4" t="s">
        <v>6196</v>
      </c>
      <c r="F2" s="4" t="s">
        <v>6197</v>
      </c>
    </row>
    <row r="3" customFormat="false" ht="15" hidden="false" customHeight="true" outlineLevel="0" collapsed="false">
      <c r="A3" s="4" t="s">
        <v>179</v>
      </c>
      <c r="B3" s="13" t="n">
        <v>45626</v>
      </c>
      <c r="C3" s="4" t="s">
        <v>6198</v>
      </c>
      <c r="D3" s="4" t="s">
        <v>6199</v>
      </c>
      <c r="E3" s="4" t="s">
        <v>6195</v>
      </c>
      <c r="F3" s="4" t="s">
        <v>6200</v>
      </c>
    </row>
    <row r="4" customFormat="false" ht="15" hidden="false" customHeight="true" outlineLevel="0" collapsed="false">
      <c r="A4" s="4" t="s">
        <v>180</v>
      </c>
      <c r="B4" s="13" t="n">
        <v>45059</v>
      </c>
      <c r="C4" s="4" t="s">
        <v>6201</v>
      </c>
      <c r="D4" s="4" t="s">
        <v>6202</v>
      </c>
      <c r="E4" s="4" t="s">
        <v>6203</v>
      </c>
      <c r="F4" s="4" t="s">
        <v>6204</v>
      </c>
    </row>
    <row r="5" customFormat="false" ht="15" hidden="false" customHeight="true" outlineLevel="0" collapsed="false">
      <c r="A5" s="4" t="s">
        <v>181</v>
      </c>
      <c r="B5" s="13" t="n">
        <v>45238</v>
      </c>
      <c r="C5" s="4" t="s">
        <v>6198</v>
      </c>
      <c r="D5" s="4" t="s">
        <v>6205</v>
      </c>
      <c r="E5" s="4" t="s">
        <v>6206</v>
      </c>
      <c r="F5" s="4"/>
    </row>
    <row r="6" customFormat="false" ht="15" hidden="false" customHeight="true" outlineLevel="0" collapsed="false">
      <c r="A6" s="4" t="s">
        <v>182</v>
      </c>
      <c r="B6" s="13" t="n">
        <v>45411</v>
      </c>
      <c r="C6" s="4" t="s">
        <v>6201</v>
      </c>
      <c r="D6" s="4" t="s">
        <v>6207</v>
      </c>
      <c r="E6" s="4" t="s">
        <v>6208</v>
      </c>
      <c r="F6" s="4"/>
    </row>
    <row r="7" customFormat="false" ht="15" hidden="false" customHeight="true" outlineLevel="0" collapsed="false">
      <c r="A7" s="4" t="s">
        <v>183</v>
      </c>
      <c r="B7" s="13" t="n">
        <v>45130</v>
      </c>
      <c r="C7" s="4" t="s">
        <v>6209</v>
      </c>
      <c r="D7" s="4" t="s">
        <v>6199</v>
      </c>
      <c r="E7" s="4" t="s">
        <v>6202</v>
      </c>
      <c r="F7" s="4" t="s">
        <v>6197</v>
      </c>
    </row>
    <row r="8" customFormat="false" ht="15" hidden="false" customHeight="true" outlineLevel="0" collapsed="false">
      <c r="A8" s="4" t="s">
        <v>184</v>
      </c>
      <c r="B8" s="13" t="n">
        <v>45377</v>
      </c>
      <c r="C8" s="4" t="s">
        <v>6210</v>
      </c>
      <c r="D8" s="4" t="s">
        <v>6195</v>
      </c>
      <c r="E8" s="4" t="s">
        <v>6211</v>
      </c>
      <c r="F8" s="4" t="s">
        <v>6197</v>
      </c>
    </row>
    <row r="9" customFormat="false" ht="15" hidden="false" customHeight="true" outlineLevel="0" collapsed="false">
      <c r="A9" s="4" t="s">
        <v>185</v>
      </c>
      <c r="B9" s="13" t="n">
        <v>45631</v>
      </c>
      <c r="C9" s="4" t="s">
        <v>6194</v>
      </c>
      <c r="D9" s="4" t="s">
        <v>6202</v>
      </c>
      <c r="E9" s="4" t="s">
        <v>6207</v>
      </c>
      <c r="F9" s="4"/>
    </row>
    <row r="10" customFormat="false" ht="15" hidden="false" customHeight="true" outlineLevel="0" collapsed="false">
      <c r="A10" s="4" t="s">
        <v>186</v>
      </c>
      <c r="B10" s="13" t="n">
        <v>45174</v>
      </c>
      <c r="C10" s="4" t="s">
        <v>6201</v>
      </c>
      <c r="D10" s="4" t="s">
        <v>6206</v>
      </c>
      <c r="E10" s="4" t="s">
        <v>6207</v>
      </c>
      <c r="F10" s="4" t="s">
        <v>6212</v>
      </c>
    </row>
    <row r="11" customFormat="false" ht="15" hidden="false" customHeight="true" outlineLevel="0" collapsed="false">
      <c r="A11" s="4" t="s">
        <v>187</v>
      </c>
      <c r="B11" s="13" t="n">
        <v>45390</v>
      </c>
      <c r="C11" s="4" t="s">
        <v>6213</v>
      </c>
      <c r="D11" s="4" t="s">
        <v>6202</v>
      </c>
      <c r="E11" s="4" t="s">
        <v>6196</v>
      </c>
      <c r="F11" s="4" t="s">
        <v>6214</v>
      </c>
    </row>
    <row r="12" customFormat="false" ht="15" hidden="false" customHeight="true" outlineLevel="0" collapsed="false">
      <c r="A12" s="4" t="s">
        <v>188</v>
      </c>
      <c r="B12" s="13" t="n">
        <v>45570</v>
      </c>
      <c r="C12" s="4" t="s">
        <v>6194</v>
      </c>
      <c r="D12" s="4" t="s">
        <v>6208</v>
      </c>
      <c r="E12" s="4" t="s">
        <v>6203</v>
      </c>
      <c r="F12" s="4" t="s">
        <v>6204</v>
      </c>
    </row>
    <row r="13" customFormat="false" ht="15" hidden="false" customHeight="true" outlineLevel="0" collapsed="false">
      <c r="A13" s="4" t="s">
        <v>189</v>
      </c>
      <c r="B13" s="13" t="n">
        <v>45271</v>
      </c>
      <c r="C13" s="4" t="s">
        <v>6201</v>
      </c>
      <c r="D13" s="4" t="s">
        <v>6199</v>
      </c>
      <c r="E13" s="4" t="s">
        <v>6208</v>
      </c>
      <c r="F13" s="4"/>
    </row>
    <row r="14" customFormat="false" ht="15" hidden="false" customHeight="true" outlineLevel="0" collapsed="false">
      <c r="A14" s="4" t="s">
        <v>190</v>
      </c>
      <c r="B14" s="13" t="n">
        <v>45360</v>
      </c>
      <c r="C14" s="4" t="s">
        <v>6215</v>
      </c>
      <c r="D14" s="4" t="s">
        <v>6205</v>
      </c>
      <c r="E14" s="4" t="s">
        <v>6202</v>
      </c>
      <c r="F14" s="4"/>
    </row>
    <row r="15" customFormat="false" ht="15" hidden="false" customHeight="true" outlineLevel="0" collapsed="false">
      <c r="A15" s="4" t="s">
        <v>191</v>
      </c>
      <c r="B15" s="13" t="n">
        <v>45108</v>
      </c>
      <c r="C15" s="4" t="s">
        <v>6198</v>
      </c>
      <c r="D15" s="4" t="s">
        <v>6206</v>
      </c>
      <c r="E15" s="4" t="s">
        <v>6211</v>
      </c>
      <c r="F15" s="4" t="s">
        <v>6204</v>
      </c>
    </row>
    <row r="16" customFormat="false" ht="15" hidden="false" customHeight="true" outlineLevel="0" collapsed="false">
      <c r="A16" s="4" t="s">
        <v>192</v>
      </c>
      <c r="B16" s="13" t="n">
        <v>45273</v>
      </c>
      <c r="C16" s="4" t="s">
        <v>6194</v>
      </c>
      <c r="D16" s="4" t="s">
        <v>6211</v>
      </c>
      <c r="E16" s="4" t="s">
        <v>6205</v>
      </c>
      <c r="F16" s="4" t="s">
        <v>6212</v>
      </c>
    </row>
    <row r="17" customFormat="false" ht="15" hidden="false" customHeight="true" outlineLevel="0" collapsed="false">
      <c r="A17" s="4" t="s">
        <v>193</v>
      </c>
      <c r="B17" s="13" t="n">
        <v>45104</v>
      </c>
      <c r="C17" s="4" t="s">
        <v>6213</v>
      </c>
      <c r="D17" s="4" t="s">
        <v>6205</v>
      </c>
      <c r="E17" s="4" t="s">
        <v>6199</v>
      </c>
      <c r="F17" s="4" t="s">
        <v>6216</v>
      </c>
    </row>
    <row r="18" customFormat="false" ht="15" hidden="false" customHeight="true" outlineLevel="0" collapsed="false">
      <c r="A18" s="4" t="s">
        <v>194</v>
      </c>
      <c r="B18" s="13" t="n">
        <v>44982</v>
      </c>
      <c r="C18" s="4" t="s">
        <v>6198</v>
      </c>
      <c r="D18" s="4" t="s">
        <v>6196</v>
      </c>
      <c r="E18" s="4" t="s">
        <v>6211</v>
      </c>
      <c r="F18" s="4" t="s">
        <v>6204</v>
      </c>
    </row>
    <row r="19" customFormat="false" ht="15" hidden="false" customHeight="true" outlineLevel="0" collapsed="false">
      <c r="A19" s="4" t="s">
        <v>195</v>
      </c>
      <c r="B19" s="13" t="n">
        <v>44981</v>
      </c>
      <c r="C19" s="4" t="s">
        <v>6210</v>
      </c>
      <c r="D19" s="4" t="s">
        <v>6196</v>
      </c>
      <c r="E19" s="4" t="s">
        <v>6202</v>
      </c>
      <c r="F19" s="4"/>
    </row>
    <row r="20" customFormat="false" ht="15" hidden="false" customHeight="true" outlineLevel="0" collapsed="false">
      <c r="A20" s="4" t="s">
        <v>196</v>
      </c>
      <c r="B20" s="13" t="n">
        <v>45081</v>
      </c>
      <c r="C20" s="4" t="s">
        <v>6215</v>
      </c>
      <c r="D20" s="4" t="s">
        <v>6208</v>
      </c>
      <c r="E20" s="4" t="s">
        <v>6211</v>
      </c>
      <c r="F20" s="4" t="s">
        <v>6204</v>
      </c>
    </row>
    <row r="21" customFormat="false" ht="15" hidden="false" customHeight="true" outlineLevel="0" collapsed="false">
      <c r="A21" s="4" t="s">
        <v>197</v>
      </c>
      <c r="B21" s="13" t="n">
        <v>45056</v>
      </c>
      <c r="C21" s="4" t="s">
        <v>6198</v>
      </c>
      <c r="D21" s="4" t="s">
        <v>6199</v>
      </c>
      <c r="E21" s="4" t="s">
        <v>6211</v>
      </c>
      <c r="F21" s="4" t="s">
        <v>6200</v>
      </c>
    </row>
    <row r="22" customFormat="false" ht="15" hidden="false" customHeight="true" outlineLevel="0" collapsed="false">
      <c r="A22" s="4" t="s">
        <v>198</v>
      </c>
      <c r="B22" s="13" t="n">
        <v>45627</v>
      </c>
      <c r="C22" s="4" t="s">
        <v>6201</v>
      </c>
      <c r="D22" s="4" t="s">
        <v>6208</v>
      </c>
      <c r="E22" s="4" t="s">
        <v>6208</v>
      </c>
      <c r="F22" s="4"/>
    </row>
    <row r="23" customFormat="false" ht="15" hidden="false" customHeight="true" outlineLevel="0" collapsed="false">
      <c r="A23" s="4" t="s">
        <v>199</v>
      </c>
      <c r="B23" s="13" t="n">
        <v>45330</v>
      </c>
      <c r="C23" s="4" t="s">
        <v>6215</v>
      </c>
      <c r="D23" s="4" t="s">
        <v>6196</v>
      </c>
      <c r="E23" s="4" t="s">
        <v>6195</v>
      </c>
      <c r="F23" s="4" t="s">
        <v>6197</v>
      </c>
    </row>
    <row r="24" customFormat="false" ht="15" hidden="false" customHeight="true" outlineLevel="0" collapsed="false">
      <c r="A24" s="4" t="s">
        <v>200</v>
      </c>
      <c r="B24" s="13" t="n">
        <v>45011</v>
      </c>
      <c r="C24" s="4" t="s">
        <v>6209</v>
      </c>
      <c r="D24" s="4" t="s">
        <v>6196</v>
      </c>
      <c r="E24" s="4" t="s">
        <v>6195</v>
      </c>
      <c r="F24" s="4"/>
    </row>
    <row r="25" customFormat="false" ht="15" hidden="false" customHeight="true" outlineLevel="0" collapsed="false">
      <c r="A25" s="4" t="s">
        <v>201</v>
      </c>
      <c r="B25" s="13" t="n">
        <v>44977</v>
      </c>
      <c r="C25" s="4" t="s">
        <v>6209</v>
      </c>
      <c r="D25" s="4" t="s">
        <v>6205</v>
      </c>
      <c r="E25" s="4" t="s">
        <v>6205</v>
      </c>
      <c r="F25" s="4"/>
    </row>
    <row r="26" customFormat="false" ht="15" hidden="false" customHeight="true" outlineLevel="0" collapsed="false">
      <c r="A26" s="4" t="s">
        <v>202</v>
      </c>
      <c r="B26" s="13" t="n">
        <v>45615</v>
      </c>
      <c r="C26" s="4" t="s">
        <v>6215</v>
      </c>
      <c r="D26" s="4" t="s">
        <v>6206</v>
      </c>
      <c r="E26" s="4" t="s">
        <v>6208</v>
      </c>
      <c r="F26" s="4" t="s">
        <v>6212</v>
      </c>
    </row>
    <row r="27" customFormat="false" ht="15" hidden="false" customHeight="true" outlineLevel="0" collapsed="false">
      <c r="A27" s="4" t="s">
        <v>203</v>
      </c>
      <c r="B27" s="13" t="n">
        <v>45307</v>
      </c>
      <c r="C27" s="4" t="s">
        <v>6209</v>
      </c>
      <c r="D27" s="4" t="s">
        <v>6206</v>
      </c>
      <c r="E27" s="4" t="s">
        <v>6202</v>
      </c>
      <c r="F27" s="4"/>
    </row>
    <row r="28" customFormat="false" ht="15" hidden="false" customHeight="true" outlineLevel="0" collapsed="false">
      <c r="A28" s="4" t="s">
        <v>204</v>
      </c>
      <c r="B28" s="13" t="n">
        <v>45232</v>
      </c>
      <c r="C28" s="4" t="s">
        <v>6198</v>
      </c>
      <c r="D28" s="4" t="s">
        <v>6203</v>
      </c>
      <c r="E28" s="4" t="s">
        <v>6195</v>
      </c>
      <c r="F28" s="4" t="s">
        <v>6197</v>
      </c>
    </row>
    <row r="29" customFormat="false" ht="15" hidden="false" customHeight="true" outlineLevel="0" collapsed="false">
      <c r="A29" s="4" t="s">
        <v>205</v>
      </c>
      <c r="B29" s="13" t="n">
        <v>45480</v>
      </c>
      <c r="C29" s="4" t="s">
        <v>6210</v>
      </c>
      <c r="D29" s="4" t="s">
        <v>6206</v>
      </c>
      <c r="E29" s="4" t="s">
        <v>6196</v>
      </c>
      <c r="F29" s="4" t="s">
        <v>6214</v>
      </c>
    </row>
    <row r="30" customFormat="false" ht="15" hidden="false" customHeight="true" outlineLevel="0" collapsed="false">
      <c r="A30" s="4" t="s">
        <v>206</v>
      </c>
      <c r="B30" s="13" t="n">
        <v>45610</v>
      </c>
      <c r="C30" s="4" t="s">
        <v>6194</v>
      </c>
      <c r="D30" s="4" t="s">
        <v>6202</v>
      </c>
      <c r="E30" s="4" t="s">
        <v>6195</v>
      </c>
      <c r="F30" s="4"/>
    </row>
    <row r="31" customFormat="false" ht="15" hidden="false" customHeight="true" outlineLevel="0" collapsed="false">
      <c r="A31" s="4" t="s">
        <v>207</v>
      </c>
      <c r="B31" s="13" t="n">
        <v>45649</v>
      </c>
      <c r="C31" s="4" t="s">
        <v>6213</v>
      </c>
      <c r="D31" s="4" t="s">
        <v>6195</v>
      </c>
      <c r="E31" s="4" t="s">
        <v>6205</v>
      </c>
      <c r="F31" s="4" t="s">
        <v>6197</v>
      </c>
    </row>
    <row r="32" customFormat="false" ht="15" hidden="false" customHeight="true" outlineLevel="0" collapsed="false">
      <c r="A32" s="4" t="s">
        <v>208</v>
      </c>
      <c r="B32" s="13" t="n">
        <v>45220</v>
      </c>
      <c r="C32" s="4" t="s">
        <v>6215</v>
      </c>
      <c r="D32" s="4" t="s">
        <v>6196</v>
      </c>
      <c r="E32" s="4" t="s">
        <v>6202</v>
      </c>
      <c r="F32" s="4" t="s">
        <v>6214</v>
      </c>
    </row>
    <row r="33" customFormat="false" ht="15" hidden="false" customHeight="true" outlineLevel="0" collapsed="false">
      <c r="A33" s="4" t="s">
        <v>209</v>
      </c>
      <c r="B33" s="13" t="n">
        <v>45315</v>
      </c>
      <c r="C33" s="4" t="s">
        <v>6194</v>
      </c>
      <c r="D33" s="4" t="s">
        <v>6202</v>
      </c>
      <c r="E33" s="4" t="s">
        <v>6207</v>
      </c>
      <c r="F33" s="4"/>
    </row>
    <row r="34" customFormat="false" ht="15" hidden="false" customHeight="true" outlineLevel="0" collapsed="false">
      <c r="A34" s="4" t="s">
        <v>210</v>
      </c>
      <c r="B34" s="13" t="n">
        <v>45534</v>
      </c>
      <c r="C34" s="4" t="s">
        <v>6201</v>
      </c>
      <c r="D34" s="4" t="s">
        <v>6205</v>
      </c>
      <c r="E34" s="4" t="s">
        <v>6196</v>
      </c>
      <c r="F34" s="4" t="s">
        <v>6216</v>
      </c>
    </row>
    <row r="35" customFormat="false" ht="15" hidden="false" customHeight="true" outlineLevel="0" collapsed="false">
      <c r="A35" s="4" t="s">
        <v>211</v>
      </c>
      <c r="B35" s="13" t="n">
        <v>45379</v>
      </c>
      <c r="C35" s="4" t="s">
        <v>6209</v>
      </c>
      <c r="D35" s="4" t="s">
        <v>6205</v>
      </c>
      <c r="E35" s="4" t="s">
        <v>6208</v>
      </c>
      <c r="F35" s="4" t="s">
        <v>6214</v>
      </c>
    </row>
    <row r="36" customFormat="false" ht="15" hidden="false" customHeight="true" outlineLevel="0" collapsed="false">
      <c r="A36" s="4" t="s">
        <v>212</v>
      </c>
      <c r="B36" s="13" t="n">
        <v>45511</v>
      </c>
      <c r="C36" s="4" t="s">
        <v>6209</v>
      </c>
      <c r="D36" s="4" t="s">
        <v>6211</v>
      </c>
      <c r="E36" s="4" t="s">
        <v>6203</v>
      </c>
      <c r="F36" s="4" t="s">
        <v>6214</v>
      </c>
    </row>
    <row r="37" customFormat="false" ht="15" hidden="false" customHeight="true" outlineLevel="0" collapsed="false">
      <c r="A37" s="4" t="s">
        <v>213</v>
      </c>
      <c r="B37" s="13" t="n">
        <v>45319</v>
      </c>
      <c r="C37" s="4" t="s">
        <v>6215</v>
      </c>
      <c r="D37" s="4" t="s">
        <v>6199</v>
      </c>
      <c r="E37" s="4" t="s">
        <v>6205</v>
      </c>
      <c r="F37" s="4"/>
    </row>
    <row r="38" customFormat="false" ht="15" hidden="false" customHeight="true" outlineLevel="0" collapsed="false">
      <c r="A38" s="4" t="s">
        <v>214</v>
      </c>
      <c r="B38" s="13" t="n">
        <v>45279</v>
      </c>
      <c r="C38" s="4" t="s">
        <v>6210</v>
      </c>
      <c r="D38" s="4" t="s">
        <v>6203</v>
      </c>
      <c r="E38" s="4" t="s">
        <v>6195</v>
      </c>
      <c r="F38" s="4"/>
    </row>
    <row r="39" customFormat="false" ht="15" hidden="false" customHeight="true" outlineLevel="0" collapsed="false">
      <c r="A39" s="4" t="s">
        <v>215</v>
      </c>
      <c r="B39" s="13" t="n">
        <v>45538</v>
      </c>
      <c r="C39" s="4" t="s">
        <v>6213</v>
      </c>
      <c r="D39" s="4" t="s">
        <v>6202</v>
      </c>
      <c r="E39" s="4" t="s">
        <v>6195</v>
      </c>
      <c r="F39" s="4" t="s">
        <v>6214</v>
      </c>
    </row>
    <row r="40" customFormat="false" ht="15" hidden="false" customHeight="true" outlineLevel="0" collapsed="false">
      <c r="A40" s="4" t="s">
        <v>216</v>
      </c>
      <c r="B40" s="13" t="n">
        <v>45012</v>
      </c>
      <c r="C40" s="4" t="s">
        <v>6201</v>
      </c>
      <c r="D40" s="4" t="s">
        <v>6208</v>
      </c>
      <c r="E40" s="4" t="s">
        <v>6195</v>
      </c>
      <c r="F40" s="4"/>
    </row>
    <row r="41" customFormat="false" ht="15" hidden="false" customHeight="true" outlineLevel="0" collapsed="false">
      <c r="A41" s="4" t="s">
        <v>217</v>
      </c>
      <c r="B41" s="13" t="n">
        <v>45187</v>
      </c>
      <c r="C41" s="4" t="s">
        <v>6201</v>
      </c>
      <c r="D41" s="4" t="s">
        <v>6208</v>
      </c>
      <c r="E41" s="4" t="s">
        <v>6206</v>
      </c>
      <c r="F41" s="4" t="s">
        <v>6197</v>
      </c>
    </row>
    <row r="42" customFormat="false" ht="15" hidden="false" customHeight="true" outlineLevel="0" collapsed="false">
      <c r="A42" s="4" t="s">
        <v>218</v>
      </c>
      <c r="B42" s="13" t="n">
        <v>45197</v>
      </c>
      <c r="C42" s="4" t="s">
        <v>6213</v>
      </c>
      <c r="D42" s="4" t="s">
        <v>6199</v>
      </c>
      <c r="E42" s="4" t="s">
        <v>6211</v>
      </c>
      <c r="F42" s="4" t="s">
        <v>6216</v>
      </c>
    </row>
    <row r="43" customFormat="false" ht="15" hidden="false" customHeight="true" outlineLevel="0" collapsed="false">
      <c r="A43" s="4" t="s">
        <v>219</v>
      </c>
      <c r="B43" s="13" t="n">
        <v>45591</v>
      </c>
      <c r="C43" s="4" t="s">
        <v>6194</v>
      </c>
      <c r="D43" s="4" t="s">
        <v>6199</v>
      </c>
      <c r="E43" s="4" t="s">
        <v>6203</v>
      </c>
      <c r="F43" s="4" t="s">
        <v>6204</v>
      </c>
    </row>
    <row r="44" customFormat="false" ht="15" hidden="false" customHeight="true" outlineLevel="0" collapsed="false">
      <c r="A44" s="4" t="s">
        <v>220</v>
      </c>
      <c r="B44" s="13" t="n">
        <v>45451</v>
      </c>
      <c r="C44" s="4" t="s">
        <v>6194</v>
      </c>
      <c r="D44" s="4" t="s">
        <v>6203</v>
      </c>
      <c r="E44" s="4" t="s">
        <v>6202</v>
      </c>
      <c r="F44" s="4" t="s">
        <v>6200</v>
      </c>
    </row>
    <row r="45" customFormat="false" ht="15" hidden="false" customHeight="true" outlineLevel="0" collapsed="false">
      <c r="A45" s="4" t="s">
        <v>221</v>
      </c>
      <c r="B45" s="13" t="n">
        <v>45423</v>
      </c>
      <c r="C45" s="4" t="s">
        <v>6210</v>
      </c>
      <c r="D45" s="4" t="s">
        <v>6199</v>
      </c>
      <c r="E45" s="4" t="s">
        <v>6211</v>
      </c>
      <c r="F45" s="4"/>
    </row>
    <row r="46" customFormat="false" ht="15" hidden="false" customHeight="true" outlineLevel="0" collapsed="false">
      <c r="A46" s="4" t="s">
        <v>222</v>
      </c>
      <c r="B46" s="13" t="n">
        <v>45212</v>
      </c>
      <c r="C46" s="4" t="s">
        <v>6213</v>
      </c>
      <c r="D46" s="4" t="s">
        <v>6195</v>
      </c>
      <c r="E46" s="4" t="s">
        <v>6205</v>
      </c>
      <c r="F46" s="4" t="s">
        <v>6214</v>
      </c>
    </row>
    <row r="47" customFormat="false" ht="15" hidden="false" customHeight="true" outlineLevel="0" collapsed="false">
      <c r="A47" s="4" t="s">
        <v>223</v>
      </c>
      <c r="B47" s="13" t="n">
        <v>44995</v>
      </c>
      <c r="C47" s="4" t="s">
        <v>6215</v>
      </c>
      <c r="D47" s="4" t="s">
        <v>6206</v>
      </c>
      <c r="E47" s="4" t="s">
        <v>6206</v>
      </c>
      <c r="F47" s="4" t="s">
        <v>6200</v>
      </c>
    </row>
    <row r="48" customFormat="false" ht="15" hidden="false" customHeight="true" outlineLevel="0" collapsed="false">
      <c r="A48" s="4" t="s">
        <v>224</v>
      </c>
      <c r="B48" s="13" t="n">
        <v>45524</v>
      </c>
      <c r="C48" s="4" t="s">
        <v>6213</v>
      </c>
      <c r="D48" s="4" t="s">
        <v>6206</v>
      </c>
      <c r="E48" s="4" t="s">
        <v>6196</v>
      </c>
      <c r="F48" s="4" t="s">
        <v>6216</v>
      </c>
    </row>
    <row r="49" customFormat="false" ht="15" hidden="false" customHeight="true" outlineLevel="0" collapsed="false">
      <c r="A49" s="4" t="s">
        <v>225</v>
      </c>
      <c r="B49" s="13" t="n">
        <v>45347</v>
      </c>
      <c r="C49" s="4" t="s">
        <v>6194</v>
      </c>
      <c r="D49" s="4" t="s">
        <v>6205</v>
      </c>
      <c r="E49" s="4" t="s">
        <v>6211</v>
      </c>
      <c r="F49" s="4" t="s">
        <v>6197</v>
      </c>
    </row>
    <row r="50" customFormat="false" ht="15" hidden="false" customHeight="true" outlineLevel="0" collapsed="false">
      <c r="A50" s="4" t="s">
        <v>226</v>
      </c>
      <c r="B50" s="13" t="n">
        <v>45012</v>
      </c>
      <c r="C50" s="4" t="s">
        <v>6210</v>
      </c>
      <c r="D50" s="4" t="s">
        <v>6207</v>
      </c>
      <c r="E50" s="4" t="s">
        <v>6203</v>
      </c>
      <c r="F50" s="4" t="s">
        <v>6197</v>
      </c>
    </row>
    <row r="51" customFormat="false" ht="15" hidden="false" customHeight="true" outlineLevel="0" collapsed="false">
      <c r="A51" s="4" t="s">
        <v>227</v>
      </c>
      <c r="B51" s="13" t="n">
        <v>45404</v>
      </c>
      <c r="C51" s="4" t="s">
        <v>6209</v>
      </c>
      <c r="D51" s="4" t="s">
        <v>6207</v>
      </c>
      <c r="E51" s="4" t="s">
        <v>6199</v>
      </c>
      <c r="F51" s="4" t="s">
        <v>6204</v>
      </c>
    </row>
    <row r="52" customFormat="false" ht="15" hidden="false" customHeight="true" outlineLevel="0" collapsed="false">
      <c r="A52" s="4" t="s">
        <v>228</v>
      </c>
      <c r="B52" s="13" t="n">
        <v>45325</v>
      </c>
      <c r="C52" s="4" t="s">
        <v>6213</v>
      </c>
      <c r="D52" s="4" t="s">
        <v>6195</v>
      </c>
      <c r="E52" s="4" t="s">
        <v>6199</v>
      </c>
      <c r="F52" s="4" t="s">
        <v>6214</v>
      </c>
    </row>
    <row r="53" customFormat="false" ht="15" hidden="false" customHeight="true" outlineLevel="0" collapsed="false">
      <c r="A53" s="4" t="s">
        <v>229</v>
      </c>
      <c r="B53" s="13" t="n">
        <v>45097</v>
      </c>
      <c r="C53" s="4" t="s">
        <v>6201</v>
      </c>
      <c r="D53" s="4" t="s">
        <v>6208</v>
      </c>
      <c r="E53" s="4" t="s">
        <v>6195</v>
      </c>
      <c r="F53" s="4" t="s">
        <v>6204</v>
      </c>
    </row>
    <row r="54" customFormat="false" ht="15" hidden="false" customHeight="true" outlineLevel="0" collapsed="false">
      <c r="A54" s="4" t="s">
        <v>230</v>
      </c>
      <c r="B54" s="13" t="n">
        <v>45477</v>
      </c>
      <c r="C54" s="4" t="s">
        <v>6210</v>
      </c>
      <c r="D54" s="4" t="s">
        <v>6196</v>
      </c>
      <c r="E54" s="4" t="s">
        <v>6195</v>
      </c>
      <c r="F54" s="4" t="s">
        <v>6197</v>
      </c>
    </row>
    <row r="55" customFormat="false" ht="15" hidden="false" customHeight="true" outlineLevel="0" collapsed="false">
      <c r="A55" s="4" t="s">
        <v>231</v>
      </c>
      <c r="B55" s="13" t="n">
        <v>45207</v>
      </c>
      <c r="C55" s="4" t="s">
        <v>6213</v>
      </c>
      <c r="D55" s="4" t="s">
        <v>6202</v>
      </c>
      <c r="E55" s="4" t="s">
        <v>6208</v>
      </c>
      <c r="F55" s="4" t="s">
        <v>6197</v>
      </c>
    </row>
    <row r="56" customFormat="false" ht="15" hidden="false" customHeight="true" outlineLevel="0" collapsed="false">
      <c r="A56" s="4" t="s">
        <v>232</v>
      </c>
      <c r="B56" s="13" t="n">
        <v>45202</v>
      </c>
      <c r="C56" s="4" t="s">
        <v>6198</v>
      </c>
      <c r="D56" s="4" t="s">
        <v>6199</v>
      </c>
      <c r="E56" s="4" t="s">
        <v>6205</v>
      </c>
      <c r="F56" s="4"/>
    </row>
    <row r="57" customFormat="false" ht="15" hidden="false" customHeight="true" outlineLevel="0" collapsed="false">
      <c r="A57" s="4" t="s">
        <v>233</v>
      </c>
      <c r="B57" s="13" t="n">
        <v>45171</v>
      </c>
      <c r="C57" s="4" t="s">
        <v>6194</v>
      </c>
      <c r="D57" s="4" t="s">
        <v>6196</v>
      </c>
      <c r="E57" s="4" t="s">
        <v>6207</v>
      </c>
      <c r="F57" s="4" t="s">
        <v>6214</v>
      </c>
    </row>
    <row r="58" customFormat="false" ht="15" hidden="false" customHeight="true" outlineLevel="0" collapsed="false">
      <c r="A58" s="4" t="s">
        <v>234</v>
      </c>
      <c r="B58" s="13" t="n">
        <v>45155</v>
      </c>
      <c r="C58" s="4" t="s">
        <v>6213</v>
      </c>
      <c r="D58" s="4" t="s">
        <v>6208</v>
      </c>
      <c r="E58" s="4" t="s">
        <v>6207</v>
      </c>
      <c r="F58" s="4" t="s">
        <v>6197</v>
      </c>
    </row>
    <row r="59" customFormat="false" ht="15" hidden="false" customHeight="true" outlineLevel="0" collapsed="false">
      <c r="A59" s="4" t="s">
        <v>235</v>
      </c>
      <c r="B59" s="13" t="n">
        <v>45255</v>
      </c>
      <c r="C59" s="4" t="s">
        <v>6210</v>
      </c>
      <c r="D59" s="4" t="s">
        <v>6196</v>
      </c>
      <c r="E59" s="4" t="s">
        <v>6207</v>
      </c>
      <c r="F59" s="4" t="s">
        <v>6200</v>
      </c>
    </row>
    <row r="60" customFormat="false" ht="15" hidden="false" customHeight="true" outlineLevel="0" collapsed="false">
      <c r="A60" s="4" t="s">
        <v>236</v>
      </c>
      <c r="B60" s="13" t="n">
        <v>45128</v>
      </c>
      <c r="C60" s="4" t="s">
        <v>6209</v>
      </c>
      <c r="D60" s="4" t="s">
        <v>6202</v>
      </c>
      <c r="E60" s="4" t="s">
        <v>6207</v>
      </c>
      <c r="F60" s="4"/>
    </row>
    <row r="61" customFormat="false" ht="15" hidden="false" customHeight="true" outlineLevel="0" collapsed="false">
      <c r="A61" s="4" t="s">
        <v>237</v>
      </c>
      <c r="B61" s="13" t="n">
        <v>45396</v>
      </c>
      <c r="C61" s="4" t="s">
        <v>6201</v>
      </c>
      <c r="D61" s="4" t="s">
        <v>6202</v>
      </c>
      <c r="E61" s="4" t="s">
        <v>6207</v>
      </c>
      <c r="F61" s="4"/>
    </row>
    <row r="62" customFormat="false" ht="15" hidden="false" customHeight="true" outlineLevel="0" collapsed="false">
      <c r="A62" s="4" t="s">
        <v>238</v>
      </c>
      <c r="B62" s="13" t="n">
        <v>44943</v>
      </c>
      <c r="C62" s="4" t="s">
        <v>6213</v>
      </c>
      <c r="D62" s="4" t="s">
        <v>6211</v>
      </c>
      <c r="E62" s="4" t="s">
        <v>6205</v>
      </c>
      <c r="F62" s="4" t="s">
        <v>6212</v>
      </c>
    </row>
    <row r="63" customFormat="false" ht="15" hidden="false" customHeight="true" outlineLevel="0" collapsed="false">
      <c r="A63" s="4" t="s">
        <v>239</v>
      </c>
      <c r="B63" s="13" t="n">
        <v>44981</v>
      </c>
      <c r="C63" s="4" t="s">
        <v>6198</v>
      </c>
      <c r="D63" s="4" t="s">
        <v>6195</v>
      </c>
      <c r="E63" s="4" t="s">
        <v>6207</v>
      </c>
      <c r="F63" s="4"/>
    </row>
    <row r="64" customFormat="false" ht="15" hidden="false" customHeight="true" outlineLevel="0" collapsed="false">
      <c r="A64" s="4" t="s">
        <v>240</v>
      </c>
      <c r="B64" s="13" t="n">
        <v>45246</v>
      </c>
      <c r="C64" s="4" t="s">
        <v>6194</v>
      </c>
      <c r="D64" s="4" t="s">
        <v>6206</v>
      </c>
      <c r="E64" s="4" t="s">
        <v>6211</v>
      </c>
      <c r="F64" s="4"/>
    </row>
    <row r="65" customFormat="false" ht="15" hidden="false" customHeight="true" outlineLevel="0" collapsed="false">
      <c r="A65" s="4" t="s">
        <v>241</v>
      </c>
      <c r="B65" s="13" t="n">
        <v>44937</v>
      </c>
      <c r="C65" s="4" t="s">
        <v>6201</v>
      </c>
      <c r="D65" s="4" t="s">
        <v>6199</v>
      </c>
      <c r="E65" s="4" t="s">
        <v>6207</v>
      </c>
      <c r="F65" s="4"/>
    </row>
    <row r="66" customFormat="false" ht="15" hidden="false" customHeight="true" outlineLevel="0" collapsed="false">
      <c r="A66" s="4" t="s">
        <v>242</v>
      </c>
      <c r="B66" s="13" t="n">
        <v>45233</v>
      </c>
      <c r="C66" s="4" t="s">
        <v>6201</v>
      </c>
      <c r="D66" s="4" t="s">
        <v>6195</v>
      </c>
      <c r="E66" s="4" t="s">
        <v>6211</v>
      </c>
      <c r="F66" s="4"/>
    </row>
    <row r="67" customFormat="false" ht="15" hidden="false" customHeight="true" outlineLevel="0" collapsed="false">
      <c r="A67" s="4" t="s">
        <v>243</v>
      </c>
      <c r="B67" s="13" t="n">
        <v>45362</v>
      </c>
      <c r="C67" s="4" t="s">
        <v>6210</v>
      </c>
      <c r="D67" s="4" t="s">
        <v>6199</v>
      </c>
      <c r="E67" s="4" t="s">
        <v>6205</v>
      </c>
      <c r="F67" s="4"/>
    </row>
    <row r="68" customFormat="false" ht="15" hidden="false" customHeight="true" outlineLevel="0" collapsed="false">
      <c r="A68" s="4" t="s">
        <v>244</v>
      </c>
      <c r="B68" s="13" t="n">
        <v>45465</v>
      </c>
      <c r="C68" s="4" t="s">
        <v>6209</v>
      </c>
      <c r="D68" s="4" t="s">
        <v>6203</v>
      </c>
      <c r="E68" s="4" t="s">
        <v>6203</v>
      </c>
      <c r="F68" s="4"/>
    </row>
    <row r="69" customFormat="false" ht="15" hidden="false" customHeight="true" outlineLevel="0" collapsed="false">
      <c r="A69" s="4" t="s">
        <v>245</v>
      </c>
      <c r="B69" s="13" t="n">
        <v>45474</v>
      </c>
      <c r="C69" s="4" t="s">
        <v>6215</v>
      </c>
      <c r="D69" s="4" t="s">
        <v>6195</v>
      </c>
      <c r="E69" s="4" t="s">
        <v>6208</v>
      </c>
      <c r="F69" s="4" t="s">
        <v>6212</v>
      </c>
    </row>
    <row r="70" customFormat="false" ht="15" hidden="false" customHeight="true" outlineLevel="0" collapsed="false">
      <c r="A70" s="4" t="s">
        <v>246</v>
      </c>
      <c r="B70" s="13" t="n">
        <v>45489</v>
      </c>
      <c r="C70" s="4" t="s">
        <v>6213</v>
      </c>
      <c r="D70" s="4" t="s">
        <v>6208</v>
      </c>
      <c r="E70" s="4" t="s">
        <v>6208</v>
      </c>
      <c r="F70" s="4" t="s">
        <v>6200</v>
      </c>
    </row>
    <row r="71" customFormat="false" ht="15" hidden="false" customHeight="true" outlineLevel="0" collapsed="false">
      <c r="A71" s="4" t="s">
        <v>247</v>
      </c>
      <c r="B71" s="13" t="n">
        <v>45403</v>
      </c>
      <c r="C71" s="4" t="s">
        <v>6213</v>
      </c>
      <c r="D71" s="4" t="s">
        <v>6195</v>
      </c>
      <c r="E71" s="4" t="s">
        <v>6199</v>
      </c>
      <c r="F71" s="4" t="s">
        <v>6200</v>
      </c>
    </row>
    <row r="72" customFormat="false" ht="15" hidden="false" customHeight="true" outlineLevel="0" collapsed="false">
      <c r="A72" s="4" t="s">
        <v>248</v>
      </c>
      <c r="B72" s="13" t="n">
        <v>44953</v>
      </c>
      <c r="C72" s="4" t="s">
        <v>6201</v>
      </c>
      <c r="D72" s="4" t="s">
        <v>6211</v>
      </c>
      <c r="E72" s="4" t="s">
        <v>6205</v>
      </c>
      <c r="F72" s="4"/>
    </row>
    <row r="73" customFormat="false" ht="15" hidden="false" customHeight="true" outlineLevel="0" collapsed="false">
      <c r="A73" s="4" t="s">
        <v>249</v>
      </c>
      <c r="B73" s="13" t="n">
        <v>45311</v>
      </c>
      <c r="C73" s="4" t="s">
        <v>6215</v>
      </c>
      <c r="D73" s="4" t="s">
        <v>6203</v>
      </c>
      <c r="E73" s="4" t="s">
        <v>6203</v>
      </c>
      <c r="F73" s="4" t="s">
        <v>6204</v>
      </c>
    </row>
    <row r="74" customFormat="false" ht="15" hidden="false" customHeight="true" outlineLevel="0" collapsed="false">
      <c r="A74" s="4" t="s">
        <v>250</v>
      </c>
      <c r="B74" s="13" t="n">
        <v>45255</v>
      </c>
      <c r="C74" s="4" t="s">
        <v>6194</v>
      </c>
      <c r="D74" s="4" t="s">
        <v>6211</v>
      </c>
      <c r="E74" s="4" t="s">
        <v>6208</v>
      </c>
      <c r="F74" s="4" t="s">
        <v>6214</v>
      </c>
    </row>
    <row r="75" customFormat="false" ht="15" hidden="false" customHeight="true" outlineLevel="0" collapsed="false">
      <c r="A75" s="4" t="s">
        <v>251</v>
      </c>
      <c r="B75" s="13" t="n">
        <v>45296</v>
      </c>
      <c r="C75" s="4" t="s">
        <v>6201</v>
      </c>
      <c r="D75" s="4" t="s">
        <v>6207</v>
      </c>
      <c r="E75" s="4" t="s">
        <v>6208</v>
      </c>
      <c r="F75" s="4" t="s">
        <v>6204</v>
      </c>
    </row>
    <row r="76" customFormat="false" ht="15" hidden="false" customHeight="true" outlineLevel="0" collapsed="false">
      <c r="A76" s="4" t="s">
        <v>252</v>
      </c>
      <c r="B76" s="13" t="n">
        <v>45311</v>
      </c>
      <c r="C76" s="4" t="s">
        <v>6201</v>
      </c>
      <c r="D76" s="4" t="s">
        <v>6203</v>
      </c>
      <c r="E76" s="4" t="s">
        <v>6199</v>
      </c>
      <c r="F76" s="4" t="s">
        <v>6214</v>
      </c>
    </row>
    <row r="77" customFormat="false" ht="15" hidden="false" customHeight="true" outlineLevel="0" collapsed="false">
      <c r="A77" s="4" t="s">
        <v>253</v>
      </c>
      <c r="B77" s="13" t="n">
        <v>45281</v>
      </c>
      <c r="C77" s="4" t="s">
        <v>6209</v>
      </c>
      <c r="D77" s="4" t="s">
        <v>6202</v>
      </c>
      <c r="E77" s="4" t="s">
        <v>6207</v>
      </c>
      <c r="F77" s="4"/>
    </row>
    <row r="78" customFormat="false" ht="15" hidden="false" customHeight="true" outlineLevel="0" collapsed="false">
      <c r="A78" s="4" t="s">
        <v>254</v>
      </c>
      <c r="B78" s="13" t="n">
        <v>45585</v>
      </c>
      <c r="C78" s="4" t="s">
        <v>6215</v>
      </c>
      <c r="D78" s="4" t="s">
        <v>6199</v>
      </c>
      <c r="E78" s="4" t="s">
        <v>6205</v>
      </c>
      <c r="F78" s="4" t="s">
        <v>6212</v>
      </c>
    </row>
    <row r="79" customFormat="false" ht="15" hidden="false" customHeight="true" outlineLevel="0" collapsed="false">
      <c r="A79" s="4" t="s">
        <v>255</v>
      </c>
      <c r="B79" s="13" t="n">
        <v>45447</v>
      </c>
      <c r="C79" s="4" t="s">
        <v>6201</v>
      </c>
      <c r="D79" s="4" t="s">
        <v>6207</v>
      </c>
      <c r="E79" s="4" t="s">
        <v>6206</v>
      </c>
      <c r="F79" s="4" t="s">
        <v>6212</v>
      </c>
    </row>
    <row r="80" customFormat="false" ht="15" hidden="false" customHeight="true" outlineLevel="0" collapsed="false">
      <c r="A80" s="4" t="s">
        <v>256</v>
      </c>
      <c r="B80" s="13" t="n">
        <v>45193</v>
      </c>
      <c r="C80" s="4" t="s">
        <v>6213</v>
      </c>
      <c r="D80" s="4" t="s">
        <v>6202</v>
      </c>
      <c r="E80" s="4" t="s">
        <v>6195</v>
      </c>
      <c r="F80" s="4" t="s">
        <v>6204</v>
      </c>
    </row>
    <row r="81" customFormat="false" ht="15" hidden="false" customHeight="true" outlineLevel="0" collapsed="false">
      <c r="A81" s="4" t="s">
        <v>257</v>
      </c>
      <c r="B81" s="13" t="n">
        <v>44947</v>
      </c>
      <c r="C81" s="4" t="s">
        <v>6213</v>
      </c>
      <c r="D81" s="4" t="s">
        <v>6203</v>
      </c>
      <c r="E81" s="4" t="s">
        <v>6195</v>
      </c>
      <c r="F81" s="4" t="s">
        <v>6216</v>
      </c>
    </row>
    <row r="82" customFormat="false" ht="15" hidden="false" customHeight="true" outlineLevel="0" collapsed="false">
      <c r="A82" s="4" t="s">
        <v>258</v>
      </c>
      <c r="B82" s="13" t="n">
        <v>44952</v>
      </c>
      <c r="C82" s="4" t="s">
        <v>6209</v>
      </c>
      <c r="D82" s="4" t="s">
        <v>6199</v>
      </c>
      <c r="E82" s="4" t="s">
        <v>6203</v>
      </c>
      <c r="F82" s="4"/>
    </row>
    <row r="83" customFormat="false" ht="15" hidden="false" customHeight="true" outlineLevel="0" collapsed="false">
      <c r="A83" s="4" t="s">
        <v>259</v>
      </c>
      <c r="B83" s="13" t="n">
        <v>45538</v>
      </c>
      <c r="C83" s="4" t="s">
        <v>6198</v>
      </c>
      <c r="D83" s="4" t="s">
        <v>6199</v>
      </c>
      <c r="E83" s="4" t="s">
        <v>6206</v>
      </c>
      <c r="F83" s="4" t="s">
        <v>6216</v>
      </c>
    </row>
    <row r="84" customFormat="false" ht="15" hidden="false" customHeight="true" outlineLevel="0" collapsed="false">
      <c r="A84" s="4" t="s">
        <v>260</v>
      </c>
      <c r="B84" s="13" t="n">
        <v>45354</v>
      </c>
      <c r="C84" s="4" t="s">
        <v>6213</v>
      </c>
      <c r="D84" s="4" t="s">
        <v>6199</v>
      </c>
      <c r="E84" s="4" t="s">
        <v>6207</v>
      </c>
      <c r="F84" s="4" t="s">
        <v>6214</v>
      </c>
    </row>
    <row r="85" customFormat="false" ht="15" hidden="false" customHeight="true" outlineLevel="0" collapsed="false">
      <c r="A85" s="4" t="s">
        <v>261</v>
      </c>
      <c r="B85" s="13" t="n">
        <v>44987</v>
      </c>
      <c r="C85" s="4" t="s">
        <v>6194</v>
      </c>
      <c r="D85" s="4" t="s">
        <v>6205</v>
      </c>
      <c r="E85" s="4" t="s">
        <v>6211</v>
      </c>
      <c r="F85" s="4" t="s">
        <v>6200</v>
      </c>
    </row>
    <row r="86" customFormat="false" ht="15" hidden="false" customHeight="true" outlineLevel="0" collapsed="false">
      <c r="A86" s="4" t="s">
        <v>262</v>
      </c>
      <c r="B86" s="13" t="n">
        <v>44987</v>
      </c>
      <c r="C86" s="4" t="s">
        <v>6201</v>
      </c>
      <c r="D86" s="4" t="s">
        <v>6203</v>
      </c>
      <c r="E86" s="4" t="s">
        <v>6208</v>
      </c>
      <c r="F86" s="4"/>
    </row>
    <row r="87" customFormat="false" ht="15" hidden="false" customHeight="true" outlineLevel="0" collapsed="false">
      <c r="A87" s="4" t="s">
        <v>263</v>
      </c>
      <c r="B87" s="13" t="n">
        <v>45182</v>
      </c>
      <c r="C87" s="4" t="s">
        <v>6210</v>
      </c>
      <c r="D87" s="4" t="s">
        <v>6211</v>
      </c>
      <c r="E87" s="4" t="s">
        <v>6211</v>
      </c>
      <c r="F87" s="4" t="s">
        <v>6204</v>
      </c>
    </row>
    <row r="88" customFormat="false" ht="15" hidden="false" customHeight="true" outlineLevel="0" collapsed="false">
      <c r="A88" s="4" t="s">
        <v>264</v>
      </c>
      <c r="B88" s="13" t="n">
        <v>45254</v>
      </c>
      <c r="C88" s="4" t="s">
        <v>6194</v>
      </c>
      <c r="D88" s="4" t="s">
        <v>6207</v>
      </c>
      <c r="E88" s="4" t="s">
        <v>6208</v>
      </c>
      <c r="F88" s="4"/>
    </row>
    <row r="89" customFormat="false" ht="15" hidden="false" customHeight="true" outlineLevel="0" collapsed="false">
      <c r="A89" s="4" t="s">
        <v>265</v>
      </c>
      <c r="B89" s="13" t="n">
        <v>44965</v>
      </c>
      <c r="C89" s="4" t="s">
        <v>6201</v>
      </c>
      <c r="D89" s="4" t="s">
        <v>6195</v>
      </c>
      <c r="E89" s="4" t="s">
        <v>6199</v>
      </c>
      <c r="F89" s="4"/>
    </row>
    <row r="90" customFormat="false" ht="15" hidden="false" customHeight="true" outlineLevel="0" collapsed="false">
      <c r="A90" s="4" t="s">
        <v>266</v>
      </c>
      <c r="B90" s="13" t="n">
        <v>45018</v>
      </c>
      <c r="C90" s="4" t="s">
        <v>6213</v>
      </c>
      <c r="D90" s="4" t="s">
        <v>6195</v>
      </c>
      <c r="E90" s="4" t="s">
        <v>6199</v>
      </c>
      <c r="F90" s="4" t="s">
        <v>6212</v>
      </c>
    </row>
    <row r="91" customFormat="false" ht="15" hidden="false" customHeight="true" outlineLevel="0" collapsed="false">
      <c r="A91" s="4" t="s">
        <v>267</v>
      </c>
      <c r="B91" s="13" t="n">
        <v>45087</v>
      </c>
      <c r="C91" s="4" t="s">
        <v>6194</v>
      </c>
      <c r="D91" s="4" t="s">
        <v>6207</v>
      </c>
      <c r="E91" s="4" t="s">
        <v>6206</v>
      </c>
      <c r="F91" s="4"/>
    </row>
    <row r="92" customFormat="false" ht="15" hidden="false" customHeight="true" outlineLevel="0" collapsed="false">
      <c r="A92" s="4" t="s">
        <v>268</v>
      </c>
      <c r="B92" s="13" t="n">
        <v>45621</v>
      </c>
      <c r="C92" s="4" t="s">
        <v>6210</v>
      </c>
      <c r="D92" s="4" t="s">
        <v>6208</v>
      </c>
      <c r="E92" s="4" t="s">
        <v>6207</v>
      </c>
      <c r="F92" s="4" t="s">
        <v>6216</v>
      </c>
    </row>
    <row r="93" customFormat="false" ht="15" hidden="false" customHeight="true" outlineLevel="0" collapsed="false">
      <c r="A93" s="4" t="s">
        <v>269</v>
      </c>
      <c r="B93" s="13" t="n">
        <v>45044</v>
      </c>
      <c r="C93" s="4" t="s">
        <v>6210</v>
      </c>
      <c r="D93" s="4" t="s">
        <v>6208</v>
      </c>
      <c r="E93" s="4" t="s">
        <v>6211</v>
      </c>
      <c r="F93" s="4" t="s">
        <v>6200</v>
      </c>
    </row>
    <row r="94" customFormat="false" ht="15" hidden="false" customHeight="true" outlineLevel="0" collapsed="false">
      <c r="A94" s="4" t="s">
        <v>270</v>
      </c>
      <c r="B94" s="13" t="n">
        <v>45652</v>
      </c>
      <c r="C94" s="4" t="s">
        <v>6209</v>
      </c>
      <c r="D94" s="4" t="s">
        <v>6196</v>
      </c>
      <c r="E94" s="4" t="s">
        <v>6202</v>
      </c>
      <c r="F94" s="4"/>
    </row>
    <row r="95" customFormat="false" ht="15" hidden="false" customHeight="true" outlineLevel="0" collapsed="false">
      <c r="A95" s="4" t="s">
        <v>271</v>
      </c>
      <c r="B95" s="13" t="n">
        <v>45248</v>
      </c>
      <c r="C95" s="4" t="s">
        <v>6209</v>
      </c>
      <c r="D95" s="4" t="s">
        <v>6206</v>
      </c>
      <c r="E95" s="4" t="s">
        <v>6196</v>
      </c>
      <c r="F95" s="4"/>
    </row>
    <row r="96" customFormat="false" ht="15" hidden="false" customHeight="true" outlineLevel="0" collapsed="false">
      <c r="A96" s="4" t="s">
        <v>272</v>
      </c>
      <c r="B96" s="13" t="n">
        <v>45302</v>
      </c>
      <c r="C96" s="4" t="s">
        <v>6210</v>
      </c>
      <c r="D96" s="4" t="s">
        <v>6202</v>
      </c>
      <c r="E96" s="4" t="s">
        <v>6203</v>
      </c>
      <c r="F96" s="4" t="s">
        <v>6214</v>
      </c>
    </row>
    <row r="97" customFormat="false" ht="15" hidden="false" customHeight="true" outlineLevel="0" collapsed="false">
      <c r="A97" s="4" t="s">
        <v>273</v>
      </c>
      <c r="B97" s="13" t="n">
        <v>45252</v>
      </c>
      <c r="C97" s="4" t="s">
        <v>6210</v>
      </c>
      <c r="D97" s="4" t="s">
        <v>6203</v>
      </c>
      <c r="E97" s="4" t="s">
        <v>6203</v>
      </c>
      <c r="F97" s="4" t="s">
        <v>6200</v>
      </c>
    </row>
    <row r="98" customFormat="false" ht="15" hidden="false" customHeight="true" outlineLevel="0" collapsed="false">
      <c r="A98" s="4" t="s">
        <v>274</v>
      </c>
      <c r="B98" s="13" t="n">
        <v>44976</v>
      </c>
      <c r="C98" s="4" t="s">
        <v>6209</v>
      </c>
      <c r="D98" s="4" t="s">
        <v>6202</v>
      </c>
      <c r="E98" s="4" t="s">
        <v>6211</v>
      </c>
      <c r="F98" s="4" t="s">
        <v>6200</v>
      </c>
    </row>
    <row r="99" customFormat="false" ht="15" hidden="false" customHeight="true" outlineLevel="0" collapsed="false">
      <c r="A99" s="4" t="s">
        <v>275</v>
      </c>
      <c r="B99" s="13" t="n">
        <v>44981</v>
      </c>
      <c r="C99" s="4" t="s">
        <v>6201</v>
      </c>
      <c r="D99" s="4" t="s">
        <v>6196</v>
      </c>
      <c r="E99" s="4" t="s">
        <v>6202</v>
      </c>
      <c r="F99" s="4" t="s">
        <v>6204</v>
      </c>
    </row>
    <row r="100" customFormat="false" ht="15" hidden="false" customHeight="true" outlineLevel="0" collapsed="false">
      <c r="A100" s="4" t="s">
        <v>276</v>
      </c>
      <c r="B100" s="13" t="n">
        <v>45031</v>
      </c>
      <c r="C100" s="4" t="s">
        <v>6201</v>
      </c>
      <c r="D100" s="4" t="s">
        <v>6195</v>
      </c>
      <c r="E100" s="4" t="s">
        <v>6207</v>
      </c>
      <c r="F100" s="4"/>
    </row>
    <row r="101" customFormat="false" ht="15" hidden="false" customHeight="true" outlineLevel="0" collapsed="false">
      <c r="A101" s="4" t="s">
        <v>277</v>
      </c>
      <c r="B101" s="13" t="n">
        <v>44963</v>
      </c>
      <c r="C101" s="4" t="s">
        <v>6215</v>
      </c>
      <c r="D101" s="4" t="s">
        <v>6208</v>
      </c>
      <c r="E101" s="4" t="s">
        <v>6211</v>
      </c>
      <c r="F101" s="4" t="s">
        <v>6197</v>
      </c>
    </row>
    <row r="102" customFormat="false" ht="15" hidden="false" customHeight="true" outlineLevel="0" collapsed="false">
      <c r="A102" s="4" t="s">
        <v>278</v>
      </c>
      <c r="B102" s="13" t="n">
        <v>44966</v>
      </c>
      <c r="C102" s="4" t="s">
        <v>6201</v>
      </c>
      <c r="D102" s="4" t="s">
        <v>6208</v>
      </c>
      <c r="E102" s="4" t="s">
        <v>6202</v>
      </c>
      <c r="F102" s="4"/>
    </row>
    <row r="103" customFormat="false" ht="15" hidden="false" customHeight="true" outlineLevel="0" collapsed="false">
      <c r="A103" s="4" t="s">
        <v>279</v>
      </c>
      <c r="B103" s="13" t="n">
        <v>45037</v>
      </c>
      <c r="C103" s="4" t="s">
        <v>6210</v>
      </c>
      <c r="D103" s="4" t="s">
        <v>6199</v>
      </c>
      <c r="E103" s="4" t="s">
        <v>6202</v>
      </c>
      <c r="F103" s="4" t="s">
        <v>6212</v>
      </c>
    </row>
    <row r="104" customFormat="false" ht="15" hidden="false" customHeight="true" outlineLevel="0" collapsed="false">
      <c r="A104" s="4" t="s">
        <v>280</v>
      </c>
      <c r="B104" s="13" t="n">
        <v>45649</v>
      </c>
      <c r="C104" s="4" t="s">
        <v>6194</v>
      </c>
      <c r="D104" s="4" t="s">
        <v>6206</v>
      </c>
      <c r="E104" s="4" t="s">
        <v>6211</v>
      </c>
      <c r="F104" s="4"/>
    </row>
    <row r="105" customFormat="false" ht="15" hidden="false" customHeight="true" outlineLevel="0" collapsed="false">
      <c r="A105" s="4" t="s">
        <v>281</v>
      </c>
      <c r="B105" s="13" t="n">
        <v>45352</v>
      </c>
      <c r="C105" s="4" t="s">
        <v>6194</v>
      </c>
      <c r="D105" s="4" t="s">
        <v>6202</v>
      </c>
      <c r="E105" s="4" t="s">
        <v>6195</v>
      </c>
      <c r="F105" s="4"/>
    </row>
    <row r="106" customFormat="false" ht="15" hidden="false" customHeight="true" outlineLevel="0" collapsed="false">
      <c r="A106" s="4" t="s">
        <v>282</v>
      </c>
      <c r="B106" s="13" t="n">
        <v>45635</v>
      </c>
      <c r="C106" s="4" t="s">
        <v>6213</v>
      </c>
      <c r="D106" s="4" t="s">
        <v>6202</v>
      </c>
      <c r="E106" s="4" t="s">
        <v>6199</v>
      </c>
      <c r="F106" s="4"/>
    </row>
    <row r="107" customFormat="false" ht="15" hidden="false" customHeight="true" outlineLevel="0" collapsed="false">
      <c r="A107" s="4" t="s">
        <v>283</v>
      </c>
      <c r="B107" s="13" t="n">
        <v>45558</v>
      </c>
      <c r="C107" s="4" t="s">
        <v>6201</v>
      </c>
      <c r="D107" s="4" t="s">
        <v>6203</v>
      </c>
      <c r="E107" s="4" t="s">
        <v>6208</v>
      </c>
      <c r="F107" s="4"/>
    </row>
    <row r="108" customFormat="false" ht="15" hidden="false" customHeight="true" outlineLevel="0" collapsed="false">
      <c r="A108" s="4" t="s">
        <v>284</v>
      </c>
      <c r="B108" s="13" t="n">
        <v>45046</v>
      </c>
      <c r="C108" s="4" t="s">
        <v>6213</v>
      </c>
      <c r="D108" s="4" t="s">
        <v>6207</v>
      </c>
      <c r="E108" s="4" t="s">
        <v>6207</v>
      </c>
      <c r="F108" s="4"/>
    </row>
    <row r="109" customFormat="false" ht="15" hidden="false" customHeight="true" outlineLevel="0" collapsed="false">
      <c r="A109" s="4" t="s">
        <v>285</v>
      </c>
      <c r="B109" s="13" t="n">
        <v>45549</v>
      </c>
      <c r="C109" s="4" t="s">
        <v>6215</v>
      </c>
      <c r="D109" s="4" t="s">
        <v>6203</v>
      </c>
      <c r="E109" s="4" t="s">
        <v>6203</v>
      </c>
      <c r="F109" s="4"/>
    </row>
    <row r="110" customFormat="false" ht="15" hidden="false" customHeight="true" outlineLevel="0" collapsed="false">
      <c r="A110" s="4" t="s">
        <v>286</v>
      </c>
      <c r="B110" s="13" t="n">
        <v>45033</v>
      </c>
      <c r="C110" s="4" t="s">
        <v>6198</v>
      </c>
      <c r="D110" s="4" t="s">
        <v>6208</v>
      </c>
      <c r="E110" s="4" t="s">
        <v>6195</v>
      </c>
      <c r="F110" s="4" t="s">
        <v>6204</v>
      </c>
    </row>
    <row r="111" customFormat="false" ht="15" hidden="false" customHeight="true" outlineLevel="0" collapsed="false">
      <c r="A111" s="4" t="s">
        <v>287</v>
      </c>
      <c r="B111" s="13" t="n">
        <v>45240</v>
      </c>
      <c r="C111" s="4" t="s">
        <v>6210</v>
      </c>
      <c r="D111" s="4" t="s">
        <v>6206</v>
      </c>
      <c r="E111" s="4" t="s">
        <v>6195</v>
      </c>
      <c r="F111" s="4" t="s">
        <v>6200</v>
      </c>
    </row>
    <row r="112" customFormat="false" ht="15" hidden="false" customHeight="true" outlineLevel="0" collapsed="false">
      <c r="A112" s="4" t="s">
        <v>288</v>
      </c>
      <c r="B112" s="13" t="n">
        <v>45521</v>
      </c>
      <c r="C112" s="4" t="s">
        <v>6213</v>
      </c>
      <c r="D112" s="4" t="s">
        <v>6207</v>
      </c>
      <c r="E112" s="4" t="s">
        <v>6196</v>
      </c>
      <c r="F112" s="4" t="s">
        <v>6212</v>
      </c>
    </row>
    <row r="113" customFormat="false" ht="15" hidden="false" customHeight="true" outlineLevel="0" collapsed="false">
      <c r="A113" s="4" t="s">
        <v>289</v>
      </c>
      <c r="B113" s="13" t="n">
        <v>45502</v>
      </c>
      <c r="C113" s="4" t="s">
        <v>6209</v>
      </c>
      <c r="D113" s="4" t="s">
        <v>6207</v>
      </c>
      <c r="E113" s="4" t="s">
        <v>6207</v>
      </c>
      <c r="F113" s="4"/>
    </row>
    <row r="114" customFormat="false" ht="15" hidden="false" customHeight="true" outlineLevel="0" collapsed="false">
      <c r="A114" s="4" t="s">
        <v>290</v>
      </c>
      <c r="B114" s="13" t="n">
        <v>45646</v>
      </c>
      <c r="C114" s="4" t="s">
        <v>6210</v>
      </c>
      <c r="D114" s="4" t="s">
        <v>6206</v>
      </c>
      <c r="E114" s="4" t="s">
        <v>6199</v>
      </c>
      <c r="F114" s="4" t="s">
        <v>6200</v>
      </c>
    </row>
    <row r="115" customFormat="false" ht="15" hidden="false" customHeight="true" outlineLevel="0" collapsed="false">
      <c r="A115" s="4" t="s">
        <v>291</v>
      </c>
      <c r="B115" s="13" t="n">
        <v>45551</v>
      </c>
      <c r="C115" s="4" t="s">
        <v>6198</v>
      </c>
      <c r="D115" s="4" t="s">
        <v>6208</v>
      </c>
      <c r="E115" s="4" t="s">
        <v>6206</v>
      </c>
      <c r="F115" s="4" t="s">
        <v>6204</v>
      </c>
    </row>
    <row r="116" customFormat="false" ht="15" hidden="false" customHeight="true" outlineLevel="0" collapsed="false">
      <c r="A116" s="4" t="s">
        <v>292</v>
      </c>
      <c r="B116" s="13" t="n">
        <v>44961</v>
      </c>
      <c r="C116" s="4" t="s">
        <v>6201</v>
      </c>
      <c r="D116" s="4" t="s">
        <v>6208</v>
      </c>
      <c r="E116" s="4" t="s">
        <v>6205</v>
      </c>
      <c r="F116" s="4" t="s">
        <v>6197</v>
      </c>
    </row>
    <row r="117" customFormat="false" ht="15" hidden="false" customHeight="true" outlineLevel="0" collapsed="false">
      <c r="A117" s="4" t="s">
        <v>293</v>
      </c>
      <c r="B117" s="13" t="n">
        <v>45026</v>
      </c>
      <c r="C117" s="4" t="s">
        <v>6209</v>
      </c>
      <c r="D117" s="4" t="s">
        <v>6203</v>
      </c>
      <c r="E117" s="4" t="s">
        <v>6207</v>
      </c>
      <c r="F117" s="4"/>
    </row>
    <row r="118" customFormat="false" ht="15" hidden="false" customHeight="true" outlineLevel="0" collapsed="false">
      <c r="A118" s="4" t="s">
        <v>294</v>
      </c>
      <c r="B118" s="13" t="n">
        <v>45351</v>
      </c>
      <c r="C118" s="4" t="s">
        <v>6213</v>
      </c>
      <c r="D118" s="4" t="s">
        <v>6196</v>
      </c>
      <c r="E118" s="4" t="s">
        <v>6195</v>
      </c>
      <c r="F118" s="4"/>
    </row>
    <row r="119" customFormat="false" ht="15" hidden="false" customHeight="true" outlineLevel="0" collapsed="false">
      <c r="A119" s="4" t="s">
        <v>295</v>
      </c>
      <c r="B119" s="13" t="n">
        <v>45406</v>
      </c>
      <c r="C119" s="4" t="s">
        <v>6213</v>
      </c>
      <c r="D119" s="4" t="s">
        <v>6196</v>
      </c>
      <c r="E119" s="4" t="s">
        <v>6207</v>
      </c>
      <c r="F119" s="4"/>
    </row>
    <row r="120" customFormat="false" ht="15" hidden="false" customHeight="true" outlineLevel="0" collapsed="false">
      <c r="A120" s="4" t="s">
        <v>296</v>
      </c>
      <c r="B120" s="13" t="n">
        <v>45625</v>
      </c>
      <c r="C120" s="4" t="s">
        <v>6209</v>
      </c>
      <c r="D120" s="4" t="s">
        <v>6207</v>
      </c>
      <c r="E120" s="4" t="s">
        <v>6195</v>
      </c>
      <c r="F120" s="4"/>
    </row>
    <row r="121" customFormat="false" ht="15" hidden="false" customHeight="true" outlineLevel="0" collapsed="false">
      <c r="A121" s="4" t="s">
        <v>297</v>
      </c>
      <c r="B121" s="13" t="n">
        <v>45186</v>
      </c>
      <c r="C121" s="4" t="s">
        <v>6215</v>
      </c>
      <c r="D121" s="4" t="s">
        <v>6196</v>
      </c>
      <c r="E121" s="4" t="s">
        <v>6206</v>
      </c>
      <c r="F121" s="4" t="s">
        <v>6216</v>
      </c>
    </row>
    <row r="122" customFormat="false" ht="15" hidden="false" customHeight="true" outlineLevel="0" collapsed="false">
      <c r="A122" s="4" t="s">
        <v>298</v>
      </c>
      <c r="B122" s="13" t="n">
        <v>45619</v>
      </c>
      <c r="C122" s="4" t="s">
        <v>6201</v>
      </c>
      <c r="D122" s="4" t="s">
        <v>6196</v>
      </c>
      <c r="E122" s="4" t="s">
        <v>6195</v>
      </c>
      <c r="F122" s="4"/>
    </row>
    <row r="123" customFormat="false" ht="15" hidden="false" customHeight="true" outlineLevel="0" collapsed="false">
      <c r="A123" s="4" t="s">
        <v>299</v>
      </c>
      <c r="B123" s="13" t="n">
        <v>45171</v>
      </c>
      <c r="C123" s="4" t="s">
        <v>6210</v>
      </c>
      <c r="D123" s="4" t="s">
        <v>6199</v>
      </c>
      <c r="E123" s="4" t="s">
        <v>6206</v>
      </c>
      <c r="F123" s="4" t="s">
        <v>6197</v>
      </c>
    </row>
    <row r="124" customFormat="false" ht="15" hidden="false" customHeight="true" outlineLevel="0" collapsed="false">
      <c r="A124" s="4" t="s">
        <v>300</v>
      </c>
      <c r="B124" s="13" t="n">
        <v>45495</v>
      </c>
      <c r="C124" s="4" t="s">
        <v>6194</v>
      </c>
      <c r="D124" s="4" t="s">
        <v>6207</v>
      </c>
      <c r="E124" s="4" t="s">
        <v>6205</v>
      </c>
      <c r="F124" s="4" t="s">
        <v>6204</v>
      </c>
    </row>
    <row r="125" customFormat="false" ht="15" hidden="false" customHeight="true" outlineLevel="0" collapsed="false">
      <c r="A125" s="4" t="s">
        <v>301</v>
      </c>
      <c r="B125" s="13" t="n">
        <v>45620</v>
      </c>
      <c r="C125" s="4" t="s">
        <v>6215</v>
      </c>
      <c r="D125" s="4" t="s">
        <v>6207</v>
      </c>
      <c r="E125" s="4" t="s">
        <v>6207</v>
      </c>
      <c r="F125" s="4"/>
    </row>
    <row r="126" customFormat="false" ht="15" hidden="false" customHeight="true" outlineLevel="0" collapsed="false">
      <c r="A126" s="4" t="s">
        <v>302</v>
      </c>
      <c r="B126" s="13" t="n">
        <v>45186</v>
      </c>
      <c r="C126" s="4" t="s">
        <v>6213</v>
      </c>
      <c r="D126" s="4" t="s">
        <v>6208</v>
      </c>
      <c r="E126" s="4" t="s">
        <v>6199</v>
      </c>
      <c r="F126" s="4" t="s">
        <v>6214</v>
      </c>
    </row>
    <row r="127" customFormat="false" ht="15" hidden="false" customHeight="true" outlineLevel="0" collapsed="false">
      <c r="A127" s="4" t="s">
        <v>303</v>
      </c>
      <c r="B127" s="13" t="n">
        <v>45142</v>
      </c>
      <c r="C127" s="4" t="s">
        <v>6210</v>
      </c>
      <c r="D127" s="4" t="s">
        <v>6195</v>
      </c>
      <c r="E127" s="4" t="s">
        <v>6208</v>
      </c>
      <c r="F127" s="4" t="s">
        <v>6214</v>
      </c>
    </row>
    <row r="128" customFormat="false" ht="15" hidden="false" customHeight="true" outlineLevel="0" collapsed="false">
      <c r="A128" s="4" t="s">
        <v>304</v>
      </c>
      <c r="B128" s="13" t="n">
        <v>45374</v>
      </c>
      <c r="C128" s="4" t="s">
        <v>6198</v>
      </c>
      <c r="D128" s="4" t="s">
        <v>6207</v>
      </c>
      <c r="E128" s="4" t="s">
        <v>6195</v>
      </c>
      <c r="F128" s="4"/>
    </row>
    <row r="129" customFormat="false" ht="15" hidden="false" customHeight="true" outlineLevel="0" collapsed="false">
      <c r="A129" s="4" t="s">
        <v>305</v>
      </c>
      <c r="B129" s="13" t="n">
        <v>45606</v>
      </c>
      <c r="C129" s="4" t="s">
        <v>6209</v>
      </c>
      <c r="D129" s="4" t="s">
        <v>6199</v>
      </c>
      <c r="E129" s="4" t="s">
        <v>6199</v>
      </c>
      <c r="F129" s="4" t="s">
        <v>6216</v>
      </c>
    </row>
    <row r="130" customFormat="false" ht="15" hidden="false" customHeight="true" outlineLevel="0" collapsed="false">
      <c r="A130" s="4" t="s">
        <v>306</v>
      </c>
      <c r="B130" s="13" t="n">
        <v>44972</v>
      </c>
      <c r="C130" s="4" t="s">
        <v>6209</v>
      </c>
      <c r="D130" s="4" t="s">
        <v>6206</v>
      </c>
      <c r="E130" s="4" t="s">
        <v>6211</v>
      </c>
      <c r="F130" s="4" t="s">
        <v>6214</v>
      </c>
    </row>
    <row r="131" customFormat="false" ht="15" hidden="false" customHeight="true" outlineLevel="0" collapsed="false">
      <c r="A131" s="4" t="s">
        <v>307</v>
      </c>
      <c r="B131" s="13" t="n">
        <v>45582</v>
      </c>
      <c r="C131" s="4" t="s">
        <v>6213</v>
      </c>
      <c r="D131" s="4" t="s">
        <v>6195</v>
      </c>
      <c r="E131" s="4" t="s">
        <v>6203</v>
      </c>
      <c r="F131" s="4" t="s">
        <v>6204</v>
      </c>
    </row>
    <row r="132" customFormat="false" ht="15" hidden="false" customHeight="true" outlineLevel="0" collapsed="false">
      <c r="A132" s="4" t="s">
        <v>308</v>
      </c>
      <c r="B132" s="13" t="n">
        <v>45283</v>
      </c>
      <c r="C132" s="4" t="s">
        <v>6201</v>
      </c>
      <c r="D132" s="4" t="s">
        <v>6196</v>
      </c>
      <c r="E132" s="4" t="s">
        <v>6196</v>
      </c>
      <c r="F132" s="4" t="s">
        <v>6200</v>
      </c>
    </row>
    <row r="133" customFormat="false" ht="15" hidden="false" customHeight="true" outlineLevel="0" collapsed="false">
      <c r="A133" s="4" t="s">
        <v>309</v>
      </c>
      <c r="B133" s="13" t="n">
        <v>45234</v>
      </c>
      <c r="C133" s="4" t="s">
        <v>6198</v>
      </c>
      <c r="D133" s="4" t="s">
        <v>6202</v>
      </c>
      <c r="E133" s="4" t="s">
        <v>6206</v>
      </c>
      <c r="F133" s="4" t="s">
        <v>6216</v>
      </c>
    </row>
    <row r="134" customFormat="false" ht="15" hidden="false" customHeight="true" outlineLevel="0" collapsed="false">
      <c r="A134" s="4" t="s">
        <v>310</v>
      </c>
      <c r="B134" s="13" t="n">
        <v>45254</v>
      </c>
      <c r="C134" s="4" t="s">
        <v>6194</v>
      </c>
      <c r="D134" s="4" t="s">
        <v>6196</v>
      </c>
      <c r="E134" s="4" t="s">
        <v>6199</v>
      </c>
      <c r="F134" s="4"/>
    </row>
    <row r="135" customFormat="false" ht="15" hidden="false" customHeight="true" outlineLevel="0" collapsed="false">
      <c r="A135" s="4" t="s">
        <v>311</v>
      </c>
      <c r="B135" s="13" t="n">
        <v>45548</v>
      </c>
      <c r="C135" s="4" t="s">
        <v>6215</v>
      </c>
      <c r="D135" s="4" t="s">
        <v>6208</v>
      </c>
      <c r="E135" s="4" t="s">
        <v>6196</v>
      </c>
      <c r="F135" s="4"/>
    </row>
    <row r="136" customFormat="false" ht="15" hidden="false" customHeight="true" outlineLevel="0" collapsed="false">
      <c r="A136" s="4" t="s">
        <v>312</v>
      </c>
      <c r="B136" s="13" t="n">
        <v>45438</v>
      </c>
      <c r="C136" s="4" t="s">
        <v>6210</v>
      </c>
      <c r="D136" s="4" t="s">
        <v>6202</v>
      </c>
      <c r="E136" s="4" t="s">
        <v>6203</v>
      </c>
      <c r="F136" s="4" t="s">
        <v>6212</v>
      </c>
    </row>
    <row r="137" customFormat="false" ht="15" hidden="false" customHeight="true" outlineLevel="0" collapsed="false">
      <c r="A137" s="4" t="s">
        <v>313</v>
      </c>
      <c r="B137" s="13" t="n">
        <v>45251</v>
      </c>
      <c r="C137" s="4" t="s">
        <v>6213</v>
      </c>
      <c r="D137" s="4" t="s">
        <v>6206</v>
      </c>
      <c r="E137" s="4" t="s">
        <v>6203</v>
      </c>
      <c r="F137" s="4" t="s">
        <v>6204</v>
      </c>
    </row>
    <row r="138" customFormat="false" ht="15" hidden="false" customHeight="true" outlineLevel="0" collapsed="false">
      <c r="A138" s="4" t="s">
        <v>314</v>
      </c>
      <c r="B138" s="13" t="n">
        <v>45541</v>
      </c>
      <c r="C138" s="4" t="s">
        <v>6213</v>
      </c>
      <c r="D138" s="4" t="s">
        <v>6205</v>
      </c>
      <c r="E138" s="4" t="s">
        <v>6206</v>
      </c>
      <c r="F138" s="4" t="s">
        <v>6216</v>
      </c>
    </row>
    <row r="139" customFormat="false" ht="15" hidden="false" customHeight="true" outlineLevel="0" collapsed="false">
      <c r="A139" s="4" t="s">
        <v>315</v>
      </c>
      <c r="B139" s="13" t="n">
        <v>45560</v>
      </c>
      <c r="C139" s="4" t="s">
        <v>6215</v>
      </c>
      <c r="D139" s="4" t="s">
        <v>6196</v>
      </c>
      <c r="E139" s="4" t="s">
        <v>6208</v>
      </c>
      <c r="F139" s="4" t="s">
        <v>6204</v>
      </c>
    </row>
    <row r="140" customFormat="false" ht="15" hidden="false" customHeight="true" outlineLevel="0" collapsed="false">
      <c r="A140" s="4" t="s">
        <v>316</v>
      </c>
      <c r="B140" s="13" t="n">
        <v>44987</v>
      </c>
      <c r="C140" s="4" t="s">
        <v>6209</v>
      </c>
      <c r="D140" s="4" t="s">
        <v>6196</v>
      </c>
      <c r="E140" s="4" t="s">
        <v>6211</v>
      </c>
      <c r="F140" s="4" t="s">
        <v>6200</v>
      </c>
    </row>
    <row r="141" customFormat="false" ht="15" hidden="false" customHeight="true" outlineLevel="0" collapsed="false">
      <c r="A141" s="4" t="s">
        <v>317</v>
      </c>
      <c r="B141" s="13" t="n">
        <v>45379</v>
      </c>
      <c r="C141" s="4" t="s">
        <v>6209</v>
      </c>
      <c r="D141" s="4" t="s">
        <v>6195</v>
      </c>
      <c r="E141" s="4" t="s">
        <v>6208</v>
      </c>
      <c r="F141" s="4"/>
    </row>
    <row r="142" customFormat="false" ht="15" hidden="false" customHeight="true" outlineLevel="0" collapsed="false">
      <c r="A142" s="4" t="s">
        <v>318</v>
      </c>
      <c r="B142" s="13" t="n">
        <v>45506</v>
      </c>
      <c r="C142" s="4" t="s">
        <v>6194</v>
      </c>
      <c r="D142" s="4" t="s">
        <v>6206</v>
      </c>
      <c r="E142" s="4" t="s">
        <v>6196</v>
      </c>
      <c r="F142" s="4" t="s">
        <v>6214</v>
      </c>
    </row>
    <row r="143" customFormat="false" ht="15" hidden="false" customHeight="true" outlineLevel="0" collapsed="false">
      <c r="A143" s="4" t="s">
        <v>319</v>
      </c>
      <c r="B143" s="13" t="n">
        <v>45138</v>
      </c>
      <c r="C143" s="4" t="s">
        <v>6198</v>
      </c>
      <c r="D143" s="4" t="s">
        <v>6199</v>
      </c>
      <c r="E143" s="4" t="s">
        <v>6206</v>
      </c>
      <c r="F143" s="4"/>
    </row>
    <row r="144" customFormat="false" ht="15" hidden="false" customHeight="true" outlineLevel="0" collapsed="false">
      <c r="A144" s="4" t="s">
        <v>320</v>
      </c>
      <c r="B144" s="13" t="n">
        <v>45128</v>
      </c>
      <c r="C144" s="4" t="s">
        <v>6213</v>
      </c>
      <c r="D144" s="4" t="s">
        <v>6205</v>
      </c>
      <c r="E144" s="4" t="s">
        <v>6202</v>
      </c>
      <c r="F144" s="4"/>
    </row>
    <row r="145" customFormat="false" ht="15" hidden="false" customHeight="true" outlineLevel="0" collapsed="false">
      <c r="A145" s="4" t="s">
        <v>321</v>
      </c>
      <c r="B145" s="13" t="n">
        <v>45031</v>
      </c>
      <c r="C145" s="4" t="s">
        <v>6213</v>
      </c>
      <c r="D145" s="4" t="s">
        <v>6211</v>
      </c>
      <c r="E145" s="4" t="s">
        <v>6206</v>
      </c>
      <c r="F145" s="4" t="s">
        <v>6200</v>
      </c>
    </row>
    <row r="146" customFormat="false" ht="15" hidden="false" customHeight="true" outlineLevel="0" collapsed="false">
      <c r="A146" s="4" t="s">
        <v>322</v>
      </c>
      <c r="B146" s="13" t="n">
        <v>45462</v>
      </c>
      <c r="C146" s="4" t="s">
        <v>6194</v>
      </c>
      <c r="D146" s="4" t="s">
        <v>6206</v>
      </c>
      <c r="E146" s="4" t="s">
        <v>6206</v>
      </c>
      <c r="F146" s="4" t="s">
        <v>6200</v>
      </c>
    </row>
    <row r="147" customFormat="false" ht="15" hidden="false" customHeight="true" outlineLevel="0" collapsed="false">
      <c r="A147" s="4" t="s">
        <v>323</v>
      </c>
      <c r="B147" s="13" t="n">
        <v>45468</v>
      </c>
      <c r="C147" s="4" t="s">
        <v>6198</v>
      </c>
      <c r="D147" s="4" t="s">
        <v>6202</v>
      </c>
      <c r="E147" s="4" t="s">
        <v>6205</v>
      </c>
      <c r="F147" s="4" t="s">
        <v>6212</v>
      </c>
    </row>
    <row r="148" customFormat="false" ht="15" hidden="false" customHeight="true" outlineLevel="0" collapsed="false">
      <c r="A148" s="4" t="s">
        <v>324</v>
      </c>
      <c r="B148" s="13" t="n">
        <v>44966</v>
      </c>
      <c r="C148" s="4" t="s">
        <v>6209</v>
      </c>
      <c r="D148" s="4" t="s">
        <v>6205</v>
      </c>
      <c r="E148" s="4" t="s">
        <v>6195</v>
      </c>
      <c r="F148" s="4" t="s">
        <v>6216</v>
      </c>
    </row>
    <row r="149" customFormat="false" ht="15" hidden="false" customHeight="true" outlineLevel="0" collapsed="false">
      <c r="A149" s="4" t="s">
        <v>325</v>
      </c>
      <c r="B149" s="13" t="n">
        <v>45243</v>
      </c>
      <c r="C149" s="4" t="s">
        <v>6194</v>
      </c>
      <c r="D149" s="4" t="s">
        <v>6205</v>
      </c>
      <c r="E149" s="4" t="s">
        <v>6208</v>
      </c>
      <c r="F149" s="4" t="s">
        <v>6197</v>
      </c>
    </row>
    <row r="150" customFormat="false" ht="15" hidden="false" customHeight="true" outlineLevel="0" collapsed="false">
      <c r="A150" s="4" t="s">
        <v>326</v>
      </c>
      <c r="B150" s="13" t="n">
        <v>45550</v>
      </c>
      <c r="C150" s="4" t="s">
        <v>6194</v>
      </c>
      <c r="D150" s="4" t="s">
        <v>6203</v>
      </c>
      <c r="E150" s="4" t="s">
        <v>6199</v>
      </c>
      <c r="F150" s="4" t="s">
        <v>6200</v>
      </c>
    </row>
    <row r="151" customFormat="false" ht="15" hidden="false" customHeight="true" outlineLevel="0" collapsed="false">
      <c r="A151" s="4" t="s">
        <v>327</v>
      </c>
      <c r="B151" s="13" t="n">
        <v>45554</v>
      </c>
      <c r="C151" s="4" t="s">
        <v>6209</v>
      </c>
      <c r="D151" s="4" t="s">
        <v>6199</v>
      </c>
      <c r="E151" s="4" t="s">
        <v>6199</v>
      </c>
      <c r="F151" s="4"/>
    </row>
    <row r="152" customFormat="false" ht="15" hidden="false" customHeight="true" outlineLevel="0" collapsed="false">
      <c r="A152" s="4" t="s">
        <v>328</v>
      </c>
      <c r="B152" s="13" t="n">
        <v>45217</v>
      </c>
      <c r="C152" s="4" t="s">
        <v>6210</v>
      </c>
      <c r="D152" s="4" t="s">
        <v>6205</v>
      </c>
      <c r="E152" s="4" t="s">
        <v>6208</v>
      </c>
      <c r="F152" s="4" t="s">
        <v>6200</v>
      </c>
    </row>
    <row r="153" customFormat="false" ht="15" hidden="false" customHeight="true" outlineLevel="0" collapsed="false">
      <c r="A153" s="4" t="s">
        <v>329</v>
      </c>
      <c r="B153" s="13" t="n">
        <v>45171</v>
      </c>
      <c r="C153" s="4" t="s">
        <v>6213</v>
      </c>
      <c r="D153" s="4" t="s">
        <v>6199</v>
      </c>
      <c r="E153" s="4" t="s">
        <v>6195</v>
      </c>
      <c r="F153" s="4" t="s">
        <v>6214</v>
      </c>
    </row>
    <row r="154" customFormat="false" ht="15" hidden="false" customHeight="true" outlineLevel="0" collapsed="false">
      <c r="A154" s="4" t="s">
        <v>330</v>
      </c>
      <c r="B154" s="13" t="n">
        <v>45031</v>
      </c>
      <c r="C154" s="4" t="s">
        <v>6194</v>
      </c>
      <c r="D154" s="4" t="s">
        <v>6206</v>
      </c>
      <c r="E154" s="4" t="s">
        <v>6203</v>
      </c>
      <c r="F154" s="4" t="s">
        <v>6212</v>
      </c>
    </row>
    <row r="155" customFormat="false" ht="15" hidden="false" customHeight="true" outlineLevel="0" collapsed="false">
      <c r="A155" s="4" t="s">
        <v>331</v>
      </c>
      <c r="B155" s="13" t="n">
        <v>45436</v>
      </c>
      <c r="C155" s="4" t="s">
        <v>6215</v>
      </c>
      <c r="D155" s="4" t="s">
        <v>6195</v>
      </c>
      <c r="E155" s="4" t="s">
        <v>6196</v>
      </c>
      <c r="F155" s="4" t="s">
        <v>6212</v>
      </c>
    </row>
    <row r="156" customFormat="false" ht="15" hidden="false" customHeight="true" outlineLevel="0" collapsed="false">
      <c r="A156" s="4" t="s">
        <v>332</v>
      </c>
      <c r="B156" s="13" t="n">
        <v>45070</v>
      </c>
      <c r="C156" s="4" t="s">
        <v>6198</v>
      </c>
      <c r="D156" s="4" t="s">
        <v>6208</v>
      </c>
      <c r="E156" s="4" t="s">
        <v>6211</v>
      </c>
      <c r="F156" s="4" t="s">
        <v>6197</v>
      </c>
    </row>
    <row r="157" customFormat="false" ht="15" hidden="false" customHeight="true" outlineLevel="0" collapsed="false">
      <c r="A157" s="4" t="s">
        <v>333</v>
      </c>
      <c r="B157" s="13" t="n">
        <v>44969</v>
      </c>
      <c r="C157" s="4" t="s">
        <v>6194</v>
      </c>
      <c r="D157" s="4" t="s">
        <v>6203</v>
      </c>
      <c r="E157" s="4" t="s">
        <v>6211</v>
      </c>
      <c r="F157" s="4"/>
    </row>
    <row r="158" customFormat="false" ht="15" hidden="false" customHeight="true" outlineLevel="0" collapsed="false">
      <c r="A158" s="4" t="s">
        <v>334</v>
      </c>
      <c r="B158" s="13" t="n">
        <v>45319</v>
      </c>
      <c r="C158" s="4" t="s">
        <v>6201</v>
      </c>
      <c r="D158" s="4" t="s">
        <v>6202</v>
      </c>
      <c r="E158" s="4" t="s">
        <v>6211</v>
      </c>
      <c r="F158" s="4"/>
    </row>
    <row r="159" customFormat="false" ht="15" hidden="false" customHeight="true" outlineLevel="0" collapsed="false">
      <c r="A159" s="4" t="s">
        <v>335</v>
      </c>
      <c r="B159" s="13" t="n">
        <v>45093</v>
      </c>
      <c r="C159" s="4" t="s">
        <v>6210</v>
      </c>
      <c r="D159" s="4" t="s">
        <v>6207</v>
      </c>
      <c r="E159" s="4" t="s">
        <v>6195</v>
      </c>
      <c r="F159" s="4" t="s">
        <v>6212</v>
      </c>
    </row>
    <row r="160" customFormat="false" ht="15" hidden="false" customHeight="true" outlineLevel="0" collapsed="false">
      <c r="A160" s="4" t="s">
        <v>336</v>
      </c>
      <c r="B160" s="13" t="n">
        <v>45309</v>
      </c>
      <c r="C160" s="4" t="s">
        <v>6210</v>
      </c>
      <c r="D160" s="4" t="s">
        <v>6199</v>
      </c>
      <c r="E160" s="4" t="s">
        <v>6199</v>
      </c>
      <c r="F160" s="4"/>
    </row>
    <row r="161" customFormat="false" ht="15" hidden="false" customHeight="true" outlineLevel="0" collapsed="false">
      <c r="A161" s="4" t="s">
        <v>337</v>
      </c>
      <c r="B161" s="13" t="n">
        <v>45616</v>
      </c>
      <c r="C161" s="4" t="s">
        <v>6194</v>
      </c>
      <c r="D161" s="4" t="s">
        <v>6205</v>
      </c>
      <c r="E161" s="4" t="s">
        <v>6202</v>
      </c>
      <c r="F161" s="4" t="s">
        <v>6216</v>
      </c>
    </row>
    <row r="162" customFormat="false" ht="15" hidden="false" customHeight="true" outlineLevel="0" collapsed="false">
      <c r="A162" s="4" t="s">
        <v>338</v>
      </c>
      <c r="B162" s="13" t="n">
        <v>45064</v>
      </c>
      <c r="C162" s="4" t="s">
        <v>6201</v>
      </c>
      <c r="D162" s="4" t="s">
        <v>6202</v>
      </c>
      <c r="E162" s="4" t="s">
        <v>6211</v>
      </c>
      <c r="F162" s="4" t="s">
        <v>6200</v>
      </c>
    </row>
    <row r="163" customFormat="false" ht="15" hidden="false" customHeight="true" outlineLevel="0" collapsed="false">
      <c r="A163" s="4" t="s">
        <v>339</v>
      </c>
      <c r="B163" s="13" t="n">
        <v>44955</v>
      </c>
      <c r="C163" s="4" t="s">
        <v>6198</v>
      </c>
      <c r="D163" s="4" t="s">
        <v>6202</v>
      </c>
      <c r="E163" s="4" t="s">
        <v>6199</v>
      </c>
      <c r="F163" s="4" t="s">
        <v>6197</v>
      </c>
    </row>
    <row r="164" customFormat="false" ht="15" hidden="false" customHeight="true" outlineLevel="0" collapsed="false">
      <c r="A164" s="4" t="s">
        <v>340</v>
      </c>
      <c r="B164" s="13" t="n">
        <v>45577</v>
      </c>
      <c r="C164" s="4" t="s">
        <v>6210</v>
      </c>
      <c r="D164" s="4" t="s">
        <v>6205</v>
      </c>
      <c r="E164" s="4" t="s">
        <v>6196</v>
      </c>
      <c r="F164" s="4"/>
    </row>
    <row r="165" customFormat="false" ht="15" hidden="false" customHeight="true" outlineLevel="0" collapsed="false">
      <c r="A165" s="4" t="s">
        <v>341</v>
      </c>
      <c r="B165" s="13" t="n">
        <v>45659</v>
      </c>
      <c r="C165" s="4" t="s">
        <v>6210</v>
      </c>
      <c r="D165" s="4" t="s">
        <v>6199</v>
      </c>
      <c r="E165" s="4" t="s">
        <v>6195</v>
      </c>
      <c r="F165" s="4"/>
    </row>
    <row r="166" customFormat="false" ht="15" hidden="false" customHeight="true" outlineLevel="0" collapsed="false">
      <c r="A166" s="4" t="s">
        <v>342</v>
      </c>
      <c r="B166" s="13" t="n">
        <v>45627</v>
      </c>
      <c r="C166" s="4" t="s">
        <v>6213</v>
      </c>
      <c r="D166" s="4" t="s">
        <v>6206</v>
      </c>
      <c r="E166" s="4" t="s">
        <v>6206</v>
      </c>
      <c r="F166" s="4" t="s">
        <v>6212</v>
      </c>
    </row>
    <row r="167" customFormat="false" ht="15" hidden="false" customHeight="true" outlineLevel="0" collapsed="false">
      <c r="A167" s="4" t="s">
        <v>343</v>
      </c>
      <c r="B167" s="13" t="n">
        <v>45207</v>
      </c>
      <c r="C167" s="4" t="s">
        <v>6210</v>
      </c>
      <c r="D167" s="4" t="s">
        <v>6205</v>
      </c>
      <c r="E167" s="4" t="s">
        <v>6208</v>
      </c>
      <c r="F167" s="4"/>
    </row>
    <row r="168" customFormat="false" ht="15" hidden="false" customHeight="true" outlineLevel="0" collapsed="false">
      <c r="A168" s="4" t="s">
        <v>344</v>
      </c>
      <c r="B168" s="13" t="n">
        <v>45639</v>
      </c>
      <c r="C168" s="4" t="s">
        <v>6213</v>
      </c>
      <c r="D168" s="4" t="s">
        <v>6203</v>
      </c>
      <c r="E168" s="4" t="s">
        <v>6211</v>
      </c>
      <c r="F168" s="4" t="s">
        <v>6204</v>
      </c>
    </row>
    <row r="169" customFormat="false" ht="15" hidden="false" customHeight="true" outlineLevel="0" collapsed="false">
      <c r="A169" s="4" t="s">
        <v>345</v>
      </c>
      <c r="B169" s="13" t="n">
        <v>45652</v>
      </c>
      <c r="C169" s="4" t="s">
        <v>6215</v>
      </c>
      <c r="D169" s="4" t="s">
        <v>6211</v>
      </c>
      <c r="E169" s="4" t="s">
        <v>6203</v>
      </c>
      <c r="F169" s="4" t="s">
        <v>6204</v>
      </c>
    </row>
    <row r="170" customFormat="false" ht="15" hidden="false" customHeight="true" outlineLevel="0" collapsed="false">
      <c r="A170" s="4" t="s">
        <v>346</v>
      </c>
      <c r="B170" s="13" t="n">
        <v>45221</v>
      </c>
      <c r="C170" s="4" t="s">
        <v>6198</v>
      </c>
      <c r="D170" s="4" t="s">
        <v>6211</v>
      </c>
      <c r="E170" s="4" t="s">
        <v>6202</v>
      </c>
      <c r="F170" s="4" t="s">
        <v>6197</v>
      </c>
    </row>
    <row r="171" customFormat="false" ht="15" hidden="false" customHeight="true" outlineLevel="0" collapsed="false">
      <c r="A171" s="4" t="s">
        <v>347</v>
      </c>
      <c r="B171" s="13" t="n">
        <v>45046</v>
      </c>
      <c r="C171" s="4" t="s">
        <v>6210</v>
      </c>
      <c r="D171" s="4" t="s">
        <v>6206</v>
      </c>
      <c r="E171" s="4" t="s">
        <v>6207</v>
      </c>
      <c r="F171" s="4"/>
    </row>
    <row r="172" customFormat="false" ht="15" hidden="false" customHeight="true" outlineLevel="0" collapsed="false">
      <c r="A172" s="4" t="s">
        <v>348</v>
      </c>
      <c r="B172" s="13" t="n">
        <v>45564</v>
      </c>
      <c r="C172" s="4" t="s">
        <v>6215</v>
      </c>
      <c r="D172" s="4" t="s">
        <v>6205</v>
      </c>
      <c r="E172" s="4" t="s">
        <v>6207</v>
      </c>
      <c r="F172" s="4" t="s">
        <v>6197</v>
      </c>
    </row>
    <row r="173" customFormat="false" ht="15" hidden="false" customHeight="true" outlineLevel="0" collapsed="false">
      <c r="A173" s="4" t="s">
        <v>349</v>
      </c>
      <c r="B173" s="13" t="n">
        <v>44994</v>
      </c>
      <c r="C173" s="4" t="s">
        <v>6215</v>
      </c>
      <c r="D173" s="4" t="s">
        <v>6202</v>
      </c>
      <c r="E173" s="4" t="s">
        <v>6195</v>
      </c>
      <c r="F173" s="4" t="s">
        <v>6204</v>
      </c>
    </row>
    <row r="174" customFormat="false" ht="15" hidden="false" customHeight="true" outlineLevel="0" collapsed="false">
      <c r="A174" s="4" t="s">
        <v>350</v>
      </c>
      <c r="B174" s="13" t="n">
        <v>45269</v>
      </c>
      <c r="C174" s="4" t="s">
        <v>6201</v>
      </c>
      <c r="D174" s="4" t="s">
        <v>6205</v>
      </c>
      <c r="E174" s="4" t="s">
        <v>6202</v>
      </c>
      <c r="F174" s="4"/>
    </row>
    <row r="175" customFormat="false" ht="15" hidden="false" customHeight="true" outlineLevel="0" collapsed="false">
      <c r="A175" s="4" t="s">
        <v>351</v>
      </c>
      <c r="B175" s="13" t="n">
        <v>45026</v>
      </c>
      <c r="C175" s="4" t="s">
        <v>6210</v>
      </c>
      <c r="D175" s="4" t="s">
        <v>6205</v>
      </c>
      <c r="E175" s="4" t="s">
        <v>6199</v>
      </c>
      <c r="F175" s="4" t="s">
        <v>6212</v>
      </c>
    </row>
    <row r="176" customFormat="false" ht="15" hidden="false" customHeight="true" outlineLevel="0" collapsed="false">
      <c r="A176" s="4" t="s">
        <v>352</v>
      </c>
      <c r="B176" s="13" t="n">
        <v>45348</v>
      </c>
      <c r="C176" s="4" t="s">
        <v>6209</v>
      </c>
      <c r="D176" s="4" t="s">
        <v>6199</v>
      </c>
      <c r="E176" s="4" t="s">
        <v>6206</v>
      </c>
      <c r="F176" s="4" t="s">
        <v>6197</v>
      </c>
    </row>
    <row r="177" customFormat="false" ht="15" hidden="false" customHeight="true" outlineLevel="0" collapsed="false">
      <c r="A177" s="4" t="s">
        <v>353</v>
      </c>
      <c r="B177" s="13" t="n">
        <v>45441</v>
      </c>
      <c r="C177" s="4" t="s">
        <v>6210</v>
      </c>
      <c r="D177" s="4" t="s">
        <v>6203</v>
      </c>
      <c r="E177" s="4" t="s">
        <v>6207</v>
      </c>
      <c r="F177" s="4" t="s">
        <v>6204</v>
      </c>
    </row>
    <row r="178" customFormat="false" ht="15" hidden="false" customHeight="true" outlineLevel="0" collapsed="false">
      <c r="A178" s="4" t="s">
        <v>354</v>
      </c>
      <c r="B178" s="13" t="n">
        <v>45572</v>
      </c>
      <c r="C178" s="4" t="s">
        <v>6215</v>
      </c>
      <c r="D178" s="4" t="s">
        <v>6203</v>
      </c>
      <c r="E178" s="4" t="s">
        <v>6205</v>
      </c>
      <c r="F178" s="4" t="s">
        <v>6216</v>
      </c>
    </row>
    <row r="179" customFormat="false" ht="15" hidden="false" customHeight="true" outlineLevel="0" collapsed="false">
      <c r="A179" s="4" t="s">
        <v>355</v>
      </c>
      <c r="B179" s="13" t="n">
        <v>45217</v>
      </c>
      <c r="C179" s="4" t="s">
        <v>6213</v>
      </c>
      <c r="D179" s="4" t="s">
        <v>6203</v>
      </c>
      <c r="E179" s="4" t="s">
        <v>6207</v>
      </c>
      <c r="F179" s="4"/>
    </row>
    <row r="180" customFormat="false" ht="15" hidden="false" customHeight="true" outlineLevel="0" collapsed="false">
      <c r="A180" s="4" t="s">
        <v>356</v>
      </c>
      <c r="B180" s="13" t="n">
        <v>45602</v>
      </c>
      <c r="C180" s="4" t="s">
        <v>6215</v>
      </c>
      <c r="D180" s="4" t="s">
        <v>6206</v>
      </c>
      <c r="E180" s="4" t="s">
        <v>6207</v>
      </c>
      <c r="F180" s="4" t="s">
        <v>6197</v>
      </c>
    </row>
    <row r="181" customFormat="false" ht="15" hidden="false" customHeight="true" outlineLevel="0" collapsed="false">
      <c r="A181" s="4" t="s">
        <v>357</v>
      </c>
      <c r="B181" s="13" t="n">
        <v>45346</v>
      </c>
      <c r="C181" s="4" t="s">
        <v>6198</v>
      </c>
      <c r="D181" s="4" t="s">
        <v>6195</v>
      </c>
      <c r="E181" s="4" t="s">
        <v>6207</v>
      </c>
      <c r="F181" s="4" t="s">
        <v>6204</v>
      </c>
    </row>
    <row r="182" customFormat="false" ht="15" hidden="false" customHeight="true" outlineLevel="0" collapsed="false">
      <c r="A182" s="4" t="s">
        <v>358</v>
      </c>
      <c r="B182" s="13" t="n">
        <v>45515</v>
      </c>
      <c r="C182" s="4" t="s">
        <v>6194</v>
      </c>
      <c r="D182" s="4" t="s">
        <v>6196</v>
      </c>
      <c r="E182" s="4" t="s">
        <v>6208</v>
      </c>
      <c r="F182" s="4"/>
    </row>
    <row r="183" customFormat="false" ht="15" hidden="false" customHeight="true" outlineLevel="0" collapsed="false">
      <c r="A183" s="4" t="s">
        <v>359</v>
      </c>
      <c r="B183" s="13" t="n">
        <v>45284</v>
      </c>
      <c r="C183" s="4" t="s">
        <v>6213</v>
      </c>
      <c r="D183" s="4" t="s">
        <v>6205</v>
      </c>
      <c r="E183" s="4" t="s">
        <v>6203</v>
      </c>
      <c r="F183" s="4"/>
    </row>
    <row r="184" customFormat="false" ht="15" hidden="false" customHeight="true" outlineLevel="0" collapsed="false">
      <c r="A184" s="4" t="s">
        <v>360</v>
      </c>
      <c r="B184" s="13" t="n">
        <v>44968</v>
      </c>
      <c r="C184" s="4" t="s">
        <v>6210</v>
      </c>
      <c r="D184" s="4" t="s">
        <v>6207</v>
      </c>
      <c r="E184" s="4" t="s">
        <v>6205</v>
      </c>
      <c r="F184" s="4" t="s">
        <v>6197</v>
      </c>
    </row>
    <row r="185" customFormat="false" ht="15" hidden="false" customHeight="true" outlineLevel="0" collapsed="false">
      <c r="A185" s="4" t="s">
        <v>361</v>
      </c>
      <c r="B185" s="13" t="n">
        <v>45155</v>
      </c>
      <c r="C185" s="4" t="s">
        <v>6210</v>
      </c>
      <c r="D185" s="4" t="s">
        <v>6208</v>
      </c>
      <c r="E185" s="4" t="s">
        <v>6205</v>
      </c>
      <c r="F185" s="4" t="s">
        <v>6216</v>
      </c>
    </row>
    <row r="186" customFormat="false" ht="15" hidden="false" customHeight="true" outlineLevel="0" collapsed="false">
      <c r="A186" s="4" t="s">
        <v>362</v>
      </c>
      <c r="B186" s="13" t="n">
        <v>45296</v>
      </c>
      <c r="C186" s="4" t="s">
        <v>6194</v>
      </c>
      <c r="D186" s="4" t="s">
        <v>6208</v>
      </c>
      <c r="E186" s="4" t="s">
        <v>6196</v>
      </c>
      <c r="F186" s="4" t="s">
        <v>6204</v>
      </c>
    </row>
    <row r="187" customFormat="false" ht="15" hidden="false" customHeight="true" outlineLevel="0" collapsed="false">
      <c r="A187" s="4" t="s">
        <v>363</v>
      </c>
      <c r="B187" s="13" t="n">
        <v>45549</v>
      </c>
      <c r="C187" s="4" t="s">
        <v>6215</v>
      </c>
      <c r="D187" s="4" t="s">
        <v>6208</v>
      </c>
      <c r="E187" s="4" t="s">
        <v>6203</v>
      </c>
      <c r="F187" s="4" t="s">
        <v>6197</v>
      </c>
    </row>
    <row r="188" customFormat="false" ht="15" hidden="false" customHeight="true" outlineLevel="0" collapsed="false">
      <c r="A188" s="4" t="s">
        <v>364</v>
      </c>
      <c r="B188" s="13" t="n">
        <v>45265</v>
      </c>
      <c r="C188" s="4" t="s">
        <v>6198</v>
      </c>
      <c r="D188" s="4" t="s">
        <v>6196</v>
      </c>
      <c r="E188" s="4" t="s">
        <v>6205</v>
      </c>
      <c r="F188" s="4" t="s">
        <v>6197</v>
      </c>
    </row>
    <row r="189" customFormat="false" ht="15" hidden="false" customHeight="true" outlineLevel="0" collapsed="false">
      <c r="A189" s="4" t="s">
        <v>365</v>
      </c>
      <c r="B189" s="13" t="n">
        <v>45281</v>
      </c>
      <c r="C189" s="4" t="s">
        <v>6201</v>
      </c>
      <c r="D189" s="4" t="s">
        <v>6208</v>
      </c>
      <c r="E189" s="4" t="s">
        <v>6206</v>
      </c>
      <c r="F189" s="4"/>
    </row>
    <row r="190" customFormat="false" ht="15" hidden="false" customHeight="true" outlineLevel="0" collapsed="false">
      <c r="A190" s="4" t="s">
        <v>366</v>
      </c>
      <c r="B190" s="13" t="n">
        <v>45345</v>
      </c>
      <c r="C190" s="4" t="s">
        <v>6213</v>
      </c>
      <c r="D190" s="4" t="s">
        <v>6202</v>
      </c>
      <c r="E190" s="4" t="s">
        <v>6195</v>
      </c>
      <c r="F190" s="4"/>
    </row>
    <row r="191" customFormat="false" ht="15" hidden="false" customHeight="true" outlineLevel="0" collapsed="false">
      <c r="A191" s="4" t="s">
        <v>367</v>
      </c>
      <c r="B191" s="13" t="n">
        <v>45356</v>
      </c>
      <c r="C191" s="4" t="s">
        <v>6198</v>
      </c>
      <c r="D191" s="4" t="s">
        <v>6205</v>
      </c>
      <c r="E191" s="4" t="s">
        <v>6205</v>
      </c>
      <c r="F191" s="4" t="s">
        <v>6212</v>
      </c>
    </row>
    <row r="192" customFormat="false" ht="15" hidden="false" customHeight="true" outlineLevel="0" collapsed="false">
      <c r="A192" s="4" t="s">
        <v>368</v>
      </c>
      <c r="B192" s="13" t="n">
        <v>45576</v>
      </c>
      <c r="C192" s="4" t="s">
        <v>6213</v>
      </c>
      <c r="D192" s="4" t="s">
        <v>6203</v>
      </c>
      <c r="E192" s="4" t="s">
        <v>6208</v>
      </c>
      <c r="F192" s="4" t="s">
        <v>6197</v>
      </c>
    </row>
    <row r="193" customFormat="false" ht="15" hidden="false" customHeight="true" outlineLevel="0" collapsed="false">
      <c r="A193" s="4" t="s">
        <v>369</v>
      </c>
      <c r="B193" s="13" t="n">
        <v>45002</v>
      </c>
      <c r="C193" s="4" t="s">
        <v>6215</v>
      </c>
      <c r="D193" s="4" t="s">
        <v>6202</v>
      </c>
      <c r="E193" s="4" t="s">
        <v>6202</v>
      </c>
      <c r="F193" s="4" t="s">
        <v>6212</v>
      </c>
    </row>
    <row r="194" customFormat="false" ht="15" hidden="false" customHeight="true" outlineLevel="0" collapsed="false">
      <c r="A194" s="4" t="s">
        <v>370</v>
      </c>
      <c r="B194" s="13" t="n">
        <v>44989</v>
      </c>
      <c r="C194" s="4" t="s">
        <v>6215</v>
      </c>
      <c r="D194" s="4" t="s">
        <v>6205</v>
      </c>
      <c r="E194" s="4" t="s">
        <v>6196</v>
      </c>
      <c r="F194" s="4"/>
    </row>
    <row r="195" customFormat="false" ht="15" hidden="false" customHeight="true" outlineLevel="0" collapsed="false">
      <c r="A195" s="4" t="s">
        <v>371</v>
      </c>
      <c r="B195" s="13" t="n">
        <v>45660</v>
      </c>
      <c r="C195" s="4" t="s">
        <v>6209</v>
      </c>
      <c r="D195" s="4" t="s">
        <v>6211</v>
      </c>
      <c r="E195" s="4" t="s">
        <v>6196</v>
      </c>
      <c r="F195" s="4"/>
    </row>
    <row r="196" customFormat="false" ht="15" hidden="false" customHeight="true" outlineLevel="0" collapsed="false">
      <c r="A196" s="4" t="s">
        <v>372</v>
      </c>
      <c r="B196" s="13" t="n">
        <v>45055</v>
      </c>
      <c r="C196" s="4" t="s">
        <v>6213</v>
      </c>
      <c r="D196" s="4" t="s">
        <v>6202</v>
      </c>
      <c r="E196" s="4" t="s">
        <v>6208</v>
      </c>
      <c r="F196" s="4" t="s">
        <v>6204</v>
      </c>
    </row>
    <row r="197" customFormat="false" ht="15" hidden="false" customHeight="true" outlineLevel="0" collapsed="false">
      <c r="A197" s="4" t="s">
        <v>373</v>
      </c>
      <c r="B197" s="13" t="n">
        <v>45481</v>
      </c>
      <c r="C197" s="4" t="s">
        <v>6201</v>
      </c>
      <c r="D197" s="4" t="s">
        <v>6207</v>
      </c>
      <c r="E197" s="4" t="s">
        <v>6206</v>
      </c>
      <c r="F197" s="4"/>
    </row>
    <row r="198" customFormat="false" ht="15" hidden="false" customHeight="true" outlineLevel="0" collapsed="false">
      <c r="A198" s="4" t="s">
        <v>374</v>
      </c>
      <c r="B198" s="13" t="n">
        <v>45318</v>
      </c>
      <c r="C198" s="4" t="s">
        <v>6194</v>
      </c>
      <c r="D198" s="4" t="s">
        <v>6211</v>
      </c>
      <c r="E198" s="4" t="s">
        <v>6196</v>
      </c>
      <c r="F198" s="4" t="s">
        <v>6197</v>
      </c>
    </row>
    <row r="199" customFormat="false" ht="15" hidden="false" customHeight="true" outlineLevel="0" collapsed="false">
      <c r="A199" s="4" t="s">
        <v>375</v>
      </c>
      <c r="B199" s="13" t="n">
        <v>45201</v>
      </c>
      <c r="C199" s="4" t="s">
        <v>6209</v>
      </c>
      <c r="D199" s="4" t="s">
        <v>6207</v>
      </c>
      <c r="E199" s="4" t="s">
        <v>6208</v>
      </c>
      <c r="F199" s="4"/>
    </row>
    <row r="200" customFormat="false" ht="15" hidden="false" customHeight="true" outlineLevel="0" collapsed="false">
      <c r="A200" s="4" t="s">
        <v>376</v>
      </c>
      <c r="B200" s="13" t="n">
        <v>44979</v>
      </c>
      <c r="C200" s="4" t="s">
        <v>6194</v>
      </c>
      <c r="D200" s="4" t="s">
        <v>6195</v>
      </c>
      <c r="E200" s="4" t="s">
        <v>6196</v>
      </c>
      <c r="F200" s="4" t="s">
        <v>6197</v>
      </c>
    </row>
    <row r="201" customFormat="false" ht="15" hidden="false" customHeight="true" outlineLevel="0" collapsed="false">
      <c r="A201" s="4" t="s">
        <v>377</v>
      </c>
      <c r="B201" s="13" t="n">
        <v>45631</v>
      </c>
      <c r="C201" s="4" t="s">
        <v>6213</v>
      </c>
      <c r="D201" s="4" t="s">
        <v>6203</v>
      </c>
      <c r="E201" s="4" t="s">
        <v>6195</v>
      </c>
      <c r="F201" s="4"/>
    </row>
    <row r="202" customFormat="false" ht="15" hidden="false" customHeight="true" outlineLevel="0" collapsed="false">
      <c r="A202" s="4" t="s">
        <v>378</v>
      </c>
      <c r="B202" s="13" t="n">
        <v>45411</v>
      </c>
      <c r="C202" s="4" t="s">
        <v>6198</v>
      </c>
      <c r="D202" s="4" t="s">
        <v>6206</v>
      </c>
      <c r="E202" s="4" t="s">
        <v>6195</v>
      </c>
      <c r="F202" s="4" t="s">
        <v>6200</v>
      </c>
    </row>
    <row r="203" customFormat="false" ht="15" hidden="false" customHeight="true" outlineLevel="0" collapsed="false">
      <c r="A203" s="4" t="s">
        <v>379</v>
      </c>
      <c r="B203" s="13" t="n">
        <v>45139</v>
      </c>
      <c r="C203" s="4" t="s">
        <v>6198</v>
      </c>
      <c r="D203" s="4" t="s">
        <v>6196</v>
      </c>
      <c r="E203" s="4" t="s">
        <v>6202</v>
      </c>
      <c r="F203" s="4"/>
    </row>
    <row r="204" customFormat="false" ht="15" hidden="false" customHeight="true" outlineLevel="0" collapsed="false">
      <c r="A204" s="4" t="s">
        <v>380</v>
      </c>
      <c r="B204" s="13" t="n">
        <v>45095</v>
      </c>
      <c r="C204" s="4" t="s">
        <v>6209</v>
      </c>
      <c r="D204" s="4" t="s">
        <v>6205</v>
      </c>
      <c r="E204" s="4" t="s">
        <v>6199</v>
      </c>
      <c r="F204" s="4" t="s">
        <v>6197</v>
      </c>
    </row>
    <row r="205" customFormat="false" ht="15" hidden="false" customHeight="true" outlineLevel="0" collapsed="false">
      <c r="A205" s="4" t="s">
        <v>381</v>
      </c>
      <c r="B205" s="13" t="n">
        <v>45655</v>
      </c>
      <c r="C205" s="4" t="s">
        <v>6210</v>
      </c>
      <c r="D205" s="4" t="s">
        <v>6203</v>
      </c>
      <c r="E205" s="4" t="s">
        <v>6196</v>
      </c>
      <c r="F205" s="4" t="s">
        <v>6214</v>
      </c>
    </row>
    <row r="206" customFormat="false" ht="15" hidden="false" customHeight="true" outlineLevel="0" collapsed="false">
      <c r="A206" s="4" t="s">
        <v>382</v>
      </c>
      <c r="B206" s="13" t="n">
        <v>45280</v>
      </c>
      <c r="C206" s="4" t="s">
        <v>6210</v>
      </c>
      <c r="D206" s="4" t="s">
        <v>6202</v>
      </c>
      <c r="E206" s="4" t="s">
        <v>6211</v>
      </c>
      <c r="F206" s="4"/>
    </row>
    <row r="207" customFormat="false" ht="15" hidden="false" customHeight="true" outlineLevel="0" collapsed="false">
      <c r="A207" s="4" t="s">
        <v>383</v>
      </c>
      <c r="B207" s="13" t="n">
        <v>45319</v>
      </c>
      <c r="C207" s="4" t="s">
        <v>6194</v>
      </c>
      <c r="D207" s="4" t="s">
        <v>6205</v>
      </c>
      <c r="E207" s="4" t="s">
        <v>6206</v>
      </c>
      <c r="F207" s="4" t="s">
        <v>6200</v>
      </c>
    </row>
    <row r="208" customFormat="false" ht="15" hidden="false" customHeight="true" outlineLevel="0" collapsed="false">
      <c r="A208" s="4" t="s">
        <v>384</v>
      </c>
      <c r="B208" s="13" t="n">
        <v>45568</v>
      </c>
      <c r="C208" s="4" t="s">
        <v>6210</v>
      </c>
      <c r="D208" s="4" t="s">
        <v>6202</v>
      </c>
      <c r="E208" s="4" t="s">
        <v>6195</v>
      </c>
      <c r="F208" s="4"/>
    </row>
    <row r="209" customFormat="false" ht="15" hidden="false" customHeight="true" outlineLevel="0" collapsed="false">
      <c r="A209" s="4" t="s">
        <v>385</v>
      </c>
      <c r="B209" s="13" t="n">
        <v>45349</v>
      </c>
      <c r="C209" s="4" t="s">
        <v>6194</v>
      </c>
      <c r="D209" s="4" t="s">
        <v>6196</v>
      </c>
      <c r="E209" s="4" t="s">
        <v>6207</v>
      </c>
      <c r="F209" s="4" t="s">
        <v>6216</v>
      </c>
    </row>
    <row r="210" customFormat="false" ht="15" hidden="false" customHeight="true" outlineLevel="0" collapsed="false">
      <c r="A210" s="4" t="s">
        <v>386</v>
      </c>
      <c r="B210" s="13" t="n">
        <v>45652</v>
      </c>
      <c r="C210" s="4" t="s">
        <v>6210</v>
      </c>
      <c r="D210" s="4" t="s">
        <v>6203</v>
      </c>
      <c r="E210" s="4" t="s">
        <v>6196</v>
      </c>
      <c r="F210" s="4" t="s">
        <v>6197</v>
      </c>
    </row>
    <row r="211" customFormat="false" ht="15" hidden="false" customHeight="true" outlineLevel="0" collapsed="false">
      <c r="A211" s="4" t="s">
        <v>387</v>
      </c>
      <c r="B211" s="13" t="n">
        <v>45607</v>
      </c>
      <c r="C211" s="4" t="s">
        <v>6209</v>
      </c>
      <c r="D211" s="4" t="s">
        <v>6196</v>
      </c>
      <c r="E211" s="4" t="s">
        <v>6211</v>
      </c>
      <c r="F211" s="4" t="s">
        <v>6216</v>
      </c>
    </row>
    <row r="212" customFormat="false" ht="15" hidden="false" customHeight="true" outlineLevel="0" collapsed="false">
      <c r="A212" s="4" t="s">
        <v>388</v>
      </c>
      <c r="B212" s="13" t="n">
        <v>45427</v>
      </c>
      <c r="C212" s="4" t="s">
        <v>6198</v>
      </c>
      <c r="D212" s="4" t="s">
        <v>6208</v>
      </c>
      <c r="E212" s="4" t="s">
        <v>6199</v>
      </c>
      <c r="F212" s="4" t="s">
        <v>6197</v>
      </c>
    </row>
    <row r="213" customFormat="false" ht="15" hidden="false" customHeight="true" outlineLevel="0" collapsed="false">
      <c r="A213" s="4" t="s">
        <v>389</v>
      </c>
      <c r="B213" s="13" t="n">
        <v>45353</v>
      </c>
      <c r="C213" s="4" t="s">
        <v>6201</v>
      </c>
      <c r="D213" s="4" t="s">
        <v>6199</v>
      </c>
      <c r="E213" s="4" t="s">
        <v>6202</v>
      </c>
      <c r="F213" s="4" t="s">
        <v>6214</v>
      </c>
    </row>
    <row r="214" customFormat="false" ht="15" hidden="false" customHeight="true" outlineLevel="0" collapsed="false">
      <c r="A214" s="4" t="s">
        <v>390</v>
      </c>
      <c r="B214" s="13" t="n">
        <v>45094</v>
      </c>
      <c r="C214" s="4" t="s">
        <v>6194</v>
      </c>
      <c r="D214" s="4" t="s">
        <v>6211</v>
      </c>
      <c r="E214" s="4" t="s">
        <v>6203</v>
      </c>
      <c r="F214" s="4" t="s">
        <v>6216</v>
      </c>
    </row>
    <row r="215" customFormat="false" ht="15" hidden="false" customHeight="true" outlineLevel="0" collapsed="false">
      <c r="A215" s="4" t="s">
        <v>391</v>
      </c>
      <c r="B215" s="13" t="n">
        <v>45334</v>
      </c>
      <c r="C215" s="4" t="s">
        <v>6210</v>
      </c>
      <c r="D215" s="4" t="s">
        <v>6199</v>
      </c>
      <c r="E215" s="4" t="s">
        <v>6202</v>
      </c>
      <c r="F215" s="4"/>
    </row>
    <row r="216" customFormat="false" ht="15" hidden="false" customHeight="true" outlineLevel="0" collapsed="false">
      <c r="A216" s="4" t="s">
        <v>392</v>
      </c>
      <c r="B216" s="13" t="n">
        <v>45406</v>
      </c>
      <c r="C216" s="4" t="s">
        <v>6215</v>
      </c>
      <c r="D216" s="4" t="s">
        <v>6195</v>
      </c>
      <c r="E216" s="4" t="s">
        <v>6208</v>
      </c>
      <c r="F216" s="4" t="s">
        <v>6200</v>
      </c>
    </row>
    <row r="217" customFormat="false" ht="15" hidden="false" customHeight="true" outlineLevel="0" collapsed="false">
      <c r="A217" s="4" t="s">
        <v>393</v>
      </c>
      <c r="B217" s="13" t="n">
        <v>45422</v>
      </c>
      <c r="C217" s="4" t="s">
        <v>6210</v>
      </c>
      <c r="D217" s="4" t="s">
        <v>6205</v>
      </c>
      <c r="E217" s="4" t="s">
        <v>6195</v>
      </c>
      <c r="F217" s="4" t="s">
        <v>6204</v>
      </c>
    </row>
    <row r="218" customFormat="false" ht="15" hidden="false" customHeight="true" outlineLevel="0" collapsed="false">
      <c r="A218" s="4" t="s">
        <v>394</v>
      </c>
      <c r="B218" s="13" t="n">
        <v>45448</v>
      </c>
      <c r="C218" s="4" t="s">
        <v>6194</v>
      </c>
      <c r="D218" s="4" t="s">
        <v>6202</v>
      </c>
      <c r="E218" s="4" t="s">
        <v>6195</v>
      </c>
      <c r="F218" s="4" t="s">
        <v>6216</v>
      </c>
    </row>
    <row r="219" customFormat="false" ht="15" hidden="false" customHeight="true" outlineLevel="0" collapsed="false">
      <c r="A219" s="4" t="s">
        <v>395</v>
      </c>
      <c r="B219" s="13" t="n">
        <v>45215</v>
      </c>
      <c r="C219" s="4" t="s">
        <v>6210</v>
      </c>
      <c r="D219" s="4" t="s">
        <v>6206</v>
      </c>
      <c r="E219" s="4" t="s">
        <v>6196</v>
      </c>
      <c r="F219" s="4" t="s">
        <v>6200</v>
      </c>
    </row>
    <row r="220" customFormat="false" ht="15" hidden="false" customHeight="true" outlineLevel="0" collapsed="false">
      <c r="A220" s="4" t="s">
        <v>396</v>
      </c>
      <c r="B220" s="13" t="n">
        <v>45445</v>
      </c>
      <c r="C220" s="4" t="s">
        <v>6210</v>
      </c>
      <c r="D220" s="4" t="s">
        <v>6208</v>
      </c>
      <c r="E220" s="4" t="s">
        <v>6199</v>
      </c>
      <c r="F220" s="4"/>
    </row>
    <row r="221" customFormat="false" ht="15" hidden="false" customHeight="true" outlineLevel="0" collapsed="false">
      <c r="A221" s="4" t="s">
        <v>397</v>
      </c>
      <c r="B221" s="13" t="n">
        <v>45477</v>
      </c>
      <c r="C221" s="4" t="s">
        <v>6209</v>
      </c>
      <c r="D221" s="4" t="s">
        <v>6208</v>
      </c>
      <c r="E221" s="4" t="s">
        <v>6205</v>
      </c>
      <c r="F221" s="4"/>
    </row>
    <row r="222" customFormat="false" ht="15" hidden="false" customHeight="true" outlineLevel="0" collapsed="false">
      <c r="A222" s="4" t="s">
        <v>398</v>
      </c>
      <c r="B222" s="13" t="n">
        <v>45502</v>
      </c>
      <c r="C222" s="4" t="s">
        <v>6209</v>
      </c>
      <c r="D222" s="4" t="s">
        <v>6208</v>
      </c>
      <c r="E222" s="4" t="s">
        <v>6202</v>
      </c>
      <c r="F222" s="4"/>
    </row>
    <row r="223" customFormat="false" ht="15" hidden="false" customHeight="true" outlineLevel="0" collapsed="false">
      <c r="A223" s="4" t="s">
        <v>399</v>
      </c>
      <c r="B223" s="13" t="n">
        <v>45578</v>
      </c>
      <c r="C223" s="4" t="s">
        <v>6194</v>
      </c>
      <c r="D223" s="4" t="s">
        <v>6206</v>
      </c>
      <c r="E223" s="4" t="s">
        <v>6195</v>
      </c>
      <c r="F223" s="4" t="s">
        <v>6200</v>
      </c>
    </row>
    <row r="224" customFormat="false" ht="15" hidden="false" customHeight="true" outlineLevel="0" collapsed="false">
      <c r="A224" s="4" t="s">
        <v>400</v>
      </c>
      <c r="B224" s="13" t="n">
        <v>45323</v>
      </c>
      <c r="C224" s="4" t="s">
        <v>6198</v>
      </c>
      <c r="D224" s="4" t="s">
        <v>6211</v>
      </c>
      <c r="E224" s="4" t="s">
        <v>6207</v>
      </c>
      <c r="F224" s="4"/>
    </row>
    <row r="225" customFormat="false" ht="15" hidden="false" customHeight="true" outlineLevel="0" collapsed="false">
      <c r="A225" s="4" t="s">
        <v>401</v>
      </c>
      <c r="B225" s="13" t="n">
        <v>45112</v>
      </c>
      <c r="C225" s="4" t="s">
        <v>6213</v>
      </c>
      <c r="D225" s="4" t="s">
        <v>6195</v>
      </c>
      <c r="E225" s="4" t="s">
        <v>6207</v>
      </c>
      <c r="F225" s="4" t="s">
        <v>6197</v>
      </c>
    </row>
    <row r="226" customFormat="false" ht="15" hidden="false" customHeight="true" outlineLevel="0" collapsed="false">
      <c r="A226" s="4" t="s">
        <v>402</v>
      </c>
      <c r="B226" s="13" t="n">
        <v>45600</v>
      </c>
      <c r="C226" s="4" t="s">
        <v>6198</v>
      </c>
      <c r="D226" s="4" t="s">
        <v>6196</v>
      </c>
      <c r="E226" s="4" t="s">
        <v>6196</v>
      </c>
      <c r="F226" s="4" t="s">
        <v>6197</v>
      </c>
    </row>
    <row r="227" customFormat="false" ht="15" hidden="false" customHeight="true" outlineLevel="0" collapsed="false">
      <c r="A227" s="4" t="s">
        <v>403</v>
      </c>
      <c r="B227" s="13" t="n">
        <v>45089</v>
      </c>
      <c r="C227" s="4" t="s">
        <v>6215</v>
      </c>
      <c r="D227" s="4" t="s">
        <v>6196</v>
      </c>
      <c r="E227" s="4" t="s">
        <v>6207</v>
      </c>
      <c r="F227" s="4"/>
    </row>
    <row r="228" customFormat="false" ht="15" hidden="false" customHeight="true" outlineLevel="0" collapsed="false">
      <c r="A228" s="4" t="s">
        <v>404</v>
      </c>
      <c r="B228" s="13" t="n">
        <v>45134</v>
      </c>
      <c r="C228" s="4" t="s">
        <v>6213</v>
      </c>
      <c r="D228" s="4" t="s">
        <v>6211</v>
      </c>
      <c r="E228" s="4" t="s">
        <v>6203</v>
      </c>
      <c r="F228" s="4" t="s">
        <v>6216</v>
      </c>
    </row>
    <row r="229" customFormat="false" ht="15" hidden="false" customHeight="true" outlineLevel="0" collapsed="false">
      <c r="A229" s="4" t="s">
        <v>405</v>
      </c>
      <c r="B229" s="13" t="n">
        <v>45143</v>
      </c>
      <c r="C229" s="4" t="s">
        <v>6209</v>
      </c>
      <c r="D229" s="4" t="s">
        <v>6211</v>
      </c>
      <c r="E229" s="4" t="s">
        <v>6203</v>
      </c>
      <c r="F229" s="4" t="s">
        <v>6200</v>
      </c>
    </row>
    <row r="230" customFormat="false" ht="15" hidden="false" customHeight="true" outlineLevel="0" collapsed="false">
      <c r="A230" s="4" t="s">
        <v>406</v>
      </c>
      <c r="B230" s="13" t="n">
        <v>45465</v>
      </c>
      <c r="C230" s="4" t="s">
        <v>6209</v>
      </c>
      <c r="D230" s="4" t="s">
        <v>6207</v>
      </c>
      <c r="E230" s="4" t="s">
        <v>6202</v>
      </c>
      <c r="F230" s="4" t="s">
        <v>6204</v>
      </c>
    </row>
    <row r="231" customFormat="false" ht="15" hidden="false" customHeight="true" outlineLevel="0" collapsed="false">
      <c r="A231" s="4" t="s">
        <v>407</v>
      </c>
      <c r="B231" s="13" t="n">
        <v>45501</v>
      </c>
      <c r="C231" s="4" t="s">
        <v>6198</v>
      </c>
      <c r="D231" s="4" t="s">
        <v>6208</v>
      </c>
      <c r="E231" s="4" t="s">
        <v>6205</v>
      </c>
      <c r="F231" s="4" t="s">
        <v>6214</v>
      </c>
    </row>
    <row r="232" customFormat="false" ht="15" hidden="false" customHeight="true" outlineLevel="0" collapsed="false">
      <c r="A232" s="4" t="s">
        <v>408</v>
      </c>
      <c r="B232" s="13" t="n">
        <v>45052</v>
      </c>
      <c r="C232" s="4" t="s">
        <v>6194</v>
      </c>
      <c r="D232" s="4" t="s">
        <v>6203</v>
      </c>
      <c r="E232" s="4" t="s">
        <v>6196</v>
      </c>
      <c r="F232" s="4"/>
    </row>
    <row r="233" customFormat="false" ht="15" hidden="false" customHeight="true" outlineLevel="0" collapsed="false">
      <c r="A233" s="4" t="s">
        <v>409</v>
      </c>
      <c r="B233" s="13" t="n">
        <v>45554</v>
      </c>
      <c r="C233" s="4" t="s">
        <v>6201</v>
      </c>
      <c r="D233" s="4" t="s">
        <v>6203</v>
      </c>
      <c r="E233" s="4" t="s">
        <v>6206</v>
      </c>
      <c r="F233" s="4"/>
    </row>
    <row r="234" customFormat="false" ht="15" hidden="false" customHeight="true" outlineLevel="0" collapsed="false">
      <c r="A234" s="4" t="s">
        <v>410</v>
      </c>
      <c r="B234" s="13" t="n">
        <v>45098</v>
      </c>
      <c r="C234" s="4" t="s">
        <v>6215</v>
      </c>
      <c r="D234" s="4" t="s">
        <v>6211</v>
      </c>
      <c r="E234" s="4" t="s">
        <v>6203</v>
      </c>
      <c r="F234" s="4" t="s">
        <v>6204</v>
      </c>
    </row>
    <row r="235" customFormat="false" ht="15" hidden="false" customHeight="true" outlineLevel="0" collapsed="false">
      <c r="A235" s="4" t="s">
        <v>411</v>
      </c>
      <c r="B235" s="13" t="n">
        <v>44959</v>
      </c>
      <c r="C235" s="4" t="s">
        <v>6201</v>
      </c>
      <c r="D235" s="4" t="s">
        <v>6207</v>
      </c>
      <c r="E235" s="4" t="s">
        <v>6208</v>
      </c>
      <c r="F235" s="4" t="s">
        <v>6204</v>
      </c>
    </row>
    <row r="236" customFormat="false" ht="15" hidden="false" customHeight="true" outlineLevel="0" collapsed="false">
      <c r="A236" s="4" t="s">
        <v>412</v>
      </c>
      <c r="B236" s="13" t="n">
        <v>45652</v>
      </c>
      <c r="C236" s="4" t="s">
        <v>6210</v>
      </c>
      <c r="D236" s="4" t="s">
        <v>6203</v>
      </c>
      <c r="E236" s="4" t="s">
        <v>6211</v>
      </c>
      <c r="F236" s="4" t="s">
        <v>6216</v>
      </c>
    </row>
    <row r="237" customFormat="false" ht="15" hidden="false" customHeight="true" outlineLevel="0" collapsed="false">
      <c r="A237" s="4" t="s">
        <v>413</v>
      </c>
      <c r="B237" s="13" t="n">
        <v>45408</v>
      </c>
      <c r="C237" s="4" t="s">
        <v>6201</v>
      </c>
      <c r="D237" s="4" t="s">
        <v>6202</v>
      </c>
      <c r="E237" s="4" t="s">
        <v>6207</v>
      </c>
      <c r="F237" s="4" t="s">
        <v>6200</v>
      </c>
    </row>
    <row r="238" customFormat="false" ht="15" hidden="false" customHeight="true" outlineLevel="0" collapsed="false">
      <c r="A238" s="4" t="s">
        <v>414</v>
      </c>
      <c r="B238" s="13" t="n">
        <v>45320</v>
      </c>
      <c r="C238" s="4" t="s">
        <v>6201</v>
      </c>
      <c r="D238" s="4" t="s">
        <v>6206</v>
      </c>
      <c r="E238" s="4" t="s">
        <v>6211</v>
      </c>
      <c r="F238" s="4"/>
    </row>
    <row r="239" customFormat="false" ht="15" hidden="false" customHeight="true" outlineLevel="0" collapsed="false">
      <c r="A239" s="4" t="s">
        <v>415</v>
      </c>
      <c r="B239" s="13" t="n">
        <v>45642</v>
      </c>
      <c r="C239" s="4" t="s">
        <v>6194</v>
      </c>
      <c r="D239" s="4" t="s">
        <v>6208</v>
      </c>
      <c r="E239" s="4" t="s">
        <v>6206</v>
      </c>
      <c r="F239" s="4"/>
    </row>
    <row r="240" customFormat="false" ht="15" hidden="false" customHeight="true" outlineLevel="0" collapsed="false">
      <c r="A240" s="4" t="s">
        <v>416</v>
      </c>
      <c r="B240" s="13" t="n">
        <v>44967</v>
      </c>
      <c r="C240" s="4" t="s">
        <v>6213</v>
      </c>
      <c r="D240" s="4" t="s">
        <v>6203</v>
      </c>
      <c r="E240" s="4" t="s">
        <v>6208</v>
      </c>
      <c r="F240" s="4" t="s">
        <v>6197</v>
      </c>
    </row>
    <row r="241" customFormat="false" ht="15" hidden="false" customHeight="true" outlineLevel="0" collapsed="false">
      <c r="A241" s="4" t="s">
        <v>417</v>
      </c>
      <c r="B241" s="13" t="n">
        <v>45010</v>
      </c>
      <c r="C241" s="4" t="s">
        <v>6201</v>
      </c>
      <c r="D241" s="4" t="s">
        <v>6208</v>
      </c>
      <c r="E241" s="4" t="s">
        <v>6208</v>
      </c>
      <c r="F241" s="4"/>
    </row>
    <row r="242" customFormat="false" ht="15" hidden="false" customHeight="true" outlineLevel="0" collapsed="false">
      <c r="A242" s="4" t="s">
        <v>418</v>
      </c>
      <c r="B242" s="13" t="n">
        <v>45586</v>
      </c>
      <c r="C242" s="4" t="s">
        <v>6213</v>
      </c>
      <c r="D242" s="4" t="s">
        <v>6208</v>
      </c>
      <c r="E242" s="4" t="s">
        <v>6196</v>
      </c>
      <c r="F242" s="4"/>
    </row>
    <row r="243" customFormat="false" ht="15" hidden="false" customHeight="true" outlineLevel="0" collapsed="false">
      <c r="A243" s="4" t="s">
        <v>419</v>
      </c>
      <c r="B243" s="13" t="n">
        <v>45271</v>
      </c>
      <c r="C243" s="4" t="s">
        <v>6198</v>
      </c>
      <c r="D243" s="4" t="s">
        <v>6208</v>
      </c>
      <c r="E243" s="4" t="s">
        <v>6205</v>
      </c>
      <c r="F243" s="4" t="s">
        <v>6216</v>
      </c>
    </row>
    <row r="244" customFormat="false" ht="15" hidden="false" customHeight="true" outlineLevel="0" collapsed="false">
      <c r="A244" s="4" t="s">
        <v>420</v>
      </c>
      <c r="B244" s="13" t="n">
        <v>45343</v>
      </c>
      <c r="C244" s="4" t="s">
        <v>6213</v>
      </c>
      <c r="D244" s="4" t="s">
        <v>6205</v>
      </c>
      <c r="E244" s="4" t="s">
        <v>6196</v>
      </c>
      <c r="F244" s="4" t="s">
        <v>6216</v>
      </c>
    </row>
    <row r="245" customFormat="false" ht="15" hidden="false" customHeight="true" outlineLevel="0" collapsed="false">
      <c r="A245" s="4" t="s">
        <v>421</v>
      </c>
      <c r="B245" s="13" t="n">
        <v>45181</v>
      </c>
      <c r="C245" s="4" t="s">
        <v>6215</v>
      </c>
      <c r="D245" s="4" t="s">
        <v>6207</v>
      </c>
      <c r="E245" s="4" t="s">
        <v>6202</v>
      </c>
      <c r="F245" s="4" t="s">
        <v>6204</v>
      </c>
    </row>
    <row r="246" customFormat="false" ht="15" hidden="false" customHeight="true" outlineLevel="0" collapsed="false">
      <c r="A246" s="4" t="s">
        <v>422</v>
      </c>
      <c r="B246" s="13" t="n">
        <v>45246</v>
      </c>
      <c r="C246" s="4" t="s">
        <v>6198</v>
      </c>
      <c r="D246" s="4" t="s">
        <v>6208</v>
      </c>
      <c r="E246" s="4" t="s">
        <v>6203</v>
      </c>
      <c r="F246" s="4" t="s">
        <v>6216</v>
      </c>
    </row>
    <row r="247" customFormat="false" ht="15" hidden="false" customHeight="true" outlineLevel="0" collapsed="false">
      <c r="A247" s="4" t="s">
        <v>423</v>
      </c>
      <c r="B247" s="13" t="n">
        <v>45386</v>
      </c>
      <c r="C247" s="4" t="s">
        <v>6194</v>
      </c>
      <c r="D247" s="4" t="s">
        <v>6207</v>
      </c>
      <c r="E247" s="4" t="s">
        <v>6202</v>
      </c>
      <c r="F247" s="4"/>
    </row>
    <row r="248" customFormat="false" ht="15" hidden="false" customHeight="true" outlineLevel="0" collapsed="false">
      <c r="A248" s="4" t="s">
        <v>424</v>
      </c>
      <c r="B248" s="13" t="n">
        <v>45637</v>
      </c>
      <c r="C248" s="4" t="s">
        <v>6201</v>
      </c>
      <c r="D248" s="4" t="s">
        <v>6195</v>
      </c>
      <c r="E248" s="4" t="s">
        <v>6196</v>
      </c>
      <c r="F248" s="4"/>
    </row>
    <row r="249" customFormat="false" ht="15" hidden="false" customHeight="true" outlineLevel="0" collapsed="false">
      <c r="A249" s="4" t="s">
        <v>425</v>
      </c>
      <c r="B249" s="13" t="n">
        <v>45462</v>
      </c>
      <c r="C249" s="4" t="s">
        <v>6198</v>
      </c>
      <c r="D249" s="4" t="s">
        <v>6203</v>
      </c>
      <c r="E249" s="4" t="s">
        <v>6199</v>
      </c>
      <c r="F249" s="4"/>
    </row>
    <row r="250" customFormat="false" ht="15" hidden="false" customHeight="true" outlineLevel="0" collapsed="false">
      <c r="A250" s="4" t="s">
        <v>426</v>
      </c>
      <c r="B250" s="13" t="n">
        <v>45385</v>
      </c>
      <c r="C250" s="4" t="s">
        <v>6198</v>
      </c>
      <c r="D250" s="4" t="s">
        <v>6207</v>
      </c>
      <c r="E250" s="4" t="s">
        <v>6196</v>
      </c>
      <c r="F250" s="4" t="s">
        <v>6200</v>
      </c>
    </row>
    <row r="251" customFormat="false" ht="15" hidden="false" customHeight="true" outlineLevel="0" collapsed="false">
      <c r="A251" s="4" t="s">
        <v>427</v>
      </c>
      <c r="B251" s="13" t="n">
        <v>45035</v>
      </c>
      <c r="C251" s="4" t="s">
        <v>6201</v>
      </c>
      <c r="D251" s="4" t="s">
        <v>6202</v>
      </c>
      <c r="E251" s="4" t="s">
        <v>6202</v>
      </c>
      <c r="F251" s="4"/>
    </row>
    <row r="252" customFormat="false" ht="15" hidden="false" customHeight="true" outlineLevel="0" collapsed="false">
      <c r="A252" s="4" t="s">
        <v>428</v>
      </c>
      <c r="B252" s="13" t="n">
        <v>45436</v>
      </c>
      <c r="C252" s="4" t="s">
        <v>6213</v>
      </c>
      <c r="D252" s="4" t="s">
        <v>6205</v>
      </c>
      <c r="E252" s="4" t="s">
        <v>6205</v>
      </c>
      <c r="F252" s="4" t="s">
        <v>6200</v>
      </c>
    </row>
    <row r="253" customFormat="false" ht="15" hidden="false" customHeight="true" outlineLevel="0" collapsed="false">
      <c r="A253" s="4" t="s">
        <v>429</v>
      </c>
      <c r="B253" s="13" t="n">
        <v>45528</v>
      </c>
      <c r="C253" s="4" t="s">
        <v>6194</v>
      </c>
      <c r="D253" s="4" t="s">
        <v>6203</v>
      </c>
      <c r="E253" s="4" t="s">
        <v>6202</v>
      </c>
      <c r="F253" s="4"/>
    </row>
    <row r="254" customFormat="false" ht="15" hidden="false" customHeight="true" outlineLevel="0" collapsed="false">
      <c r="A254" s="4" t="s">
        <v>430</v>
      </c>
      <c r="B254" s="13" t="n">
        <v>44954</v>
      </c>
      <c r="C254" s="4" t="s">
        <v>6210</v>
      </c>
      <c r="D254" s="4" t="s">
        <v>6202</v>
      </c>
      <c r="E254" s="4" t="s">
        <v>6202</v>
      </c>
      <c r="F254" s="4"/>
    </row>
    <row r="255" customFormat="false" ht="15" hidden="false" customHeight="true" outlineLevel="0" collapsed="false">
      <c r="A255" s="4" t="s">
        <v>431</v>
      </c>
      <c r="B255" s="13" t="n">
        <v>45057</v>
      </c>
      <c r="C255" s="4" t="s">
        <v>6198</v>
      </c>
      <c r="D255" s="4" t="s">
        <v>6196</v>
      </c>
      <c r="E255" s="4" t="s">
        <v>6211</v>
      </c>
      <c r="F255" s="4" t="s">
        <v>6200</v>
      </c>
    </row>
    <row r="256" customFormat="false" ht="15" hidden="false" customHeight="true" outlineLevel="0" collapsed="false">
      <c r="A256" s="4" t="s">
        <v>432</v>
      </c>
      <c r="B256" s="13" t="n">
        <v>45217</v>
      </c>
      <c r="C256" s="4" t="s">
        <v>6198</v>
      </c>
      <c r="D256" s="4" t="s">
        <v>6203</v>
      </c>
      <c r="E256" s="4" t="s">
        <v>6196</v>
      </c>
      <c r="F256" s="4"/>
    </row>
    <row r="257" customFormat="false" ht="15" hidden="false" customHeight="true" outlineLevel="0" collapsed="false">
      <c r="A257" s="4" t="s">
        <v>433</v>
      </c>
      <c r="B257" s="13" t="n">
        <v>45410</v>
      </c>
      <c r="C257" s="4" t="s">
        <v>6213</v>
      </c>
      <c r="D257" s="4" t="s">
        <v>6199</v>
      </c>
      <c r="E257" s="4" t="s">
        <v>6211</v>
      </c>
      <c r="F257" s="4" t="s">
        <v>6197</v>
      </c>
    </row>
    <row r="258" customFormat="false" ht="15" hidden="false" customHeight="true" outlineLevel="0" collapsed="false">
      <c r="A258" s="4" t="s">
        <v>434</v>
      </c>
      <c r="B258" s="13" t="n">
        <v>45333</v>
      </c>
      <c r="C258" s="4" t="s">
        <v>6215</v>
      </c>
      <c r="D258" s="4" t="s">
        <v>6208</v>
      </c>
      <c r="E258" s="4" t="s">
        <v>6199</v>
      </c>
      <c r="F258" s="4" t="s">
        <v>6197</v>
      </c>
    </row>
    <row r="259" customFormat="false" ht="15" hidden="false" customHeight="true" outlineLevel="0" collapsed="false">
      <c r="A259" s="4" t="s">
        <v>435</v>
      </c>
      <c r="B259" s="13" t="n">
        <v>45549</v>
      </c>
      <c r="C259" s="4" t="s">
        <v>6213</v>
      </c>
      <c r="D259" s="4" t="s">
        <v>6205</v>
      </c>
      <c r="E259" s="4" t="s">
        <v>6195</v>
      </c>
      <c r="F259" s="4"/>
    </row>
    <row r="260" customFormat="false" ht="15" hidden="false" customHeight="true" outlineLevel="0" collapsed="false">
      <c r="A260" s="4" t="s">
        <v>436</v>
      </c>
      <c r="B260" s="13" t="n">
        <v>45527</v>
      </c>
      <c r="C260" s="4" t="s">
        <v>6194</v>
      </c>
      <c r="D260" s="4" t="s">
        <v>6211</v>
      </c>
      <c r="E260" s="4" t="s">
        <v>6199</v>
      </c>
      <c r="F260" s="4" t="s">
        <v>6216</v>
      </c>
    </row>
    <row r="261" customFormat="false" ht="15" hidden="false" customHeight="true" outlineLevel="0" collapsed="false">
      <c r="A261" s="4" t="s">
        <v>437</v>
      </c>
      <c r="B261" s="13" t="n">
        <v>45279</v>
      </c>
      <c r="C261" s="4" t="s">
        <v>6198</v>
      </c>
      <c r="D261" s="4" t="s">
        <v>6205</v>
      </c>
      <c r="E261" s="4" t="s">
        <v>6208</v>
      </c>
      <c r="F261" s="4"/>
    </row>
    <row r="262" customFormat="false" ht="15" hidden="false" customHeight="true" outlineLevel="0" collapsed="false">
      <c r="A262" s="4" t="s">
        <v>438</v>
      </c>
      <c r="B262" s="13" t="n">
        <v>45012</v>
      </c>
      <c r="C262" s="4" t="s">
        <v>6215</v>
      </c>
      <c r="D262" s="4" t="s">
        <v>6199</v>
      </c>
      <c r="E262" s="4" t="s">
        <v>6195</v>
      </c>
      <c r="F262" s="4"/>
    </row>
    <row r="263" customFormat="false" ht="15" hidden="false" customHeight="true" outlineLevel="0" collapsed="false">
      <c r="A263" s="4" t="s">
        <v>439</v>
      </c>
      <c r="B263" s="13" t="n">
        <v>45341</v>
      </c>
      <c r="C263" s="4" t="s">
        <v>6210</v>
      </c>
      <c r="D263" s="4" t="s">
        <v>6195</v>
      </c>
      <c r="E263" s="4" t="s">
        <v>6206</v>
      </c>
      <c r="F263" s="4" t="s">
        <v>6197</v>
      </c>
    </row>
    <row r="264" customFormat="false" ht="15" hidden="false" customHeight="true" outlineLevel="0" collapsed="false">
      <c r="A264" s="4" t="s">
        <v>440</v>
      </c>
      <c r="B264" s="13" t="n">
        <v>44962</v>
      </c>
      <c r="C264" s="4" t="s">
        <v>6215</v>
      </c>
      <c r="D264" s="4" t="s">
        <v>6207</v>
      </c>
      <c r="E264" s="4" t="s">
        <v>6208</v>
      </c>
      <c r="F264" s="4"/>
    </row>
    <row r="265" customFormat="false" ht="15" hidden="false" customHeight="true" outlineLevel="0" collapsed="false">
      <c r="A265" s="4" t="s">
        <v>441</v>
      </c>
      <c r="B265" s="13" t="n">
        <v>45524</v>
      </c>
      <c r="C265" s="4" t="s">
        <v>6210</v>
      </c>
      <c r="D265" s="4" t="s">
        <v>6199</v>
      </c>
      <c r="E265" s="4" t="s">
        <v>6203</v>
      </c>
      <c r="F265" s="4" t="s">
        <v>6212</v>
      </c>
    </row>
    <row r="266" customFormat="false" ht="15" hidden="false" customHeight="true" outlineLevel="0" collapsed="false">
      <c r="A266" s="4" t="s">
        <v>442</v>
      </c>
      <c r="B266" s="13" t="n">
        <v>45122</v>
      </c>
      <c r="C266" s="4" t="s">
        <v>6198</v>
      </c>
      <c r="D266" s="4" t="s">
        <v>6207</v>
      </c>
      <c r="E266" s="4" t="s">
        <v>6206</v>
      </c>
      <c r="F266" s="4" t="s">
        <v>6197</v>
      </c>
    </row>
    <row r="267" customFormat="false" ht="15" hidden="false" customHeight="true" outlineLevel="0" collapsed="false">
      <c r="A267" s="4" t="s">
        <v>443</v>
      </c>
      <c r="B267" s="13" t="n">
        <v>45639</v>
      </c>
      <c r="C267" s="4" t="s">
        <v>6213</v>
      </c>
      <c r="D267" s="4" t="s">
        <v>6211</v>
      </c>
      <c r="E267" s="4" t="s">
        <v>6195</v>
      </c>
      <c r="F267" s="4"/>
    </row>
    <row r="268" customFormat="false" ht="15" hidden="false" customHeight="true" outlineLevel="0" collapsed="false">
      <c r="A268" s="4" t="s">
        <v>444</v>
      </c>
      <c r="B268" s="13" t="n">
        <v>45608</v>
      </c>
      <c r="C268" s="4" t="s">
        <v>6213</v>
      </c>
      <c r="D268" s="4" t="s">
        <v>6202</v>
      </c>
      <c r="E268" s="4" t="s">
        <v>6211</v>
      </c>
      <c r="F268" s="4" t="s">
        <v>6200</v>
      </c>
    </row>
    <row r="269" customFormat="false" ht="15" hidden="false" customHeight="true" outlineLevel="0" collapsed="false">
      <c r="A269" s="4" t="s">
        <v>445</v>
      </c>
      <c r="B269" s="13" t="n">
        <v>45505</v>
      </c>
      <c r="C269" s="4" t="s">
        <v>6215</v>
      </c>
      <c r="D269" s="4" t="s">
        <v>6205</v>
      </c>
      <c r="E269" s="4" t="s">
        <v>6208</v>
      </c>
      <c r="F269" s="4" t="s">
        <v>6204</v>
      </c>
    </row>
    <row r="270" customFormat="false" ht="15" hidden="false" customHeight="true" outlineLevel="0" collapsed="false">
      <c r="A270" s="4" t="s">
        <v>446</v>
      </c>
      <c r="B270" s="13" t="n">
        <v>45553</v>
      </c>
      <c r="C270" s="4" t="s">
        <v>6194</v>
      </c>
      <c r="D270" s="4" t="s">
        <v>6206</v>
      </c>
      <c r="E270" s="4" t="s">
        <v>6202</v>
      </c>
      <c r="F270" s="4" t="s">
        <v>6204</v>
      </c>
    </row>
    <row r="271" customFormat="false" ht="15" hidden="false" customHeight="true" outlineLevel="0" collapsed="false">
      <c r="A271" s="4" t="s">
        <v>447</v>
      </c>
      <c r="B271" s="13" t="n">
        <v>45266</v>
      </c>
      <c r="C271" s="4" t="s">
        <v>6213</v>
      </c>
      <c r="D271" s="4" t="s">
        <v>6199</v>
      </c>
      <c r="E271" s="4" t="s">
        <v>6205</v>
      </c>
      <c r="F271" s="4" t="s">
        <v>6204</v>
      </c>
    </row>
    <row r="272" customFormat="false" ht="15" hidden="false" customHeight="true" outlineLevel="0" collapsed="false">
      <c r="A272" s="4" t="s">
        <v>448</v>
      </c>
      <c r="B272" s="13" t="n">
        <v>45329</v>
      </c>
      <c r="C272" s="4" t="s">
        <v>6210</v>
      </c>
      <c r="D272" s="4" t="s">
        <v>6207</v>
      </c>
      <c r="E272" s="4" t="s">
        <v>6202</v>
      </c>
      <c r="F272" s="4"/>
    </row>
    <row r="273" customFormat="false" ht="15" hidden="false" customHeight="true" outlineLevel="0" collapsed="false">
      <c r="A273" s="4" t="s">
        <v>449</v>
      </c>
      <c r="B273" s="13" t="n">
        <v>45044</v>
      </c>
      <c r="C273" s="4" t="s">
        <v>6213</v>
      </c>
      <c r="D273" s="4" t="s">
        <v>6206</v>
      </c>
      <c r="E273" s="4" t="s">
        <v>6203</v>
      </c>
      <c r="F273" s="4"/>
    </row>
    <row r="274" customFormat="false" ht="15" hidden="false" customHeight="true" outlineLevel="0" collapsed="false">
      <c r="A274" s="4" t="s">
        <v>450</v>
      </c>
      <c r="B274" s="13" t="n">
        <v>45097</v>
      </c>
      <c r="C274" s="4" t="s">
        <v>6213</v>
      </c>
      <c r="D274" s="4" t="s">
        <v>6202</v>
      </c>
      <c r="E274" s="4" t="s">
        <v>6205</v>
      </c>
      <c r="F274" s="4" t="s">
        <v>6214</v>
      </c>
    </row>
    <row r="275" customFormat="false" ht="15" hidden="false" customHeight="true" outlineLevel="0" collapsed="false">
      <c r="A275" s="4" t="s">
        <v>451</v>
      </c>
      <c r="B275" s="13" t="n">
        <v>45249</v>
      </c>
      <c r="C275" s="4" t="s">
        <v>6215</v>
      </c>
      <c r="D275" s="4" t="s">
        <v>6202</v>
      </c>
      <c r="E275" s="4" t="s">
        <v>6208</v>
      </c>
      <c r="F275" s="4" t="s">
        <v>6214</v>
      </c>
    </row>
    <row r="276" customFormat="false" ht="15" hidden="false" customHeight="true" outlineLevel="0" collapsed="false">
      <c r="A276" s="4" t="s">
        <v>452</v>
      </c>
      <c r="B276" s="13" t="n">
        <v>45515</v>
      </c>
      <c r="C276" s="4" t="s">
        <v>6215</v>
      </c>
      <c r="D276" s="4" t="s">
        <v>6211</v>
      </c>
      <c r="E276" s="4" t="s">
        <v>6202</v>
      </c>
      <c r="F276" s="4" t="s">
        <v>6216</v>
      </c>
    </row>
    <row r="277" customFormat="false" ht="15" hidden="false" customHeight="true" outlineLevel="0" collapsed="false">
      <c r="A277" s="4" t="s">
        <v>453</v>
      </c>
      <c r="B277" s="13" t="n">
        <v>45168</v>
      </c>
      <c r="C277" s="4" t="s">
        <v>6209</v>
      </c>
      <c r="D277" s="4" t="s">
        <v>6207</v>
      </c>
      <c r="E277" s="4" t="s">
        <v>6199</v>
      </c>
      <c r="F277" s="4" t="s">
        <v>6216</v>
      </c>
    </row>
    <row r="278" customFormat="false" ht="15" hidden="false" customHeight="true" outlineLevel="0" collapsed="false">
      <c r="A278" s="4" t="s">
        <v>454</v>
      </c>
      <c r="B278" s="13" t="n">
        <v>45134</v>
      </c>
      <c r="C278" s="4" t="s">
        <v>6209</v>
      </c>
      <c r="D278" s="4" t="s">
        <v>6206</v>
      </c>
      <c r="E278" s="4" t="s">
        <v>6206</v>
      </c>
      <c r="F278" s="4" t="s">
        <v>6204</v>
      </c>
    </row>
    <row r="279" customFormat="false" ht="15" hidden="false" customHeight="true" outlineLevel="0" collapsed="false">
      <c r="A279" s="4" t="s">
        <v>455</v>
      </c>
      <c r="B279" s="13" t="n">
        <v>45457</v>
      </c>
      <c r="C279" s="4" t="s">
        <v>6194</v>
      </c>
      <c r="D279" s="4" t="s">
        <v>6196</v>
      </c>
      <c r="E279" s="4" t="s">
        <v>6208</v>
      </c>
      <c r="F279" s="4" t="s">
        <v>6214</v>
      </c>
    </row>
    <row r="280" customFormat="false" ht="15" hidden="false" customHeight="true" outlineLevel="0" collapsed="false">
      <c r="A280" s="4" t="s">
        <v>456</v>
      </c>
      <c r="B280" s="13" t="n">
        <v>45269</v>
      </c>
      <c r="C280" s="4" t="s">
        <v>6215</v>
      </c>
      <c r="D280" s="4" t="s">
        <v>6208</v>
      </c>
      <c r="E280" s="4" t="s">
        <v>6208</v>
      </c>
      <c r="F280" s="4"/>
    </row>
    <row r="281" customFormat="false" ht="15" hidden="false" customHeight="true" outlineLevel="0" collapsed="false">
      <c r="A281" s="4" t="s">
        <v>457</v>
      </c>
      <c r="B281" s="13" t="n">
        <v>45255</v>
      </c>
      <c r="C281" s="4" t="s">
        <v>6209</v>
      </c>
      <c r="D281" s="4" t="s">
        <v>6208</v>
      </c>
      <c r="E281" s="4" t="s">
        <v>6196</v>
      </c>
      <c r="F281" s="4" t="s">
        <v>6197</v>
      </c>
    </row>
    <row r="282" customFormat="false" ht="15" hidden="false" customHeight="true" outlineLevel="0" collapsed="false">
      <c r="A282" s="4" t="s">
        <v>458</v>
      </c>
      <c r="B282" s="13" t="n">
        <v>45579</v>
      </c>
      <c r="C282" s="4" t="s">
        <v>6210</v>
      </c>
      <c r="D282" s="4" t="s">
        <v>6208</v>
      </c>
      <c r="E282" s="4" t="s">
        <v>6199</v>
      </c>
      <c r="F282" s="4"/>
    </row>
    <row r="283" customFormat="false" ht="15" hidden="false" customHeight="true" outlineLevel="0" collapsed="false">
      <c r="A283" s="4" t="s">
        <v>459</v>
      </c>
      <c r="B283" s="13" t="n">
        <v>45262</v>
      </c>
      <c r="C283" s="4" t="s">
        <v>6215</v>
      </c>
      <c r="D283" s="4" t="s">
        <v>6199</v>
      </c>
      <c r="E283" s="4" t="s">
        <v>6211</v>
      </c>
      <c r="F283" s="4"/>
    </row>
    <row r="284" customFormat="false" ht="15" hidden="false" customHeight="true" outlineLevel="0" collapsed="false">
      <c r="A284" s="4" t="s">
        <v>460</v>
      </c>
      <c r="B284" s="13" t="n">
        <v>45637</v>
      </c>
      <c r="C284" s="4" t="s">
        <v>6194</v>
      </c>
      <c r="D284" s="4" t="s">
        <v>6206</v>
      </c>
      <c r="E284" s="4" t="s">
        <v>6208</v>
      </c>
      <c r="F284" s="4" t="s">
        <v>6200</v>
      </c>
    </row>
    <row r="285" customFormat="false" ht="15" hidden="false" customHeight="true" outlineLevel="0" collapsed="false">
      <c r="A285" s="4" t="s">
        <v>461</v>
      </c>
      <c r="B285" s="13" t="n">
        <v>45132</v>
      </c>
      <c r="C285" s="4" t="s">
        <v>6194</v>
      </c>
      <c r="D285" s="4" t="s">
        <v>6208</v>
      </c>
      <c r="E285" s="4" t="s">
        <v>6196</v>
      </c>
      <c r="F285" s="4" t="s">
        <v>6200</v>
      </c>
    </row>
    <row r="286" customFormat="false" ht="15" hidden="false" customHeight="true" outlineLevel="0" collapsed="false">
      <c r="A286" s="4" t="s">
        <v>462</v>
      </c>
      <c r="B286" s="13" t="n">
        <v>45490</v>
      </c>
      <c r="C286" s="4" t="s">
        <v>6201</v>
      </c>
      <c r="D286" s="4" t="s">
        <v>6206</v>
      </c>
      <c r="E286" s="4" t="s">
        <v>6202</v>
      </c>
      <c r="F286" s="4"/>
    </row>
    <row r="287" customFormat="false" ht="15" hidden="false" customHeight="true" outlineLevel="0" collapsed="false">
      <c r="A287" s="4" t="s">
        <v>463</v>
      </c>
      <c r="B287" s="13" t="n">
        <v>45089</v>
      </c>
      <c r="C287" s="4" t="s">
        <v>6209</v>
      </c>
      <c r="D287" s="4" t="s">
        <v>6195</v>
      </c>
      <c r="E287" s="4" t="s">
        <v>6196</v>
      </c>
      <c r="F287" s="4" t="s">
        <v>6200</v>
      </c>
    </row>
    <row r="288" customFormat="false" ht="15" hidden="false" customHeight="true" outlineLevel="0" collapsed="false">
      <c r="A288" s="4" t="s">
        <v>464</v>
      </c>
      <c r="B288" s="13" t="n">
        <v>45350</v>
      </c>
      <c r="C288" s="4" t="s">
        <v>6194</v>
      </c>
      <c r="D288" s="4" t="s">
        <v>6207</v>
      </c>
      <c r="E288" s="4" t="s">
        <v>6205</v>
      </c>
      <c r="F288" s="4" t="s">
        <v>6214</v>
      </c>
    </row>
    <row r="289" customFormat="false" ht="15" hidden="false" customHeight="true" outlineLevel="0" collapsed="false">
      <c r="A289" s="4" t="s">
        <v>465</v>
      </c>
      <c r="B289" s="13" t="n">
        <v>45571</v>
      </c>
      <c r="C289" s="4" t="s">
        <v>6198</v>
      </c>
      <c r="D289" s="4" t="s">
        <v>6203</v>
      </c>
      <c r="E289" s="4" t="s">
        <v>6207</v>
      </c>
      <c r="F289" s="4" t="s">
        <v>6216</v>
      </c>
    </row>
    <row r="290" customFormat="false" ht="15" hidden="false" customHeight="true" outlineLevel="0" collapsed="false">
      <c r="A290" s="4" t="s">
        <v>466</v>
      </c>
      <c r="B290" s="13" t="n">
        <v>45379</v>
      </c>
      <c r="C290" s="4" t="s">
        <v>6213</v>
      </c>
      <c r="D290" s="4" t="s">
        <v>6208</v>
      </c>
      <c r="E290" s="4" t="s">
        <v>6207</v>
      </c>
      <c r="F290" s="4" t="s">
        <v>6212</v>
      </c>
    </row>
    <row r="291" customFormat="false" ht="15" hidden="false" customHeight="true" outlineLevel="0" collapsed="false">
      <c r="A291" s="4" t="s">
        <v>467</v>
      </c>
      <c r="B291" s="13" t="n">
        <v>45281</v>
      </c>
      <c r="C291" s="4" t="s">
        <v>6198</v>
      </c>
      <c r="D291" s="4" t="s">
        <v>6203</v>
      </c>
      <c r="E291" s="4" t="s">
        <v>6211</v>
      </c>
      <c r="F291" s="4"/>
    </row>
    <row r="292" customFormat="false" ht="15" hidden="false" customHeight="true" outlineLevel="0" collapsed="false">
      <c r="A292" s="4" t="s">
        <v>468</v>
      </c>
      <c r="B292" s="13" t="n">
        <v>45573</v>
      </c>
      <c r="C292" s="4" t="s">
        <v>6201</v>
      </c>
      <c r="D292" s="4" t="s">
        <v>6205</v>
      </c>
      <c r="E292" s="4" t="s">
        <v>6205</v>
      </c>
      <c r="F292" s="4" t="s">
        <v>6204</v>
      </c>
    </row>
    <row r="293" customFormat="false" ht="15" hidden="false" customHeight="true" outlineLevel="0" collapsed="false">
      <c r="A293" s="4" t="s">
        <v>469</v>
      </c>
      <c r="B293" s="13" t="n">
        <v>45624</v>
      </c>
      <c r="C293" s="4" t="s">
        <v>6213</v>
      </c>
      <c r="D293" s="4" t="s">
        <v>6207</v>
      </c>
      <c r="E293" s="4" t="s">
        <v>6205</v>
      </c>
      <c r="F293" s="4" t="s">
        <v>6204</v>
      </c>
    </row>
    <row r="294" customFormat="false" ht="15" hidden="false" customHeight="true" outlineLevel="0" collapsed="false">
      <c r="A294" s="4" t="s">
        <v>470</v>
      </c>
      <c r="B294" s="13" t="n">
        <v>45340</v>
      </c>
      <c r="C294" s="4" t="s">
        <v>6215</v>
      </c>
      <c r="D294" s="4" t="s">
        <v>6202</v>
      </c>
      <c r="E294" s="4" t="s">
        <v>6199</v>
      </c>
      <c r="F294" s="4" t="s">
        <v>6200</v>
      </c>
    </row>
    <row r="295" customFormat="false" ht="15" hidden="false" customHeight="true" outlineLevel="0" collapsed="false">
      <c r="A295" s="4" t="s">
        <v>471</v>
      </c>
      <c r="B295" s="13" t="n">
        <v>45474</v>
      </c>
      <c r="C295" s="4" t="s">
        <v>6194</v>
      </c>
      <c r="D295" s="4" t="s">
        <v>6205</v>
      </c>
      <c r="E295" s="4" t="s">
        <v>6202</v>
      </c>
      <c r="F295" s="4" t="s">
        <v>6216</v>
      </c>
    </row>
    <row r="296" customFormat="false" ht="15" hidden="false" customHeight="true" outlineLevel="0" collapsed="false">
      <c r="A296" s="4" t="s">
        <v>472</v>
      </c>
      <c r="B296" s="13" t="n">
        <v>45116</v>
      </c>
      <c r="C296" s="4" t="s">
        <v>6213</v>
      </c>
      <c r="D296" s="4" t="s">
        <v>6207</v>
      </c>
      <c r="E296" s="4" t="s">
        <v>6195</v>
      </c>
      <c r="F296" s="4" t="s">
        <v>6216</v>
      </c>
    </row>
    <row r="297" customFormat="false" ht="15" hidden="false" customHeight="true" outlineLevel="0" collapsed="false">
      <c r="A297" s="4" t="s">
        <v>473</v>
      </c>
      <c r="B297" s="13" t="n">
        <v>45279</v>
      </c>
      <c r="C297" s="4" t="s">
        <v>6213</v>
      </c>
      <c r="D297" s="4" t="s">
        <v>6196</v>
      </c>
      <c r="E297" s="4" t="s">
        <v>6195</v>
      </c>
      <c r="F297" s="4" t="s">
        <v>6216</v>
      </c>
    </row>
    <row r="298" customFormat="false" ht="15" hidden="false" customHeight="true" outlineLevel="0" collapsed="false">
      <c r="A298" s="4" t="s">
        <v>474</v>
      </c>
      <c r="B298" s="13" t="n">
        <v>45507</v>
      </c>
      <c r="C298" s="4" t="s">
        <v>6201</v>
      </c>
      <c r="D298" s="4" t="s">
        <v>6196</v>
      </c>
      <c r="E298" s="4" t="s">
        <v>6199</v>
      </c>
      <c r="F298" s="4"/>
    </row>
    <row r="299" customFormat="false" ht="15" hidden="false" customHeight="true" outlineLevel="0" collapsed="false">
      <c r="A299" s="4" t="s">
        <v>475</v>
      </c>
      <c r="B299" s="13" t="n">
        <v>45520</v>
      </c>
      <c r="C299" s="4" t="s">
        <v>6201</v>
      </c>
      <c r="D299" s="4" t="s">
        <v>6211</v>
      </c>
      <c r="E299" s="4" t="s">
        <v>6206</v>
      </c>
      <c r="F299" s="4" t="s">
        <v>6214</v>
      </c>
    </row>
    <row r="300" customFormat="false" ht="15" hidden="false" customHeight="true" outlineLevel="0" collapsed="false">
      <c r="A300" s="4" t="s">
        <v>476</v>
      </c>
      <c r="B300" s="13" t="n">
        <v>45093</v>
      </c>
      <c r="C300" s="4" t="s">
        <v>6210</v>
      </c>
      <c r="D300" s="4" t="s">
        <v>6211</v>
      </c>
      <c r="E300" s="4" t="s">
        <v>6211</v>
      </c>
      <c r="F300" s="4"/>
    </row>
    <row r="301" customFormat="false" ht="15" hidden="false" customHeight="true" outlineLevel="0" collapsed="false">
      <c r="A301" s="4" t="s">
        <v>477</v>
      </c>
      <c r="B301" s="13" t="n">
        <v>44949</v>
      </c>
      <c r="C301" s="4" t="s">
        <v>6194</v>
      </c>
      <c r="D301" s="4" t="s">
        <v>6211</v>
      </c>
      <c r="E301" s="4" t="s">
        <v>6195</v>
      </c>
      <c r="F301" s="4" t="s">
        <v>6216</v>
      </c>
    </row>
    <row r="302" customFormat="false" ht="15" hidden="false" customHeight="true" outlineLevel="0" collapsed="false">
      <c r="A302" s="4" t="s">
        <v>478</v>
      </c>
      <c r="B302" s="13" t="n">
        <v>44999</v>
      </c>
      <c r="C302" s="4" t="s">
        <v>6194</v>
      </c>
      <c r="D302" s="4" t="s">
        <v>6211</v>
      </c>
      <c r="E302" s="4" t="s">
        <v>6211</v>
      </c>
      <c r="F302" s="4" t="s">
        <v>6212</v>
      </c>
    </row>
    <row r="303" customFormat="false" ht="15" hidden="false" customHeight="true" outlineLevel="0" collapsed="false">
      <c r="A303" s="4" t="s">
        <v>479</v>
      </c>
      <c r="B303" s="13" t="n">
        <v>45030</v>
      </c>
      <c r="C303" s="4" t="s">
        <v>6210</v>
      </c>
      <c r="D303" s="4" t="s">
        <v>6206</v>
      </c>
      <c r="E303" s="4" t="s">
        <v>6208</v>
      </c>
      <c r="F303" s="4" t="s">
        <v>6216</v>
      </c>
    </row>
    <row r="304" customFormat="false" ht="15" hidden="false" customHeight="true" outlineLevel="0" collapsed="false">
      <c r="A304" s="4" t="s">
        <v>480</v>
      </c>
      <c r="B304" s="13" t="n">
        <v>45248</v>
      </c>
      <c r="C304" s="4" t="s">
        <v>6210</v>
      </c>
      <c r="D304" s="4" t="s">
        <v>6208</v>
      </c>
      <c r="E304" s="4" t="s">
        <v>6203</v>
      </c>
      <c r="F304" s="4"/>
    </row>
    <row r="305" customFormat="false" ht="15" hidden="false" customHeight="true" outlineLevel="0" collapsed="false">
      <c r="A305" s="4" t="s">
        <v>481</v>
      </c>
      <c r="B305" s="13" t="n">
        <v>45389</v>
      </c>
      <c r="C305" s="4" t="s">
        <v>6210</v>
      </c>
      <c r="D305" s="4" t="s">
        <v>6206</v>
      </c>
      <c r="E305" s="4" t="s">
        <v>6195</v>
      </c>
      <c r="F305" s="4" t="s">
        <v>6204</v>
      </c>
    </row>
    <row r="306" customFormat="false" ht="15" hidden="false" customHeight="true" outlineLevel="0" collapsed="false">
      <c r="A306" s="4" t="s">
        <v>482</v>
      </c>
      <c r="B306" s="13" t="n">
        <v>45248</v>
      </c>
      <c r="C306" s="4" t="s">
        <v>6210</v>
      </c>
      <c r="D306" s="4" t="s">
        <v>6207</v>
      </c>
      <c r="E306" s="4" t="s">
        <v>6211</v>
      </c>
      <c r="F306" s="4" t="s">
        <v>6204</v>
      </c>
    </row>
    <row r="307" customFormat="false" ht="15" hidden="false" customHeight="true" outlineLevel="0" collapsed="false">
      <c r="A307" s="4" t="s">
        <v>483</v>
      </c>
      <c r="B307" s="13" t="n">
        <v>45241</v>
      </c>
      <c r="C307" s="4" t="s">
        <v>6209</v>
      </c>
      <c r="D307" s="4" t="s">
        <v>6196</v>
      </c>
      <c r="E307" s="4" t="s">
        <v>6205</v>
      </c>
      <c r="F307" s="4" t="s">
        <v>6216</v>
      </c>
    </row>
    <row r="308" customFormat="false" ht="15" hidden="false" customHeight="true" outlineLevel="0" collapsed="false">
      <c r="A308" s="4" t="s">
        <v>484</v>
      </c>
      <c r="B308" s="13" t="n">
        <v>44941</v>
      </c>
      <c r="C308" s="4" t="s">
        <v>6213</v>
      </c>
      <c r="D308" s="4" t="s">
        <v>6196</v>
      </c>
      <c r="E308" s="4" t="s">
        <v>6208</v>
      </c>
      <c r="F308" s="4"/>
    </row>
    <row r="309" customFormat="false" ht="15" hidden="false" customHeight="true" outlineLevel="0" collapsed="false">
      <c r="A309" s="4" t="s">
        <v>485</v>
      </c>
      <c r="B309" s="13" t="n">
        <v>45419</v>
      </c>
      <c r="C309" s="4" t="s">
        <v>6215</v>
      </c>
      <c r="D309" s="4" t="s">
        <v>6199</v>
      </c>
      <c r="E309" s="4" t="s">
        <v>6211</v>
      </c>
      <c r="F309" s="4"/>
    </row>
    <row r="310" customFormat="false" ht="15" hidden="false" customHeight="true" outlineLevel="0" collapsed="false">
      <c r="A310" s="4" t="s">
        <v>486</v>
      </c>
      <c r="B310" s="13" t="n">
        <v>45032</v>
      </c>
      <c r="C310" s="4" t="s">
        <v>6201</v>
      </c>
      <c r="D310" s="4" t="s">
        <v>6195</v>
      </c>
      <c r="E310" s="4" t="s">
        <v>6208</v>
      </c>
      <c r="F310" s="4"/>
    </row>
    <row r="311" customFormat="false" ht="15" hidden="false" customHeight="true" outlineLevel="0" collapsed="false">
      <c r="A311" s="4" t="s">
        <v>487</v>
      </c>
      <c r="B311" s="13" t="n">
        <v>45004</v>
      </c>
      <c r="C311" s="4" t="s">
        <v>6213</v>
      </c>
      <c r="D311" s="4" t="s">
        <v>6202</v>
      </c>
      <c r="E311" s="4" t="s">
        <v>6207</v>
      </c>
      <c r="F311" s="4" t="s">
        <v>6197</v>
      </c>
    </row>
    <row r="312" customFormat="false" ht="15" hidden="false" customHeight="true" outlineLevel="0" collapsed="false">
      <c r="A312" s="4" t="s">
        <v>488</v>
      </c>
      <c r="B312" s="13" t="n">
        <v>45156</v>
      </c>
      <c r="C312" s="4" t="s">
        <v>6194</v>
      </c>
      <c r="D312" s="4" t="s">
        <v>6207</v>
      </c>
      <c r="E312" s="4" t="s">
        <v>6207</v>
      </c>
      <c r="F312" s="4" t="s">
        <v>6200</v>
      </c>
    </row>
    <row r="313" customFormat="false" ht="15" hidden="false" customHeight="true" outlineLevel="0" collapsed="false">
      <c r="A313" s="4" t="s">
        <v>489</v>
      </c>
      <c r="B313" s="13" t="n">
        <v>45267</v>
      </c>
      <c r="C313" s="4" t="s">
        <v>6194</v>
      </c>
      <c r="D313" s="4" t="s">
        <v>6205</v>
      </c>
      <c r="E313" s="4" t="s">
        <v>6208</v>
      </c>
      <c r="F313" s="4" t="s">
        <v>6214</v>
      </c>
    </row>
    <row r="314" customFormat="false" ht="15" hidden="false" customHeight="true" outlineLevel="0" collapsed="false">
      <c r="A314" s="4" t="s">
        <v>490</v>
      </c>
      <c r="B314" s="13" t="n">
        <v>45309</v>
      </c>
      <c r="C314" s="4" t="s">
        <v>6201</v>
      </c>
      <c r="D314" s="4" t="s">
        <v>6203</v>
      </c>
      <c r="E314" s="4" t="s">
        <v>6196</v>
      </c>
      <c r="F314" s="4" t="s">
        <v>6200</v>
      </c>
    </row>
    <row r="315" customFormat="false" ht="15" hidden="false" customHeight="true" outlineLevel="0" collapsed="false">
      <c r="A315" s="4" t="s">
        <v>491</v>
      </c>
      <c r="B315" s="13" t="n">
        <v>45116</v>
      </c>
      <c r="C315" s="4" t="s">
        <v>6194</v>
      </c>
      <c r="D315" s="4" t="s">
        <v>6202</v>
      </c>
      <c r="E315" s="4" t="s">
        <v>6208</v>
      </c>
      <c r="F315" s="4" t="s">
        <v>6197</v>
      </c>
    </row>
    <row r="316" customFormat="false" ht="15" hidden="false" customHeight="true" outlineLevel="0" collapsed="false">
      <c r="A316" s="4" t="s">
        <v>492</v>
      </c>
      <c r="B316" s="13" t="n">
        <v>45125</v>
      </c>
      <c r="C316" s="4" t="s">
        <v>6198</v>
      </c>
      <c r="D316" s="4" t="s">
        <v>6199</v>
      </c>
      <c r="E316" s="4" t="s">
        <v>6203</v>
      </c>
      <c r="F316" s="4"/>
    </row>
    <row r="317" customFormat="false" ht="15" hidden="false" customHeight="true" outlineLevel="0" collapsed="false">
      <c r="A317" s="4" t="s">
        <v>493</v>
      </c>
      <c r="B317" s="13" t="n">
        <v>45056</v>
      </c>
      <c r="C317" s="4" t="s">
        <v>6210</v>
      </c>
      <c r="D317" s="4" t="s">
        <v>6203</v>
      </c>
      <c r="E317" s="4" t="s">
        <v>6195</v>
      </c>
      <c r="F317" s="4" t="s">
        <v>6214</v>
      </c>
    </row>
    <row r="318" customFormat="false" ht="15" hidden="false" customHeight="true" outlineLevel="0" collapsed="false">
      <c r="A318" s="4" t="s">
        <v>494</v>
      </c>
      <c r="B318" s="13" t="n">
        <v>45008</v>
      </c>
      <c r="C318" s="4" t="s">
        <v>6198</v>
      </c>
      <c r="D318" s="4" t="s">
        <v>6196</v>
      </c>
      <c r="E318" s="4" t="s">
        <v>6196</v>
      </c>
      <c r="F318" s="4"/>
    </row>
    <row r="319" customFormat="false" ht="15" hidden="false" customHeight="true" outlineLevel="0" collapsed="false">
      <c r="A319" s="4" t="s">
        <v>495</v>
      </c>
      <c r="B319" s="13" t="n">
        <v>45652</v>
      </c>
      <c r="C319" s="4" t="s">
        <v>6198</v>
      </c>
      <c r="D319" s="4" t="s">
        <v>6203</v>
      </c>
      <c r="E319" s="4" t="s">
        <v>6211</v>
      </c>
      <c r="F319" s="4"/>
    </row>
    <row r="320" customFormat="false" ht="15" hidden="false" customHeight="true" outlineLevel="0" collapsed="false">
      <c r="A320" s="4" t="s">
        <v>496</v>
      </c>
      <c r="B320" s="13" t="n">
        <v>45453</v>
      </c>
      <c r="C320" s="4" t="s">
        <v>6215</v>
      </c>
      <c r="D320" s="4" t="s">
        <v>6195</v>
      </c>
      <c r="E320" s="4" t="s">
        <v>6199</v>
      </c>
      <c r="F320" s="4" t="s">
        <v>6197</v>
      </c>
    </row>
    <row r="321" customFormat="false" ht="15" hidden="false" customHeight="true" outlineLevel="0" collapsed="false">
      <c r="A321" s="4" t="s">
        <v>497</v>
      </c>
      <c r="B321" s="13" t="n">
        <v>45364</v>
      </c>
      <c r="C321" s="4" t="s">
        <v>6213</v>
      </c>
      <c r="D321" s="4" t="s">
        <v>6206</v>
      </c>
      <c r="E321" s="4" t="s">
        <v>6199</v>
      </c>
      <c r="F321" s="4"/>
    </row>
    <row r="322" customFormat="false" ht="15" hidden="false" customHeight="true" outlineLevel="0" collapsed="false">
      <c r="A322" s="4" t="s">
        <v>498</v>
      </c>
      <c r="B322" s="13" t="n">
        <v>45242</v>
      </c>
      <c r="C322" s="4" t="s">
        <v>6198</v>
      </c>
      <c r="D322" s="4" t="s">
        <v>6205</v>
      </c>
      <c r="E322" s="4" t="s">
        <v>6195</v>
      </c>
      <c r="F322" s="4" t="s">
        <v>6204</v>
      </c>
    </row>
    <row r="323" customFormat="false" ht="15" hidden="false" customHeight="true" outlineLevel="0" collapsed="false">
      <c r="A323" s="4" t="s">
        <v>499</v>
      </c>
      <c r="B323" s="13" t="n">
        <v>45135</v>
      </c>
      <c r="C323" s="4" t="s">
        <v>6198</v>
      </c>
      <c r="D323" s="4" t="s">
        <v>6195</v>
      </c>
      <c r="E323" s="4" t="s">
        <v>6207</v>
      </c>
      <c r="F323" s="4" t="s">
        <v>6216</v>
      </c>
    </row>
    <row r="324" customFormat="false" ht="15" hidden="false" customHeight="true" outlineLevel="0" collapsed="false">
      <c r="A324" s="4" t="s">
        <v>500</v>
      </c>
      <c r="B324" s="13" t="n">
        <v>45133</v>
      </c>
      <c r="C324" s="4" t="s">
        <v>6213</v>
      </c>
      <c r="D324" s="4" t="s">
        <v>6211</v>
      </c>
      <c r="E324" s="4" t="s">
        <v>6208</v>
      </c>
      <c r="F324" s="4" t="s">
        <v>6204</v>
      </c>
    </row>
    <row r="325" customFormat="false" ht="15" hidden="false" customHeight="true" outlineLevel="0" collapsed="false">
      <c r="A325" s="4" t="s">
        <v>501</v>
      </c>
      <c r="B325" s="13" t="n">
        <v>45585</v>
      </c>
      <c r="C325" s="4" t="s">
        <v>6209</v>
      </c>
      <c r="D325" s="4" t="s">
        <v>6199</v>
      </c>
      <c r="E325" s="4" t="s">
        <v>6195</v>
      </c>
      <c r="F325" s="4"/>
    </row>
    <row r="326" customFormat="false" ht="15" hidden="false" customHeight="true" outlineLevel="0" collapsed="false">
      <c r="A326" s="4" t="s">
        <v>502</v>
      </c>
      <c r="B326" s="13" t="n">
        <v>45412</v>
      </c>
      <c r="C326" s="4" t="s">
        <v>6194</v>
      </c>
      <c r="D326" s="4" t="s">
        <v>6203</v>
      </c>
      <c r="E326" s="4" t="s">
        <v>6206</v>
      </c>
      <c r="F326" s="4" t="s">
        <v>6214</v>
      </c>
    </row>
    <row r="327" customFormat="false" ht="15" hidden="false" customHeight="true" outlineLevel="0" collapsed="false">
      <c r="A327" s="4" t="s">
        <v>503</v>
      </c>
      <c r="B327" s="13" t="n">
        <v>45204</v>
      </c>
      <c r="C327" s="4" t="s">
        <v>6201</v>
      </c>
      <c r="D327" s="4" t="s">
        <v>6207</v>
      </c>
      <c r="E327" s="4" t="s">
        <v>6195</v>
      </c>
      <c r="F327" s="4"/>
    </row>
    <row r="328" customFormat="false" ht="15" hidden="false" customHeight="true" outlineLevel="0" collapsed="false">
      <c r="A328" s="4" t="s">
        <v>504</v>
      </c>
      <c r="B328" s="13" t="n">
        <v>45127</v>
      </c>
      <c r="C328" s="4" t="s">
        <v>6213</v>
      </c>
      <c r="D328" s="4" t="s">
        <v>6195</v>
      </c>
      <c r="E328" s="4" t="s">
        <v>6195</v>
      </c>
      <c r="F328" s="4"/>
    </row>
    <row r="329" customFormat="false" ht="15" hidden="false" customHeight="true" outlineLevel="0" collapsed="false">
      <c r="A329" s="4" t="s">
        <v>505</v>
      </c>
      <c r="B329" s="13" t="n">
        <v>45145</v>
      </c>
      <c r="C329" s="4" t="s">
        <v>6215</v>
      </c>
      <c r="D329" s="4" t="s">
        <v>6207</v>
      </c>
      <c r="E329" s="4" t="s">
        <v>6203</v>
      </c>
      <c r="F329" s="4"/>
    </row>
    <row r="330" customFormat="false" ht="15" hidden="false" customHeight="true" outlineLevel="0" collapsed="false">
      <c r="A330" s="4" t="s">
        <v>506</v>
      </c>
      <c r="B330" s="13" t="n">
        <v>45507</v>
      </c>
      <c r="C330" s="4" t="s">
        <v>6210</v>
      </c>
      <c r="D330" s="4" t="s">
        <v>6195</v>
      </c>
      <c r="E330" s="4" t="s">
        <v>6211</v>
      </c>
      <c r="F330" s="4" t="s">
        <v>6197</v>
      </c>
    </row>
    <row r="331" customFormat="false" ht="15" hidden="false" customHeight="true" outlineLevel="0" collapsed="false">
      <c r="A331" s="4" t="s">
        <v>507</v>
      </c>
      <c r="B331" s="13" t="n">
        <v>45524</v>
      </c>
      <c r="C331" s="4" t="s">
        <v>6209</v>
      </c>
      <c r="D331" s="4" t="s">
        <v>6196</v>
      </c>
      <c r="E331" s="4" t="s">
        <v>6196</v>
      </c>
      <c r="F331" s="4"/>
    </row>
    <row r="332" customFormat="false" ht="15" hidden="false" customHeight="true" outlineLevel="0" collapsed="false">
      <c r="A332" s="4" t="s">
        <v>508</v>
      </c>
      <c r="B332" s="13" t="n">
        <v>45271</v>
      </c>
      <c r="C332" s="4" t="s">
        <v>6215</v>
      </c>
      <c r="D332" s="4" t="s">
        <v>6203</v>
      </c>
      <c r="E332" s="4" t="s">
        <v>6195</v>
      </c>
      <c r="F332" s="4"/>
    </row>
    <row r="333" customFormat="false" ht="15" hidden="false" customHeight="true" outlineLevel="0" collapsed="false">
      <c r="A333" s="4" t="s">
        <v>509</v>
      </c>
      <c r="B333" s="13" t="n">
        <v>45544</v>
      </c>
      <c r="C333" s="4" t="s">
        <v>6215</v>
      </c>
      <c r="D333" s="4" t="s">
        <v>6196</v>
      </c>
      <c r="E333" s="4" t="s">
        <v>6211</v>
      </c>
      <c r="F333" s="4" t="s">
        <v>6197</v>
      </c>
    </row>
    <row r="334" customFormat="false" ht="15" hidden="false" customHeight="true" outlineLevel="0" collapsed="false">
      <c r="A334" s="4" t="s">
        <v>510</v>
      </c>
      <c r="B334" s="13" t="n">
        <v>45249</v>
      </c>
      <c r="C334" s="4" t="s">
        <v>6198</v>
      </c>
      <c r="D334" s="4" t="s">
        <v>6207</v>
      </c>
      <c r="E334" s="4" t="s">
        <v>6202</v>
      </c>
      <c r="F334" s="4" t="s">
        <v>6212</v>
      </c>
    </row>
    <row r="335" customFormat="false" ht="15" hidden="false" customHeight="true" outlineLevel="0" collapsed="false">
      <c r="A335" s="4" t="s">
        <v>511</v>
      </c>
      <c r="B335" s="13" t="n">
        <v>45384</v>
      </c>
      <c r="C335" s="4" t="s">
        <v>6201</v>
      </c>
      <c r="D335" s="4" t="s">
        <v>6202</v>
      </c>
      <c r="E335" s="4" t="s">
        <v>6196</v>
      </c>
      <c r="F335" s="4"/>
    </row>
    <row r="336" customFormat="false" ht="15" hidden="false" customHeight="true" outlineLevel="0" collapsed="false">
      <c r="A336" s="4" t="s">
        <v>512</v>
      </c>
      <c r="B336" s="13" t="n">
        <v>45283</v>
      </c>
      <c r="C336" s="4" t="s">
        <v>6201</v>
      </c>
      <c r="D336" s="4" t="s">
        <v>6211</v>
      </c>
      <c r="E336" s="4" t="s">
        <v>6203</v>
      </c>
      <c r="F336" s="4" t="s">
        <v>6216</v>
      </c>
    </row>
    <row r="337" customFormat="false" ht="15" hidden="false" customHeight="true" outlineLevel="0" collapsed="false">
      <c r="A337" s="4" t="s">
        <v>513</v>
      </c>
      <c r="B337" s="13" t="n">
        <v>45308</v>
      </c>
      <c r="C337" s="4" t="s">
        <v>6209</v>
      </c>
      <c r="D337" s="4" t="s">
        <v>6202</v>
      </c>
      <c r="E337" s="4" t="s">
        <v>6196</v>
      </c>
      <c r="F337" s="4" t="s">
        <v>6216</v>
      </c>
    </row>
    <row r="338" customFormat="false" ht="15" hidden="false" customHeight="true" outlineLevel="0" collapsed="false">
      <c r="A338" s="4" t="s">
        <v>514</v>
      </c>
      <c r="B338" s="13" t="n">
        <v>45453</v>
      </c>
      <c r="C338" s="4" t="s">
        <v>6210</v>
      </c>
      <c r="D338" s="4" t="s">
        <v>6202</v>
      </c>
      <c r="E338" s="4" t="s">
        <v>6195</v>
      </c>
      <c r="F338" s="4" t="s">
        <v>6214</v>
      </c>
    </row>
    <row r="339" customFormat="false" ht="15" hidden="false" customHeight="true" outlineLevel="0" collapsed="false">
      <c r="A339" s="4" t="s">
        <v>515</v>
      </c>
      <c r="B339" s="13" t="n">
        <v>45503</v>
      </c>
      <c r="C339" s="4" t="s">
        <v>6213</v>
      </c>
      <c r="D339" s="4" t="s">
        <v>6195</v>
      </c>
      <c r="E339" s="4" t="s">
        <v>6207</v>
      </c>
      <c r="F339" s="4" t="s">
        <v>6197</v>
      </c>
    </row>
    <row r="340" customFormat="false" ht="15" hidden="false" customHeight="true" outlineLevel="0" collapsed="false">
      <c r="A340" s="4" t="s">
        <v>516</v>
      </c>
      <c r="B340" s="13" t="n">
        <v>44982</v>
      </c>
      <c r="C340" s="4" t="s">
        <v>6201</v>
      </c>
      <c r="D340" s="4" t="s">
        <v>6196</v>
      </c>
      <c r="E340" s="4" t="s">
        <v>6196</v>
      </c>
      <c r="F340" s="4"/>
    </row>
    <row r="341" customFormat="false" ht="15" hidden="false" customHeight="true" outlineLevel="0" collapsed="false">
      <c r="A341" s="4" t="s">
        <v>517</v>
      </c>
      <c r="B341" s="13" t="n">
        <v>44956</v>
      </c>
      <c r="C341" s="4" t="s">
        <v>6215</v>
      </c>
      <c r="D341" s="4" t="s">
        <v>6196</v>
      </c>
      <c r="E341" s="4" t="s">
        <v>6199</v>
      </c>
      <c r="F341" s="4" t="s">
        <v>6200</v>
      </c>
    </row>
    <row r="342" customFormat="false" ht="15" hidden="false" customHeight="true" outlineLevel="0" collapsed="false">
      <c r="A342" s="4" t="s">
        <v>518</v>
      </c>
      <c r="B342" s="13" t="n">
        <v>45183</v>
      </c>
      <c r="C342" s="4" t="s">
        <v>6194</v>
      </c>
      <c r="D342" s="4" t="s">
        <v>6203</v>
      </c>
      <c r="E342" s="4" t="s">
        <v>6205</v>
      </c>
      <c r="F342" s="4" t="s">
        <v>6204</v>
      </c>
    </row>
    <row r="343" customFormat="false" ht="15" hidden="false" customHeight="true" outlineLevel="0" collapsed="false">
      <c r="A343" s="4" t="s">
        <v>519</v>
      </c>
      <c r="B343" s="13" t="n">
        <v>45523</v>
      </c>
      <c r="C343" s="4" t="s">
        <v>6198</v>
      </c>
      <c r="D343" s="4" t="s">
        <v>6195</v>
      </c>
      <c r="E343" s="4" t="s">
        <v>6207</v>
      </c>
      <c r="F343" s="4" t="s">
        <v>6212</v>
      </c>
    </row>
    <row r="344" customFormat="false" ht="15" hidden="false" customHeight="true" outlineLevel="0" collapsed="false">
      <c r="A344" s="4" t="s">
        <v>520</v>
      </c>
      <c r="B344" s="13" t="n">
        <v>45653</v>
      </c>
      <c r="C344" s="4" t="s">
        <v>6215</v>
      </c>
      <c r="D344" s="4" t="s">
        <v>6208</v>
      </c>
      <c r="E344" s="4" t="s">
        <v>6206</v>
      </c>
      <c r="F344" s="4" t="s">
        <v>6204</v>
      </c>
    </row>
    <row r="345" customFormat="false" ht="15" hidden="false" customHeight="true" outlineLevel="0" collapsed="false">
      <c r="A345" s="4" t="s">
        <v>521</v>
      </c>
      <c r="B345" s="13" t="n">
        <v>44957</v>
      </c>
      <c r="C345" s="4" t="s">
        <v>6194</v>
      </c>
      <c r="D345" s="4" t="s">
        <v>6208</v>
      </c>
      <c r="E345" s="4" t="s">
        <v>6207</v>
      </c>
      <c r="F345" s="4" t="s">
        <v>6204</v>
      </c>
    </row>
    <row r="346" customFormat="false" ht="15" hidden="false" customHeight="true" outlineLevel="0" collapsed="false">
      <c r="A346" s="4" t="s">
        <v>522</v>
      </c>
      <c r="B346" s="13" t="n">
        <v>45013</v>
      </c>
      <c r="C346" s="4" t="s">
        <v>6201</v>
      </c>
      <c r="D346" s="4" t="s">
        <v>6208</v>
      </c>
      <c r="E346" s="4" t="s">
        <v>6211</v>
      </c>
      <c r="F346" s="4"/>
    </row>
    <row r="347" customFormat="false" ht="15" hidden="false" customHeight="true" outlineLevel="0" collapsed="false">
      <c r="A347" s="4" t="s">
        <v>523</v>
      </c>
      <c r="B347" s="13" t="n">
        <v>45476</v>
      </c>
      <c r="C347" s="4" t="s">
        <v>6201</v>
      </c>
      <c r="D347" s="4" t="s">
        <v>6203</v>
      </c>
      <c r="E347" s="4" t="s">
        <v>6199</v>
      </c>
      <c r="F347" s="4"/>
    </row>
    <row r="348" customFormat="false" ht="15" hidden="false" customHeight="true" outlineLevel="0" collapsed="false">
      <c r="A348" s="4" t="s">
        <v>524</v>
      </c>
      <c r="B348" s="13" t="n">
        <v>45431</v>
      </c>
      <c r="C348" s="4" t="s">
        <v>6213</v>
      </c>
      <c r="D348" s="4" t="s">
        <v>6196</v>
      </c>
      <c r="E348" s="4" t="s">
        <v>6205</v>
      </c>
      <c r="F348" s="4" t="s">
        <v>6212</v>
      </c>
    </row>
    <row r="349" customFormat="false" ht="15" hidden="false" customHeight="true" outlineLevel="0" collapsed="false">
      <c r="A349" s="4" t="s">
        <v>525</v>
      </c>
      <c r="B349" s="13" t="n">
        <v>45505</v>
      </c>
      <c r="C349" s="4" t="s">
        <v>6209</v>
      </c>
      <c r="D349" s="4" t="s">
        <v>6195</v>
      </c>
      <c r="E349" s="4" t="s">
        <v>6205</v>
      </c>
      <c r="F349" s="4"/>
    </row>
    <row r="350" customFormat="false" ht="15" hidden="false" customHeight="true" outlineLevel="0" collapsed="false">
      <c r="A350" s="4" t="s">
        <v>526</v>
      </c>
      <c r="B350" s="13" t="n">
        <v>45521</v>
      </c>
      <c r="C350" s="4" t="s">
        <v>6194</v>
      </c>
      <c r="D350" s="4" t="s">
        <v>6211</v>
      </c>
      <c r="E350" s="4" t="s">
        <v>6206</v>
      </c>
      <c r="F350" s="4" t="s">
        <v>6212</v>
      </c>
    </row>
    <row r="351" customFormat="false" ht="15" hidden="false" customHeight="true" outlineLevel="0" collapsed="false">
      <c r="A351" s="4" t="s">
        <v>527</v>
      </c>
      <c r="B351" s="13" t="n">
        <v>45604</v>
      </c>
      <c r="C351" s="4" t="s">
        <v>6201</v>
      </c>
      <c r="D351" s="4" t="s">
        <v>6211</v>
      </c>
      <c r="E351" s="4" t="s">
        <v>6207</v>
      </c>
      <c r="F351" s="4"/>
    </row>
    <row r="352" customFormat="false" ht="15" hidden="false" customHeight="true" outlineLevel="0" collapsed="false">
      <c r="A352" s="4" t="s">
        <v>528</v>
      </c>
      <c r="B352" s="13" t="n">
        <v>45335</v>
      </c>
      <c r="C352" s="4" t="s">
        <v>6215</v>
      </c>
      <c r="D352" s="4" t="s">
        <v>6205</v>
      </c>
      <c r="E352" s="4" t="s">
        <v>6206</v>
      </c>
      <c r="F352" s="4" t="s">
        <v>6200</v>
      </c>
    </row>
    <row r="353" customFormat="false" ht="15" hidden="false" customHeight="true" outlineLevel="0" collapsed="false">
      <c r="A353" s="4" t="s">
        <v>529</v>
      </c>
      <c r="B353" s="13" t="n">
        <v>45559</v>
      </c>
      <c r="C353" s="4" t="s">
        <v>6215</v>
      </c>
      <c r="D353" s="4" t="s">
        <v>6207</v>
      </c>
      <c r="E353" s="4" t="s">
        <v>6203</v>
      </c>
      <c r="F353" s="4" t="s">
        <v>6216</v>
      </c>
    </row>
    <row r="354" customFormat="false" ht="15" hidden="false" customHeight="true" outlineLevel="0" collapsed="false">
      <c r="A354" s="4" t="s">
        <v>530</v>
      </c>
      <c r="B354" s="13" t="n">
        <v>45661</v>
      </c>
      <c r="C354" s="4" t="s">
        <v>6209</v>
      </c>
      <c r="D354" s="4" t="s">
        <v>6206</v>
      </c>
      <c r="E354" s="4" t="s">
        <v>6207</v>
      </c>
      <c r="F354" s="4" t="s">
        <v>6197</v>
      </c>
    </row>
    <row r="355" customFormat="false" ht="15" hidden="false" customHeight="true" outlineLevel="0" collapsed="false">
      <c r="A355" s="4" t="s">
        <v>531</v>
      </c>
      <c r="B355" s="13" t="n">
        <v>45262</v>
      </c>
      <c r="C355" s="4" t="s">
        <v>6215</v>
      </c>
      <c r="D355" s="4" t="s">
        <v>6203</v>
      </c>
      <c r="E355" s="4" t="s">
        <v>6199</v>
      </c>
      <c r="F355" s="4" t="s">
        <v>6200</v>
      </c>
    </row>
    <row r="356" customFormat="false" ht="15" hidden="false" customHeight="true" outlineLevel="0" collapsed="false">
      <c r="A356" s="4" t="s">
        <v>532</v>
      </c>
      <c r="B356" s="13" t="n">
        <v>45214</v>
      </c>
      <c r="C356" s="4" t="s">
        <v>6201</v>
      </c>
      <c r="D356" s="4" t="s">
        <v>6207</v>
      </c>
      <c r="E356" s="4" t="s">
        <v>6208</v>
      </c>
      <c r="F356" s="4" t="s">
        <v>6200</v>
      </c>
    </row>
    <row r="357" customFormat="false" ht="15" hidden="false" customHeight="true" outlineLevel="0" collapsed="false">
      <c r="A357" s="4" t="s">
        <v>533</v>
      </c>
      <c r="B357" s="13" t="n">
        <v>45612</v>
      </c>
      <c r="C357" s="4" t="s">
        <v>6213</v>
      </c>
      <c r="D357" s="4" t="s">
        <v>6206</v>
      </c>
      <c r="E357" s="4" t="s">
        <v>6211</v>
      </c>
      <c r="F357" s="4" t="s">
        <v>6204</v>
      </c>
    </row>
    <row r="358" customFormat="false" ht="15" hidden="false" customHeight="true" outlineLevel="0" collapsed="false">
      <c r="A358" s="4" t="s">
        <v>534</v>
      </c>
      <c r="B358" s="13" t="n">
        <v>45163</v>
      </c>
      <c r="C358" s="4" t="s">
        <v>6215</v>
      </c>
      <c r="D358" s="4" t="s">
        <v>6199</v>
      </c>
      <c r="E358" s="4" t="s">
        <v>6196</v>
      </c>
      <c r="F358" s="4" t="s">
        <v>6216</v>
      </c>
    </row>
    <row r="359" customFormat="false" ht="15" hidden="false" customHeight="true" outlineLevel="0" collapsed="false">
      <c r="A359" s="4" t="s">
        <v>535</v>
      </c>
      <c r="B359" s="13" t="n">
        <v>44979</v>
      </c>
      <c r="C359" s="4" t="s">
        <v>6198</v>
      </c>
      <c r="D359" s="4" t="s">
        <v>6206</v>
      </c>
      <c r="E359" s="4" t="s">
        <v>6203</v>
      </c>
      <c r="F359" s="4" t="s">
        <v>6204</v>
      </c>
    </row>
    <row r="360" customFormat="false" ht="15" hidden="false" customHeight="true" outlineLevel="0" collapsed="false">
      <c r="A360" s="4" t="s">
        <v>536</v>
      </c>
      <c r="B360" s="13" t="n">
        <v>45469</v>
      </c>
      <c r="C360" s="4" t="s">
        <v>6194</v>
      </c>
      <c r="D360" s="4" t="s">
        <v>6202</v>
      </c>
      <c r="E360" s="4" t="s">
        <v>6203</v>
      </c>
      <c r="F360" s="4" t="s">
        <v>6212</v>
      </c>
    </row>
    <row r="361" customFormat="false" ht="15" hidden="false" customHeight="true" outlineLevel="0" collapsed="false">
      <c r="A361" s="4" t="s">
        <v>537</v>
      </c>
      <c r="B361" s="13" t="n">
        <v>45289</v>
      </c>
      <c r="C361" s="4" t="s">
        <v>6215</v>
      </c>
      <c r="D361" s="4" t="s">
        <v>6207</v>
      </c>
      <c r="E361" s="4" t="s">
        <v>6207</v>
      </c>
      <c r="F361" s="4"/>
    </row>
    <row r="362" customFormat="false" ht="15" hidden="false" customHeight="true" outlineLevel="0" collapsed="false">
      <c r="A362" s="4" t="s">
        <v>538</v>
      </c>
      <c r="B362" s="13" t="n">
        <v>45586</v>
      </c>
      <c r="C362" s="4" t="s">
        <v>6194</v>
      </c>
      <c r="D362" s="4" t="s">
        <v>6195</v>
      </c>
      <c r="E362" s="4" t="s">
        <v>6206</v>
      </c>
      <c r="F362" s="4"/>
    </row>
    <row r="363" customFormat="false" ht="15" hidden="false" customHeight="true" outlineLevel="0" collapsed="false">
      <c r="A363" s="4" t="s">
        <v>539</v>
      </c>
      <c r="B363" s="13" t="n">
        <v>45001</v>
      </c>
      <c r="C363" s="4" t="s">
        <v>6194</v>
      </c>
      <c r="D363" s="4" t="s">
        <v>6205</v>
      </c>
      <c r="E363" s="4" t="s">
        <v>6208</v>
      </c>
      <c r="F363" s="4"/>
    </row>
    <row r="364" customFormat="false" ht="15" hidden="false" customHeight="true" outlineLevel="0" collapsed="false">
      <c r="A364" s="4" t="s">
        <v>540</v>
      </c>
      <c r="B364" s="13" t="n">
        <v>45146</v>
      </c>
      <c r="C364" s="4" t="s">
        <v>6213</v>
      </c>
      <c r="D364" s="4" t="s">
        <v>6203</v>
      </c>
      <c r="E364" s="4" t="s">
        <v>6205</v>
      </c>
      <c r="F364" s="4" t="s">
        <v>6204</v>
      </c>
    </row>
    <row r="365" customFormat="false" ht="15" hidden="false" customHeight="true" outlineLevel="0" collapsed="false">
      <c r="A365" s="4" t="s">
        <v>541</v>
      </c>
      <c r="B365" s="13" t="n">
        <v>45024</v>
      </c>
      <c r="C365" s="4" t="s">
        <v>6215</v>
      </c>
      <c r="D365" s="4" t="s">
        <v>6203</v>
      </c>
      <c r="E365" s="4" t="s">
        <v>6195</v>
      </c>
      <c r="F365" s="4" t="s">
        <v>6204</v>
      </c>
    </row>
    <row r="366" customFormat="false" ht="15" hidden="false" customHeight="true" outlineLevel="0" collapsed="false">
      <c r="A366" s="4" t="s">
        <v>542</v>
      </c>
      <c r="B366" s="13" t="n">
        <v>45512</v>
      </c>
      <c r="C366" s="4" t="s">
        <v>6215</v>
      </c>
      <c r="D366" s="4" t="s">
        <v>6202</v>
      </c>
      <c r="E366" s="4" t="s">
        <v>6199</v>
      </c>
      <c r="F366" s="4" t="s">
        <v>6214</v>
      </c>
    </row>
    <row r="367" customFormat="false" ht="15" hidden="false" customHeight="true" outlineLevel="0" collapsed="false">
      <c r="A367" s="4" t="s">
        <v>543</v>
      </c>
      <c r="B367" s="13" t="n">
        <v>45289</v>
      </c>
      <c r="C367" s="4" t="s">
        <v>6201</v>
      </c>
      <c r="D367" s="4" t="s">
        <v>6207</v>
      </c>
      <c r="E367" s="4" t="s">
        <v>6199</v>
      </c>
      <c r="F367" s="4" t="s">
        <v>6197</v>
      </c>
    </row>
    <row r="368" customFormat="false" ht="15" hidden="false" customHeight="true" outlineLevel="0" collapsed="false">
      <c r="A368" s="4" t="s">
        <v>544</v>
      </c>
      <c r="B368" s="13" t="n">
        <v>45301</v>
      </c>
      <c r="C368" s="4" t="s">
        <v>6215</v>
      </c>
      <c r="D368" s="4" t="s">
        <v>6208</v>
      </c>
      <c r="E368" s="4" t="s">
        <v>6196</v>
      </c>
      <c r="F368" s="4" t="s">
        <v>6197</v>
      </c>
    </row>
    <row r="369" customFormat="false" ht="15" hidden="false" customHeight="true" outlineLevel="0" collapsed="false">
      <c r="A369" s="4" t="s">
        <v>545</v>
      </c>
      <c r="B369" s="13" t="n">
        <v>45108</v>
      </c>
      <c r="C369" s="4" t="s">
        <v>6210</v>
      </c>
      <c r="D369" s="4" t="s">
        <v>6207</v>
      </c>
      <c r="E369" s="4" t="s">
        <v>6202</v>
      </c>
      <c r="F369" s="4" t="s">
        <v>6216</v>
      </c>
    </row>
    <row r="370" customFormat="false" ht="15" hidden="false" customHeight="true" outlineLevel="0" collapsed="false">
      <c r="A370" s="4" t="s">
        <v>546</v>
      </c>
      <c r="B370" s="13" t="n">
        <v>45157</v>
      </c>
      <c r="C370" s="4" t="s">
        <v>6215</v>
      </c>
      <c r="D370" s="4" t="s">
        <v>6199</v>
      </c>
      <c r="E370" s="4" t="s">
        <v>6202</v>
      </c>
      <c r="F370" s="4" t="s">
        <v>6216</v>
      </c>
    </row>
    <row r="371" customFormat="false" ht="15" hidden="false" customHeight="true" outlineLevel="0" collapsed="false">
      <c r="A371" s="4" t="s">
        <v>547</v>
      </c>
      <c r="B371" s="13" t="n">
        <v>45291</v>
      </c>
      <c r="C371" s="4" t="s">
        <v>6215</v>
      </c>
      <c r="D371" s="4" t="s">
        <v>6205</v>
      </c>
      <c r="E371" s="4" t="s">
        <v>6211</v>
      </c>
      <c r="F371" s="4" t="s">
        <v>6200</v>
      </c>
    </row>
    <row r="372" customFormat="false" ht="15" hidden="false" customHeight="true" outlineLevel="0" collapsed="false">
      <c r="A372" s="4" t="s">
        <v>548</v>
      </c>
      <c r="B372" s="13" t="n">
        <v>45420</v>
      </c>
      <c r="C372" s="4" t="s">
        <v>6210</v>
      </c>
      <c r="D372" s="4" t="s">
        <v>6196</v>
      </c>
      <c r="E372" s="4" t="s">
        <v>6208</v>
      </c>
      <c r="F372" s="4"/>
    </row>
    <row r="373" customFormat="false" ht="15" hidden="false" customHeight="true" outlineLevel="0" collapsed="false">
      <c r="A373" s="4" t="s">
        <v>549</v>
      </c>
      <c r="B373" s="13" t="n">
        <v>45360</v>
      </c>
      <c r="C373" s="4" t="s">
        <v>6201</v>
      </c>
      <c r="D373" s="4" t="s">
        <v>6208</v>
      </c>
      <c r="E373" s="4" t="s">
        <v>6206</v>
      </c>
      <c r="F373" s="4" t="s">
        <v>6197</v>
      </c>
    </row>
    <row r="374" customFormat="false" ht="15" hidden="false" customHeight="true" outlineLevel="0" collapsed="false">
      <c r="A374" s="4" t="s">
        <v>550</v>
      </c>
      <c r="B374" s="13" t="n">
        <v>45409</v>
      </c>
      <c r="C374" s="4" t="s">
        <v>6213</v>
      </c>
      <c r="D374" s="4" t="s">
        <v>6205</v>
      </c>
      <c r="E374" s="4" t="s">
        <v>6211</v>
      </c>
      <c r="F374" s="4" t="s">
        <v>6212</v>
      </c>
    </row>
    <row r="375" customFormat="false" ht="15" hidden="false" customHeight="true" outlineLevel="0" collapsed="false">
      <c r="A375" s="4" t="s">
        <v>551</v>
      </c>
      <c r="B375" s="13" t="n">
        <v>45385</v>
      </c>
      <c r="C375" s="4" t="s">
        <v>6201</v>
      </c>
      <c r="D375" s="4" t="s">
        <v>6202</v>
      </c>
      <c r="E375" s="4" t="s">
        <v>6205</v>
      </c>
      <c r="F375" s="4" t="s">
        <v>6212</v>
      </c>
    </row>
    <row r="376" customFormat="false" ht="15" hidden="false" customHeight="true" outlineLevel="0" collapsed="false">
      <c r="A376" s="4" t="s">
        <v>552</v>
      </c>
      <c r="B376" s="13" t="n">
        <v>44936</v>
      </c>
      <c r="C376" s="4" t="s">
        <v>6198</v>
      </c>
      <c r="D376" s="4" t="s">
        <v>6207</v>
      </c>
      <c r="E376" s="4" t="s">
        <v>6195</v>
      </c>
      <c r="F376" s="4" t="s">
        <v>6216</v>
      </c>
    </row>
    <row r="377" customFormat="false" ht="15" hidden="false" customHeight="true" outlineLevel="0" collapsed="false">
      <c r="A377" s="4" t="s">
        <v>553</v>
      </c>
      <c r="B377" s="13" t="n">
        <v>45267</v>
      </c>
      <c r="C377" s="4" t="s">
        <v>6194</v>
      </c>
      <c r="D377" s="4" t="s">
        <v>6203</v>
      </c>
      <c r="E377" s="4" t="s">
        <v>6196</v>
      </c>
      <c r="F377" s="4"/>
    </row>
    <row r="378" customFormat="false" ht="15" hidden="false" customHeight="true" outlineLevel="0" collapsed="false">
      <c r="A378" s="4" t="s">
        <v>554</v>
      </c>
      <c r="B378" s="13" t="n">
        <v>45571</v>
      </c>
      <c r="C378" s="4" t="s">
        <v>6210</v>
      </c>
      <c r="D378" s="4" t="s">
        <v>6211</v>
      </c>
      <c r="E378" s="4" t="s">
        <v>6207</v>
      </c>
      <c r="F378" s="4" t="s">
        <v>6212</v>
      </c>
    </row>
    <row r="379" customFormat="false" ht="15" hidden="false" customHeight="true" outlineLevel="0" collapsed="false">
      <c r="A379" s="4" t="s">
        <v>555</v>
      </c>
      <c r="B379" s="13" t="n">
        <v>45631</v>
      </c>
      <c r="C379" s="4" t="s">
        <v>6201</v>
      </c>
      <c r="D379" s="4" t="s">
        <v>6211</v>
      </c>
      <c r="E379" s="4" t="s">
        <v>6205</v>
      </c>
      <c r="F379" s="4" t="s">
        <v>6200</v>
      </c>
    </row>
    <row r="380" customFormat="false" ht="15" hidden="false" customHeight="true" outlineLevel="0" collapsed="false">
      <c r="A380" s="4" t="s">
        <v>556</v>
      </c>
      <c r="B380" s="13" t="n">
        <v>45167</v>
      </c>
      <c r="C380" s="4" t="s">
        <v>6215</v>
      </c>
      <c r="D380" s="4" t="s">
        <v>6195</v>
      </c>
      <c r="E380" s="4" t="s">
        <v>6205</v>
      </c>
      <c r="F380" s="4"/>
    </row>
    <row r="381" customFormat="false" ht="15" hidden="false" customHeight="true" outlineLevel="0" collapsed="false">
      <c r="A381" s="4" t="s">
        <v>557</v>
      </c>
      <c r="B381" s="13" t="n">
        <v>44964</v>
      </c>
      <c r="C381" s="4" t="s">
        <v>6209</v>
      </c>
      <c r="D381" s="4" t="s">
        <v>6207</v>
      </c>
      <c r="E381" s="4" t="s">
        <v>6199</v>
      </c>
      <c r="F381" s="4"/>
    </row>
    <row r="382" customFormat="false" ht="15" hidden="false" customHeight="true" outlineLevel="0" collapsed="false">
      <c r="A382" s="4" t="s">
        <v>558</v>
      </c>
      <c r="B382" s="13" t="n">
        <v>45137</v>
      </c>
      <c r="C382" s="4" t="s">
        <v>6209</v>
      </c>
      <c r="D382" s="4" t="s">
        <v>6203</v>
      </c>
      <c r="E382" s="4" t="s">
        <v>6207</v>
      </c>
      <c r="F382" s="4" t="s">
        <v>6212</v>
      </c>
    </row>
    <row r="383" customFormat="false" ht="15" hidden="false" customHeight="true" outlineLevel="0" collapsed="false">
      <c r="A383" s="4" t="s">
        <v>559</v>
      </c>
      <c r="B383" s="13" t="n">
        <v>45200</v>
      </c>
      <c r="C383" s="4" t="s">
        <v>6198</v>
      </c>
      <c r="D383" s="4" t="s">
        <v>6203</v>
      </c>
      <c r="E383" s="4" t="s">
        <v>6202</v>
      </c>
      <c r="F383" s="4" t="s">
        <v>6197</v>
      </c>
    </row>
    <row r="384" customFormat="false" ht="15" hidden="false" customHeight="true" outlineLevel="0" collapsed="false">
      <c r="A384" s="4" t="s">
        <v>560</v>
      </c>
      <c r="B384" s="13" t="n">
        <v>45336</v>
      </c>
      <c r="C384" s="4" t="s">
        <v>6210</v>
      </c>
      <c r="D384" s="4" t="s">
        <v>6195</v>
      </c>
      <c r="E384" s="4" t="s">
        <v>6205</v>
      </c>
      <c r="F384" s="4" t="s">
        <v>6212</v>
      </c>
    </row>
    <row r="385" customFormat="false" ht="15" hidden="false" customHeight="true" outlineLevel="0" collapsed="false">
      <c r="A385" s="4" t="s">
        <v>561</v>
      </c>
      <c r="B385" s="13" t="n">
        <v>45538</v>
      </c>
      <c r="C385" s="4" t="s">
        <v>6194</v>
      </c>
      <c r="D385" s="4" t="s">
        <v>6199</v>
      </c>
      <c r="E385" s="4" t="s">
        <v>6211</v>
      </c>
      <c r="F385" s="4"/>
    </row>
    <row r="386" customFormat="false" ht="15" hidden="false" customHeight="true" outlineLevel="0" collapsed="false">
      <c r="A386" s="4" t="s">
        <v>562</v>
      </c>
      <c r="B386" s="13" t="n">
        <v>45241</v>
      </c>
      <c r="C386" s="4" t="s">
        <v>6201</v>
      </c>
      <c r="D386" s="4" t="s">
        <v>6207</v>
      </c>
      <c r="E386" s="4" t="s">
        <v>6206</v>
      </c>
      <c r="F386" s="4" t="s">
        <v>6200</v>
      </c>
    </row>
    <row r="387" customFormat="false" ht="15" hidden="false" customHeight="true" outlineLevel="0" collapsed="false">
      <c r="A387" s="4" t="s">
        <v>563</v>
      </c>
      <c r="B387" s="13" t="n">
        <v>45245</v>
      </c>
      <c r="C387" s="4" t="s">
        <v>6201</v>
      </c>
      <c r="D387" s="4" t="s">
        <v>6211</v>
      </c>
      <c r="E387" s="4" t="s">
        <v>6199</v>
      </c>
      <c r="F387" s="4"/>
    </row>
    <row r="388" customFormat="false" ht="15" hidden="false" customHeight="true" outlineLevel="0" collapsed="false">
      <c r="A388" s="4" t="s">
        <v>564</v>
      </c>
      <c r="B388" s="13" t="n">
        <v>45474</v>
      </c>
      <c r="C388" s="4" t="s">
        <v>6209</v>
      </c>
      <c r="D388" s="4" t="s">
        <v>6205</v>
      </c>
      <c r="E388" s="4" t="s">
        <v>6195</v>
      </c>
      <c r="F388" s="4" t="s">
        <v>6200</v>
      </c>
    </row>
    <row r="389" customFormat="false" ht="15" hidden="false" customHeight="true" outlineLevel="0" collapsed="false">
      <c r="A389" s="4" t="s">
        <v>565</v>
      </c>
      <c r="B389" s="13" t="n">
        <v>45169</v>
      </c>
      <c r="C389" s="4" t="s">
        <v>6213</v>
      </c>
      <c r="D389" s="4" t="s">
        <v>6208</v>
      </c>
      <c r="E389" s="4" t="s">
        <v>6208</v>
      </c>
      <c r="F389" s="4" t="s">
        <v>6197</v>
      </c>
    </row>
    <row r="390" customFormat="false" ht="15" hidden="false" customHeight="true" outlineLevel="0" collapsed="false">
      <c r="A390" s="4" t="s">
        <v>566</v>
      </c>
      <c r="B390" s="13" t="n">
        <v>45298</v>
      </c>
      <c r="C390" s="4" t="s">
        <v>6209</v>
      </c>
      <c r="D390" s="4" t="s">
        <v>6195</v>
      </c>
      <c r="E390" s="4" t="s">
        <v>6211</v>
      </c>
      <c r="F390" s="4"/>
    </row>
    <row r="391" customFormat="false" ht="15" hidden="false" customHeight="true" outlineLevel="0" collapsed="false">
      <c r="A391" s="4" t="s">
        <v>567</v>
      </c>
      <c r="B391" s="13" t="n">
        <v>45629</v>
      </c>
      <c r="C391" s="4" t="s">
        <v>6213</v>
      </c>
      <c r="D391" s="4" t="s">
        <v>6208</v>
      </c>
      <c r="E391" s="4" t="s">
        <v>6203</v>
      </c>
      <c r="F391" s="4" t="s">
        <v>6216</v>
      </c>
    </row>
    <row r="392" customFormat="false" ht="15" hidden="false" customHeight="true" outlineLevel="0" collapsed="false">
      <c r="A392" s="4" t="s">
        <v>568</v>
      </c>
      <c r="B392" s="13" t="n">
        <v>45129</v>
      </c>
      <c r="C392" s="4" t="s">
        <v>6213</v>
      </c>
      <c r="D392" s="4" t="s">
        <v>6208</v>
      </c>
      <c r="E392" s="4" t="s">
        <v>6205</v>
      </c>
      <c r="F392" s="4" t="s">
        <v>6197</v>
      </c>
    </row>
    <row r="393" customFormat="false" ht="15" hidden="false" customHeight="true" outlineLevel="0" collapsed="false">
      <c r="A393" s="4" t="s">
        <v>569</v>
      </c>
      <c r="B393" s="13" t="n">
        <v>45413</v>
      </c>
      <c r="C393" s="4" t="s">
        <v>6213</v>
      </c>
      <c r="D393" s="4" t="s">
        <v>6203</v>
      </c>
      <c r="E393" s="4" t="s">
        <v>6208</v>
      </c>
      <c r="F393" s="4" t="s">
        <v>6204</v>
      </c>
    </row>
    <row r="394" customFormat="false" ht="15" hidden="false" customHeight="true" outlineLevel="0" collapsed="false">
      <c r="A394" s="4" t="s">
        <v>570</v>
      </c>
      <c r="B394" s="13" t="n">
        <v>44992</v>
      </c>
      <c r="C394" s="4" t="s">
        <v>6201</v>
      </c>
      <c r="D394" s="4" t="s">
        <v>6211</v>
      </c>
      <c r="E394" s="4" t="s">
        <v>6208</v>
      </c>
      <c r="F394" s="4" t="s">
        <v>6204</v>
      </c>
    </row>
    <row r="395" customFormat="false" ht="15" hidden="false" customHeight="true" outlineLevel="0" collapsed="false">
      <c r="A395" s="4" t="s">
        <v>571</v>
      </c>
      <c r="B395" s="13" t="n">
        <v>45557</v>
      </c>
      <c r="C395" s="4" t="s">
        <v>6215</v>
      </c>
      <c r="D395" s="4" t="s">
        <v>6206</v>
      </c>
      <c r="E395" s="4" t="s">
        <v>6207</v>
      </c>
      <c r="F395" s="4" t="s">
        <v>6212</v>
      </c>
    </row>
    <row r="396" customFormat="false" ht="15" hidden="false" customHeight="true" outlineLevel="0" collapsed="false">
      <c r="A396" s="4" t="s">
        <v>572</v>
      </c>
      <c r="B396" s="13" t="n">
        <v>45483</v>
      </c>
      <c r="C396" s="4" t="s">
        <v>6194</v>
      </c>
      <c r="D396" s="4" t="s">
        <v>6206</v>
      </c>
      <c r="E396" s="4" t="s">
        <v>6195</v>
      </c>
      <c r="F396" s="4" t="s">
        <v>6204</v>
      </c>
    </row>
    <row r="397" customFormat="false" ht="15" hidden="false" customHeight="true" outlineLevel="0" collapsed="false">
      <c r="A397" s="4" t="s">
        <v>573</v>
      </c>
      <c r="B397" s="13" t="n">
        <v>45246</v>
      </c>
      <c r="C397" s="4" t="s">
        <v>6201</v>
      </c>
      <c r="D397" s="4" t="s">
        <v>6207</v>
      </c>
      <c r="E397" s="4" t="s">
        <v>6195</v>
      </c>
      <c r="F397" s="4" t="s">
        <v>6212</v>
      </c>
    </row>
    <row r="398" customFormat="false" ht="15" hidden="false" customHeight="true" outlineLevel="0" collapsed="false">
      <c r="A398" s="4" t="s">
        <v>574</v>
      </c>
      <c r="B398" s="13" t="n">
        <v>45201</v>
      </c>
      <c r="C398" s="4" t="s">
        <v>6209</v>
      </c>
      <c r="D398" s="4" t="s">
        <v>6206</v>
      </c>
      <c r="E398" s="4" t="s">
        <v>6196</v>
      </c>
      <c r="F398" s="4" t="s">
        <v>6214</v>
      </c>
    </row>
    <row r="399" customFormat="false" ht="15" hidden="false" customHeight="true" outlineLevel="0" collapsed="false">
      <c r="A399" s="4" t="s">
        <v>575</v>
      </c>
      <c r="B399" s="13" t="n">
        <v>45375</v>
      </c>
      <c r="C399" s="4" t="s">
        <v>6215</v>
      </c>
      <c r="D399" s="4" t="s">
        <v>6206</v>
      </c>
      <c r="E399" s="4" t="s">
        <v>6202</v>
      </c>
      <c r="F399" s="4" t="s">
        <v>6214</v>
      </c>
    </row>
    <row r="400" customFormat="false" ht="15" hidden="false" customHeight="true" outlineLevel="0" collapsed="false">
      <c r="A400" s="4" t="s">
        <v>576</v>
      </c>
      <c r="B400" s="13" t="n">
        <v>45486</v>
      </c>
      <c r="C400" s="4" t="s">
        <v>6209</v>
      </c>
      <c r="D400" s="4" t="s">
        <v>6208</v>
      </c>
      <c r="E400" s="4" t="s">
        <v>6206</v>
      </c>
      <c r="F400" s="4"/>
    </row>
    <row r="401" customFormat="false" ht="15" hidden="false" customHeight="true" outlineLevel="0" collapsed="false">
      <c r="A401" s="4" t="s">
        <v>577</v>
      </c>
      <c r="B401" s="13" t="n">
        <v>45226</v>
      </c>
      <c r="C401" s="4" t="s">
        <v>6194</v>
      </c>
      <c r="D401" s="4" t="s">
        <v>6211</v>
      </c>
      <c r="E401" s="4" t="s">
        <v>6203</v>
      </c>
      <c r="F401" s="4" t="s">
        <v>6216</v>
      </c>
    </row>
    <row r="402" customFormat="false" ht="15" hidden="false" customHeight="true" outlineLevel="0" collapsed="false">
      <c r="A402" s="4" t="s">
        <v>578</v>
      </c>
      <c r="B402" s="13" t="n">
        <v>45357</v>
      </c>
      <c r="C402" s="4" t="s">
        <v>6209</v>
      </c>
      <c r="D402" s="4" t="s">
        <v>6206</v>
      </c>
      <c r="E402" s="4" t="s">
        <v>6202</v>
      </c>
      <c r="F402" s="4" t="s">
        <v>6214</v>
      </c>
    </row>
    <row r="403" customFormat="false" ht="15" hidden="false" customHeight="true" outlineLevel="0" collapsed="false">
      <c r="A403" s="4" t="s">
        <v>579</v>
      </c>
      <c r="B403" s="13" t="n">
        <v>45010</v>
      </c>
      <c r="C403" s="4" t="s">
        <v>6201</v>
      </c>
      <c r="D403" s="4" t="s">
        <v>6208</v>
      </c>
      <c r="E403" s="4" t="s">
        <v>6202</v>
      </c>
      <c r="F403" s="4"/>
    </row>
    <row r="404" customFormat="false" ht="15" hidden="false" customHeight="true" outlineLevel="0" collapsed="false">
      <c r="A404" s="4" t="s">
        <v>580</v>
      </c>
      <c r="B404" s="13" t="n">
        <v>44978</v>
      </c>
      <c r="C404" s="4" t="s">
        <v>6213</v>
      </c>
      <c r="D404" s="4" t="s">
        <v>6203</v>
      </c>
      <c r="E404" s="4" t="s">
        <v>6195</v>
      </c>
      <c r="F404" s="4" t="s">
        <v>6204</v>
      </c>
    </row>
    <row r="405" customFormat="false" ht="15" hidden="false" customHeight="true" outlineLevel="0" collapsed="false">
      <c r="A405" s="4" t="s">
        <v>581</v>
      </c>
      <c r="B405" s="13" t="n">
        <v>45467</v>
      </c>
      <c r="C405" s="4" t="s">
        <v>6198</v>
      </c>
      <c r="D405" s="4" t="s">
        <v>6195</v>
      </c>
      <c r="E405" s="4" t="s">
        <v>6199</v>
      </c>
      <c r="F405" s="4" t="s">
        <v>6216</v>
      </c>
    </row>
    <row r="406" customFormat="false" ht="15" hidden="false" customHeight="true" outlineLevel="0" collapsed="false">
      <c r="A406" s="4" t="s">
        <v>582</v>
      </c>
      <c r="B406" s="13" t="n">
        <v>44990</v>
      </c>
      <c r="C406" s="4" t="s">
        <v>6201</v>
      </c>
      <c r="D406" s="4" t="s">
        <v>6208</v>
      </c>
      <c r="E406" s="4" t="s">
        <v>6202</v>
      </c>
      <c r="F406" s="4" t="s">
        <v>6214</v>
      </c>
    </row>
    <row r="407" customFormat="false" ht="15" hidden="false" customHeight="true" outlineLevel="0" collapsed="false">
      <c r="A407" s="4" t="s">
        <v>583</v>
      </c>
      <c r="B407" s="13" t="n">
        <v>45450</v>
      </c>
      <c r="C407" s="4" t="s">
        <v>6194</v>
      </c>
      <c r="D407" s="4" t="s">
        <v>6208</v>
      </c>
      <c r="E407" s="4" t="s">
        <v>6199</v>
      </c>
      <c r="F407" s="4" t="s">
        <v>6212</v>
      </c>
    </row>
    <row r="408" customFormat="false" ht="15" hidden="false" customHeight="true" outlineLevel="0" collapsed="false">
      <c r="A408" s="4" t="s">
        <v>584</v>
      </c>
      <c r="B408" s="13" t="n">
        <v>45077</v>
      </c>
      <c r="C408" s="4" t="s">
        <v>6209</v>
      </c>
      <c r="D408" s="4" t="s">
        <v>6195</v>
      </c>
      <c r="E408" s="4" t="s">
        <v>6206</v>
      </c>
      <c r="F408" s="4" t="s">
        <v>6200</v>
      </c>
    </row>
    <row r="409" customFormat="false" ht="15" hidden="false" customHeight="true" outlineLevel="0" collapsed="false">
      <c r="A409" s="4" t="s">
        <v>585</v>
      </c>
      <c r="B409" s="13" t="n">
        <v>45465</v>
      </c>
      <c r="C409" s="4" t="s">
        <v>6213</v>
      </c>
      <c r="D409" s="4" t="s">
        <v>6208</v>
      </c>
      <c r="E409" s="4" t="s">
        <v>6211</v>
      </c>
      <c r="F409" s="4" t="s">
        <v>6212</v>
      </c>
    </row>
    <row r="410" customFormat="false" ht="15" hidden="false" customHeight="true" outlineLevel="0" collapsed="false">
      <c r="A410" s="4" t="s">
        <v>586</v>
      </c>
      <c r="B410" s="13" t="n">
        <v>44950</v>
      </c>
      <c r="C410" s="4" t="s">
        <v>6210</v>
      </c>
      <c r="D410" s="4" t="s">
        <v>6207</v>
      </c>
      <c r="E410" s="4" t="s">
        <v>6195</v>
      </c>
      <c r="F410" s="4" t="s">
        <v>6200</v>
      </c>
    </row>
    <row r="411" customFormat="false" ht="15" hidden="false" customHeight="true" outlineLevel="0" collapsed="false">
      <c r="A411" s="4" t="s">
        <v>587</v>
      </c>
      <c r="B411" s="13" t="n">
        <v>45229</v>
      </c>
      <c r="C411" s="4" t="s">
        <v>6201</v>
      </c>
      <c r="D411" s="4" t="s">
        <v>6203</v>
      </c>
      <c r="E411" s="4" t="s">
        <v>6202</v>
      </c>
      <c r="F411" s="4"/>
    </row>
    <row r="412" customFormat="false" ht="15" hidden="false" customHeight="true" outlineLevel="0" collapsed="false">
      <c r="A412" s="4" t="s">
        <v>588</v>
      </c>
      <c r="B412" s="13" t="n">
        <v>45372</v>
      </c>
      <c r="C412" s="4" t="s">
        <v>6194</v>
      </c>
      <c r="D412" s="4" t="s">
        <v>6203</v>
      </c>
      <c r="E412" s="4" t="s">
        <v>6205</v>
      </c>
      <c r="F412" s="4" t="s">
        <v>6216</v>
      </c>
    </row>
    <row r="413" customFormat="false" ht="15" hidden="false" customHeight="true" outlineLevel="0" collapsed="false">
      <c r="A413" s="4" t="s">
        <v>589</v>
      </c>
      <c r="B413" s="13" t="n">
        <v>45136</v>
      </c>
      <c r="C413" s="4" t="s">
        <v>6215</v>
      </c>
      <c r="D413" s="4" t="s">
        <v>6195</v>
      </c>
      <c r="E413" s="4" t="s">
        <v>6203</v>
      </c>
      <c r="F413" s="4" t="s">
        <v>6204</v>
      </c>
    </row>
    <row r="414" customFormat="false" ht="15" hidden="false" customHeight="true" outlineLevel="0" collapsed="false">
      <c r="A414" s="4" t="s">
        <v>590</v>
      </c>
      <c r="B414" s="13" t="n">
        <v>44991</v>
      </c>
      <c r="C414" s="4" t="s">
        <v>6215</v>
      </c>
      <c r="D414" s="4" t="s">
        <v>6211</v>
      </c>
      <c r="E414" s="4" t="s">
        <v>6211</v>
      </c>
      <c r="F414" s="4"/>
    </row>
    <row r="415" customFormat="false" ht="15" hidden="false" customHeight="true" outlineLevel="0" collapsed="false">
      <c r="A415" s="4" t="s">
        <v>591</v>
      </c>
      <c r="B415" s="13" t="n">
        <v>45023</v>
      </c>
      <c r="C415" s="4" t="s">
        <v>6215</v>
      </c>
      <c r="D415" s="4" t="s">
        <v>6208</v>
      </c>
      <c r="E415" s="4" t="s">
        <v>6196</v>
      </c>
      <c r="F415" s="4" t="s">
        <v>6200</v>
      </c>
    </row>
    <row r="416" customFormat="false" ht="15" hidden="false" customHeight="true" outlineLevel="0" collapsed="false">
      <c r="A416" s="4" t="s">
        <v>592</v>
      </c>
      <c r="B416" s="13" t="n">
        <v>45250</v>
      </c>
      <c r="C416" s="4" t="s">
        <v>6213</v>
      </c>
      <c r="D416" s="4" t="s">
        <v>6207</v>
      </c>
      <c r="E416" s="4" t="s">
        <v>6208</v>
      </c>
      <c r="F416" s="4" t="s">
        <v>6197</v>
      </c>
    </row>
    <row r="417" customFormat="false" ht="15" hidden="false" customHeight="true" outlineLevel="0" collapsed="false">
      <c r="A417" s="4" t="s">
        <v>593</v>
      </c>
      <c r="B417" s="13" t="n">
        <v>45366</v>
      </c>
      <c r="C417" s="4" t="s">
        <v>6198</v>
      </c>
      <c r="D417" s="4" t="s">
        <v>6205</v>
      </c>
      <c r="E417" s="4" t="s">
        <v>6205</v>
      </c>
      <c r="F417" s="4" t="s">
        <v>6216</v>
      </c>
    </row>
    <row r="418" customFormat="false" ht="15" hidden="false" customHeight="true" outlineLevel="0" collapsed="false">
      <c r="A418" s="4" t="s">
        <v>594</v>
      </c>
      <c r="B418" s="13" t="n">
        <v>45659</v>
      </c>
      <c r="C418" s="4" t="s">
        <v>6215</v>
      </c>
      <c r="D418" s="4" t="s">
        <v>6208</v>
      </c>
      <c r="E418" s="4" t="s">
        <v>6195</v>
      </c>
      <c r="F418" s="4"/>
    </row>
    <row r="419" customFormat="false" ht="15" hidden="false" customHeight="true" outlineLevel="0" collapsed="false">
      <c r="A419" s="4" t="s">
        <v>595</v>
      </c>
      <c r="B419" s="13" t="n">
        <v>45577</v>
      </c>
      <c r="C419" s="4" t="s">
        <v>6201</v>
      </c>
      <c r="D419" s="4" t="s">
        <v>6203</v>
      </c>
      <c r="E419" s="4" t="s">
        <v>6207</v>
      </c>
      <c r="F419" s="4" t="s">
        <v>6212</v>
      </c>
    </row>
    <row r="420" customFormat="false" ht="15" hidden="false" customHeight="true" outlineLevel="0" collapsed="false">
      <c r="A420" s="4" t="s">
        <v>596</v>
      </c>
      <c r="B420" s="13" t="n">
        <v>45124</v>
      </c>
      <c r="C420" s="4" t="s">
        <v>6201</v>
      </c>
      <c r="D420" s="4" t="s">
        <v>6199</v>
      </c>
      <c r="E420" s="4" t="s">
        <v>6205</v>
      </c>
      <c r="F420" s="4"/>
    </row>
    <row r="421" customFormat="false" ht="15" hidden="false" customHeight="true" outlineLevel="0" collapsed="false">
      <c r="A421" s="4" t="s">
        <v>597</v>
      </c>
      <c r="B421" s="13" t="n">
        <v>45019</v>
      </c>
      <c r="C421" s="4" t="s">
        <v>6215</v>
      </c>
      <c r="D421" s="4" t="s">
        <v>6205</v>
      </c>
      <c r="E421" s="4" t="s">
        <v>6211</v>
      </c>
      <c r="F421" s="4" t="s">
        <v>6214</v>
      </c>
    </row>
    <row r="422" customFormat="false" ht="15" hidden="false" customHeight="true" outlineLevel="0" collapsed="false">
      <c r="A422" s="4" t="s">
        <v>598</v>
      </c>
      <c r="B422" s="13" t="n">
        <v>45285</v>
      </c>
      <c r="C422" s="4" t="s">
        <v>6194</v>
      </c>
      <c r="D422" s="4" t="s">
        <v>6208</v>
      </c>
      <c r="E422" s="4" t="s">
        <v>6208</v>
      </c>
      <c r="F422" s="4"/>
    </row>
    <row r="423" customFormat="false" ht="15" hidden="false" customHeight="true" outlineLevel="0" collapsed="false">
      <c r="A423" s="4" t="s">
        <v>599</v>
      </c>
      <c r="B423" s="13" t="n">
        <v>45204</v>
      </c>
      <c r="C423" s="4" t="s">
        <v>6198</v>
      </c>
      <c r="D423" s="4" t="s">
        <v>6208</v>
      </c>
      <c r="E423" s="4" t="s">
        <v>6202</v>
      </c>
      <c r="F423" s="4"/>
    </row>
    <row r="424" customFormat="false" ht="15" hidden="false" customHeight="true" outlineLevel="0" collapsed="false">
      <c r="A424" s="4" t="s">
        <v>600</v>
      </c>
      <c r="B424" s="13" t="n">
        <v>45514</v>
      </c>
      <c r="C424" s="4" t="s">
        <v>6209</v>
      </c>
      <c r="D424" s="4" t="s">
        <v>6208</v>
      </c>
      <c r="E424" s="4" t="s">
        <v>6207</v>
      </c>
      <c r="F424" s="4" t="s">
        <v>6197</v>
      </c>
    </row>
    <row r="425" customFormat="false" ht="15" hidden="false" customHeight="true" outlineLevel="0" collapsed="false">
      <c r="A425" s="4" t="s">
        <v>601</v>
      </c>
      <c r="B425" s="13" t="n">
        <v>45614</v>
      </c>
      <c r="C425" s="4" t="s">
        <v>6209</v>
      </c>
      <c r="D425" s="4" t="s">
        <v>6203</v>
      </c>
      <c r="E425" s="4" t="s">
        <v>6207</v>
      </c>
      <c r="F425" s="4"/>
    </row>
    <row r="426" customFormat="false" ht="15" hidden="false" customHeight="true" outlineLevel="0" collapsed="false">
      <c r="A426" s="4" t="s">
        <v>602</v>
      </c>
      <c r="B426" s="13" t="n">
        <v>45084</v>
      </c>
      <c r="C426" s="4" t="s">
        <v>6215</v>
      </c>
      <c r="D426" s="4" t="s">
        <v>6211</v>
      </c>
      <c r="E426" s="4" t="s">
        <v>6202</v>
      </c>
      <c r="F426" s="4" t="s">
        <v>6197</v>
      </c>
    </row>
    <row r="427" customFormat="false" ht="15" hidden="false" customHeight="true" outlineLevel="0" collapsed="false">
      <c r="A427" s="4" t="s">
        <v>603</v>
      </c>
      <c r="B427" s="13" t="n">
        <v>45567</v>
      </c>
      <c r="C427" s="4" t="s">
        <v>6194</v>
      </c>
      <c r="D427" s="4" t="s">
        <v>6196</v>
      </c>
      <c r="E427" s="4" t="s">
        <v>6199</v>
      </c>
      <c r="F427" s="4" t="s">
        <v>6216</v>
      </c>
    </row>
    <row r="428" customFormat="false" ht="15" hidden="false" customHeight="true" outlineLevel="0" collapsed="false">
      <c r="A428" s="4" t="s">
        <v>604</v>
      </c>
      <c r="B428" s="13" t="n">
        <v>45512</v>
      </c>
      <c r="C428" s="4" t="s">
        <v>6209</v>
      </c>
      <c r="D428" s="4" t="s">
        <v>6199</v>
      </c>
      <c r="E428" s="4" t="s">
        <v>6208</v>
      </c>
      <c r="F428" s="4" t="s">
        <v>6216</v>
      </c>
    </row>
    <row r="429" customFormat="false" ht="15" hidden="false" customHeight="true" outlineLevel="0" collapsed="false">
      <c r="A429" s="4" t="s">
        <v>605</v>
      </c>
      <c r="B429" s="13" t="n">
        <v>45128</v>
      </c>
      <c r="C429" s="4" t="s">
        <v>6201</v>
      </c>
      <c r="D429" s="4" t="s">
        <v>6195</v>
      </c>
      <c r="E429" s="4" t="s">
        <v>6199</v>
      </c>
      <c r="F429" s="4"/>
    </row>
    <row r="430" customFormat="false" ht="15" hidden="false" customHeight="true" outlineLevel="0" collapsed="false">
      <c r="A430" s="4" t="s">
        <v>606</v>
      </c>
      <c r="B430" s="13" t="n">
        <v>45312</v>
      </c>
      <c r="C430" s="4" t="s">
        <v>6215</v>
      </c>
      <c r="D430" s="4" t="s">
        <v>6207</v>
      </c>
      <c r="E430" s="4" t="s">
        <v>6211</v>
      </c>
      <c r="F430" s="4" t="s">
        <v>6197</v>
      </c>
    </row>
    <row r="431" customFormat="false" ht="15" hidden="false" customHeight="true" outlineLevel="0" collapsed="false">
      <c r="A431" s="4" t="s">
        <v>607</v>
      </c>
      <c r="B431" s="13" t="n">
        <v>45114</v>
      </c>
      <c r="C431" s="4" t="s">
        <v>6210</v>
      </c>
      <c r="D431" s="4" t="s">
        <v>6205</v>
      </c>
      <c r="E431" s="4" t="s">
        <v>6202</v>
      </c>
      <c r="F431" s="4"/>
    </row>
    <row r="432" customFormat="false" ht="15" hidden="false" customHeight="true" outlineLevel="0" collapsed="false">
      <c r="A432" s="4" t="s">
        <v>608</v>
      </c>
      <c r="B432" s="13" t="n">
        <v>45251</v>
      </c>
      <c r="C432" s="4" t="s">
        <v>6215</v>
      </c>
      <c r="D432" s="4" t="s">
        <v>6196</v>
      </c>
      <c r="E432" s="4" t="s">
        <v>6211</v>
      </c>
      <c r="F432" s="4"/>
    </row>
    <row r="433" customFormat="false" ht="15" hidden="false" customHeight="true" outlineLevel="0" collapsed="false">
      <c r="A433" s="4" t="s">
        <v>609</v>
      </c>
      <c r="B433" s="13" t="n">
        <v>45362</v>
      </c>
      <c r="C433" s="4" t="s">
        <v>6213</v>
      </c>
      <c r="D433" s="4" t="s">
        <v>6196</v>
      </c>
      <c r="E433" s="4" t="s">
        <v>6211</v>
      </c>
      <c r="F433" s="4"/>
    </row>
    <row r="434" customFormat="false" ht="15" hidden="false" customHeight="true" outlineLevel="0" collapsed="false">
      <c r="A434" s="4" t="s">
        <v>610</v>
      </c>
      <c r="B434" s="13" t="n">
        <v>45080</v>
      </c>
      <c r="C434" s="4" t="s">
        <v>6210</v>
      </c>
      <c r="D434" s="4" t="s">
        <v>6202</v>
      </c>
      <c r="E434" s="4" t="s">
        <v>6196</v>
      </c>
      <c r="F434" s="4"/>
    </row>
    <row r="435" customFormat="false" ht="15" hidden="false" customHeight="true" outlineLevel="0" collapsed="false">
      <c r="A435" s="4" t="s">
        <v>611</v>
      </c>
      <c r="B435" s="13" t="n">
        <v>45377</v>
      </c>
      <c r="C435" s="4" t="s">
        <v>6201</v>
      </c>
      <c r="D435" s="4" t="s">
        <v>6195</v>
      </c>
      <c r="E435" s="4" t="s">
        <v>6195</v>
      </c>
      <c r="F435" s="4" t="s">
        <v>6197</v>
      </c>
    </row>
    <row r="436" customFormat="false" ht="15" hidden="false" customHeight="true" outlineLevel="0" collapsed="false">
      <c r="A436" s="4" t="s">
        <v>612</v>
      </c>
      <c r="B436" s="13" t="n">
        <v>45134</v>
      </c>
      <c r="C436" s="4" t="s">
        <v>6209</v>
      </c>
      <c r="D436" s="4" t="s">
        <v>6207</v>
      </c>
      <c r="E436" s="4" t="s">
        <v>6203</v>
      </c>
      <c r="F436" s="4" t="s">
        <v>6212</v>
      </c>
    </row>
    <row r="437" customFormat="false" ht="15" hidden="false" customHeight="true" outlineLevel="0" collapsed="false">
      <c r="A437" s="4" t="s">
        <v>613</v>
      </c>
      <c r="B437" s="13" t="n">
        <v>45139</v>
      </c>
      <c r="C437" s="4" t="s">
        <v>6210</v>
      </c>
      <c r="D437" s="4" t="s">
        <v>6208</v>
      </c>
      <c r="E437" s="4" t="s">
        <v>6195</v>
      </c>
      <c r="F437" s="4" t="s">
        <v>6214</v>
      </c>
    </row>
    <row r="438" customFormat="false" ht="15" hidden="false" customHeight="true" outlineLevel="0" collapsed="false">
      <c r="A438" s="4" t="s">
        <v>614</v>
      </c>
      <c r="B438" s="13" t="n">
        <v>45647</v>
      </c>
      <c r="C438" s="4" t="s">
        <v>6194</v>
      </c>
      <c r="D438" s="4" t="s">
        <v>6205</v>
      </c>
      <c r="E438" s="4" t="s">
        <v>6203</v>
      </c>
      <c r="F438" s="4" t="s">
        <v>6214</v>
      </c>
    </row>
    <row r="439" customFormat="false" ht="15" hidden="false" customHeight="true" outlineLevel="0" collapsed="false">
      <c r="A439" s="4" t="s">
        <v>615</v>
      </c>
      <c r="B439" s="13" t="n">
        <v>45558</v>
      </c>
      <c r="C439" s="4" t="s">
        <v>6194</v>
      </c>
      <c r="D439" s="4" t="s">
        <v>6208</v>
      </c>
      <c r="E439" s="4" t="s">
        <v>6205</v>
      </c>
      <c r="F439" s="4"/>
    </row>
    <row r="440" customFormat="false" ht="15" hidden="false" customHeight="true" outlineLevel="0" collapsed="false">
      <c r="A440" s="4" t="s">
        <v>616</v>
      </c>
      <c r="B440" s="13" t="n">
        <v>45260</v>
      </c>
      <c r="C440" s="4" t="s">
        <v>6215</v>
      </c>
      <c r="D440" s="4" t="s">
        <v>6205</v>
      </c>
      <c r="E440" s="4" t="s">
        <v>6199</v>
      </c>
      <c r="F440" s="4"/>
    </row>
    <row r="441" customFormat="false" ht="15" hidden="false" customHeight="true" outlineLevel="0" collapsed="false">
      <c r="A441" s="4" t="s">
        <v>617</v>
      </c>
      <c r="B441" s="13" t="n">
        <v>45421</v>
      </c>
      <c r="C441" s="4" t="s">
        <v>6194</v>
      </c>
      <c r="D441" s="4" t="s">
        <v>6208</v>
      </c>
      <c r="E441" s="4" t="s">
        <v>6202</v>
      </c>
      <c r="F441" s="4"/>
    </row>
    <row r="442" customFormat="false" ht="15" hidden="false" customHeight="true" outlineLevel="0" collapsed="false">
      <c r="A442" s="4" t="s">
        <v>618</v>
      </c>
      <c r="B442" s="13" t="n">
        <v>45237</v>
      </c>
      <c r="C442" s="4" t="s">
        <v>6209</v>
      </c>
      <c r="D442" s="4" t="s">
        <v>6211</v>
      </c>
      <c r="E442" s="4" t="s">
        <v>6205</v>
      </c>
      <c r="F442" s="4" t="s">
        <v>6204</v>
      </c>
    </row>
    <row r="443" customFormat="false" ht="15" hidden="false" customHeight="true" outlineLevel="0" collapsed="false">
      <c r="A443" s="4" t="s">
        <v>619</v>
      </c>
      <c r="B443" s="13" t="n">
        <v>45384</v>
      </c>
      <c r="C443" s="4" t="s">
        <v>6198</v>
      </c>
      <c r="D443" s="4" t="s">
        <v>6211</v>
      </c>
      <c r="E443" s="4" t="s">
        <v>6195</v>
      </c>
      <c r="F443" s="4" t="s">
        <v>6216</v>
      </c>
    </row>
    <row r="444" customFormat="false" ht="15" hidden="false" customHeight="true" outlineLevel="0" collapsed="false">
      <c r="A444" s="4" t="s">
        <v>620</v>
      </c>
      <c r="B444" s="13" t="n">
        <v>45065</v>
      </c>
      <c r="C444" s="4" t="s">
        <v>6213</v>
      </c>
      <c r="D444" s="4" t="s">
        <v>6206</v>
      </c>
      <c r="E444" s="4" t="s">
        <v>6208</v>
      </c>
      <c r="F444" s="4" t="s">
        <v>6216</v>
      </c>
    </row>
    <row r="445" customFormat="false" ht="15" hidden="false" customHeight="true" outlineLevel="0" collapsed="false">
      <c r="A445" s="4" t="s">
        <v>621</v>
      </c>
      <c r="B445" s="13" t="n">
        <v>45454</v>
      </c>
      <c r="C445" s="4" t="s">
        <v>6210</v>
      </c>
      <c r="D445" s="4" t="s">
        <v>6205</v>
      </c>
      <c r="E445" s="4" t="s">
        <v>6206</v>
      </c>
      <c r="F445" s="4" t="s">
        <v>6212</v>
      </c>
    </row>
    <row r="446" customFormat="false" ht="15" hidden="false" customHeight="true" outlineLevel="0" collapsed="false">
      <c r="A446" s="4" t="s">
        <v>622</v>
      </c>
      <c r="B446" s="13" t="n">
        <v>45491</v>
      </c>
      <c r="C446" s="4" t="s">
        <v>6198</v>
      </c>
      <c r="D446" s="4" t="s">
        <v>6206</v>
      </c>
      <c r="E446" s="4" t="s">
        <v>6196</v>
      </c>
      <c r="F446" s="4" t="s">
        <v>6216</v>
      </c>
    </row>
    <row r="447" customFormat="false" ht="15" hidden="false" customHeight="true" outlineLevel="0" collapsed="false">
      <c r="A447" s="4" t="s">
        <v>623</v>
      </c>
      <c r="B447" s="13" t="n">
        <v>45153</v>
      </c>
      <c r="C447" s="4" t="s">
        <v>6201</v>
      </c>
      <c r="D447" s="4" t="s">
        <v>6195</v>
      </c>
      <c r="E447" s="4" t="s">
        <v>6211</v>
      </c>
      <c r="F447" s="4" t="s">
        <v>6197</v>
      </c>
    </row>
    <row r="448" customFormat="false" ht="15" hidden="false" customHeight="true" outlineLevel="0" collapsed="false">
      <c r="A448" s="4" t="s">
        <v>624</v>
      </c>
      <c r="B448" s="13" t="n">
        <v>45475</v>
      </c>
      <c r="C448" s="4" t="s">
        <v>6194</v>
      </c>
      <c r="D448" s="4" t="s">
        <v>6199</v>
      </c>
      <c r="E448" s="4" t="s">
        <v>6206</v>
      </c>
      <c r="F448" s="4"/>
    </row>
    <row r="449" customFormat="false" ht="15" hidden="false" customHeight="true" outlineLevel="0" collapsed="false">
      <c r="A449" s="4" t="s">
        <v>625</v>
      </c>
      <c r="B449" s="13" t="n">
        <v>45071</v>
      </c>
      <c r="C449" s="4" t="s">
        <v>6210</v>
      </c>
      <c r="D449" s="4" t="s">
        <v>6202</v>
      </c>
      <c r="E449" s="4" t="s">
        <v>6206</v>
      </c>
      <c r="F449" s="4" t="s">
        <v>6200</v>
      </c>
    </row>
    <row r="450" customFormat="false" ht="15" hidden="false" customHeight="true" outlineLevel="0" collapsed="false">
      <c r="A450" s="4" t="s">
        <v>626</v>
      </c>
      <c r="B450" s="13" t="n">
        <v>45168</v>
      </c>
      <c r="C450" s="4" t="s">
        <v>6209</v>
      </c>
      <c r="D450" s="4" t="s">
        <v>6211</v>
      </c>
      <c r="E450" s="4" t="s">
        <v>6207</v>
      </c>
      <c r="F450" s="4" t="s">
        <v>6216</v>
      </c>
    </row>
    <row r="451" customFormat="false" ht="15" hidden="false" customHeight="true" outlineLevel="0" collapsed="false">
      <c r="A451" s="4" t="s">
        <v>627</v>
      </c>
      <c r="B451" s="13" t="n">
        <v>45010</v>
      </c>
      <c r="C451" s="4" t="s">
        <v>6201</v>
      </c>
      <c r="D451" s="4" t="s">
        <v>6208</v>
      </c>
      <c r="E451" s="4" t="s">
        <v>6211</v>
      </c>
      <c r="F451" s="4" t="s">
        <v>6200</v>
      </c>
    </row>
    <row r="452" customFormat="false" ht="15" hidden="false" customHeight="true" outlineLevel="0" collapsed="false">
      <c r="A452" s="4" t="s">
        <v>628</v>
      </c>
      <c r="B452" s="13" t="n">
        <v>45201</v>
      </c>
      <c r="C452" s="4" t="s">
        <v>6194</v>
      </c>
      <c r="D452" s="4" t="s">
        <v>6206</v>
      </c>
      <c r="E452" s="4" t="s">
        <v>6205</v>
      </c>
      <c r="F452" s="4" t="s">
        <v>6214</v>
      </c>
    </row>
    <row r="453" customFormat="false" ht="15" hidden="false" customHeight="true" outlineLevel="0" collapsed="false">
      <c r="A453" s="4" t="s">
        <v>629</v>
      </c>
      <c r="B453" s="13" t="n">
        <v>45599</v>
      </c>
      <c r="C453" s="4" t="s">
        <v>6210</v>
      </c>
      <c r="D453" s="4" t="s">
        <v>6206</v>
      </c>
      <c r="E453" s="4" t="s">
        <v>6203</v>
      </c>
      <c r="F453" s="4"/>
    </row>
    <row r="454" customFormat="false" ht="15" hidden="false" customHeight="true" outlineLevel="0" collapsed="false">
      <c r="A454" s="4" t="s">
        <v>630</v>
      </c>
      <c r="B454" s="13" t="n">
        <v>45002</v>
      </c>
      <c r="C454" s="4" t="s">
        <v>6198</v>
      </c>
      <c r="D454" s="4" t="s">
        <v>6196</v>
      </c>
      <c r="E454" s="4" t="s">
        <v>6203</v>
      </c>
      <c r="F454" s="4" t="s">
        <v>6216</v>
      </c>
    </row>
    <row r="455" customFormat="false" ht="15" hidden="false" customHeight="true" outlineLevel="0" collapsed="false">
      <c r="A455" s="4" t="s">
        <v>631</v>
      </c>
      <c r="B455" s="13" t="n">
        <v>45596</v>
      </c>
      <c r="C455" s="4" t="s">
        <v>6209</v>
      </c>
      <c r="D455" s="4" t="s">
        <v>6196</v>
      </c>
      <c r="E455" s="4" t="s">
        <v>6203</v>
      </c>
      <c r="F455" s="4"/>
    </row>
    <row r="456" customFormat="false" ht="15" hidden="false" customHeight="true" outlineLevel="0" collapsed="false">
      <c r="A456" s="4" t="s">
        <v>632</v>
      </c>
      <c r="B456" s="13" t="n">
        <v>45031</v>
      </c>
      <c r="C456" s="4" t="s">
        <v>6215</v>
      </c>
      <c r="D456" s="4" t="s">
        <v>6206</v>
      </c>
      <c r="E456" s="4" t="s">
        <v>6202</v>
      </c>
      <c r="F456" s="4" t="s">
        <v>6214</v>
      </c>
    </row>
    <row r="457" customFormat="false" ht="15" hidden="false" customHeight="true" outlineLevel="0" collapsed="false">
      <c r="A457" s="4" t="s">
        <v>633</v>
      </c>
      <c r="B457" s="13" t="n">
        <v>44998</v>
      </c>
      <c r="C457" s="4" t="s">
        <v>6215</v>
      </c>
      <c r="D457" s="4" t="s">
        <v>6205</v>
      </c>
      <c r="E457" s="4" t="s">
        <v>6199</v>
      </c>
      <c r="F457" s="4" t="s">
        <v>6197</v>
      </c>
    </row>
    <row r="458" customFormat="false" ht="15" hidden="false" customHeight="true" outlineLevel="0" collapsed="false">
      <c r="A458" s="4" t="s">
        <v>634</v>
      </c>
      <c r="B458" s="13" t="n">
        <v>45071</v>
      </c>
      <c r="C458" s="4" t="s">
        <v>6210</v>
      </c>
      <c r="D458" s="4" t="s">
        <v>6208</v>
      </c>
      <c r="E458" s="4" t="s">
        <v>6206</v>
      </c>
      <c r="F458" s="4"/>
    </row>
    <row r="459" customFormat="false" ht="15" hidden="false" customHeight="true" outlineLevel="0" collapsed="false">
      <c r="A459" s="4" t="s">
        <v>635</v>
      </c>
      <c r="B459" s="13" t="n">
        <v>45598</v>
      </c>
      <c r="C459" s="4" t="s">
        <v>6201</v>
      </c>
      <c r="D459" s="4" t="s">
        <v>6195</v>
      </c>
      <c r="E459" s="4" t="s">
        <v>6196</v>
      </c>
      <c r="F459" s="4"/>
    </row>
    <row r="460" customFormat="false" ht="15" hidden="false" customHeight="true" outlineLevel="0" collapsed="false">
      <c r="A460" s="4" t="s">
        <v>636</v>
      </c>
      <c r="B460" s="13" t="n">
        <v>45454</v>
      </c>
      <c r="C460" s="4" t="s">
        <v>6201</v>
      </c>
      <c r="D460" s="4" t="s">
        <v>6203</v>
      </c>
      <c r="E460" s="4" t="s">
        <v>6196</v>
      </c>
      <c r="F460" s="4"/>
    </row>
    <row r="461" customFormat="false" ht="15" hidden="false" customHeight="true" outlineLevel="0" collapsed="false">
      <c r="A461" s="4" t="s">
        <v>637</v>
      </c>
      <c r="B461" s="13" t="n">
        <v>45504</v>
      </c>
      <c r="C461" s="4" t="s">
        <v>6213</v>
      </c>
      <c r="D461" s="4" t="s">
        <v>6202</v>
      </c>
      <c r="E461" s="4" t="s">
        <v>6205</v>
      </c>
      <c r="F461" s="4" t="s">
        <v>6214</v>
      </c>
    </row>
    <row r="462" customFormat="false" ht="15" hidden="false" customHeight="true" outlineLevel="0" collapsed="false">
      <c r="A462" s="4" t="s">
        <v>638</v>
      </c>
      <c r="B462" s="13" t="n">
        <v>45142</v>
      </c>
      <c r="C462" s="4" t="s">
        <v>6198</v>
      </c>
      <c r="D462" s="4" t="s">
        <v>6211</v>
      </c>
      <c r="E462" s="4" t="s">
        <v>6207</v>
      </c>
      <c r="F462" s="4" t="s">
        <v>6204</v>
      </c>
    </row>
    <row r="463" customFormat="false" ht="15" hidden="false" customHeight="true" outlineLevel="0" collapsed="false">
      <c r="A463" s="4" t="s">
        <v>639</v>
      </c>
      <c r="B463" s="13" t="n">
        <v>45392</v>
      </c>
      <c r="C463" s="4" t="s">
        <v>6210</v>
      </c>
      <c r="D463" s="4" t="s">
        <v>6199</v>
      </c>
      <c r="E463" s="4" t="s">
        <v>6208</v>
      </c>
      <c r="F463" s="4"/>
    </row>
    <row r="464" customFormat="false" ht="15" hidden="false" customHeight="true" outlineLevel="0" collapsed="false">
      <c r="A464" s="4" t="s">
        <v>640</v>
      </c>
      <c r="B464" s="13" t="n">
        <v>45178</v>
      </c>
      <c r="C464" s="4" t="s">
        <v>6210</v>
      </c>
      <c r="D464" s="4" t="s">
        <v>6195</v>
      </c>
      <c r="E464" s="4" t="s">
        <v>6206</v>
      </c>
      <c r="F464" s="4" t="s">
        <v>6204</v>
      </c>
    </row>
    <row r="465" customFormat="false" ht="15" hidden="false" customHeight="true" outlineLevel="0" collapsed="false">
      <c r="A465" s="4" t="s">
        <v>641</v>
      </c>
      <c r="B465" s="13" t="n">
        <v>45180</v>
      </c>
      <c r="C465" s="4" t="s">
        <v>6209</v>
      </c>
      <c r="D465" s="4" t="s">
        <v>6196</v>
      </c>
      <c r="E465" s="4" t="s">
        <v>6202</v>
      </c>
      <c r="F465" s="4"/>
    </row>
    <row r="466" customFormat="false" ht="15" hidden="false" customHeight="true" outlineLevel="0" collapsed="false">
      <c r="A466" s="4" t="s">
        <v>642</v>
      </c>
      <c r="B466" s="13" t="n">
        <v>45254</v>
      </c>
      <c r="C466" s="4" t="s">
        <v>6209</v>
      </c>
      <c r="D466" s="4" t="s">
        <v>6205</v>
      </c>
      <c r="E466" s="4" t="s">
        <v>6208</v>
      </c>
      <c r="F466" s="4"/>
    </row>
    <row r="467" customFormat="false" ht="15" hidden="false" customHeight="true" outlineLevel="0" collapsed="false">
      <c r="A467" s="4" t="s">
        <v>643</v>
      </c>
      <c r="B467" s="13" t="n">
        <v>44959</v>
      </c>
      <c r="C467" s="4" t="s">
        <v>6194</v>
      </c>
      <c r="D467" s="4" t="s">
        <v>6207</v>
      </c>
      <c r="E467" s="4" t="s">
        <v>6207</v>
      </c>
      <c r="F467" s="4" t="s">
        <v>6216</v>
      </c>
    </row>
    <row r="468" customFormat="false" ht="15" hidden="false" customHeight="true" outlineLevel="0" collapsed="false">
      <c r="A468" s="4" t="s">
        <v>644</v>
      </c>
      <c r="B468" s="13" t="n">
        <v>45237</v>
      </c>
      <c r="C468" s="4" t="s">
        <v>6215</v>
      </c>
      <c r="D468" s="4" t="s">
        <v>6202</v>
      </c>
      <c r="E468" s="4" t="s">
        <v>6196</v>
      </c>
      <c r="F468" s="4" t="s">
        <v>6214</v>
      </c>
    </row>
    <row r="469" customFormat="false" ht="15" hidden="false" customHeight="true" outlineLevel="0" collapsed="false">
      <c r="A469" s="4" t="s">
        <v>645</v>
      </c>
      <c r="B469" s="13" t="n">
        <v>45401</v>
      </c>
      <c r="C469" s="4" t="s">
        <v>6201</v>
      </c>
      <c r="D469" s="4" t="s">
        <v>6208</v>
      </c>
      <c r="E469" s="4" t="s">
        <v>6195</v>
      </c>
      <c r="F469" s="4" t="s">
        <v>6214</v>
      </c>
    </row>
    <row r="470" customFormat="false" ht="15" hidden="false" customHeight="true" outlineLevel="0" collapsed="false">
      <c r="A470" s="4" t="s">
        <v>646</v>
      </c>
      <c r="B470" s="13" t="n">
        <v>45363</v>
      </c>
      <c r="C470" s="4" t="s">
        <v>6210</v>
      </c>
      <c r="D470" s="4" t="s">
        <v>6208</v>
      </c>
      <c r="E470" s="4" t="s">
        <v>6207</v>
      </c>
      <c r="F470" s="4" t="s">
        <v>6204</v>
      </c>
    </row>
    <row r="471" customFormat="false" ht="15" hidden="false" customHeight="true" outlineLevel="0" collapsed="false">
      <c r="A471" s="4" t="s">
        <v>647</v>
      </c>
      <c r="B471" s="13" t="n">
        <v>45104</v>
      </c>
      <c r="C471" s="4" t="s">
        <v>6194</v>
      </c>
      <c r="D471" s="4" t="s">
        <v>6211</v>
      </c>
      <c r="E471" s="4" t="s">
        <v>6206</v>
      </c>
      <c r="F471" s="4" t="s">
        <v>6200</v>
      </c>
    </row>
    <row r="472" customFormat="false" ht="15" hidden="false" customHeight="true" outlineLevel="0" collapsed="false">
      <c r="A472" s="4" t="s">
        <v>648</v>
      </c>
      <c r="B472" s="13" t="n">
        <v>45084</v>
      </c>
      <c r="C472" s="4" t="s">
        <v>6215</v>
      </c>
      <c r="D472" s="4" t="s">
        <v>6195</v>
      </c>
      <c r="E472" s="4" t="s">
        <v>6196</v>
      </c>
      <c r="F472" s="4"/>
    </row>
    <row r="473" customFormat="false" ht="15" hidden="false" customHeight="true" outlineLevel="0" collapsed="false">
      <c r="A473" s="4" t="s">
        <v>649</v>
      </c>
      <c r="B473" s="13" t="n">
        <v>44999</v>
      </c>
      <c r="C473" s="4" t="s">
        <v>6198</v>
      </c>
      <c r="D473" s="4" t="s">
        <v>6202</v>
      </c>
      <c r="E473" s="4" t="s">
        <v>6196</v>
      </c>
      <c r="F473" s="4" t="s">
        <v>6204</v>
      </c>
    </row>
    <row r="474" customFormat="false" ht="15" hidden="false" customHeight="true" outlineLevel="0" collapsed="false">
      <c r="A474" s="4" t="s">
        <v>650</v>
      </c>
      <c r="B474" s="13" t="n">
        <v>45483</v>
      </c>
      <c r="C474" s="4" t="s">
        <v>6215</v>
      </c>
      <c r="D474" s="4" t="s">
        <v>6203</v>
      </c>
      <c r="E474" s="4" t="s">
        <v>6207</v>
      </c>
      <c r="F474" s="4" t="s">
        <v>6204</v>
      </c>
    </row>
    <row r="475" customFormat="false" ht="15" hidden="false" customHeight="true" outlineLevel="0" collapsed="false">
      <c r="A475" s="4" t="s">
        <v>651</v>
      </c>
      <c r="B475" s="13" t="n">
        <v>45631</v>
      </c>
      <c r="C475" s="4" t="s">
        <v>6194</v>
      </c>
      <c r="D475" s="4" t="s">
        <v>6206</v>
      </c>
      <c r="E475" s="4" t="s">
        <v>6206</v>
      </c>
      <c r="F475" s="4" t="s">
        <v>6212</v>
      </c>
    </row>
    <row r="476" customFormat="false" ht="15" hidden="false" customHeight="true" outlineLevel="0" collapsed="false">
      <c r="A476" s="4" t="s">
        <v>652</v>
      </c>
      <c r="B476" s="13" t="n">
        <v>45147</v>
      </c>
      <c r="C476" s="4" t="s">
        <v>6194</v>
      </c>
      <c r="D476" s="4" t="s">
        <v>6211</v>
      </c>
      <c r="E476" s="4" t="s">
        <v>6196</v>
      </c>
      <c r="F476" s="4" t="s">
        <v>6214</v>
      </c>
    </row>
    <row r="477" customFormat="false" ht="15" hidden="false" customHeight="true" outlineLevel="0" collapsed="false">
      <c r="A477" s="4" t="s">
        <v>653</v>
      </c>
      <c r="B477" s="13" t="n">
        <v>45542</v>
      </c>
      <c r="C477" s="4" t="s">
        <v>6194</v>
      </c>
      <c r="D477" s="4" t="s">
        <v>6203</v>
      </c>
      <c r="E477" s="4" t="s">
        <v>6205</v>
      </c>
      <c r="F477" s="4" t="s">
        <v>6216</v>
      </c>
    </row>
    <row r="478" customFormat="false" ht="15" hidden="false" customHeight="true" outlineLevel="0" collapsed="false">
      <c r="A478" s="4" t="s">
        <v>654</v>
      </c>
      <c r="B478" s="13" t="n">
        <v>45138</v>
      </c>
      <c r="C478" s="4" t="s">
        <v>6198</v>
      </c>
      <c r="D478" s="4" t="s">
        <v>6206</v>
      </c>
      <c r="E478" s="4" t="s">
        <v>6202</v>
      </c>
      <c r="F478" s="4"/>
    </row>
    <row r="479" customFormat="false" ht="15" hidden="false" customHeight="true" outlineLevel="0" collapsed="false">
      <c r="A479" s="4" t="s">
        <v>655</v>
      </c>
      <c r="B479" s="13" t="n">
        <v>45613</v>
      </c>
      <c r="C479" s="4" t="s">
        <v>6198</v>
      </c>
      <c r="D479" s="4" t="s">
        <v>6211</v>
      </c>
      <c r="E479" s="4" t="s">
        <v>6211</v>
      </c>
      <c r="F479" s="4" t="s">
        <v>6197</v>
      </c>
    </row>
    <row r="480" customFormat="false" ht="15" hidden="false" customHeight="true" outlineLevel="0" collapsed="false">
      <c r="A480" s="4" t="s">
        <v>656</v>
      </c>
      <c r="B480" s="13" t="n">
        <v>45143</v>
      </c>
      <c r="C480" s="4" t="s">
        <v>6215</v>
      </c>
      <c r="D480" s="4" t="s">
        <v>6206</v>
      </c>
      <c r="E480" s="4" t="s">
        <v>6196</v>
      </c>
      <c r="F480" s="4" t="s">
        <v>6197</v>
      </c>
    </row>
    <row r="481" customFormat="false" ht="15" hidden="false" customHeight="true" outlineLevel="0" collapsed="false">
      <c r="A481" s="4" t="s">
        <v>657</v>
      </c>
      <c r="B481" s="13" t="n">
        <v>45084</v>
      </c>
      <c r="C481" s="4" t="s">
        <v>6215</v>
      </c>
      <c r="D481" s="4" t="s">
        <v>6211</v>
      </c>
      <c r="E481" s="4" t="s">
        <v>6199</v>
      </c>
      <c r="F481" s="4" t="s">
        <v>6204</v>
      </c>
    </row>
    <row r="482" customFormat="false" ht="15" hidden="false" customHeight="true" outlineLevel="0" collapsed="false">
      <c r="A482" s="4" t="s">
        <v>658</v>
      </c>
      <c r="B482" s="13" t="n">
        <v>45609</v>
      </c>
      <c r="C482" s="4" t="s">
        <v>6215</v>
      </c>
      <c r="D482" s="4" t="s">
        <v>6195</v>
      </c>
      <c r="E482" s="4" t="s">
        <v>6211</v>
      </c>
      <c r="F482" s="4"/>
    </row>
    <row r="483" customFormat="false" ht="15" hidden="false" customHeight="true" outlineLevel="0" collapsed="false">
      <c r="A483" s="4" t="s">
        <v>659</v>
      </c>
      <c r="B483" s="13" t="n">
        <v>45574</v>
      </c>
      <c r="C483" s="4" t="s">
        <v>6210</v>
      </c>
      <c r="D483" s="4" t="s">
        <v>6196</v>
      </c>
      <c r="E483" s="4" t="s">
        <v>6208</v>
      </c>
      <c r="F483" s="4"/>
    </row>
    <row r="484" customFormat="false" ht="15" hidden="false" customHeight="true" outlineLevel="0" collapsed="false">
      <c r="A484" s="4" t="s">
        <v>660</v>
      </c>
      <c r="B484" s="13" t="n">
        <v>45394</v>
      </c>
      <c r="C484" s="4" t="s">
        <v>6201</v>
      </c>
      <c r="D484" s="4" t="s">
        <v>6207</v>
      </c>
      <c r="E484" s="4" t="s">
        <v>6203</v>
      </c>
      <c r="F484" s="4" t="s">
        <v>6197</v>
      </c>
    </row>
    <row r="485" customFormat="false" ht="15" hidden="false" customHeight="true" outlineLevel="0" collapsed="false">
      <c r="A485" s="4" t="s">
        <v>661</v>
      </c>
      <c r="B485" s="13" t="n">
        <v>45278</v>
      </c>
      <c r="C485" s="4" t="s">
        <v>6209</v>
      </c>
      <c r="D485" s="4" t="s">
        <v>6195</v>
      </c>
      <c r="E485" s="4" t="s">
        <v>6203</v>
      </c>
      <c r="F485" s="4" t="s">
        <v>6197</v>
      </c>
    </row>
    <row r="486" customFormat="false" ht="15" hidden="false" customHeight="true" outlineLevel="0" collapsed="false">
      <c r="A486" s="4" t="s">
        <v>662</v>
      </c>
      <c r="B486" s="13" t="n">
        <v>45110</v>
      </c>
      <c r="C486" s="4" t="s">
        <v>6210</v>
      </c>
      <c r="D486" s="4" t="s">
        <v>6203</v>
      </c>
      <c r="E486" s="4" t="s">
        <v>6203</v>
      </c>
      <c r="F486" s="4" t="s">
        <v>6216</v>
      </c>
    </row>
    <row r="487" customFormat="false" ht="15" hidden="false" customHeight="true" outlineLevel="0" collapsed="false">
      <c r="A487" s="4" t="s">
        <v>663</v>
      </c>
      <c r="B487" s="13" t="n">
        <v>45282</v>
      </c>
      <c r="C487" s="4" t="s">
        <v>6213</v>
      </c>
      <c r="D487" s="4" t="s">
        <v>6208</v>
      </c>
      <c r="E487" s="4" t="s">
        <v>6208</v>
      </c>
      <c r="F487" s="4"/>
    </row>
    <row r="488" customFormat="false" ht="15" hidden="false" customHeight="true" outlineLevel="0" collapsed="false">
      <c r="A488" s="4" t="s">
        <v>664</v>
      </c>
      <c r="B488" s="13" t="n">
        <v>44999</v>
      </c>
      <c r="C488" s="4" t="s">
        <v>6215</v>
      </c>
      <c r="D488" s="4" t="s">
        <v>6208</v>
      </c>
      <c r="E488" s="4" t="s">
        <v>6206</v>
      </c>
      <c r="F488" s="4" t="s">
        <v>6212</v>
      </c>
    </row>
    <row r="489" customFormat="false" ht="15" hidden="false" customHeight="true" outlineLevel="0" collapsed="false">
      <c r="A489" s="4" t="s">
        <v>665</v>
      </c>
      <c r="B489" s="13" t="n">
        <v>45268</v>
      </c>
      <c r="C489" s="4" t="s">
        <v>6215</v>
      </c>
      <c r="D489" s="4" t="s">
        <v>6208</v>
      </c>
      <c r="E489" s="4" t="s">
        <v>6205</v>
      </c>
      <c r="F489" s="4"/>
    </row>
    <row r="490" customFormat="false" ht="15" hidden="false" customHeight="true" outlineLevel="0" collapsed="false">
      <c r="A490" s="4" t="s">
        <v>666</v>
      </c>
      <c r="B490" s="13" t="n">
        <v>45422</v>
      </c>
      <c r="C490" s="4" t="s">
        <v>6209</v>
      </c>
      <c r="D490" s="4" t="s">
        <v>6199</v>
      </c>
      <c r="E490" s="4" t="s">
        <v>6199</v>
      </c>
      <c r="F490" s="4" t="s">
        <v>6204</v>
      </c>
    </row>
    <row r="491" customFormat="false" ht="15" hidden="false" customHeight="true" outlineLevel="0" collapsed="false">
      <c r="A491" s="4" t="s">
        <v>667</v>
      </c>
      <c r="B491" s="13" t="n">
        <v>45470</v>
      </c>
      <c r="C491" s="4" t="s">
        <v>6210</v>
      </c>
      <c r="D491" s="4" t="s">
        <v>6205</v>
      </c>
      <c r="E491" s="4" t="s">
        <v>6205</v>
      </c>
      <c r="F491" s="4" t="s">
        <v>6200</v>
      </c>
    </row>
    <row r="492" customFormat="false" ht="15" hidden="false" customHeight="true" outlineLevel="0" collapsed="false">
      <c r="A492" s="4" t="s">
        <v>668</v>
      </c>
      <c r="B492" s="13" t="n">
        <v>45425</v>
      </c>
      <c r="C492" s="4" t="s">
        <v>6210</v>
      </c>
      <c r="D492" s="4" t="s">
        <v>6199</v>
      </c>
      <c r="E492" s="4" t="s">
        <v>6207</v>
      </c>
      <c r="F492" s="4" t="s">
        <v>6204</v>
      </c>
    </row>
    <row r="493" customFormat="false" ht="15" hidden="false" customHeight="true" outlineLevel="0" collapsed="false">
      <c r="A493" s="4" t="s">
        <v>669</v>
      </c>
      <c r="B493" s="13" t="n">
        <v>44981</v>
      </c>
      <c r="C493" s="4" t="s">
        <v>6209</v>
      </c>
      <c r="D493" s="4" t="s">
        <v>6202</v>
      </c>
      <c r="E493" s="4" t="s">
        <v>6202</v>
      </c>
      <c r="F493" s="4"/>
    </row>
    <row r="494" customFormat="false" ht="15" hidden="false" customHeight="true" outlineLevel="0" collapsed="false">
      <c r="A494" s="4" t="s">
        <v>670</v>
      </c>
      <c r="B494" s="13" t="n">
        <v>45391</v>
      </c>
      <c r="C494" s="4" t="s">
        <v>6213</v>
      </c>
      <c r="D494" s="4" t="s">
        <v>6195</v>
      </c>
      <c r="E494" s="4" t="s">
        <v>6206</v>
      </c>
      <c r="F494" s="4" t="s">
        <v>6200</v>
      </c>
    </row>
    <row r="495" customFormat="false" ht="15" hidden="false" customHeight="true" outlineLevel="0" collapsed="false">
      <c r="A495" s="4" t="s">
        <v>671</v>
      </c>
      <c r="B495" s="13" t="n">
        <v>45331</v>
      </c>
      <c r="C495" s="4" t="s">
        <v>6215</v>
      </c>
      <c r="D495" s="4" t="s">
        <v>6211</v>
      </c>
      <c r="E495" s="4" t="s">
        <v>6206</v>
      </c>
      <c r="F495" s="4" t="s">
        <v>6214</v>
      </c>
    </row>
    <row r="496" customFormat="false" ht="15" hidden="false" customHeight="true" outlineLevel="0" collapsed="false">
      <c r="A496" s="4" t="s">
        <v>672</v>
      </c>
      <c r="B496" s="13" t="n">
        <v>45253</v>
      </c>
      <c r="C496" s="4" t="s">
        <v>6201</v>
      </c>
      <c r="D496" s="4" t="s">
        <v>6206</v>
      </c>
      <c r="E496" s="4" t="s">
        <v>6211</v>
      </c>
      <c r="F496" s="4" t="s">
        <v>6214</v>
      </c>
    </row>
    <row r="497" customFormat="false" ht="15" hidden="false" customHeight="true" outlineLevel="0" collapsed="false">
      <c r="A497" s="4" t="s">
        <v>673</v>
      </c>
      <c r="B497" s="13" t="n">
        <v>45051</v>
      </c>
      <c r="C497" s="4" t="s">
        <v>6198</v>
      </c>
      <c r="D497" s="4" t="s">
        <v>6206</v>
      </c>
      <c r="E497" s="4" t="s">
        <v>6211</v>
      </c>
      <c r="F497" s="4"/>
    </row>
    <row r="498" customFormat="false" ht="15" hidden="false" customHeight="true" outlineLevel="0" collapsed="false">
      <c r="A498" s="4" t="s">
        <v>674</v>
      </c>
      <c r="B498" s="13" t="n">
        <v>45645</v>
      </c>
      <c r="C498" s="4" t="s">
        <v>6198</v>
      </c>
      <c r="D498" s="4" t="s">
        <v>6207</v>
      </c>
      <c r="E498" s="4" t="s">
        <v>6195</v>
      </c>
      <c r="F498" s="4"/>
    </row>
    <row r="499" customFormat="false" ht="15" hidden="false" customHeight="true" outlineLevel="0" collapsed="false">
      <c r="A499" s="4" t="s">
        <v>675</v>
      </c>
      <c r="B499" s="13" t="n">
        <v>45213</v>
      </c>
      <c r="C499" s="4" t="s">
        <v>6198</v>
      </c>
      <c r="D499" s="4" t="s">
        <v>6199</v>
      </c>
      <c r="E499" s="4" t="s">
        <v>6195</v>
      </c>
      <c r="F499" s="4" t="s">
        <v>6200</v>
      </c>
    </row>
    <row r="500" customFormat="false" ht="15" hidden="false" customHeight="true" outlineLevel="0" collapsed="false">
      <c r="A500" s="4" t="s">
        <v>676</v>
      </c>
      <c r="B500" s="13" t="n">
        <v>45469</v>
      </c>
      <c r="C500" s="4" t="s">
        <v>6194</v>
      </c>
      <c r="D500" s="4" t="s">
        <v>6207</v>
      </c>
      <c r="E500" s="4" t="s">
        <v>6203</v>
      </c>
      <c r="F500" s="4" t="s">
        <v>6216</v>
      </c>
    </row>
    <row r="501" customFormat="false" ht="15" hidden="false" customHeight="true" outlineLevel="0" collapsed="false">
      <c r="A501" s="4" t="s">
        <v>677</v>
      </c>
      <c r="B501" s="13" t="n">
        <v>44939</v>
      </c>
      <c r="C501" s="4" t="s">
        <v>6209</v>
      </c>
      <c r="D501" s="4" t="s">
        <v>6202</v>
      </c>
      <c r="E501" s="4" t="s">
        <v>6205</v>
      </c>
      <c r="F501" s="4" t="s">
        <v>6214</v>
      </c>
    </row>
    <row r="502" customFormat="false" ht="15" hidden="false" customHeight="true" outlineLevel="0" collapsed="false">
      <c r="A502" s="4" t="s">
        <v>678</v>
      </c>
      <c r="B502" s="13" t="n">
        <v>45359</v>
      </c>
      <c r="C502" s="4" t="s">
        <v>6215</v>
      </c>
      <c r="D502" s="4" t="s">
        <v>6203</v>
      </c>
      <c r="E502" s="4" t="s">
        <v>6199</v>
      </c>
      <c r="F502" s="4" t="s">
        <v>6197</v>
      </c>
    </row>
    <row r="503" customFormat="false" ht="15" hidden="false" customHeight="true" outlineLevel="0" collapsed="false">
      <c r="A503" s="4" t="s">
        <v>679</v>
      </c>
      <c r="B503" s="13" t="n">
        <v>45563</v>
      </c>
      <c r="C503" s="4" t="s">
        <v>6198</v>
      </c>
      <c r="D503" s="4" t="s">
        <v>6207</v>
      </c>
      <c r="E503" s="4" t="s">
        <v>6206</v>
      </c>
      <c r="F503" s="4" t="s">
        <v>6197</v>
      </c>
    </row>
    <row r="504" customFormat="false" ht="15" hidden="false" customHeight="true" outlineLevel="0" collapsed="false">
      <c r="A504" s="4" t="s">
        <v>680</v>
      </c>
      <c r="B504" s="13" t="n">
        <v>45113</v>
      </c>
      <c r="C504" s="4" t="s">
        <v>6209</v>
      </c>
      <c r="D504" s="4" t="s">
        <v>6203</v>
      </c>
      <c r="E504" s="4" t="s">
        <v>6202</v>
      </c>
      <c r="F504" s="4" t="s">
        <v>6212</v>
      </c>
    </row>
    <row r="505" customFormat="false" ht="15" hidden="false" customHeight="true" outlineLevel="0" collapsed="false">
      <c r="A505" s="4" t="s">
        <v>681</v>
      </c>
      <c r="B505" s="13" t="n">
        <v>45196</v>
      </c>
      <c r="C505" s="4" t="s">
        <v>6198</v>
      </c>
      <c r="D505" s="4" t="s">
        <v>6195</v>
      </c>
      <c r="E505" s="4" t="s">
        <v>6205</v>
      </c>
      <c r="F505" s="4" t="s">
        <v>6212</v>
      </c>
    </row>
    <row r="506" customFormat="false" ht="15" hidden="false" customHeight="true" outlineLevel="0" collapsed="false">
      <c r="A506" s="4" t="s">
        <v>682</v>
      </c>
      <c r="B506" s="13" t="n">
        <v>45379</v>
      </c>
      <c r="C506" s="4" t="s">
        <v>6198</v>
      </c>
      <c r="D506" s="4" t="s">
        <v>6195</v>
      </c>
      <c r="E506" s="4" t="s">
        <v>6203</v>
      </c>
      <c r="F506" s="4" t="s">
        <v>6197</v>
      </c>
    </row>
    <row r="507" customFormat="false" ht="15" hidden="false" customHeight="true" outlineLevel="0" collapsed="false">
      <c r="A507" s="4" t="s">
        <v>683</v>
      </c>
      <c r="B507" s="13" t="n">
        <v>45652</v>
      </c>
      <c r="C507" s="4" t="s">
        <v>6201</v>
      </c>
      <c r="D507" s="4" t="s">
        <v>6205</v>
      </c>
      <c r="E507" s="4" t="s">
        <v>6207</v>
      </c>
      <c r="F507" s="4"/>
    </row>
    <row r="508" customFormat="false" ht="15" hidden="false" customHeight="true" outlineLevel="0" collapsed="false">
      <c r="A508" s="4" t="s">
        <v>684</v>
      </c>
      <c r="B508" s="13" t="n">
        <v>45236</v>
      </c>
      <c r="C508" s="4" t="s">
        <v>6194</v>
      </c>
      <c r="D508" s="4" t="s">
        <v>6205</v>
      </c>
      <c r="E508" s="4" t="s">
        <v>6207</v>
      </c>
      <c r="F508" s="4" t="s">
        <v>6216</v>
      </c>
    </row>
    <row r="509" customFormat="false" ht="15" hidden="false" customHeight="true" outlineLevel="0" collapsed="false">
      <c r="A509" s="4" t="s">
        <v>685</v>
      </c>
      <c r="B509" s="13" t="n">
        <v>45414</v>
      </c>
      <c r="C509" s="4" t="s">
        <v>6194</v>
      </c>
      <c r="D509" s="4" t="s">
        <v>6196</v>
      </c>
      <c r="E509" s="4" t="s">
        <v>6205</v>
      </c>
      <c r="F509" s="4" t="s">
        <v>6214</v>
      </c>
    </row>
    <row r="510" customFormat="false" ht="15" hidden="false" customHeight="true" outlineLevel="0" collapsed="false">
      <c r="A510" s="4" t="s">
        <v>686</v>
      </c>
      <c r="B510" s="13" t="n">
        <v>45612</v>
      </c>
      <c r="C510" s="4" t="s">
        <v>6210</v>
      </c>
      <c r="D510" s="4" t="s">
        <v>6207</v>
      </c>
      <c r="E510" s="4" t="s">
        <v>6196</v>
      </c>
      <c r="F510" s="4" t="s">
        <v>6204</v>
      </c>
    </row>
    <row r="511" customFormat="false" ht="15" hidden="false" customHeight="true" outlineLevel="0" collapsed="false">
      <c r="A511" s="4" t="s">
        <v>687</v>
      </c>
      <c r="B511" s="13" t="n">
        <v>45036</v>
      </c>
      <c r="C511" s="4" t="s">
        <v>6201</v>
      </c>
      <c r="D511" s="4" t="s">
        <v>6196</v>
      </c>
      <c r="E511" s="4" t="s">
        <v>6207</v>
      </c>
      <c r="F511" s="4"/>
    </row>
    <row r="512" customFormat="false" ht="15" hidden="false" customHeight="true" outlineLevel="0" collapsed="false">
      <c r="A512" s="4" t="s">
        <v>688</v>
      </c>
      <c r="B512" s="13" t="n">
        <v>45231</v>
      </c>
      <c r="C512" s="4" t="s">
        <v>6194</v>
      </c>
      <c r="D512" s="4" t="s">
        <v>6203</v>
      </c>
      <c r="E512" s="4" t="s">
        <v>6205</v>
      </c>
      <c r="F512" s="4"/>
    </row>
    <row r="513" customFormat="false" ht="15" hidden="false" customHeight="true" outlineLevel="0" collapsed="false">
      <c r="A513" s="4" t="s">
        <v>689</v>
      </c>
      <c r="B513" s="13" t="n">
        <v>45162</v>
      </c>
      <c r="C513" s="4" t="s">
        <v>6201</v>
      </c>
      <c r="D513" s="4" t="s">
        <v>6206</v>
      </c>
      <c r="E513" s="4" t="s">
        <v>6196</v>
      </c>
      <c r="F513" s="4" t="s">
        <v>6212</v>
      </c>
    </row>
    <row r="514" customFormat="false" ht="15" hidden="false" customHeight="true" outlineLevel="0" collapsed="false">
      <c r="A514" s="4" t="s">
        <v>690</v>
      </c>
      <c r="B514" s="13" t="n">
        <v>45564</v>
      </c>
      <c r="C514" s="4" t="s">
        <v>6194</v>
      </c>
      <c r="D514" s="4" t="s">
        <v>6199</v>
      </c>
      <c r="E514" s="4" t="s">
        <v>6195</v>
      </c>
      <c r="F514" s="4"/>
    </row>
    <row r="515" customFormat="false" ht="15" hidden="false" customHeight="true" outlineLevel="0" collapsed="false">
      <c r="A515" s="4" t="s">
        <v>691</v>
      </c>
      <c r="B515" s="13" t="n">
        <v>45026</v>
      </c>
      <c r="C515" s="4" t="s">
        <v>6201</v>
      </c>
      <c r="D515" s="4" t="s">
        <v>6202</v>
      </c>
      <c r="E515" s="4" t="s">
        <v>6211</v>
      </c>
      <c r="F515" s="4"/>
    </row>
    <row r="516" customFormat="false" ht="15" hidden="false" customHeight="true" outlineLevel="0" collapsed="false">
      <c r="A516" s="4" t="s">
        <v>692</v>
      </c>
      <c r="B516" s="13" t="n">
        <v>45370</v>
      </c>
      <c r="C516" s="4" t="s">
        <v>6215</v>
      </c>
      <c r="D516" s="4" t="s">
        <v>6207</v>
      </c>
      <c r="E516" s="4" t="s">
        <v>6205</v>
      </c>
      <c r="F516" s="4" t="s">
        <v>6214</v>
      </c>
    </row>
    <row r="517" customFormat="false" ht="15" hidden="false" customHeight="true" outlineLevel="0" collapsed="false">
      <c r="A517" s="4" t="s">
        <v>693</v>
      </c>
      <c r="B517" s="13" t="n">
        <v>45499</v>
      </c>
      <c r="C517" s="4" t="s">
        <v>6209</v>
      </c>
      <c r="D517" s="4" t="s">
        <v>6196</v>
      </c>
      <c r="E517" s="4" t="s">
        <v>6195</v>
      </c>
      <c r="F517" s="4" t="s">
        <v>6200</v>
      </c>
    </row>
    <row r="518" customFormat="false" ht="15" hidden="false" customHeight="true" outlineLevel="0" collapsed="false">
      <c r="A518" s="4" t="s">
        <v>694</v>
      </c>
      <c r="B518" s="13" t="n">
        <v>45444</v>
      </c>
      <c r="C518" s="4" t="s">
        <v>6209</v>
      </c>
      <c r="D518" s="4" t="s">
        <v>6195</v>
      </c>
      <c r="E518" s="4" t="s">
        <v>6211</v>
      </c>
      <c r="F518" s="4"/>
    </row>
    <row r="519" customFormat="false" ht="15" hidden="false" customHeight="true" outlineLevel="0" collapsed="false">
      <c r="A519" s="4" t="s">
        <v>695</v>
      </c>
      <c r="B519" s="13" t="n">
        <v>45507</v>
      </c>
      <c r="C519" s="4" t="s">
        <v>6213</v>
      </c>
      <c r="D519" s="4" t="s">
        <v>6208</v>
      </c>
      <c r="E519" s="4" t="s">
        <v>6206</v>
      </c>
      <c r="F519" s="4" t="s">
        <v>6212</v>
      </c>
    </row>
    <row r="520" customFormat="false" ht="15" hidden="false" customHeight="true" outlineLevel="0" collapsed="false">
      <c r="A520" s="4" t="s">
        <v>696</v>
      </c>
      <c r="B520" s="13" t="n">
        <v>44992</v>
      </c>
      <c r="C520" s="4" t="s">
        <v>6209</v>
      </c>
      <c r="D520" s="4" t="s">
        <v>6195</v>
      </c>
      <c r="E520" s="4" t="s">
        <v>6203</v>
      </c>
      <c r="F520" s="4" t="s">
        <v>6212</v>
      </c>
    </row>
    <row r="521" customFormat="false" ht="15" hidden="false" customHeight="true" outlineLevel="0" collapsed="false">
      <c r="A521" s="4" t="s">
        <v>697</v>
      </c>
      <c r="B521" s="13" t="n">
        <v>45443</v>
      </c>
      <c r="C521" s="4" t="s">
        <v>6201</v>
      </c>
      <c r="D521" s="4" t="s">
        <v>6208</v>
      </c>
      <c r="E521" s="4" t="s">
        <v>6195</v>
      </c>
      <c r="F521" s="4" t="s">
        <v>6216</v>
      </c>
    </row>
    <row r="522" customFormat="false" ht="15" hidden="false" customHeight="true" outlineLevel="0" collapsed="false">
      <c r="A522" s="4" t="s">
        <v>698</v>
      </c>
      <c r="B522" s="13" t="n">
        <v>45310</v>
      </c>
      <c r="C522" s="4" t="s">
        <v>6215</v>
      </c>
      <c r="D522" s="4" t="s">
        <v>6211</v>
      </c>
      <c r="E522" s="4" t="s">
        <v>6207</v>
      </c>
      <c r="F522" s="4"/>
    </row>
    <row r="523" customFormat="false" ht="15" hidden="false" customHeight="true" outlineLevel="0" collapsed="false">
      <c r="A523" s="4" t="s">
        <v>699</v>
      </c>
      <c r="B523" s="13" t="n">
        <v>45206</v>
      </c>
      <c r="C523" s="4" t="s">
        <v>6213</v>
      </c>
      <c r="D523" s="4" t="s">
        <v>6208</v>
      </c>
      <c r="E523" s="4" t="s">
        <v>6202</v>
      </c>
      <c r="F523" s="4"/>
    </row>
    <row r="524" customFormat="false" ht="15" hidden="false" customHeight="true" outlineLevel="0" collapsed="false">
      <c r="A524" s="4" t="s">
        <v>700</v>
      </c>
      <c r="B524" s="13" t="n">
        <v>45015</v>
      </c>
      <c r="C524" s="4" t="s">
        <v>6209</v>
      </c>
      <c r="D524" s="4" t="s">
        <v>6196</v>
      </c>
      <c r="E524" s="4" t="s">
        <v>6208</v>
      </c>
      <c r="F524" s="4" t="s">
        <v>6200</v>
      </c>
    </row>
    <row r="525" customFormat="false" ht="15" hidden="false" customHeight="true" outlineLevel="0" collapsed="false">
      <c r="A525" s="4" t="s">
        <v>701</v>
      </c>
      <c r="B525" s="13" t="n">
        <v>45287</v>
      </c>
      <c r="C525" s="4" t="s">
        <v>6198</v>
      </c>
      <c r="D525" s="4" t="s">
        <v>6203</v>
      </c>
      <c r="E525" s="4" t="s">
        <v>6199</v>
      </c>
      <c r="F525" s="4"/>
    </row>
    <row r="526" customFormat="false" ht="15" hidden="false" customHeight="true" outlineLevel="0" collapsed="false">
      <c r="A526" s="4" t="s">
        <v>702</v>
      </c>
      <c r="B526" s="13" t="n">
        <v>45555</v>
      </c>
      <c r="C526" s="4" t="s">
        <v>6213</v>
      </c>
      <c r="D526" s="4" t="s">
        <v>6199</v>
      </c>
      <c r="E526" s="4" t="s">
        <v>6206</v>
      </c>
      <c r="F526" s="4" t="s">
        <v>6200</v>
      </c>
    </row>
    <row r="527" customFormat="false" ht="15" hidden="false" customHeight="true" outlineLevel="0" collapsed="false">
      <c r="A527" s="4" t="s">
        <v>703</v>
      </c>
      <c r="B527" s="13" t="n">
        <v>45501</v>
      </c>
      <c r="C527" s="4" t="s">
        <v>6215</v>
      </c>
      <c r="D527" s="4" t="s">
        <v>6208</v>
      </c>
      <c r="E527" s="4" t="s">
        <v>6207</v>
      </c>
      <c r="F527" s="4" t="s">
        <v>6216</v>
      </c>
    </row>
    <row r="528" customFormat="false" ht="15" hidden="false" customHeight="true" outlineLevel="0" collapsed="false">
      <c r="A528" s="4" t="s">
        <v>704</v>
      </c>
      <c r="B528" s="13" t="n">
        <v>45315</v>
      </c>
      <c r="C528" s="4" t="s">
        <v>6194</v>
      </c>
      <c r="D528" s="4" t="s">
        <v>6207</v>
      </c>
      <c r="E528" s="4" t="s">
        <v>6205</v>
      </c>
      <c r="F528" s="4" t="s">
        <v>6200</v>
      </c>
    </row>
    <row r="529" customFormat="false" ht="15" hidden="false" customHeight="true" outlineLevel="0" collapsed="false">
      <c r="A529" s="4" t="s">
        <v>705</v>
      </c>
      <c r="B529" s="13" t="n">
        <v>45032</v>
      </c>
      <c r="C529" s="4" t="s">
        <v>6194</v>
      </c>
      <c r="D529" s="4" t="s">
        <v>6205</v>
      </c>
      <c r="E529" s="4" t="s">
        <v>6211</v>
      </c>
      <c r="F529" s="4" t="s">
        <v>6212</v>
      </c>
    </row>
    <row r="530" customFormat="false" ht="15" hidden="false" customHeight="true" outlineLevel="0" collapsed="false">
      <c r="A530" s="4" t="s">
        <v>706</v>
      </c>
      <c r="B530" s="13" t="n">
        <v>45113</v>
      </c>
      <c r="C530" s="4" t="s">
        <v>6210</v>
      </c>
      <c r="D530" s="4" t="s">
        <v>6211</v>
      </c>
      <c r="E530" s="4" t="s">
        <v>6211</v>
      </c>
      <c r="F530" s="4" t="s">
        <v>6212</v>
      </c>
    </row>
    <row r="531" customFormat="false" ht="15" hidden="false" customHeight="true" outlineLevel="0" collapsed="false">
      <c r="A531" s="4" t="s">
        <v>707</v>
      </c>
      <c r="B531" s="13" t="n">
        <v>45519</v>
      </c>
      <c r="C531" s="4" t="s">
        <v>6213</v>
      </c>
      <c r="D531" s="4" t="s">
        <v>6211</v>
      </c>
      <c r="E531" s="4" t="s">
        <v>6202</v>
      </c>
      <c r="F531" s="4" t="s">
        <v>6214</v>
      </c>
    </row>
    <row r="532" customFormat="false" ht="15" hidden="false" customHeight="true" outlineLevel="0" collapsed="false">
      <c r="A532" s="4" t="s">
        <v>708</v>
      </c>
      <c r="B532" s="13" t="n">
        <v>45261</v>
      </c>
      <c r="C532" s="4" t="s">
        <v>6213</v>
      </c>
      <c r="D532" s="4" t="s">
        <v>6206</v>
      </c>
      <c r="E532" s="4" t="s">
        <v>6206</v>
      </c>
      <c r="F532" s="4" t="s">
        <v>6214</v>
      </c>
    </row>
    <row r="533" customFormat="false" ht="15" hidden="false" customHeight="true" outlineLevel="0" collapsed="false">
      <c r="A533" s="4" t="s">
        <v>709</v>
      </c>
      <c r="B533" s="13" t="n">
        <v>44944</v>
      </c>
      <c r="C533" s="4" t="s">
        <v>6209</v>
      </c>
      <c r="D533" s="4" t="s">
        <v>6206</v>
      </c>
      <c r="E533" s="4" t="s">
        <v>6207</v>
      </c>
      <c r="F533" s="4"/>
    </row>
    <row r="534" customFormat="false" ht="15" hidden="false" customHeight="true" outlineLevel="0" collapsed="false">
      <c r="A534" s="4" t="s">
        <v>710</v>
      </c>
      <c r="B534" s="13" t="n">
        <v>45376</v>
      </c>
      <c r="C534" s="4" t="s">
        <v>6209</v>
      </c>
      <c r="D534" s="4" t="s">
        <v>6199</v>
      </c>
      <c r="E534" s="4" t="s">
        <v>6211</v>
      </c>
      <c r="F534" s="4" t="s">
        <v>6200</v>
      </c>
    </row>
    <row r="535" customFormat="false" ht="15" hidden="false" customHeight="true" outlineLevel="0" collapsed="false">
      <c r="A535" s="4" t="s">
        <v>711</v>
      </c>
      <c r="B535" s="13" t="n">
        <v>45046</v>
      </c>
      <c r="C535" s="4" t="s">
        <v>6210</v>
      </c>
      <c r="D535" s="4" t="s">
        <v>6211</v>
      </c>
      <c r="E535" s="4" t="s">
        <v>6211</v>
      </c>
      <c r="F535" s="4" t="s">
        <v>6204</v>
      </c>
    </row>
    <row r="536" customFormat="false" ht="15" hidden="false" customHeight="true" outlineLevel="0" collapsed="false">
      <c r="A536" s="4" t="s">
        <v>712</v>
      </c>
      <c r="B536" s="13" t="n">
        <v>45322</v>
      </c>
      <c r="C536" s="4" t="s">
        <v>6213</v>
      </c>
      <c r="D536" s="4" t="s">
        <v>6199</v>
      </c>
      <c r="E536" s="4" t="s">
        <v>6199</v>
      </c>
      <c r="F536" s="4" t="s">
        <v>6197</v>
      </c>
    </row>
    <row r="537" customFormat="false" ht="15" hidden="false" customHeight="true" outlineLevel="0" collapsed="false">
      <c r="A537" s="4" t="s">
        <v>713</v>
      </c>
      <c r="B537" s="13" t="n">
        <v>45614</v>
      </c>
      <c r="C537" s="4" t="s">
        <v>6213</v>
      </c>
      <c r="D537" s="4" t="s">
        <v>6206</v>
      </c>
      <c r="E537" s="4" t="s">
        <v>6203</v>
      </c>
      <c r="F537" s="4" t="s">
        <v>6214</v>
      </c>
    </row>
    <row r="538" customFormat="false" ht="15" hidden="false" customHeight="true" outlineLevel="0" collapsed="false">
      <c r="A538" s="4" t="s">
        <v>714</v>
      </c>
      <c r="B538" s="13" t="n">
        <v>45500</v>
      </c>
      <c r="C538" s="4" t="s">
        <v>6215</v>
      </c>
      <c r="D538" s="4" t="s">
        <v>6202</v>
      </c>
      <c r="E538" s="4" t="s">
        <v>6203</v>
      </c>
      <c r="F538" s="4" t="s">
        <v>6204</v>
      </c>
    </row>
    <row r="539" customFormat="false" ht="15" hidden="false" customHeight="true" outlineLevel="0" collapsed="false">
      <c r="A539" s="4" t="s">
        <v>715</v>
      </c>
      <c r="B539" s="13" t="n">
        <v>45532</v>
      </c>
      <c r="C539" s="4" t="s">
        <v>6198</v>
      </c>
      <c r="D539" s="4" t="s">
        <v>6211</v>
      </c>
      <c r="E539" s="4" t="s">
        <v>6205</v>
      </c>
      <c r="F539" s="4" t="s">
        <v>6216</v>
      </c>
    </row>
    <row r="540" customFormat="false" ht="15" hidden="false" customHeight="true" outlineLevel="0" collapsed="false">
      <c r="A540" s="4" t="s">
        <v>716</v>
      </c>
      <c r="B540" s="13" t="n">
        <v>45463</v>
      </c>
      <c r="C540" s="4" t="s">
        <v>6209</v>
      </c>
      <c r="D540" s="4" t="s">
        <v>6203</v>
      </c>
      <c r="E540" s="4" t="s">
        <v>6208</v>
      </c>
      <c r="F540" s="4" t="s">
        <v>6216</v>
      </c>
    </row>
    <row r="541" customFormat="false" ht="15" hidden="false" customHeight="true" outlineLevel="0" collapsed="false">
      <c r="A541" s="4" t="s">
        <v>717</v>
      </c>
      <c r="B541" s="13" t="n">
        <v>45594</v>
      </c>
      <c r="C541" s="4" t="s">
        <v>6198</v>
      </c>
      <c r="D541" s="4" t="s">
        <v>6207</v>
      </c>
      <c r="E541" s="4" t="s">
        <v>6207</v>
      </c>
      <c r="F541" s="4" t="s">
        <v>6204</v>
      </c>
    </row>
    <row r="542" customFormat="false" ht="15" hidden="false" customHeight="true" outlineLevel="0" collapsed="false">
      <c r="A542" s="4" t="s">
        <v>718</v>
      </c>
      <c r="B542" s="13" t="n">
        <v>45542</v>
      </c>
      <c r="C542" s="4" t="s">
        <v>6209</v>
      </c>
      <c r="D542" s="4" t="s">
        <v>6202</v>
      </c>
      <c r="E542" s="4" t="s">
        <v>6206</v>
      </c>
      <c r="F542" s="4" t="s">
        <v>6212</v>
      </c>
    </row>
    <row r="543" customFormat="false" ht="15" hidden="false" customHeight="true" outlineLevel="0" collapsed="false">
      <c r="A543" s="4" t="s">
        <v>719</v>
      </c>
      <c r="B543" s="13" t="n">
        <v>44959</v>
      </c>
      <c r="C543" s="4" t="s">
        <v>6215</v>
      </c>
      <c r="D543" s="4" t="s">
        <v>6205</v>
      </c>
      <c r="E543" s="4" t="s">
        <v>6195</v>
      </c>
      <c r="F543" s="4"/>
    </row>
    <row r="544" customFormat="false" ht="15" hidden="false" customHeight="true" outlineLevel="0" collapsed="false">
      <c r="A544" s="4" t="s">
        <v>720</v>
      </c>
      <c r="B544" s="13" t="n">
        <v>45174</v>
      </c>
      <c r="C544" s="4" t="s">
        <v>6198</v>
      </c>
      <c r="D544" s="4" t="s">
        <v>6196</v>
      </c>
      <c r="E544" s="4" t="s">
        <v>6199</v>
      </c>
      <c r="F544" s="4" t="s">
        <v>6216</v>
      </c>
    </row>
    <row r="545" customFormat="false" ht="15" hidden="false" customHeight="true" outlineLevel="0" collapsed="false">
      <c r="A545" s="4" t="s">
        <v>721</v>
      </c>
      <c r="B545" s="13" t="n">
        <v>45006</v>
      </c>
      <c r="C545" s="4" t="s">
        <v>6198</v>
      </c>
      <c r="D545" s="4" t="s">
        <v>6205</v>
      </c>
      <c r="E545" s="4" t="s">
        <v>6206</v>
      </c>
      <c r="F545" s="4" t="s">
        <v>6200</v>
      </c>
    </row>
    <row r="546" customFormat="false" ht="15" hidden="false" customHeight="true" outlineLevel="0" collapsed="false">
      <c r="A546" s="4" t="s">
        <v>722</v>
      </c>
      <c r="B546" s="13" t="n">
        <v>44991</v>
      </c>
      <c r="C546" s="4" t="s">
        <v>6210</v>
      </c>
      <c r="D546" s="4" t="s">
        <v>6206</v>
      </c>
      <c r="E546" s="4" t="s">
        <v>6207</v>
      </c>
      <c r="F546" s="4"/>
    </row>
    <row r="547" customFormat="false" ht="15" hidden="false" customHeight="true" outlineLevel="0" collapsed="false">
      <c r="A547" s="4" t="s">
        <v>723</v>
      </c>
      <c r="B547" s="13" t="n">
        <v>44966</v>
      </c>
      <c r="C547" s="4" t="s">
        <v>6198</v>
      </c>
      <c r="D547" s="4" t="s">
        <v>6211</v>
      </c>
      <c r="E547" s="4" t="s">
        <v>6196</v>
      </c>
      <c r="F547" s="4" t="s">
        <v>6216</v>
      </c>
    </row>
    <row r="548" customFormat="false" ht="15" hidden="false" customHeight="true" outlineLevel="0" collapsed="false">
      <c r="A548" s="4" t="s">
        <v>724</v>
      </c>
      <c r="B548" s="13" t="n">
        <v>45559</v>
      </c>
      <c r="C548" s="4" t="s">
        <v>6198</v>
      </c>
      <c r="D548" s="4" t="s">
        <v>6206</v>
      </c>
      <c r="E548" s="4" t="s">
        <v>6196</v>
      </c>
      <c r="F548" s="4"/>
    </row>
    <row r="549" customFormat="false" ht="15" hidden="false" customHeight="true" outlineLevel="0" collapsed="false">
      <c r="A549" s="4" t="s">
        <v>725</v>
      </c>
      <c r="B549" s="13" t="n">
        <v>45215</v>
      </c>
      <c r="C549" s="4" t="s">
        <v>6210</v>
      </c>
      <c r="D549" s="4" t="s">
        <v>6211</v>
      </c>
      <c r="E549" s="4" t="s">
        <v>6203</v>
      </c>
      <c r="F549" s="4" t="s">
        <v>6197</v>
      </c>
    </row>
    <row r="550" customFormat="false" ht="15" hidden="false" customHeight="true" outlineLevel="0" collapsed="false">
      <c r="A550" s="4" t="s">
        <v>726</v>
      </c>
      <c r="B550" s="13" t="n">
        <v>45303</v>
      </c>
      <c r="C550" s="4" t="s">
        <v>6213</v>
      </c>
      <c r="D550" s="4" t="s">
        <v>6208</v>
      </c>
      <c r="E550" s="4" t="s">
        <v>6199</v>
      </c>
      <c r="F550" s="4"/>
    </row>
    <row r="551" customFormat="false" ht="15" hidden="false" customHeight="true" outlineLevel="0" collapsed="false">
      <c r="A551" s="4" t="s">
        <v>727</v>
      </c>
      <c r="B551" s="13" t="n">
        <v>45005</v>
      </c>
      <c r="C551" s="4" t="s">
        <v>6194</v>
      </c>
      <c r="D551" s="4" t="s">
        <v>6208</v>
      </c>
      <c r="E551" s="4" t="s">
        <v>6208</v>
      </c>
      <c r="F551" s="4" t="s">
        <v>6212</v>
      </c>
    </row>
    <row r="552" customFormat="false" ht="15" hidden="false" customHeight="true" outlineLevel="0" collapsed="false">
      <c r="A552" s="4" t="s">
        <v>728</v>
      </c>
      <c r="B552" s="13" t="n">
        <v>45258</v>
      </c>
      <c r="C552" s="4" t="s">
        <v>6215</v>
      </c>
      <c r="D552" s="4" t="s">
        <v>6211</v>
      </c>
      <c r="E552" s="4" t="s">
        <v>6211</v>
      </c>
      <c r="F552" s="4" t="s">
        <v>6214</v>
      </c>
    </row>
    <row r="553" customFormat="false" ht="15" hidden="false" customHeight="true" outlineLevel="0" collapsed="false">
      <c r="A553" s="4" t="s">
        <v>729</v>
      </c>
      <c r="B553" s="13" t="n">
        <v>45526</v>
      </c>
      <c r="C553" s="4" t="s">
        <v>6194</v>
      </c>
      <c r="D553" s="4" t="s">
        <v>6195</v>
      </c>
      <c r="E553" s="4" t="s">
        <v>6208</v>
      </c>
      <c r="F553" s="4"/>
    </row>
    <row r="554" customFormat="false" ht="15" hidden="false" customHeight="true" outlineLevel="0" collapsed="false">
      <c r="A554" s="4" t="s">
        <v>730</v>
      </c>
      <c r="B554" s="13" t="n">
        <v>45123</v>
      </c>
      <c r="C554" s="4" t="s">
        <v>6209</v>
      </c>
      <c r="D554" s="4" t="s">
        <v>6202</v>
      </c>
      <c r="E554" s="4" t="s">
        <v>6208</v>
      </c>
      <c r="F554" s="4"/>
    </row>
    <row r="555" customFormat="false" ht="15" hidden="false" customHeight="true" outlineLevel="0" collapsed="false">
      <c r="A555" s="4" t="s">
        <v>731</v>
      </c>
      <c r="B555" s="13" t="n">
        <v>45467</v>
      </c>
      <c r="C555" s="4" t="s">
        <v>6213</v>
      </c>
      <c r="D555" s="4" t="s">
        <v>6196</v>
      </c>
      <c r="E555" s="4" t="s">
        <v>6207</v>
      </c>
      <c r="F555" s="4"/>
    </row>
    <row r="556" customFormat="false" ht="15" hidden="false" customHeight="true" outlineLevel="0" collapsed="false">
      <c r="A556" s="4" t="s">
        <v>732</v>
      </c>
      <c r="B556" s="13" t="n">
        <v>45323</v>
      </c>
      <c r="C556" s="4" t="s">
        <v>6201</v>
      </c>
      <c r="D556" s="4" t="s">
        <v>6202</v>
      </c>
      <c r="E556" s="4" t="s">
        <v>6196</v>
      </c>
      <c r="F556" s="4" t="s">
        <v>6204</v>
      </c>
    </row>
    <row r="557" customFormat="false" ht="15" hidden="false" customHeight="true" outlineLevel="0" collapsed="false">
      <c r="A557" s="4" t="s">
        <v>733</v>
      </c>
      <c r="B557" s="13" t="n">
        <v>45473</v>
      </c>
      <c r="C557" s="4" t="s">
        <v>6194</v>
      </c>
      <c r="D557" s="4" t="s">
        <v>6208</v>
      </c>
      <c r="E557" s="4" t="s">
        <v>6203</v>
      </c>
      <c r="F557" s="4"/>
    </row>
    <row r="558" customFormat="false" ht="15" hidden="false" customHeight="true" outlineLevel="0" collapsed="false">
      <c r="A558" s="4" t="s">
        <v>734</v>
      </c>
      <c r="B558" s="13" t="n">
        <v>44959</v>
      </c>
      <c r="C558" s="4" t="s">
        <v>6201</v>
      </c>
      <c r="D558" s="4" t="s">
        <v>6206</v>
      </c>
      <c r="E558" s="4" t="s">
        <v>6202</v>
      </c>
      <c r="F558" s="4"/>
    </row>
    <row r="559" customFormat="false" ht="15" hidden="false" customHeight="true" outlineLevel="0" collapsed="false">
      <c r="A559" s="4" t="s">
        <v>735</v>
      </c>
      <c r="B559" s="13" t="n">
        <v>45425</v>
      </c>
      <c r="C559" s="4" t="s">
        <v>6198</v>
      </c>
      <c r="D559" s="4" t="s">
        <v>6195</v>
      </c>
      <c r="E559" s="4" t="s">
        <v>6207</v>
      </c>
      <c r="F559" s="4" t="s">
        <v>6214</v>
      </c>
    </row>
    <row r="560" customFormat="false" ht="15" hidden="false" customHeight="true" outlineLevel="0" collapsed="false">
      <c r="A560" s="4" t="s">
        <v>736</v>
      </c>
      <c r="B560" s="13" t="n">
        <v>45129</v>
      </c>
      <c r="C560" s="4" t="s">
        <v>6210</v>
      </c>
      <c r="D560" s="4" t="s">
        <v>6195</v>
      </c>
      <c r="E560" s="4" t="s">
        <v>6199</v>
      </c>
      <c r="F560" s="4" t="s">
        <v>6200</v>
      </c>
    </row>
    <row r="561" customFormat="false" ht="15" hidden="false" customHeight="true" outlineLevel="0" collapsed="false">
      <c r="A561" s="4" t="s">
        <v>737</v>
      </c>
      <c r="B561" s="13" t="n">
        <v>45305</v>
      </c>
      <c r="C561" s="4" t="s">
        <v>6213</v>
      </c>
      <c r="D561" s="4" t="s">
        <v>6195</v>
      </c>
      <c r="E561" s="4" t="s">
        <v>6199</v>
      </c>
      <c r="F561" s="4" t="s">
        <v>6212</v>
      </c>
    </row>
    <row r="562" customFormat="false" ht="15" hidden="false" customHeight="true" outlineLevel="0" collapsed="false">
      <c r="A562" s="4" t="s">
        <v>738</v>
      </c>
      <c r="B562" s="13" t="n">
        <v>45250</v>
      </c>
      <c r="C562" s="4" t="s">
        <v>6213</v>
      </c>
      <c r="D562" s="4" t="s">
        <v>6202</v>
      </c>
      <c r="E562" s="4" t="s">
        <v>6199</v>
      </c>
      <c r="F562" s="4"/>
    </row>
    <row r="563" customFormat="false" ht="15" hidden="false" customHeight="true" outlineLevel="0" collapsed="false">
      <c r="A563" s="4" t="s">
        <v>739</v>
      </c>
      <c r="B563" s="13" t="n">
        <v>45056</v>
      </c>
      <c r="C563" s="4" t="s">
        <v>6210</v>
      </c>
      <c r="D563" s="4" t="s">
        <v>6211</v>
      </c>
      <c r="E563" s="4" t="s">
        <v>6208</v>
      </c>
      <c r="F563" s="4" t="s">
        <v>6214</v>
      </c>
    </row>
    <row r="564" customFormat="false" ht="15" hidden="false" customHeight="true" outlineLevel="0" collapsed="false">
      <c r="A564" s="4" t="s">
        <v>740</v>
      </c>
      <c r="B564" s="13" t="n">
        <v>45241</v>
      </c>
      <c r="C564" s="4" t="s">
        <v>6198</v>
      </c>
      <c r="D564" s="4" t="s">
        <v>6199</v>
      </c>
      <c r="E564" s="4" t="s">
        <v>6195</v>
      </c>
      <c r="F564" s="4" t="s">
        <v>6204</v>
      </c>
    </row>
    <row r="565" customFormat="false" ht="15" hidden="false" customHeight="true" outlineLevel="0" collapsed="false">
      <c r="A565" s="4" t="s">
        <v>741</v>
      </c>
      <c r="B565" s="13" t="n">
        <v>45412</v>
      </c>
      <c r="C565" s="4" t="s">
        <v>6209</v>
      </c>
      <c r="D565" s="4" t="s">
        <v>6205</v>
      </c>
      <c r="E565" s="4" t="s">
        <v>6195</v>
      </c>
      <c r="F565" s="4"/>
    </row>
    <row r="566" customFormat="false" ht="15" hidden="false" customHeight="true" outlineLevel="0" collapsed="false">
      <c r="A566" s="4" t="s">
        <v>742</v>
      </c>
      <c r="B566" s="13" t="n">
        <v>44980</v>
      </c>
      <c r="C566" s="4" t="s">
        <v>6215</v>
      </c>
      <c r="D566" s="4" t="s">
        <v>6208</v>
      </c>
      <c r="E566" s="4" t="s">
        <v>6211</v>
      </c>
      <c r="F566" s="4" t="s">
        <v>6197</v>
      </c>
    </row>
    <row r="567" customFormat="false" ht="15" hidden="false" customHeight="true" outlineLevel="0" collapsed="false">
      <c r="A567" s="4" t="s">
        <v>743</v>
      </c>
      <c r="B567" s="13" t="n">
        <v>45125</v>
      </c>
      <c r="C567" s="4" t="s">
        <v>6213</v>
      </c>
      <c r="D567" s="4" t="s">
        <v>6208</v>
      </c>
      <c r="E567" s="4" t="s">
        <v>6199</v>
      </c>
      <c r="F567" s="4" t="s">
        <v>6200</v>
      </c>
    </row>
    <row r="568" customFormat="false" ht="15" hidden="false" customHeight="true" outlineLevel="0" collapsed="false">
      <c r="A568" s="4" t="s">
        <v>744</v>
      </c>
      <c r="B568" s="13" t="n">
        <v>45587</v>
      </c>
      <c r="C568" s="4" t="s">
        <v>6210</v>
      </c>
      <c r="D568" s="4" t="s">
        <v>6205</v>
      </c>
      <c r="E568" s="4" t="s">
        <v>6199</v>
      </c>
      <c r="F568" s="4"/>
    </row>
    <row r="569" customFormat="false" ht="15" hidden="false" customHeight="true" outlineLevel="0" collapsed="false">
      <c r="A569" s="4" t="s">
        <v>745</v>
      </c>
      <c r="B569" s="13" t="n">
        <v>45524</v>
      </c>
      <c r="C569" s="4" t="s">
        <v>6213</v>
      </c>
      <c r="D569" s="4" t="s">
        <v>6205</v>
      </c>
      <c r="E569" s="4" t="s">
        <v>6206</v>
      </c>
      <c r="F569" s="4"/>
    </row>
    <row r="570" customFormat="false" ht="15" hidden="false" customHeight="true" outlineLevel="0" collapsed="false">
      <c r="A570" s="4" t="s">
        <v>746</v>
      </c>
      <c r="B570" s="13" t="n">
        <v>45051</v>
      </c>
      <c r="C570" s="4" t="s">
        <v>6213</v>
      </c>
      <c r="D570" s="4" t="s">
        <v>6206</v>
      </c>
      <c r="E570" s="4" t="s">
        <v>6202</v>
      </c>
      <c r="F570" s="4" t="s">
        <v>6214</v>
      </c>
    </row>
    <row r="571" customFormat="false" ht="15" hidden="false" customHeight="true" outlineLevel="0" collapsed="false">
      <c r="A571" s="4" t="s">
        <v>747</v>
      </c>
      <c r="B571" s="13" t="n">
        <v>45646</v>
      </c>
      <c r="C571" s="4" t="s">
        <v>6210</v>
      </c>
      <c r="D571" s="4" t="s">
        <v>6203</v>
      </c>
      <c r="E571" s="4" t="s">
        <v>6205</v>
      </c>
      <c r="F571" s="4" t="s">
        <v>6212</v>
      </c>
    </row>
    <row r="572" customFormat="false" ht="15" hidden="false" customHeight="true" outlineLevel="0" collapsed="false">
      <c r="A572" s="4" t="s">
        <v>748</v>
      </c>
      <c r="B572" s="13" t="n">
        <v>45111</v>
      </c>
      <c r="C572" s="4" t="s">
        <v>6194</v>
      </c>
      <c r="D572" s="4" t="s">
        <v>6205</v>
      </c>
      <c r="E572" s="4" t="s">
        <v>6196</v>
      </c>
      <c r="F572" s="4"/>
    </row>
    <row r="573" customFormat="false" ht="15" hidden="false" customHeight="true" outlineLevel="0" collapsed="false">
      <c r="A573" s="4" t="s">
        <v>749</v>
      </c>
      <c r="B573" s="13" t="n">
        <v>45042</v>
      </c>
      <c r="C573" s="4" t="s">
        <v>6213</v>
      </c>
      <c r="D573" s="4" t="s">
        <v>6195</v>
      </c>
      <c r="E573" s="4" t="s">
        <v>6208</v>
      </c>
      <c r="F573" s="4"/>
    </row>
    <row r="574" customFormat="false" ht="15" hidden="false" customHeight="true" outlineLevel="0" collapsed="false">
      <c r="A574" s="4" t="s">
        <v>750</v>
      </c>
      <c r="B574" s="13" t="n">
        <v>45463</v>
      </c>
      <c r="C574" s="4" t="s">
        <v>6194</v>
      </c>
      <c r="D574" s="4" t="s">
        <v>6196</v>
      </c>
      <c r="E574" s="4" t="s">
        <v>6195</v>
      </c>
      <c r="F574" s="4" t="s">
        <v>6204</v>
      </c>
    </row>
    <row r="575" customFormat="false" ht="15" hidden="false" customHeight="true" outlineLevel="0" collapsed="false">
      <c r="A575" s="4" t="s">
        <v>751</v>
      </c>
      <c r="B575" s="13" t="n">
        <v>45542</v>
      </c>
      <c r="C575" s="4" t="s">
        <v>6201</v>
      </c>
      <c r="D575" s="4" t="s">
        <v>6205</v>
      </c>
      <c r="E575" s="4" t="s">
        <v>6199</v>
      </c>
      <c r="F575" s="4"/>
    </row>
    <row r="576" customFormat="false" ht="15" hidden="false" customHeight="true" outlineLevel="0" collapsed="false">
      <c r="A576" s="4" t="s">
        <v>752</v>
      </c>
      <c r="B576" s="13" t="n">
        <v>45209</v>
      </c>
      <c r="C576" s="4" t="s">
        <v>6215</v>
      </c>
      <c r="D576" s="4" t="s">
        <v>6208</v>
      </c>
      <c r="E576" s="4" t="s">
        <v>6196</v>
      </c>
      <c r="F576" s="4"/>
    </row>
    <row r="577" customFormat="false" ht="15" hidden="false" customHeight="true" outlineLevel="0" collapsed="false">
      <c r="A577" s="4" t="s">
        <v>753</v>
      </c>
      <c r="B577" s="13" t="n">
        <v>45529</v>
      </c>
      <c r="C577" s="4" t="s">
        <v>6215</v>
      </c>
      <c r="D577" s="4" t="s">
        <v>6203</v>
      </c>
      <c r="E577" s="4" t="s">
        <v>6203</v>
      </c>
      <c r="F577" s="4" t="s">
        <v>6212</v>
      </c>
    </row>
    <row r="578" customFormat="false" ht="15" hidden="false" customHeight="true" outlineLevel="0" collapsed="false">
      <c r="A578" s="4" t="s">
        <v>754</v>
      </c>
      <c r="B578" s="13" t="n">
        <v>45644</v>
      </c>
      <c r="C578" s="4" t="s">
        <v>6198</v>
      </c>
      <c r="D578" s="4" t="s">
        <v>6196</v>
      </c>
      <c r="E578" s="4" t="s">
        <v>6211</v>
      </c>
      <c r="F578" s="4"/>
    </row>
    <row r="579" customFormat="false" ht="15" hidden="false" customHeight="true" outlineLevel="0" collapsed="false">
      <c r="A579" s="4" t="s">
        <v>755</v>
      </c>
      <c r="B579" s="13" t="n">
        <v>45044</v>
      </c>
      <c r="C579" s="4" t="s">
        <v>6198</v>
      </c>
      <c r="D579" s="4" t="s">
        <v>6206</v>
      </c>
      <c r="E579" s="4" t="s">
        <v>6202</v>
      </c>
      <c r="F579" s="4"/>
    </row>
    <row r="580" customFormat="false" ht="15" hidden="false" customHeight="true" outlineLevel="0" collapsed="false">
      <c r="A580" s="4" t="s">
        <v>756</v>
      </c>
      <c r="B580" s="13" t="n">
        <v>45633</v>
      </c>
      <c r="C580" s="4" t="s">
        <v>6194</v>
      </c>
      <c r="D580" s="4" t="s">
        <v>6202</v>
      </c>
      <c r="E580" s="4" t="s">
        <v>6195</v>
      </c>
      <c r="F580" s="4"/>
    </row>
    <row r="581" customFormat="false" ht="15" hidden="false" customHeight="true" outlineLevel="0" collapsed="false">
      <c r="A581" s="4" t="s">
        <v>757</v>
      </c>
      <c r="B581" s="13" t="n">
        <v>45045</v>
      </c>
      <c r="C581" s="4" t="s">
        <v>6210</v>
      </c>
      <c r="D581" s="4" t="s">
        <v>6211</v>
      </c>
      <c r="E581" s="4" t="s">
        <v>6202</v>
      </c>
      <c r="F581" s="4"/>
    </row>
    <row r="582" customFormat="false" ht="15" hidden="false" customHeight="true" outlineLevel="0" collapsed="false">
      <c r="A582" s="4" t="s">
        <v>758</v>
      </c>
      <c r="B582" s="13" t="n">
        <v>44988</v>
      </c>
      <c r="C582" s="4" t="s">
        <v>6198</v>
      </c>
      <c r="D582" s="4" t="s">
        <v>6199</v>
      </c>
      <c r="E582" s="4" t="s">
        <v>6195</v>
      </c>
      <c r="F582" s="4"/>
    </row>
    <row r="583" customFormat="false" ht="15" hidden="false" customHeight="true" outlineLevel="0" collapsed="false">
      <c r="A583" s="4" t="s">
        <v>759</v>
      </c>
      <c r="B583" s="13" t="n">
        <v>45367</v>
      </c>
      <c r="C583" s="4" t="s">
        <v>6201</v>
      </c>
      <c r="D583" s="4" t="s">
        <v>6205</v>
      </c>
      <c r="E583" s="4" t="s">
        <v>6208</v>
      </c>
      <c r="F583" s="4" t="s">
        <v>6197</v>
      </c>
    </row>
    <row r="584" customFormat="false" ht="15" hidden="false" customHeight="true" outlineLevel="0" collapsed="false">
      <c r="A584" s="4" t="s">
        <v>760</v>
      </c>
      <c r="B584" s="13" t="n">
        <v>45543</v>
      </c>
      <c r="C584" s="4" t="s">
        <v>6213</v>
      </c>
      <c r="D584" s="4" t="s">
        <v>6206</v>
      </c>
      <c r="E584" s="4" t="s">
        <v>6211</v>
      </c>
      <c r="F584" s="4"/>
    </row>
    <row r="585" customFormat="false" ht="15" hidden="false" customHeight="true" outlineLevel="0" collapsed="false">
      <c r="A585" s="4" t="s">
        <v>761</v>
      </c>
      <c r="B585" s="13" t="n">
        <v>45141</v>
      </c>
      <c r="C585" s="4" t="s">
        <v>6213</v>
      </c>
      <c r="D585" s="4" t="s">
        <v>6206</v>
      </c>
      <c r="E585" s="4" t="s">
        <v>6207</v>
      </c>
      <c r="F585" s="4" t="s">
        <v>6204</v>
      </c>
    </row>
    <row r="586" customFormat="false" ht="15" hidden="false" customHeight="true" outlineLevel="0" collapsed="false">
      <c r="A586" s="4" t="s">
        <v>762</v>
      </c>
      <c r="B586" s="13" t="n">
        <v>45048</v>
      </c>
      <c r="C586" s="4" t="s">
        <v>6210</v>
      </c>
      <c r="D586" s="4" t="s">
        <v>6208</v>
      </c>
      <c r="E586" s="4" t="s">
        <v>6205</v>
      </c>
      <c r="F586" s="4"/>
    </row>
    <row r="587" customFormat="false" ht="15" hidden="false" customHeight="true" outlineLevel="0" collapsed="false">
      <c r="A587" s="4" t="s">
        <v>763</v>
      </c>
      <c r="B587" s="13" t="n">
        <v>45511</v>
      </c>
      <c r="C587" s="4" t="s">
        <v>6198</v>
      </c>
      <c r="D587" s="4" t="s">
        <v>6206</v>
      </c>
      <c r="E587" s="4" t="s">
        <v>6199</v>
      </c>
      <c r="F587" s="4" t="s">
        <v>6204</v>
      </c>
    </row>
    <row r="588" customFormat="false" ht="15" hidden="false" customHeight="true" outlineLevel="0" collapsed="false">
      <c r="A588" s="4" t="s">
        <v>764</v>
      </c>
      <c r="B588" s="13" t="n">
        <v>45186</v>
      </c>
      <c r="C588" s="4" t="s">
        <v>6201</v>
      </c>
      <c r="D588" s="4" t="s">
        <v>6207</v>
      </c>
      <c r="E588" s="4" t="s">
        <v>6205</v>
      </c>
      <c r="F588" s="4"/>
    </row>
    <row r="589" customFormat="false" ht="15" hidden="false" customHeight="true" outlineLevel="0" collapsed="false">
      <c r="A589" s="4" t="s">
        <v>765</v>
      </c>
      <c r="B589" s="13" t="n">
        <v>44944</v>
      </c>
      <c r="C589" s="4" t="s">
        <v>6209</v>
      </c>
      <c r="D589" s="4" t="s">
        <v>6196</v>
      </c>
      <c r="E589" s="4" t="s">
        <v>6205</v>
      </c>
      <c r="F589" s="4" t="s">
        <v>6216</v>
      </c>
    </row>
    <row r="590" customFormat="false" ht="15" hidden="false" customHeight="true" outlineLevel="0" collapsed="false">
      <c r="A590" s="4" t="s">
        <v>766</v>
      </c>
      <c r="B590" s="13" t="n">
        <v>45063</v>
      </c>
      <c r="C590" s="4" t="s">
        <v>6213</v>
      </c>
      <c r="D590" s="4" t="s">
        <v>6205</v>
      </c>
      <c r="E590" s="4" t="s">
        <v>6199</v>
      </c>
      <c r="F590" s="4"/>
    </row>
    <row r="591" customFormat="false" ht="15" hidden="false" customHeight="true" outlineLevel="0" collapsed="false">
      <c r="A591" s="4" t="s">
        <v>767</v>
      </c>
      <c r="B591" s="13" t="n">
        <v>45618</v>
      </c>
      <c r="C591" s="4" t="s">
        <v>6209</v>
      </c>
      <c r="D591" s="4" t="s">
        <v>6207</v>
      </c>
      <c r="E591" s="4" t="s">
        <v>6203</v>
      </c>
      <c r="F591" s="4" t="s">
        <v>6200</v>
      </c>
    </row>
    <row r="592" customFormat="false" ht="15" hidden="false" customHeight="true" outlineLevel="0" collapsed="false">
      <c r="A592" s="4" t="s">
        <v>768</v>
      </c>
      <c r="B592" s="13" t="n">
        <v>45275</v>
      </c>
      <c r="C592" s="4" t="s">
        <v>6201</v>
      </c>
      <c r="D592" s="4" t="s">
        <v>6208</v>
      </c>
      <c r="E592" s="4" t="s">
        <v>6195</v>
      </c>
      <c r="F592" s="4"/>
    </row>
    <row r="593" customFormat="false" ht="15" hidden="false" customHeight="true" outlineLevel="0" collapsed="false">
      <c r="A593" s="4" t="s">
        <v>769</v>
      </c>
      <c r="B593" s="13" t="n">
        <v>45182</v>
      </c>
      <c r="C593" s="4" t="s">
        <v>6198</v>
      </c>
      <c r="D593" s="4" t="s">
        <v>6208</v>
      </c>
      <c r="E593" s="4" t="s">
        <v>6208</v>
      </c>
      <c r="F593" s="4" t="s">
        <v>6214</v>
      </c>
    </row>
    <row r="594" customFormat="false" ht="15" hidden="false" customHeight="true" outlineLevel="0" collapsed="false">
      <c r="A594" s="4" t="s">
        <v>770</v>
      </c>
      <c r="B594" s="13" t="n">
        <v>45307</v>
      </c>
      <c r="C594" s="4" t="s">
        <v>6201</v>
      </c>
      <c r="D594" s="4" t="s">
        <v>6207</v>
      </c>
      <c r="E594" s="4" t="s">
        <v>6208</v>
      </c>
      <c r="F594" s="4" t="s">
        <v>6212</v>
      </c>
    </row>
    <row r="595" customFormat="false" ht="15" hidden="false" customHeight="true" outlineLevel="0" collapsed="false">
      <c r="A595" s="4" t="s">
        <v>771</v>
      </c>
      <c r="B595" s="13" t="n">
        <v>45314</v>
      </c>
      <c r="C595" s="4" t="s">
        <v>6194</v>
      </c>
      <c r="D595" s="4" t="s">
        <v>6199</v>
      </c>
      <c r="E595" s="4" t="s">
        <v>6208</v>
      </c>
      <c r="F595" s="4"/>
    </row>
    <row r="596" customFormat="false" ht="15" hidden="false" customHeight="true" outlineLevel="0" collapsed="false">
      <c r="A596" s="4" t="s">
        <v>772</v>
      </c>
      <c r="B596" s="13" t="n">
        <v>45547</v>
      </c>
      <c r="C596" s="4" t="s">
        <v>6209</v>
      </c>
      <c r="D596" s="4" t="s">
        <v>6202</v>
      </c>
      <c r="E596" s="4" t="s">
        <v>6205</v>
      </c>
      <c r="F596" s="4"/>
    </row>
    <row r="597" customFormat="false" ht="15" hidden="false" customHeight="true" outlineLevel="0" collapsed="false">
      <c r="A597" s="4" t="s">
        <v>773</v>
      </c>
      <c r="B597" s="13" t="n">
        <v>45188</v>
      </c>
      <c r="C597" s="4" t="s">
        <v>6215</v>
      </c>
      <c r="D597" s="4" t="s">
        <v>6207</v>
      </c>
      <c r="E597" s="4" t="s">
        <v>6202</v>
      </c>
      <c r="F597" s="4" t="s">
        <v>6197</v>
      </c>
    </row>
    <row r="598" customFormat="false" ht="15" hidden="false" customHeight="true" outlineLevel="0" collapsed="false">
      <c r="A598" s="4" t="s">
        <v>774</v>
      </c>
      <c r="B598" s="13" t="n">
        <v>44953</v>
      </c>
      <c r="C598" s="4" t="s">
        <v>6201</v>
      </c>
      <c r="D598" s="4" t="s">
        <v>6207</v>
      </c>
      <c r="E598" s="4" t="s">
        <v>6195</v>
      </c>
      <c r="F598" s="4" t="s">
        <v>6212</v>
      </c>
    </row>
    <row r="599" customFormat="false" ht="15" hidden="false" customHeight="true" outlineLevel="0" collapsed="false">
      <c r="A599" s="4" t="s">
        <v>775</v>
      </c>
      <c r="B599" s="13" t="n">
        <v>45370</v>
      </c>
      <c r="C599" s="4" t="s">
        <v>6198</v>
      </c>
      <c r="D599" s="4" t="s">
        <v>6206</v>
      </c>
      <c r="E599" s="4" t="s">
        <v>6199</v>
      </c>
      <c r="F599" s="4" t="s">
        <v>6212</v>
      </c>
    </row>
    <row r="600" customFormat="false" ht="15" hidden="false" customHeight="true" outlineLevel="0" collapsed="false">
      <c r="A600" s="4" t="s">
        <v>776</v>
      </c>
      <c r="B600" s="13" t="n">
        <v>45472</v>
      </c>
      <c r="C600" s="4" t="s">
        <v>6210</v>
      </c>
      <c r="D600" s="4" t="s">
        <v>6206</v>
      </c>
      <c r="E600" s="4" t="s">
        <v>6206</v>
      </c>
      <c r="F600" s="4" t="s">
        <v>6214</v>
      </c>
    </row>
    <row r="601" customFormat="false" ht="15" hidden="false" customHeight="true" outlineLevel="0" collapsed="false">
      <c r="A601" s="4" t="s">
        <v>777</v>
      </c>
      <c r="B601" s="13" t="n">
        <v>45658</v>
      </c>
      <c r="C601" s="4" t="s">
        <v>6198</v>
      </c>
      <c r="D601" s="4" t="s">
        <v>6208</v>
      </c>
      <c r="E601" s="4" t="s">
        <v>6202</v>
      </c>
      <c r="F601" s="4" t="s">
        <v>6216</v>
      </c>
    </row>
    <row r="602" customFormat="false" ht="15" hidden="false" customHeight="true" outlineLevel="0" collapsed="false">
      <c r="A602" s="4" t="s">
        <v>778</v>
      </c>
      <c r="B602" s="13" t="n">
        <v>45120</v>
      </c>
      <c r="C602" s="4" t="s">
        <v>6210</v>
      </c>
      <c r="D602" s="4" t="s">
        <v>6203</v>
      </c>
      <c r="E602" s="4" t="s">
        <v>6205</v>
      </c>
      <c r="F602" s="4" t="s">
        <v>6212</v>
      </c>
    </row>
    <row r="603" customFormat="false" ht="15" hidden="false" customHeight="true" outlineLevel="0" collapsed="false">
      <c r="A603" s="4" t="s">
        <v>779</v>
      </c>
      <c r="B603" s="13" t="n">
        <v>45184</v>
      </c>
      <c r="C603" s="4" t="s">
        <v>6201</v>
      </c>
      <c r="D603" s="4" t="s">
        <v>6211</v>
      </c>
      <c r="E603" s="4" t="s">
        <v>6202</v>
      </c>
      <c r="F603" s="4" t="s">
        <v>6197</v>
      </c>
    </row>
    <row r="604" customFormat="false" ht="15" hidden="false" customHeight="true" outlineLevel="0" collapsed="false">
      <c r="A604" s="4" t="s">
        <v>780</v>
      </c>
      <c r="B604" s="13" t="n">
        <v>45428</v>
      </c>
      <c r="C604" s="4" t="s">
        <v>6209</v>
      </c>
      <c r="D604" s="4" t="s">
        <v>6195</v>
      </c>
      <c r="E604" s="4" t="s">
        <v>6203</v>
      </c>
      <c r="F604" s="4"/>
    </row>
    <row r="605" customFormat="false" ht="15" hidden="false" customHeight="true" outlineLevel="0" collapsed="false">
      <c r="A605" s="4" t="s">
        <v>781</v>
      </c>
      <c r="B605" s="13" t="n">
        <v>45214</v>
      </c>
      <c r="C605" s="4" t="s">
        <v>6215</v>
      </c>
      <c r="D605" s="4" t="s">
        <v>6206</v>
      </c>
      <c r="E605" s="4" t="s">
        <v>6206</v>
      </c>
      <c r="F605" s="4"/>
    </row>
    <row r="606" customFormat="false" ht="15" hidden="false" customHeight="true" outlineLevel="0" collapsed="false">
      <c r="A606" s="4" t="s">
        <v>782</v>
      </c>
      <c r="B606" s="13" t="n">
        <v>45598</v>
      </c>
      <c r="C606" s="4" t="s">
        <v>6213</v>
      </c>
      <c r="D606" s="4" t="s">
        <v>6208</v>
      </c>
      <c r="E606" s="4" t="s">
        <v>6202</v>
      </c>
      <c r="F606" s="4"/>
    </row>
    <row r="607" customFormat="false" ht="15" hidden="false" customHeight="true" outlineLevel="0" collapsed="false">
      <c r="A607" s="4" t="s">
        <v>783</v>
      </c>
      <c r="B607" s="13" t="n">
        <v>45633</v>
      </c>
      <c r="C607" s="4" t="s">
        <v>6198</v>
      </c>
      <c r="D607" s="4" t="s">
        <v>6205</v>
      </c>
      <c r="E607" s="4" t="s">
        <v>6205</v>
      </c>
      <c r="F607" s="4"/>
    </row>
    <row r="608" customFormat="false" ht="15" hidden="false" customHeight="true" outlineLevel="0" collapsed="false">
      <c r="A608" s="4" t="s">
        <v>784</v>
      </c>
      <c r="B608" s="13" t="n">
        <v>45524</v>
      </c>
      <c r="C608" s="4" t="s">
        <v>6210</v>
      </c>
      <c r="D608" s="4" t="s">
        <v>6211</v>
      </c>
      <c r="E608" s="4" t="s">
        <v>6202</v>
      </c>
      <c r="F608" s="4" t="s">
        <v>6214</v>
      </c>
    </row>
    <row r="609" customFormat="false" ht="15" hidden="false" customHeight="true" outlineLevel="0" collapsed="false">
      <c r="A609" s="4" t="s">
        <v>785</v>
      </c>
      <c r="B609" s="13" t="n">
        <v>45186</v>
      </c>
      <c r="C609" s="4" t="s">
        <v>6198</v>
      </c>
      <c r="D609" s="4" t="s">
        <v>6205</v>
      </c>
      <c r="E609" s="4" t="s">
        <v>6195</v>
      </c>
      <c r="F609" s="4"/>
    </row>
    <row r="610" customFormat="false" ht="15" hidden="false" customHeight="true" outlineLevel="0" collapsed="false">
      <c r="A610" s="4" t="s">
        <v>786</v>
      </c>
      <c r="B610" s="13" t="n">
        <v>45160</v>
      </c>
      <c r="C610" s="4" t="s">
        <v>6215</v>
      </c>
      <c r="D610" s="4" t="s">
        <v>6195</v>
      </c>
      <c r="E610" s="4" t="s">
        <v>6207</v>
      </c>
      <c r="F610" s="4" t="s">
        <v>6216</v>
      </c>
    </row>
    <row r="611" customFormat="false" ht="15" hidden="false" customHeight="true" outlineLevel="0" collapsed="false">
      <c r="A611" s="4" t="s">
        <v>787</v>
      </c>
      <c r="B611" s="13" t="n">
        <v>45261</v>
      </c>
      <c r="C611" s="4" t="s">
        <v>6213</v>
      </c>
      <c r="D611" s="4" t="s">
        <v>6199</v>
      </c>
      <c r="E611" s="4" t="s">
        <v>6208</v>
      </c>
      <c r="F611" s="4" t="s">
        <v>6200</v>
      </c>
    </row>
    <row r="612" customFormat="false" ht="15" hidden="false" customHeight="true" outlineLevel="0" collapsed="false">
      <c r="A612" s="4" t="s">
        <v>788</v>
      </c>
      <c r="B612" s="13" t="n">
        <v>45023</v>
      </c>
      <c r="C612" s="4" t="s">
        <v>6215</v>
      </c>
      <c r="D612" s="4" t="s">
        <v>6195</v>
      </c>
      <c r="E612" s="4" t="s">
        <v>6203</v>
      </c>
      <c r="F612" s="4"/>
    </row>
    <row r="613" customFormat="false" ht="15" hidden="false" customHeight="true" outlineLevel="0" collapsed="false">
      <c r="A613" s="4" t="s">
        <v>789</v>
      </c>
      <c r="B613" s="13" t="n">
        <v>45155</v>
      </c>
      <c r="C613" s="4" t="s">
        <v>6194</v>
      </c>
      <c r="D613" s="4" t="s">
        <v>6202</v>
      </c>
      <c r="E613" s="4" t="s">
        <v>6211</v>
      </c>
      <c r="F613" s="4" t="s">
        <v>6214</v>
      </c>
    </row>
    <row r="614" customFormat="false" ht="15" hidden="false" customHeight="true" outlineLevel="0" collapsed="false">
      <c r="A614" s="4" t="s">
        <v>790</v>
      </c>
      <c r="B614" s="13" t="n">
        <v>45207</v>
      </c>
      <c r="C614" s="4" t="s">
        <v>6198</v>
      </c>
      <c r="D614" s="4" t="s">
        <v>6208</v>
      </c>
      <c r="E614" s="4" t="s">
        <v>6208</v>
      </c>
      <c r="F614" s="4" t="s">
        <v>6216</v>
      </c>
    </row>
    <row r="615" customFormat="false" ht="15" hidden="false" customHeight="true" outlineLevel="0" collapsed="false">
      <c r="A615" s="4" t="s">
        <v>791</v>
      </c>
      <c r="B615" s="13" t="n">
        <v>45520</v>
      </c>
      <c r="C615" s="4" t="s">
        <v>6201</v>
      </c>
      <c r="D615" s="4" t="s">
        <v>6203</v>
      </c>
      <c r="E615" s="4" t="s">
        <v>6206</v>
      </c>
      <c r="F615" s="4" t="s">
        <v>6212</v>
      </c>
    </row>
    <row r="616" customFormat="false" ht="15" hidden="false" customHeight="true" outlineLevel="0" collapsed="false">
      <c r="A616" s="4" t="s">
        <v>792</v>
      </c>
      <c r="B616" s="13" t="n">
        <v>45170</v>
      </c>
      <c r="C616" s="4" t="s">
        <v>6198</v>
      </c>
      <c r="D616" s="4" t="s">
        <v>6196</v>
      </c>
      <c r="E616" s="4" t="s">
        <v>6206</v>
      </c>
      <c r="F616" s="4"/>
    </row>
    <row r="617" customFormat="false" ht="15" hidden="false" customHeight="true" outlineLevel="0" collapsed="false">
      <c r="A617" s="4" t="s">
        <v>793</v>
      </c>
      <c r="B617" s="13" t="n">
        <v>45495</v>
      </c>
      <c r="C617" s="4" t="s">
        <v>6215</v>
      </c>
      <c r="D617" s="4" t="s">
        <v>6199</v>
      </c>
      <c r="E617" s="4" t="s">
        <v>6195</v>
      </c>
      <c r="F617" s="4"/>
    </row>
    <row r="618" customFormat="false" ht="15" hidden="false" customHeight="true" outlineLevel="0" collapsed="false">
      <c r="A618" s="4" t="s">
        <v>794</v>
      </c>
      <c r="B618" s="13" t="n">
        <v>45149</v>
      </c>
      <c r="C618" s="4" t="s">
        <v>6215</v>
      </c>
      <c r="D618" s="4" t="s">
        <v>6199</v>
      </c>
      <c r="E618" s="4" t="s">
        <v>6199</v>
      </c>
      <c r="F618" s="4" t="s">
        <v>6204</v>
      </c>
    </row>
    <row r="619" customFormat="false" ht="15" hidden="false" customHeight="true" outlineLevel="0" collapsed="false">
      <c r="A619" s="4" t="s">
        <v>795</v>
      </c>
      <c r="B619" s="13" t="n">
        <v>45539</v>
      </c>
      <c r="C619" s="4" t="s">
        <v>6215</v>
      </c>
      <c r="D619" s="4" t="s">
        <v>6205</v>
      </c>
      <c r="E619" s="4" t="s">
        <v>6195</v>
      </c>
      <c r="F619" s="4" t="s">
        <v>6212</v>
      </c>
    </row>
    <row r="620" customFormat="false" ht="15" hidden="false" customHeight="true" outlineLevel="0" collapsed="false">
      <c r="A620" s="4" t="s">
        <v>796</v>
      </c>
      <c r="B620" s="13" t="n">
        <v>45544</v>
      </c>
      <c r="C620" s="4" t="s">
        <v>6198</v>
      </c>
      <c r="D620" s="4" t="s">
        <v>6196</v>
      </c>
      <c r="E620" s="4" t="s">
        <v>6202</v>
      </c>
      <c r="F620" s="4"/>
    </row>
    <row r="621" customFormat="false" ht="15" hidden="false" customHeight="true" outlineLevel="0" collapsed="false">
      <c r="A621" s="4" t="s">
        <v>797</v>
      </c>
      <c r="B621" s="13" t="n">
        <v>44993</v>
      </c>
      <c r="C621" s="4" t="s">
        <v>6210</v>
      </c>
      <c r="D621" s="4" t="s">
        <v>6196</v>
      </c>
      <c r="E621" s="4" t="s">
        <v>6207</v>
      </c>
      <c r="F621" s="4" t="s">
        <v>6200</v>
      </c>
    </row>
    <row r="622" customFormat="false" ht="15" hidden="false" customHeight="true" outlineLevel="0" collapsed="false">
      <c r="A622" s="4" t="s">
        <v>798</v>
      </c>
      <c r="B622" s="13" t="n">
        <v>45388</v>
      </c>
      <c r="C622" s="4" t="s">
        <v>6209</v>
      </c>
      <c r="D622" s="4" t="s">
        <v>6195</v>
      </c>
      <c r="E622" s="4" t="s">
        <v>6195</v>
      </c>
      <c r="F622" s="4"/>
    </row>
    <row r="623" customFormat="false" ht="15" hidden="false" customHeight="true" outlineLevel="0" collapsed="false">
      <c r="A623" s="4" t="s">
        <v>799</v>
      </c>
      <c r="B623" s="13" t="n">
        <v>45206</v>
      </c>
      <c r="C623" s="4" t="s">
        <v>6210</v>
      </c>
      <c r="D623" s="4" t="s">
        <v>6205</v>
      </c>
      <c r="E623" s="4" t="s">
        <v>6207</v>
      </c>
      <c r="F623" s="4"/>
    </row>
    <row r="624" customFormat="false" ht="15" hidden="false" customHeight="true" outlineLevel="0" collapsed="false">
      <c r="A624" s="4" t="s">
        <v>800</v>
      </c>
      <c r="B624" s="13" t="n">
        <v>45176</v>
      </c>
      <c r="C624" s="4" t="s">
        <v>6209</v>
      </c>
      <c r="D624" s="4" t="s">
        <v>6203</v>
      </c>
      <c r="E624" s="4" t="s">
        <v>6203</v>
      </c>
      <c r="F624" s="4" t="s">
        <v>6216</v>
      </c>
    </row>
    <row r="625" customFormat="false" ht="15" hidden="false" customHeight="true" outlineLevel="0" collapsed="false">
      <c r="A625" s="4" t="s">
        <v>801</v>
      </c>
      <c r="B625" s="13" t="n">
        <v>45164</v>
      </c>
      <c r="C625" s="4" t="s">
        <v>6215</v>
      </c>
      <c r="D625" s="4" t="s">
        <v>6205</v>
      </c>
      <c r="E625" s="4" t="s">
        <v>6207</v>
      </c>
      <c r="F625" s="4" t="s">
        <v>6197</v>
      </c>
    </row>
    <row r="626" customFormat="false" ht="15" hidden="false" customHeight="true" outlineLevel="0" collapsed="false">
      <c r="A626" s="4" t="s">
        <v>802</v>
      </c>
      <c r="B626" s="13" t="n">
        <v>45383</v>
      </c>
      <c r="C626" s="4" t="s">
        <v>6198</v>
      </c>
      <c r="D626" s="4" t="s">
        <v>6208</v>
      </c>
      <c r="E626" s="4" t="s">
        <v>6211</v>
      </c>
      <c r="F626" s="4"/>
    </row>
    <row r="627" customFormat="false" ht="15" hidden="false" customHeight="true" outlineLevel="0" collapsed="false">
      <c r="A627" s="4" t="s">
        <v>803</v>
      </c>
      <c r="B627" s="13" t="n">
        <v>45459</v>
      </c>
      <c r="C627" s="4" t="s">
        <v>6194</v>
      </c>
      <c r="D627" s="4" t="s">
        <v>6206</v>
      </c>
      <c r="E627" s="4" t="s">
        <v>6211</v>
      </c>
      <c r="F627" s="4" t="s">
        <v>6200</v>
      </c>
    </row>
    <row r="628" customFormat="false" ht="15" hidden="false" customHeight="true" outlineLevel="0" collapsed="false">
      <c r="A628" s="4" t="s">
        <v>804</v>
      </c>
      <c r="B628" s="13" t="n">
        <v>45224</v>
      </c>
      <c r="C628" s="4" t="s">
        <v>6210</v>
      </c>
      <c r="D628" s="4" t="s">
        <v>6203</v>
      </c>
      <c r="E628" s="4" t="s">
        <v>6206</v>
      </c>
      <c r="F628" s="4" t="s">
        <v>6214</v>
      </c>
    </row>
    <row r="629" customFormat="false" ht="15" hidden="false" customHeight="true" outlineLevel="0" collapsed="false">
      <c r="A629" s="4" t="s">
        <v>805</v>
      </c>
      <c r="B629" s="13" t="n">
        <v>45092</v>
      </c>
      <c r="C629" s="4" t="s">
        <v>6210</v>
      </c>
      <c r="D629" s="4" t="s">
        <v>6195</v>
      </c>
      <c r="E629" s="4" t="s">
        <v>6202</v>
      </c>
      <c r="F629" s="4" t="s">
        <v>6200</v>
      </c>
    </row>
    <row r="630" customFormat="false" ht="15" hidden="false" customHeight="true" outlineLevel="0" collapsed="false">
      <c r="A630" s="4" t="s">
        <v>806</v>
      </c>
      <c r="B630" s="13" t="n">
        <v>45279</v>
      </c>
      <c r="C630" s="4" t="s">
        <v>6198</v>
      </c>
      <c r="D630" s="4" t="s">
        <v>6196</v>
      </c>
      <c r="E630" s="4" t="s">
        <v>6203</v>
      </c>
      <c r="F630" s="4" t="s">
        <v>6200</v>
      </c>
    </row>
    <row r="631" customFormat="false" ht="15" hidden="false" customHeight="true" outlineLevel="0" collapsed="false">
      <c r="A631" s="4" t="s">
        <v>807</v>
      </c>
      <c r="B631" s="13" t="n">
        <v>45169</v>
      </c>
      <c r="C631" s="4" t="s">
        <v>6210</v>
      </c>
      <c r="D631" s="4" t="s">
        <v>6206</v>
      </c>
      <c r="E631" s="4" t="s">
        <v>6205</v>
      </c>
      <c r="F631" s="4" t="s">
        <v>6204</v>
      </c>
    </row>
    <row r="632" customFormat="false" ht="15" hidden="false" customHeight="true" outlineLevel="0" collapsed="false">
      <c r="A632" s="4" t="s">
        <v>808</v>
      </c>
      <c r="B632" s="13" t="n">
        <v>45442</v>
      </c>
      <c r="C632" s="4" t="s">
        <v>6201</v>
      </c>
      <c r="D632" s="4" t="s">
        <v>6206</v>
      </c>
      <c r="E632" s="4" t="s">
        <v>6207</v>
      </c>
      <c r="F632" s="4"/>
    </row>
    <row r="633" customFormat="false" ht="15" hidden="false" customHeight="true" outlineLevel="0" collapsed="false">
      <c r="A633" s="4" t="s">
        <v>809</v>
      </c>
      <c r="B633" s="13" t="n">
        <v>45543</v>
      </c>
      <c r="C633" s="4" t="s">
        <v>6194</v>
      </c>
      <c r="D633" s="4" t="s">
        <v>6202</v>
      </c>
      <c r="E633" s="4" t="s">
        <v>6207</v>
      </c>
      <c r="F633" s="4"/>
    </row>
    <row r="634" customFormat="false" ht="15" hidden="false" customHeight="true" outlineLevel="0" collapsed="false">
      <c r="A634" s="4" t="s">
        <v>810</v>
      </c>
      <c r="B634" s="13" t="n">
        <v>45279</v>
      </c>
      <c r="C634" s="4" t="s">
        <v>6210</v>
      </c>
      <c r="D634" s="4" t="s">
        <v>6195</v>
      </c>
      <c r="E634" s="4" t="s">
        <v>6207</v>
      </c>
      <c r="F634" s="4" t="s">
        <v>6200</v>
      </c>
    </row>
    <row r="635" customFormat="false" ht="15" hidden="false" customHeight="true" outlineLevel="0" collapsed="false">
      <c r="A635" s="4" t="s">
        <v>811</v>
      </c>
      <c r="B635" s="13" t="n">
        <v>44986</v>
      </c>
      <c r="C635" s="4" t="s">
        <v>6215</v>
      </c>
      <c r="D635" s="4" t="s">
        <v>6202</v>
      </c>
      <c r="E635" s="4" t="s">
        <v>6211</v>
      </c>
      <c r="F635" s="4" t="s">
        <v>6204</v>
      </c>
    </row>
    <row r="636" customFormat="false" ht="15" hidden="false" customHeight="true" outlineLevel="0" collapsed="false">
      <c r="A636" s="4" t="s">
        <v>812</v>
      </c>
      <c r="B636" s="13" t="n">
        <v>45304</v>
      </c>
      <c r="C636" s="4" t="s">
        <v>6210</v>
      </c>
      <c r="D636" s="4" t="s">
        <v>6206</v>
      </c>
      <c r="E636" s="4" t="s">
        <v>6199</v>
      </c>
      <c r="F636" s="4" t="s">
        <v>6204</v>
      </c>
    </row>
    <row r="637" customFormat="false" ht="15" hidden="false" customHeight="true" outlineLevel="0" collapsed="false">
      <c r="A637" s="4" t="s">
        <v>813</v>
      </c>
      <c r="B637" s="13" t="n">
        <v>45128</v>
      </c>
      <c r="C637" s="4" t="s">
        <v>6215</v>
      </c>
      <c r="D637" s="4" t="s">
        <v>6206</v>
      </c>
      <c r="E637" s="4" t="s">
        <v>6205</v>
      </c>
      <c r="F637" s="4" t="s">
        <v>6200</v>
      </c>
    </row>
    <row r="638" customFormat="false" ht="15" hidden="false" customHeight="true" outlineLevel="0" collapsed="false">
      <c r="A638" s="4" t="s">
        <v>814</v>
      </c>
      <c r="B638" s="13" t="n">
        <v>45329</v>
      </c>
      <c r="C638" s="4" t="s">
        <v>6194</v>
      </c>
      <c r="D638" s="4" t="s">
        <v>6199</v>
      </c>
      <c r="E638" s="4" t="s">
        <v>6207</v>
      </c>
      <c r="F638" s="4" t="s">
        <v>6212</v>
      </c>
    </row>
    <row r="639" customFormat="false" ht="15" hidden="false" customHeight="true" outlineLevel="0" collapsed="false">
      <c r="A639" s="4" t="s">
        <v>815</v>
      </c>
      <c r="B639" s="13" t="n">
        <v>45206</v>
      </c>
      <c r="C639" s="4" t="s">
        <v>6201</v>
      </c>
      <c r="D639" s="4" t="s">
        <v>6202</v>
      </c>
      <c r="E639" s="4" t="s">
        <v>6203</v>
      </c>
      <c r="F639" s="4" t="s">
        <v>6214</v>
      </c>
    </row>
    <row r="640" customFormat="false" ht="15" hidden="false" customHeight="true" outlineLevel="0" collapsed="false">
      <c r="A640" s="4" t="s">
        <v>816</v>
      </c>
      <c r="B640" s="13" t="n">
        <v>45174</v>
      </c>
      <c r="C640" s="4" t="s">
        <v>6209</v>
      </c>
      <c r="D640" s="4" t="s">
        <v>6202</v>
      </c>
      <c r="E640" s="4" t="s">
        <v>6205</v>
      </c>
      <c r="F640" s="4" t="s">
        <v>6200</v>
      </c>
    </row>
    <row r="641" customFormat="false" ht="15" hidden="false" customHeight="true" outlineLevel="0" collapsed="false">
      <c r="A641" s="4" t="s">
        <v>817</v>
      </c>
      <c r="B641" s="13" t="n">
        <v>45495</v>
      </c>
      <c r="C641" s="4" t="s">
        <v>6198</v>
      </c>
      <c r="D641" s="4" t="s">
        <v>6207</v>
      </c>
      <c r="E641" s="4" t="s">
        <v>6205</v>
      </c>
      <c r="F641" s="4" t="s">
        <v>6212</v>
      </c>
    </row>
    <row r="642" customFormat="false" ht="15" hidden="false" customHeight="true" outlineLevel="0" collapsed="false">
      <c r="A642" s="4" t="s">
        <v>818</v>
      </c>
      <c r="B642" s="13" t="n">
        <v>45398</v>
      </c>
      <c r="C642" s="4" t="s">
        <v>6201</v>
      </c>
      <c r="D642" s="4" t="s">
        <v>6211</v>
      </c>
      <c r="E642" s="4" t="s">
        <v>6203</v>
      </c>
      <c r="F642" s="4" t="s">
        <v>6197</v>
      </c>
    </row>
    <row r="643" customFormat="false" ht="15" hidden="false" customHeight="true" outlineLevel="0" collapsed="false">
      <c r="A643" s="4" t="s">
        <v>819</v>
      </c>
      <c r="B643" s="13" t="n">
        <v>44973</v>
      </c>
      <c r="C643" s="4" t="s">
        <v>6194</v>
      </c>
      <c r="D643" s="4" t="s">
        <v>6203</v>
      </c>
      <c r="E643" s="4" t="s">
        <v>6205</v>
      </c>
      <c r="F643" s="4" t="s">
        <v>6212</v>
      </c>
    </row>
    <row r="644" customFormat="false" ht="15" hidden="false" customHeight="true" outlineLevel="0" collapsed="false">
      <c r="A644" s="4" t="s">
        <v>820</v>
      </c>
      <c r="B644" s="13" t="n">
        <v>45307</v>
      </c>
      <c r="C644" s="4" t="s">
        <v>6198</v>
      </c>
      <c r="D644" s="4" t="s">
        <v>6205</v>
      </c>
      <c r="E644" s="4" t="s">
        <v>6207</v>
      </c>
      <c r="F644" s="4"/>
    </row>
    <row r="645" customFormat="false" ht="15" hidden="false" customHeight="true" outlineLevel="0" collapsed="false">
      <c r="A645" s="4" t="s">
        <v>821</v>
      </c>
      <c r="B645" s="13" t="n">
        <v>44973</v>
      </c>
      <c r="C645" s="4" t="s">
        <v>6198</v>
      </c>
      <c r="D645" s="4" t="s">
        <v>6196</v>
      </c>
      <c r="E645" s="4" t="s">
        <v>6207</v>
      </c>
      <c r="F645" s="4"/>
    </row>
    <row r="646" customFormat="false" ht="15" hidden="false" customHeight="true" outlineLevel="0" collapsed="false">
      <c r="A646" s="4" t="s">
        <v>822</v>
      </c>
      <c r="B646" s="13" t="n">
        <v>45306</v>
      </c>
      <c r="C646" s="4" t="s">
        <v>6213</v>
      </c>
      <c r="D646" s="4" t="s">
        <v>6199</v>
      </c>
      <c r="E646" s="4" t="s">
        <v>6205</v>
      </c>
      <c r="F646" s="4" t="s">
        <v>6214</v>
      </c>
    </row>
    <row r="647" customFormat="false" ht="15" hidden="false" customHeight="true" outlineLevel="0" collapsed="false">
      <c r="A647" s="4" t="s">
        <v>823</v>
      </c>
      <c r="B647" s="13" t="n">
        <v>45312</v>
      </c>
      <c r="C647" s="4" t="s">
        <v>6198</v>
      </c>
      <c r="D647" s="4" t="s">
        <v>6211</v>
      </c>
      <c r="E647" s="4" t="s">
        <v>6208</v>
      </c>
      <c r="F647" s="4" t="s">
        <v>6200</v>
      </c>
    </row>
    <row r="648" customFormat="false" ht="15" hidden="false" customHeight="true" outlineLevel="0" collapsed="false">
      <c r="A648" s="4" t="s">
        <v>824</v>
      </c>
      <c r="B648" s="13" t="n">
        <v>45296</v>
      </c>
      <c r="C648" s="4" t="s">
        <v>6198</v>
      </c>
      <c r="D648" s="4" t="s">
        <v>6211</v>
      </c>
      <c r="E648" s="4" t="s">
        <v>6206</v>
      </c>
      <c r="F648" s="4"/>
    </row>
    <row r="649" customFormat="false" ht="15" hidden="false" customHeight="true" outlineLevel="0" collapsed="false">
      <c r="A649" s="4" t="s">
        <v>825</v>
      </c>
      <c r="B649" s="13" t="n">
        <v>45649</v>
      </c>
      <c r="C649" s="4" t="s">
        <v>6201</v>
      </c>
      <c r="D649" s="4" t="s">
        <v>6199</v>
      </c>
      <c r="E649" s="4" t="s">
        <v>6196</v>
      </c>
      <c r="F649" s="4" t="s">
        <v>6200</v>
      </c>
    </row>
    <row r="650" customFormat="false" ht="15" hidden="false" customHeight="true" outlineLevel="0" collapsed="false">
      <c r="A650" s="4" t="s">
        <v>826</v>
      </c>
      <c r="B650" s="13" t="n">
        <v>45021</v>
      </c>
      <c r="C650" s="4" t="s">
        <v>6210</v>
      </c>
      <c r="D650" s="4" t="s">
        <v>6195</v>
      </c>
      <c r="E650" s="4" t="s">
        <v>6203</v>
      </c>
      <c r="F650" s="4"/>
    </row>
    <row r="651" customFormat="false" ht="15" hidden="false" customHeight="true" outlineLevel="0" collapsed="false">
      <c r="A651" s="4" t="s">
        <v>827</v>
      </c>
      <c r="B651" s="13" t="n">
        <v>44979</v>
      </c>
      <c r="C651" s="4" t="s">
        <v>6210</v>
      </c>
      <c r="D651" s="4" t="s">
        <v>6206</v>
      </c>
      <c r="E651" s="4" t="s">
        <v>6207</v>
      </c>
      <c r="F651" s="4" t="s">
        <v>6216</v>
      </c>
    </row>
    <row r="652" customFormat="false" ht="15" hidden="false" customHeight="true" outlineLevel="0" collapsed="false">
      <c r="A652" s="4" t="s">
        <v>828</v>
      </c>
      <c r="B652" s="13" t="n">
        <v>45220</v>
      </c>
      <c r="C652" s="4" t="s">
        <v>6210</v>
      </c>
      <c r="D652" s="4" t="s">
        <v>6203</v>
      </c>
      <c r="E652" s="4" t="s">
        <v>6208</v>
      </c>
      <c r="F652" s="4"/>
    </row>
    <row r="653" customFormat="false" ht="15" hidden="false" customHeight="true" outlineLevel="0" collapsed="false">
      <c r="A653" s="4" t="s">
        <v>829</v>
      </c>
      <c r="B653" s="13" t="n">
        <v>45542</v>
      </c>
      <c r="C653" s="4" t="s">
        <v>6194</v>
      </c>
      <c r="D653" s="4" t="s">
        <v>6208</v>
      </c>
      <c r="E653" s="4" t="s">
        <v>6208</v>
      </c>
      <c r="F653" s="4"/>
    </row>
    <row r="654" customFormat="false" ht="15" hidden="false" customHeight="true" outlineLevel="0" collapsed="false">
      <c r="A654" s="4" t="s">
        <v>830</v>
      </c>
      <c r="B654" s="13" t="n">
        <v>45211</v>
      </c>
      <c r="C654" s="4" t="s">
        <v>6198</v>
      </c>
      <c r="D654" s="4" t="s">
        <v>6208</v>
      </c>
      <c r="E654" s="4" t="s">
        <v>6211</v>
      </c>
      <c r="F654" s="4"/>
    </row>
    <row r="655" customFormat="false" ht="15" hidden="false" customHeight="true" outlineLevel="0" collapsed="false">
      <c r="A655" s="4" t="s">
        <v>831</v>
      </c>
      <c r="B655" s="13" t="n">
        <v>45501</v>
      </c>
      <c r="C655" s="4" t="s">
        <v>6194</v>
      </c>
      <c r="D655" s="4" t="s">
        <v>6208</v>
      </c>
      <c r="E655" s="4" t="s">
        <v>6196</v>
      </c>
      <c r="F655" s="4" t="s">
        <v>6216</v>
      </c>
    </row>
    <row r="656" customFormat="false" ht="15" hidden="false" customHeight="true" outlineLevel="0" collapsed="false">
      <c r="A656" s="4" t="s">
        <v>832</v>
      </c>
      <c r="B656" s="13" t="n">
        <v>45181</v>
      </c>
      <c r="C656" s="4" t="s">
        <v>6213</v>
      </c>
      <c r="D656" s="4" t="s">
        <v>6207</v>
      </c>
      <c r="E656" s="4" t="s">
        <v>6205</v>
      </c>
      <c r="F656" s="4" t="s">
        <v>6197</v>
      </c>
    </row>
    <row r="657" customFormat="false" ht="15" hidden="false" customHeight="true" outlineLevel="0" collapsed="false">
      <c r="A657" s="4" t="s">
        <v>833</v>
      </c>
      <c r="B657" s="13" t="n">
        <v>45575</v>
      </c>
      <c r="C657" s="4" t="s">
        <v>6215</v>
      </c>
      <c r="D657" s="4" t="s">
        <v>6205</v>
      </c>
      <c r="E657" s="4" t="s">
        <v>6208</v>
      </c>
      <c r="F657" s="4" t="s">
        <v>6200</v>
      </c>
    </row>
    <row r="658" customFormat="false" ht="15" hidden="false" customHeight="true" outlineLevel="0" collapsed="false">
      <c r="A658" s="4" t="s">
        <v>834</v>
      </c>
      <c r="B658" s="13" t="n">
        <v>45265</v>
      </c>
      <c r="C658" s="4" t="s">
        <v>6198</v>
      </c>
      <c r="D658" s="4" t="s">
        <v>6199</v>
      </c>
      <c r="E658" s="4" t="s">
        <v>6195</v>
      </c>
      <c r="F658" s="4" t="s">
        <v>6216</v>
      </c>
    </row>
    <row r="659" customFormat="false" ht="15" hidden="false" customHeight="true" outlineLevel="0" collapsed="false">
      <c r="A659" s="4" t="s">
        <v>835</v>
      </c>
      <c r="B659" s="13" t="n">
        <v>45291</v>
      </c>
      <c r="C659" s="4" t="s">
        <v>6209</v>
      </c>
      <c r="D659" s="4" t="s">
        <v>6207</v>
      </c>
      <c r="E659" s="4" t="s">
        <v>6195</v>
      </c>
      <c r="F659" s="4" t="s">
        <v>6216</v>
      </c>
    </row>
    <row r="660" customFormat="false" ht="15" hidden="false" customHeight="true" outlineLevel="0" collapsed="false">
      <c r="A660" s="4" t="s">
        <v>836</v>
      </c>
      <c r="B660" s="13" t="n">
        <v>45184</v>
      </c>
      <c r="C660" s="4" t="s">
        <v>6194</v>
      </c>
      <c r="D660" s="4" t="s">
        <v>6206</v>
      </c>
      <c r="E660" s="4" t="s">
        <v>6199</v>
      </c>
      <c r="F660" s="4" t="s">
        <v>6212</v>
      </c>
    </row>
    <row r="661" customFormat="false" ht="15" hidden="false" customHeight="true" outlineLevel="0" collapsed="false">
      <c r="A661" s="4" t="s">
        <v>837</v>
      </c>
      <c r="B661" s="13" t="n">
        <v>45211</v>
      </c>
      <c r="C661" s="4" t="s">
        <v>6210</v>
      </c>
      <c r="D661" s="4" t="s">
        <v>6195</v>
      </c>
      <c r="E661" s="4" t="s">
        <v>6203</v>
      </c>
      <c r="F661" s="4" t="s">
        <v>6197</v>
      </c>
    </row>
    <row r="662" customFormat="false" ht="15" hidden="false" customHeight="true" outlineLevel="0" collapsed="false">
      <c r="A662" s="4" t="s">
        <v>838</v>
      </c>
      <c r="B662" s="13" t="n">
        <v>45245</v>
      </c>
      <c r="C662" s="4" t="s">
        <v>6213</v>
      </c>
      <c r="D662" s="4" t="s">
        <v>6208</v>
      </c>
      <c r="E662" s="4" t="s">
        <v>6202</v>
      </c>
      <c r="F662" s="4"/>
    </row>
    <row r="663" customFormat="false" ht="15" hidden="false" customHeight="true" outlineLevel="0" collapsed="false">
      <c r="A663" s="4" t="s">
        <v>839</v>
      </c>
      <c r="B663" s="13" t="n">
        <v>45191</v>
      </c>
      <c r="C663" s="4" t="s">
        <v>6210</v>
      </c>
      <c r="D663" s="4" t="s">
        <v>6195</v>
      </c>
      <c r="E663" s="4" t="s">
        <v>6208</v>
      </c>
      <c r="F663" s="4" t="s">
        <v>6212</v>
      </c>
    </row>
    <row r="664" customFormat="false" ht="15" hidden="false" customHeight="true" outlineLevel="0" collapsed="false">
      <c r="A664" s="4" t="s">
        <v>840</v>
      </c>
      <c r="B664" s="13" t="n">
        <v>45097</v>
      </c>
      <c r="C664" s="4" t="s">
        <v>6213</v>
      </c>
      <c r="D664" s="4" t="s">
        <v>6211</v>
      </c>
      <c r="E664" s="4" t="s">
        <v>6196</v>
      </c>
      <c r="F664" s="4" t="s">
        <v>6197</v>
      </c>
    </row>
    <row r="665" customFormat="false" ht="15" hidden="false" customHeight="true" outlineLevel="0" collapsed="false">
      <c r="A665" s="4" t="s">
        <v>841</v>
      </c>
      <c r="B665" s="13" t="n">
        <v>45298</v>
      </c>
      <c r="C665" s="4" t="s">
        <v>6215</v>
      </c>
      <c r="D665" s="4" t="s">
        <v>6207</v>
      </c>
      <c r="E665" s="4" t="s">
        <v>6211</v>
      </c>
      <c r="F665" s="4"/>
    </row>
    <row r="666" customFormat="false" ht="15" hidden="false" customHeight="true" outlineLevel="0" collapsed="false">
      <c r="A666" s="4" t="s">
        <v>842</v>
      </c>
      <c r="B666" s="13" t="n">
        <v>45648</v>
      </c>
      <c r="C666" s="4" t="s">
        <v>6209</v>
      </c>
      <c r="D666" s="4" t="s">
        <v>6196</v>
      </c>
      <c r="E666" s="4" t="s">
        <v>6211</v>
      </c>
      <c r="F666" s="4" t="s">
        <v>6197</v>
      </c>
    </row>
    <row r="667" customFormat="false" ht="15" hidden="false" customHeight="true" outlineLevel="0" collapsed="false">
      <c r="A667" s="4" t="s">
        <v>843</v>
      </c>
      <c r="B667" s="13" t="n">
        <v>45652</v>
      </c>
      <c r="C667" s="4" t="s">
        <v>6201</v>
      </c>
      <c r="D667" s="4" t="s">
        <v>6208</v>
      </c>
      <c r="E667" s="4" t="s">
        <v>6203</v>
      </c>
      <c r="F667" s="4"/>
    </row>
    <row r="668" customFormat="false" ht="15" hidden="false" customHeight="true" outlineLevel="0" collapsed="false">
      <c r="A668" s="4" t="s">
        <v>844</v>
      </c>
      <c r="B668" s="13" t="n">
        <v>45073</v>
      </c>
      <c r="C668" s="4" t="s">
        <v>6198</v>
      </c>
      <c r="D668" s="4" t="s">
        <v>6208</v>
      </c>
      <c r="E668" s="4" t="s">
        <v>6196</v>
      </c>
      <c r="F668" s="4" t="s">
        <v>6212</v>
      </c>
    </row>
    <row r="669" customFormat="false" ht="15" hidden="false" customHeight="true" outlineLevel="0" collapsed="false">
      <c r="A669" s="4" t="s">
        <v>845</v>
      </c>
      <c r="B669" s="13" t="n">
        <v>44997</v>
      </c>
      <c r="C669" s="4" t="s">
        <v>6201</v>
      </c>
      <c r="D669" s="4" t="s">
        <v>6196</v>
      </c>
      <c r="E669" s="4" t="s">
        <v>6202</v>
      </c>
      <c r="F669" s="4" t="s">
        <v>6197</v>
      </c>
    </row>
    <row r="670" customFormat="false" ht="15" hidden="false" customHeight="true" outlineLevel="0" collapsed="false">
      <c r="A670" s="4" t="s">
        <v>846</v>
      </c>
      <c r="B670" s="13" t="n">
        <v>45626</v>
      </c>
      <c r="C670" s="4" t="s">
        <v>6215</v>
      </c>
      <c r="D670" s="4" t="s">
        <v>6199</v>
      </c>
      <c r="E670" s="4" t="s">
        <v>6203</v>
      </c>
      <c r="F670" s="4"/>
    </row>
    <row r="671" customFormat="false" ht="15" hidden="false" customHeight="true" outlineLevel="0" collapsed="false">
      <c r="A671" s="4" t="s">
        <v>847</v>
      </c>
      <c r="B671" s="13" t="n">
        <v>45642</v>
      </c>
      <c r="C671" s="4" t="s">
        <v>6215</v>
      </c>
      <c r="D671" s="4" t="s">
        <v>6202</v>
      </c>
      <c r="E671" s="4" t="s">
        <v>6211</v>
      </c>
      <c r="F671" s="4"/>
    </row>
    <row r="672" customFormat="false" ht="15" hidden="false" customHeight="true" outlineLevel="0" collapsed="false">
      <c r="A672" s="4" t="s">
        <v>848</v>
      </c>
      <c r="B672" s="13" t="n">
        <v>45584</v>
      </c>
      <c r="C672" s="4" t="s">
        <v>6209</v>
      </c>
      <c r="D672" s="4" t="s">
        <v>6206</v>
      </c>
      <c r="E672" s="4" t="s">
        <v>6207</v>
      </c>
      <c r="F672" s="4" t="s">
        <v>6197</v>
      </c>
    </row>
    <row r="673" customFormat="false" ht="15" hidden="false" customHeight="true" outlineLevel="0" collapsed="false">
      <c r="A673" s="4" t="s">
        <v>849</v>
      </c>
      <c r="B673" s="13" t="n">
        <v>45392</v>
      </c>
      <c r="C673" s="4" t="s">
        <v>6198</v>
      </c>
      <c r="D673" s="4" t="s">
        <v>6205</v>
      </c>
      <c r="E673" s="4" t="s">
        <v>6208</v>
      </c>
      <c r="F673" s="4"/>
    </row>
    <row r="674" customFormat="false" ht="15" hidden="false" customHeight="true" outlineLevel="0" collapsed="false">
      <c r="A674" s="4" t="s">
        <v>850</v>
      </c>
      <c r="B674" s="13" t="n">
        <v>44990</v>
      </c>
      <c r="C674" s="4" t="s">
        <v>6198</v>
      </c>
      <c r="D674" s="4" t="s">
        <v>6206</v>
      </c>
      <c r="E674" s="4" t="s">
        <v>6207</v>
      </c>
      <c r="F674" s="4" t="s">
        <v>6216</v>
      </c>
    </row>
    <row r="675" customFormat="false" ht="15" hidden="false" customHeight="true" outlineLevel="0" collapsed="false">
      <c r="A675" s="4" t="s">
        <v>851</v>
      </c>
      <c r="B675" s="13" t="n">
        <v>45600</v>
      </c>
      <c r="C675" s="4" t="s">
        <v>6210</v>
      </c>
      <c r="D675" s="4" t="s">
        <v>6208</v>
      </c>
      <c r="E675" s="4" t="s">
        <v>6208</v>
      </c>
      <c r="F675" s="4" t="s">
        <v>6216</v>
      </c>
    </row>
    <row r="676" customFormat="false" ht="15" hidden="false" customHeight="true" outlineLevel="0" collapsed="false">
      <c r="A676" s="4" t="s">
        <v>852</v>
      </c>
      <c r="B676" s="13" t="n">
        <v>45395</v>
      </c>
      <c r="C676" s="4" t="s">
        <v>6209</v>
      </c>
      <c r="D676" s="4" t="s">
        <v>6195</v>
      </c>
      <c r="E676" s="4" t="s">
        <v>6207</v>
      </c>
      <c r="F676" s="4"/>
    </row>
    <row r="677" customFormat="false" ht="15" hidden="false" customHeight="true" outlineLevel="0" collapsed="false">
      <c r="A677" s="4" t="s">
        <v>853</v>
      </c>
      <c r="B677" s="13" t="n">
        <v>45191</v>
      </c>
      <c r="C677" s="4" t="s">
        <v>6209</v>
      </c>
      <c r="D677" s="4" t="s">
        <v>6196</v>
      </c>
      <c r="E677" s="4" t="s">
        <v>6208</v>
      </c>
      <c r="F677" s="4" t="s">
        <v>6214</v>
      </c>
    </row>
    <row r="678" customFormat="false" ht="15" hidden="false" customHeight="true" outlineLevel="0" collapsed="false">
      <c r="A678" s="4" t="s">
        <v>854</v>
      </c>
      <c r="B678" s="13" t="n">
        <v>45462</v>
      </c>
      <c r="C678" s="4" t="s">
        <v>6198</v>
      </c>
      <c r="D678" s="4" t="s">
        <v>6195</v>
      </c>
      <c r="E678" s="4" t="s">
        <v>6211</v>
      </c>
      <c r="F678" s="4" t="s">
        <v>6200</v>
      </c>
    </row>
    <row r="679" customFormat="false" ht="15" hidden="false" customHeight="true" outlineLevel="0" collapsed="false">
      <c r="A679" s="4" t="s">
        <v>855</v>
      </c>
      <c r="B679" s="13" t="n">
        <v>45225</v>
      </c>
      <c r="C679" s="4" t="s">
        <v>6213</v>
      </c>
      <c r="D679" s="4" t="s">
        <v>6203</v>
      </c>
      <c r="E679" s="4" t="s">
        <v>6208</v>
      </c>
      <c r="F679" s="4" t="s">
        <v>6197</v>
      </c>
    </row>
    <row r="680" customFormat="false" ht="15" hidden="false" customHeight="true" outlineLevel="0" collapsed="false">
      <c r="A680" s="4" t="s">
        <v>856</v>
      </c>
      <c r="B680" s="13" t="n">
        <v>45244</v>
      </c>
      <c r="C680" s="4" t="s">
        <v>6201</v>
      </c>
      <c r="D680" s="4" t="s">
        <v>6195</v>
      </c>
      <c r="E680" s="4" t="s">
        <v>6206</v>
      </c>
      <c r="F680" s="4" t="s">
        <v>6216</v>
      </c>
    </row>
    <row r="681" customFormat="false" ht="15" hidden="false" customHeight="true" outlineLevel="0" collapsed="false">
      <c r="A681" s="4" t="s">
        <v>857</v>
      </c>
      <c r="B681" s="13" t="n">
        <v>45152</v>
      </c>
      <c r="C681" s="4" t="s">
        <v>6210</v>
      </c>
      <c r="D681" s="4" t="s">
        <v>6207</v>
      </c>
      <c r="E681" s="4" t="s">
        <v>6195</v>
      </c>
      <c r="F681" s="4" t="s">
        <v>6197</v>
      </c>
    </row>
    <row r="682" customFormat="false" ht="15" hidden="false" customHeight="true" outlineLevel="0" collapsed="false">
      <c r="A682" s="4" t="s">
        <v>858</v>
      </c>
      <c r="B682" s="13" t="n">
        <v>45384</v>
      </c>
      <c r="C682" s="4" t="s">
        <v>6194</v>
      </c>
      <c r="D682" s="4" t="s">
        <v>6207</v>
      </c>
      <c r="E682" s="4" t="s">
        <v>6208</v>
      </c>
      <c r="F682" s="4" t="s">
        <v>6216</v>
      </c>
    </row>
    <row r="683" customFormat="false" ht="15" hidden="false" customHeight="true" outlineLevel="0" collapsed="false">
      <c r="A683" s="4" t="s">
        <v>859</v>
      </c>
      <c r="B683" s="13" t="n">
        <v>45284</v>
      </c>
      <c r="C683" s="4" t="s">
        <v>6198</v>
      </c>
      <c r="D683" s="4" t="s">
        <v>6199</v>
      </c>
      <c r="E683" s="4" t="s">
        <v>6203</v>
      </c>
      <c r="F683" s="4" t="s">
        <v>6212</v>
      </c>
    </row>
    <row r="684" customFormat="false" ht="15" hidden="false" customHeight="true" outlineLevel="0" collapsed="false">
      <c r="A684" s="4" t="s">
        <v>860</v>
      </c>
      <c r="B684" s="13" t="n">
        <v>45292</v>
      </c>
      <c r="C684" s="4" t="s">
        <v>6215</v>
      </c>
      <c r="D684" s="4" t="s">
        <v>6203</v>
      </c>
      <c r="E684" s="4" t="s">
        <v>6206</v>
      </c>
      <c r="F684" s="4"/>
    </row>
    <row r="685" customFormat="false" ht="15" hidden="false" customHeight="true" outlineLevel="0" collapsed="false">
      <c r="A685" s="4" t="s">
        <v>861</v>
      </c>
      <c r="B685" s="13" t="n">
        <v>45227</v>
      </c>
      <c r="C685" s="4" t="s">
        <v>6213</v>
      </c>
      <c r="D685" s="4" t="s">
        <v>6203</v>
      </c>
      <c r="E685" s="4" t="s">
        <v>6208</v>
      </c>
      <c r="F685" s="4" t="s">
        <v>6204</v>
      </c>
    </row>
    <row r="686" customFormat="false" ht="15" hidden="false" customHeight="true" outlineLevel="0" collapsed="false">
      <c r="A686" s="4" t="s">
        <v>862</v>
      </c>
      <c r="B686" s="13" t="n">
        <v>44965</v>
      </c>
      <c r="C686" s="4" t="s">
        <v>6194</v>
      </c>
      <c r="D686" s="4" t="s">
        <v>6205</v>
      </c>
      <c r="E686" s="4" t="s">
        <v>6205</v>
      </c>
      <c r="F686" s="4" t="s">
        <v>6212</v>
      </c>
    </row>
    <row r="687" customFormat="false" ht="15" hidden="false" customHeight="true" outlineLevel="0" collapsed="false">
      <c r="A687" s="4" t="s">
        <v>863</v>
      </c>
      <c r="B687" s="13" t="n">
        <v>45373</v>
      </c>
      <c r="C687" s="4" t="s">
        <v>6194</v>
      </c>
      <c r="D687" s="4" t="s">
        <v>6202</v>
      </c>
      <c r="E687" s="4" t="s">
        <v>6208</v>
      </c>
      <c r="F687" s="4" t="s">
        <v>6197</v>
      </c>
    </row>
    <row r="688" customFormat="false" ht="15" hidden="false" customHeight="true" outlineLevel="0" collapsed="false">
      <c r="A688" s="4" t="s">
        <v>864</v>
      </c>
      <c r="B688" s="13" t="n">
        <v>45352</v>
      </c>
      <c r="C688" s="4" t="s">
        <v>6198</v>
      </c>
      <c r="D688" s="4" t="s">
        <v>6203</v>
      </c>
      <c r="E688" s="4" t="s">
        <v>6202</v>
      </c>
      <c r="F688" s="4" t="s">
        <v>6197</v>
      </c>
    </row>
    <row r="689" customFormat="false" ht="15" hidden="false" customHeight="true" outlineLevel="0" collapsed="false">
      <c r="A689" s="4" t="s">
        <v>865</v>
      </c>
      <c r="B689" s="13" t="n">
        <v>45028</v>
      </c>
      <c r="C689" s="4" t="s">
        <v>6198</v>
      </c>
      <c r="D689" s="4" t="s">
        <v>6208</v>
      </c>
      <c r="E689" s="4" t="s">
        <v>6211</v>
      </c>
      <c r="F689" s="4" t="s">
        <v>6214</v>
      </c>
    </row>
    <row r="690" customFormat="false" ht="15" hidden="false" customHeight="true" outlineLevel="0" collapsed="false">
      <c r="A690" s="4" t="s">
        <v>866</v>
      </c>
      <c r="B690" s="13" t="n">
        <v>45654</v>
      </c>
      <c r="C690" s="4" t="s">
        <v>6215</v>
      </c>
      <c r="D690" s="4" t="s">
        <v>6207</v>
      </c>
      <c r="E690" s="4" t="s">
        <v>6207</v>
      </c>
      <c r="F690" s="4" t="s">
        <v>6197</v>
      </c>
    </row>
    <row r="691" customFormat="false" ht="15" hidden="false" customHeight="true" outlineLevel="0" collapsed="false">
      <c r="A691" s="4" t="s">
        <v>867</v>
      </c>
      <c r="B691" s="13" t="n">
        <v>45249</v>
      </c>
      <c r="C691" s="4" t="s">
        <v>6201</v>
      </c>
      <c r="D691" s="4" t="s">
        <v>6207</v>
      </c>
      <c r="E691" s="4" t="s">
        <v>6205</v>
      </c>
      <c r="F691" s="4"/>
    </row>
    <row r="692" customFormat="false" ht="15" hidden="false" customHeight="true" outlineLevel="0" collapsed="false">
      <c r="A692" s="4" t="s">
        <v>868</v>
      </c>
      <c r="B692" s="13" t="n">
        <v>44966</v>
      </c>
      <c r="C692" s="4" t="s">
        <v>6210</v>
      </c>
      <c r="D692" s="4" t="s">
        <v>6208</v>
      </c>
      <c r="E692" s="4" t="s">
        <v>6195</v>
      </c>
      <c r="F692" s="4"/>
    </row>
    <row r="693" customFormat="false" ht="15" hidden="false" customHeight="true" outlineLevel="0" collapsed="false">
      <c r="A693" s="4" t="s">
        <v>869</v>
      </c>
      <c r="B693" s="13" t="n">
        <v>45329</v>
      </c>
      <c r="C693" s="4" t="s">
        <v>6213</v>
      </c>
      <c r="D693" s="4" t="s">
        <v>6203</v>
      </c>
      <c r="E693" s="4" t="s">
        <v>6202</v>
      </c>
      <c r="F693" s="4" t="s">
        <v>6204</v>
      </c>
    </row>
    <row r="694" customFormat="false" ht="15" hidden="false" customHeight="true" outlineLevel="0" collapsed="false">
      <c r="A694" s="4" t="s">
        <v>870</v>
      </c>
      <c r="B694" s="13" t="n">
        <v>45188</v>
      </c>
      <c r="C694" s="4" t="s">
        <v>6210</v>
      </c>
      <c r="D694" s="4" t="s">
        <v>6203</v>
      </c>
      <c r="E694" s="4" t="s">
        <v>6199</v>
      </c>
      <c r="F694" s="4"/>
    </row>
    <row r="695" customFormat="false" ht="15" hidden="false" customHeight="true" outlineLevel="0" collapsed="false">
      <c r="A695" s="4" t="s">
        <v>871</v>
      </c>
      <c r="B695" s="13" t="n">
        <v>45205</v>
      </c>
      <c r="C695" s="4" t="s">
        <v>6210</v>
      </c>
      <c r="D695" s="4" t="s">
        <v>6199</v>
      </c>
      <c r="E695" s="4" t="s">
        <v>6202</v>
      </c>
      <c r="F695" s="4" t="s">
        <v>6197</v>
      </c>
    </row>
    <row r="696" customFormat="false" ht="15" hidden="false" customHeight="true" outlineLevel="0" collapsed="false">
      <c r="A696" s="4" t="s">
        <v>872</v>
      </c>
      <c r="B696" s="13" t="n">
        <v>45143</v>
      </c>
      <c r="C696" s="4" t="s">
        <v>6198</v>
      </c>
      <c r="D696" s="4" t="s">
        <v>6203</v>
      </c>
      <c r="E696" s="4" t="s">
        <v>6199</v>
      </c>
      <c r="F696" s="4" t="s">
        <v>6214</v>
      </c>
    </row>
    <row r="697" customFormat="false" ht="15" hidden="false" customHeight="true" outlineLevel="0" collapsed="false">
      <c r="A697" s="4" t="s">
        <v>873</v>
      </c>
      <c r="B697" s="13" t="n">
        <v>44946</v>
      </c>
      <c r="C697" s="4" t="s">
        <v>6213</v>
      </c>
      <c r="D697" s="4" t="s">
        <v>6206</v>
      </c>
      <c r="E697" s="4" t="s">
        <v>6206</v>
      </c>
      <c r="F697" s="4" t="s">
        <v>6197</v>
      </c>
    </row>
    <row r="698" customFormat="false" ht="15" hidden="false" customHeight="true" outlineLevel="0" collapsed="false">
      <c r="A698" s="4" t="s">
        <v>874</v>
      </c>
      <c r="B698" s="13" t="n">
        <v>45253</v>
      </c>
      <c r="C698" s="4" t="s">
        <v>6215</v>
      </c>
      <c r="D698" s="4" t="s">
        <v>6206</v>
      </c>
      <c r="E698" s="4" t="s">
        <v>6202</v>
      </c>
      <c r="F698" s="4"/>
    </row>
    <row r="699" customFormat="false" ht="15" hidden="false" customHeight="true" outlineLevel="0" collapsed="false">
      <c r="A699" s="4" t="s">
        <v>875</v>
      </c>
      <c r="B699" s="13" t="n">
        <v>44973</v>
      </c>
      <c r="C699" s="4" t="s">
        <v>6215</v>
      </c>
      <c r="D699" s="4" t="s">
        <v>6199</v>
      </c>
      <c r="E699" s="4" t="s">
        <v>6196</v>
      </c>
      <c r="F699" s="4" t="s">
        <v>6197</v>
      </c>
    </row>
    <row r="700" customFormat="false" ht="15" hidden="false" customHeight="true" outlineLevel="0" collapsed="false">
      <c r="A700" s="4" t="s">
        <v>876</v>
      </c>
      <c r="B700" s="13" t="n">
        <v>44960</v>
      </c>
      <c r="C700" s="4" t="s">
        <v>6215</v>
      </c>
      <c r="D700" s="4" t="s">
        <v>6207</v>
      </c>
      <c r="E700" s="4" t="s">
        <v>6207</v>
      </c>
      <c r="F700" s="4"/>
    </row>
    <row r="701" customFormat="false" ht="15" hidden="false" customHeight="true" outlineLevel="0" collapsed="false">
      <c r="A701" s="4" t="s">
        <v>877</v>
      </c>
      <c r="B701" s="13" t="n">
        <v>45492</v>
      </c>
      <c r="C701" s="4" t="s">
        <v>6215</v>
      </c>
      <c r="D701" s="4" t="s">
        <v>6202</v>
      </c>
      <c r="E701" s="4" t="s">
        <v>6196</v>
      </c>
      <c r="F701" s="4" t="s">
        <v>6204</v>
      </c>
    </row>
    <row r="702" customFormat="false" ht="15" hidden="false" customHeight="true" outlineLevel="0" collapsed="false">
      <c r="A702" s="4" t="s">
        <v>878</v>
      </c>
      <c r="B702" s="13" t="n">
        <v>45619</v>
      </c>
      <c r="C702" s="4" t="s">
        <v>6210</v>
      </c>
      <c r="D702" s="4" t="s">
        <v>6195</v>
      </c>
      <c r="E702" s="4" t="s">
        <v>6202</v>
      </c>
      <c r="F702" s="4" t="s">
        <v>6200</v>
      </c>
    </row>
    <row r="703" customFormat="false" ht="15" hidden="false" customHeight="true" outlineLevel="0" collapsed="false">
      <c r="A703" s="4" t="s">
        <v>879</v>
      </c>
      <c r="B703" s="13" t="n">
        <v>45164</v>
      </c>
      <c r="C703" s="4" t="s">
        <v>6201</v>
      </c>
      <c r="D703" s="4" t="s">
        <v>6199</v>
      </c>
      <c r="E703" s="4" t="s">
        <v>6206</v>
      </c>
      <c r="F703" s="4"/>
    </row>
    <row r="704" customFormat="false" ht="15" hidden="false" customHeight="true" outlineLevel="0" collapsed="false">
      <c r="A704" s="4" t="s">
        <v>880</v>
      </c>
      <c r="B704" s="13" t="n">
        <v>45125</v>
      </c>
      <c r="C704" s="4" t="s">
        <v>6198</v>
      </c>
      <c r="D704" s="4" t="s">
        <v>6208</v>
      </c>
      <c r="E704" s="4" t="s">
        <v>6199</v>
      </c>
      <c r="F704" s="4"/>
    </row>
    <row r="705" customFormat="false" ht="15" hidden="false" customHeight="true" outlineLevel="0" collapsed="false">
      <c r="A705" s="4" t="s">
        <v>881</v>
      </c>
      <c r="B705" s="13" t="n">
        <v>45392</v>
      </c>
      <c r="C705" s="4" t="s">
        <v>6198</v>
      </c>
      <c r="D705" s="4" t="s">
        <v>6208</v>
      </c>
      <c r="E705" s="4" t="s">
        <v>6196</v>
      </c>
      <c r="F705" s="4" t="s">
        <v>6216</v>
      </c>
    </row>
    <row r="706" customFormat="false" ht="15" hidden="false" customHeight="true" outlineLevel="0" collapsed="false">
      <c r="A706" s="4" t="s">
        <v>882</v>
      </c>
      <c r="B706" s="13" t="n">
        <v>45593</v>
      </c>
      <c r="C706" s="4" t="s">
        <v>6209</v>
      </c>
      <c r="D706" s="4" t="s">
        <v>6199</v>
      </c>
      <c r="E706" s="4" t="s">
        <v>6207</v>
      </c>
      <c r="F706" s="4" t="s">
        <v>6214</v>
      </c>
    </row>
    <row r="707" customFormat="false" ht="15" hidden="false" customHeight="true" outlineLevel="0" collapsed="false">
      <c r="A707" s="4" t="s">
        <v>883</v>
      </c>
      <c r="B707" s="13" t="n">
        <v>45373</v>
      </c>
      <c r="C707" s="4" t="s">
        <v>6201</v>
      </c>
      <c r="D707" s="4" t="s">
        <v>6205</v>
      </c>
      <c r="E707" s="4" t="s">
        <v>6206</v>
      </c>
      <c r="F707" s="4"/>
    </row>
    <row r="708" customFormat="false" ht="15" hidden="false" customHeight="true" outlineLevel="0" collapsed="false">
      <c r="A708" s="4" t="s">
        <v>884</v>
      </c>
      <c r="B708" s="13" t="n">
        <v>45414</v>
      </c>
      <c r="C708" s="4" t="s">
        <v>6198</v>
      </c>
      <c r="D708" s="4" t="s">
        <v>6199</v>
      </c>
      <c r="E708" s="4" t="s">
        <v>6206</v>
      </c>
      <c r="F708" s="4" t="s">
        <v>6197</v>
      </c>
    </row>
    <row r="709" customFormat="false" ht="15" hidden="false" customHeight="true" outlineLevel="0" collapsed="false">
      <c r="A709" s="4" t="s">
        <v>885</v>
      </c>
      <c r="B709" s="13" t="n">
        <v>45650</v>
      </c>
      <c r="C709" s="4" t="s">
        <v>6194</v>
      </c>
      <c r="D709" s="4" t="s">
        <v>6206</v>
      </c>
      <c r="E709" s="4" t="s">
        <v>6207</v>
      </c>
      <c r="F709" s="4"/>
    </row>
    <row r="710" customFormat="false" ht="15" hidden="false" customHeight="true" outlineLevel="0" collapsed="false">
      <c r="A710" s="4" t="s">
        <v>886</v>
      </c>
      <c r="B710" s="13" t="n">
        <v>45224</v>
      </c>
      <c r="C710" s="4" t="s">
        <v>6194</v>
      </c>
      <c r="D710" s="4" t="s">
        <v>6202</v>
      </c>
      <c r="E710" s="4" t="s">
        <v>6196</v>
      </c>
      <c r="F710" s="4" t="s">
        <v>6200</v>
      </c>
    </row>
    <row r="711" customFormat="false" ht="15" hidden="false" customHeight="true" outlineLevel="0" collapsed="false">
      <c r="A711" s="4" t="s">
        <v>887</v>
      </c>
      <c r="B711" s="13" t="n">
        <v>45648</v>
      </c>
      <c r="C711" s="4" t="s">
        <v>6210</v>
      </c>
      <c r="D711" s="4" t="s">
        <v>6205</v>
      </c>
      <c r="E711" s="4" t="s">
        <v>6195</v>
      </c>
      <c r="F711" s="4" t="s">
        <v>6197</v>
      </c>
    </row>
    <row r="712" customFormat="false" ht="15" hidden="false" customHeight="true" outlineLevel="0" collapsed="false">
      <c r="A712" s="4" t="s">
        <v>888</v>
      </c>
      <c r="B712" s="13" t="n">
        <v>45351</v>
      </c>
      <c r="C712" s="4" t="s">
        <v>6215</v>
      </c>
      <c r="D712" s="4" t="s">
        <v>6195</v>
      </c>
      <c r="E712" s="4" t="s">
        <v>6196</v>
      </c>
      <c r="F712" s="4" t="s">
        <v>6216</v>
      </c>
    </row>
    <row r="713" customFormat="false" ht="15" hidden="false" customHeight="true" outlineLevel="0" collapsed="false">
      <c r="A713" s="4" t="s">
        <v>889</v>
      </c>
      <c r="B713" s="13" t="n">
        <v>45377</v>
      </c>
      <c r="C713" s="4" t="s">
        <v>6201</v>
      </c>
      <c r="D713" s="4" t="s">
        <v>6196</v>
      </c>
      <c r="E713" s="4" t="s">
        <v>6199</v>
      </c>
      <c r="F713" s="4"/>
    </row>
    <row r="714" customFormat="false" ht="15" hidden="false" customHeight="true" outlineLevel="0" collapsed="false">
      <c r="A714" s="4" t="s">
        <v>890</v>
      </c>
      <c r="B714" s="13" t="n">
        <v>45641</v>
      </c>
      <c r="C714" s="4" t="s">
        <v>6209</v>
      </c>
      <c r="D714" s="4" t="s">
        <v>6203</v>
      </c>
      <c r="E714" s="4" t="s">
        <v>6195</v>
      </c>
      <c r="F714" s="4" t="s">
        <v>6197</v>
      </c>
    </row>
    <row r="715" customFormat="false" ht="15" hidden="false" customHeight="true" outlineLevel="0" collapsed="false">
      <c r="A715" s="4" t="s">
        <v>891</v>
      </c>
      <c r="B715" s="13" t="n">
        <v>45414</v>
      </c>
      <c r="C715" s="4" t="s">
        <v>6210</v>
      </c>
      <c r="D715" s="4" t="s">
        <v>6195</v>
      </c>
      <c r="E715" s="4" t="s">
        <v>6211</v>
      </c>
      <c r="F715" s="4" t="s">
        <v>6197</v>
      </c>
    </row>
    <row r="716" customFormat="false" ht="15" hidden="false" customHeight="true" outlineLevel="0" collapsed="false">
      <c r="A716" s="4" t="s">
        <v>892</v>
      </c>
      <c r="B716" s="13" t="n">
        <v>45517</v>
      </c>
      <c r="C716" s="4" t="s">
        <v>6213</v>
      </c>
      <c r="D716" s="4" t="s">
        <v>6199</v>
      </c>
      <c r="E716" s="4" t="s">
        <v>6208</v>
      </c>
      <c r="F716" s="4" t="s">
        <v>6212</v>
      </c>
    </row>
    <row r="717" customFormat="false" ht="15" hidden="false" customHeight="true" outlineLevel="0" collapsed="false">
      <c r="A717" s="4" t="s">
        <v>893</v>
      </c>
      <c r="B717" s="13" t="n">
        <v>45412</v>
      </c>
      <c r="C717" s="4" t="s">
        <v>6194</v>
      </c>
      <c r="D717" s="4" t="s">
        <v>6195</v>
      </c>
      <c r="E717" s="4" t="s">
        <v>6196</v>
      </c>
      <c r="F717" s="4" t="s">
        <v>6204</v>
      </c>
    </row>
    <row r="718" customFormat="false" ht="15" hidden="false" customHeight="true" outlineLevel="0" collapsed="false">
      <c r="A718" s="4" t="s">
        <v>894</v>
      </c>
      <c r="B718" s="13" t="n">
        <v>44960</v>
      </c>
      <c r="C718" s="4" t="s">
        <v>6210</v>
      </c>
      <c r="D718" s="4" t="s">
        <v>6202</v>
      </c>
      <c r="E718" s="4" t="s">
        <v>6196</v>
      </c>
      <c r="F718" s="4"/>
    </row>
    <row r="719" customFormat="false" ht="15" hidden="false" customHeight="true" outlineLevel="0" collapsed="false">
      <c r="A719" s="4" t="s">
        <v>895</v>
      </c>
      <c r="B719" s="13" t="n">
        <v>45009</v>
      </c>
      <c r="C719" s="4" t="s">
        <v>6215</v>
      </c>
      <c r="D719" s="4" t="s">
        <v>6206</v>
      </c>
      <c r="E719" s="4" t="s">
        <v>6195</v>
      </c>
      <c r="F719" s="4" t="s">
        <v>6204</v>
      </c>
    </row>
    <row r="720" customFormat="false" ht="15" hidden="false" customHeight="true" outlineLevel="0" collapsed="false">
      <c r="A720" s="4" t="s">
        <v>896</v>
      </c>
      <c r="B720" s="13" t="n">
        <v>45349</v>
      </c>
      <c r="C720" s="4" t="s">
        <v>6209</v>
      </c>
      <c r="D720" s="4" t="s">
        <v>6208</v>
      </c>
      <c r="E720" s="4" t="s">
        <v>6208</v>
      </c>
      <c r="F720" s="4" t="s">
        <v>6200</v>
      </c>
    </row>
    <row r="721" customFormat="false" ht="15" hidden="false" customHeight="true" outlineLevel="0" collapsed="false">
      <c r="A721" s="4" t="s">
        <v>897</v>
      </c>
      <c r="B721" s="13" t="n">
        <v>45539</v>
      </c>
      <c r="C721" s="4" t="s">
        <v>6198</v>
      </c>
      <c r="D721" s="4" t="s">
        <v>6202</v>
      </c>
      <c r="E721" s="4" t="s">
        <v>6196</v>
      </c>
      <c r="F721" s="4"/>
    </row>
    <row r="722" customFormat="false" ht="15" hidden="false" customHeight="true" outlineLevel="0" collapsed="false">
      <c r="A722" s="4" t="s">
        <v>898</v>
      </c>
      <c r="B722" s="13" t="n">
        <v>45016</v>
      </c>
      <c r="C722" s="4" t="s">
        <v>6213</v>
      </c>
      <c r="D722" s="4" t="s">
        <v>6203</v>
      </c>
      <c r="E722" s="4" t="s">
        <v>6196</v>
      </c>
      <c r="F722" s="4" t="s">
        <v>6197</v>
      </c>
    </row>
    <row r="723" customFormat="false" ht="15" hidden="false" customHeight="true" outlineLevel="0" collapsed="false">
      <c r="A723" s="4" t="s">
        <v>899</v>
      </c>
      <c r="B723" s="13" t="n">
        <v>45346</v>
      </c>
      <c r="C723" s="4" t="s">
        <v>6194</v>
      </c>
      <c r="D723" s="4" t="s">
        <v>6195</v>
      </c>
      <c r="E723" s="4" t="s">
        <v>6202</v>
      </c>
      <c r="F723" s="4" t="s">
        <v>6204</v>
      </c>
    </row>
    <row r="724" customFormat="false" ht="15" hidden="false" customHeight="true" outlineLevel="0" collapsed="false">
      <c r="A724" s="4" t="s">
        <v>900</v>
      </c>
      <c r="B724" s="13" t="n">
        <v>45353</v>
      </c>
      <c r="C724" s="4" t="s">
        <v>6194</v>
      </c>
      <c r="D724" s="4" t="s">
        <v>6207</v>
      </c>
      <c r="E724" s="4" t="s">
        <v>6208</v>
      </c>
      <c r="F724" s="4" t="s">
        <v>6200</v>
      </c>
    </row>
    <row r="725" customFormat="false" ht="15" hidden="false" customHeight="true" outlineLevel="0" collapsed="false">
      <c r="A725" s="4" t="s">
        <v>901</v>
      </c>
      <c r="B725" s="13" t="n">
        <v>44967</v>
      </c>
      <c r="C725" s="4" t="s">
        <v>6194</v>
      </c>
      <c r="D725" s="4" t="s">
        <v>6196</v>
      </c>
      <c r="E725" s="4" t="s">
        <v>6207</v>
      </c>
      <c r="F725" s="4" t="s">
        <v>6212</v>
      </c>
    </row>
    <row r="726" customFormat="false" ht="15" hidden="false" customHeight="true" outlineLevel="0" collapsed="false">
      <c r="A726" s="4" t="s">
        <v>902</v>
      </c>
      <c r="B726" s="13" t="n">
        <v>45391</v>
      </c>
      <c r="C726" s="4" t="s">
        <v>6215</v>
      </c>
      <c r="D726" s="4" t="s">
        <v>6195</v>
      </c>
      <c r="E726" s="4" t="s">
        <v>6206</v>
      </c>
      <c r="F726" s="4" t="s">
        <v>6200</v>
      </c>
    </row>
    <row r="727" customFormat="false" ht="15" hidden="false" customHeight="true" outlineLevel="0" collapsed="false">
      <c r="A727" s="4" t="s">
        <v>903</v>
      </c>
      <c r="B727" s="13" t="n">
        <v>45156</v>
      </c>
      <c r="C727" s="4" t="s">
        <v>6213</v>
      </c>
      <c r="D727" s="4" t="s">
        <v>6207</v>
      </c>
      <c r="E727" s="4" t="s">
        <v>6206</v>
      </c>
      <c r="F727" s="4"/>
    </row>
    <row r="728" customFormat="false" ht="15" hidden="false" customHeight="true" outlineLevel="0" collapsed="false">
      <c r="A728" s="4" t="s">
        <v>904</v>
      </c>
      <c r="B728" s="13" t="n">
        <v>45595</v>
      </c>
      <c r="C728" s="4" t="s">
        <v>6215</v>
      </c>
      <c r="D728" s="4" t="s">
        <v>6202</v>
      </c>
      <c r="E728" s="4" t="s">
        <v>6199</v>
      </c>
      <c r="F728" s="4" t="s">
        <v>6200</v>
      </c>
    </row>
    <row r="729" customFormat="false" ht="15" hidden="false" customHeight="true" outlineLevel="0" collapsed="false">
      <c r="A729" s="4" t="s">
        <v>905</v>
      </c>
      <c r="B729" s="13" t="n">
        <v>45060</v>
      </c>
      <c r="C729" s="4" t="s">
        <v>6201</v>
      </c>
      <c r="D729" s="4" t="s">
        <v>6206</v>
      </c>
      <c r="E729" s="4" t="s">
        <v>6196</v>
      </c>
      <c r="F729" s="4" t="s">
        <v>6216</v>
      </c>
    </row>
    <row r="730" customFormat="false" ht="15" hidden="false" customHeight="true" outlineLevel="0" collapsed="false">
      <c r="A730" s="4" t="s">
        <v>906</v>
      </c>
      <c r="B730" s="13" t="n">
        <v>45583</v>
      </c>
      <c r="C730" s="4" t="s">
        <v>6215</v>
      </c>
      <c r="D730" s="4" t="s">
        <v>6196</v>
      </c>
      <c r="E730" s="4" t="s">
        <v>6208</v>
      </c>
      <c r="F730" s="4"/>
    </row>
    <row r="731" customFormat="false" ht="15" hidden="false" customHeight="true" outlineLevel="0" collapsed="false">
      <c r="A731" s="4" t="s">
        <v>907</v>
      </c>
      <c r="B731" s="13" t="n">
        <v>45568</v>
      </c>
      <c r="C731" s="4" t="s">
        <v>6198</v>
      </c>
      <c r="D731" s="4" t="s">
        <v>6202</v>
      </c>
      <c r="E731" s="4" t="s">
        <v>6196</v>
      </c>
      <c r="F731" s="4"/>
    </row>
    <row r="732" customFormat="false" ht="15" hidden="false" customHeight="true" outlineLevel="0" collapsed="false">
      <c r="A732" s="4" t="s">
        <v>908</v>
      </c>
      <c r="B732" s="13" t="n">
        <v>45448</v>
      </c>
      <c r="C732" s="4" t="s">
        <v>6215</v>
      </c>
      <c r="D732" s="4" t="s">
        <v>6208</v>
      </c>
      <c r="E732" s="4" t="s">
        <v>6199</v>
      </c>
      <c r="F732" s="4" t="s">
        <v>6204</v>
      </c>
    </row>
    <row r="733" customFormat="false" ht="15" hidden="false" customHeight="true" outlineLevel="0" collapsed="false">
      <c r="A733" s="4" t="s">
        <v>909</v>
      </c>
      <c r="B733" s="13" t="n">
        <v>45067</v>
      </c>
      <c r="C733" s="4" t="s">
        <v>6215</v>
      </c>
      <c r="D733" s="4" t="s">
        <v>6195</v>
      </c>
      <c r="E733" s="4" t="s">
        <v>6196</v>
      </c>
      <c r="F733" s="4"/>
    </row>
    <row r="734" customFormat="false" ht="15" hidden="false" customHeight="true" outlineLevel="0" collapsed="false">
      <c r="A734" s="4" t="s">
        <v>910</v>
      </c>
      <c r="B734" s="13" t="n">
        <v>45473</v>
      </c>
      <c r="C734" s="4" t="s">
        <v>6215</v>
      </c>
      <c r="D734" s="4" t="s">
        <v>6211</v>
      </c>
      <c r="E734" s="4" t="s">
        <v>6203</v>
      </c>
      <c r="F734" s="4" t="s">
        <v>6216</v>
      </c>
    </row>
    <row r="735" customFormat="false" ht="15" hidden="false" customHeight="true" outlineLevel="0" collapsed="false">
      <c r="A735" s="4" t="s">
        <v>911</v>
      </c>
      <c r="B735" s="13" t="n">
        <v>45265</v>
      </c>
      <c r="C735" s="4" t="s">
        <v>6201</v>
      </c>
      <c r="D735" s="4" t="s">
        <v>6195</v>
      </c>
      <c r="E735" s="4" t="s">
        <v>6206</v>
      </c>
      <c r="F735" s="4" t="s">
        <v>6200</v>
      </c>
    </row>
    <row r="736" customFormat="false" ht="15" hidden="false" customHeight="true" outlineLevel="0" collapsed="false">
      <c r="A736" s="4" t="s">
        <v>912</v>
      </c>
      <c r="B736" s="13" t="n">
        <v>45109</v>
      </c>
      <c r="C736" s="4" t="s">
        <v>6198</v>
      </c>
      <c r="D736" s="4" t="s">
        <v>6205</v>
      </c>
      <c r="E736" s="4" t="s">
        <v>6195</v>
      </c>
      <c r="F736" s="4" t="s">
        <v>6216</v>
      </c>
    </row>
    <row r="737" customFormat="false" ht="15" hidden="false" customHeight="true" outlineLevel="0" collapsed="false">
      <c r="A737" s="4" t="s">
        <v>913</v>
      </c>
      <c r="B737" s="13" t="n">
        <v>45590</v>
      </c>
      <c r="C737" s="4" t="s">
        <v>6201</v>
      </c>
      <c r="D737" s="4" t="s">
        <v>6208</v>
      </c>
      <c r="E737" s="4" t="s">
        <v>6205</v>
      </c>
      <c r="F737" s="4"/>
    </row>
    <row r="738" customFormat="false" ht="15" hidden="false" customHeight="true" outlineLevel="0" collapsed="false">
      <c r="A738" s="4" t="s">
        <v>914</v>
      </c>
      <c r="B738" s="13" t="n">
        <v>44955</v>
      </c>
      <c r="C738" s="4" t="s">
        <v>6213</v>
      </c>
      <c r="D738" s="4" t="s">
        <v>6206</v>
      </c>
      <c r="E738" s="4" t="s">
        <v>6203</v>
      </c>
      <c r="F738" s="4"/>
    </row>
    <row r="739" customFormat="false" ht="15" hidden="false" customHeight="true" outlineLevel="0" collapsed="false">
      <c r="A739" s="4" t="s">
        <v>915</v>
      </c>
      <c r="B739" s="13" t="n">
        <v>45418</v>
      </c>
      <c r="C739" s="4" t="s">
        <v>6198</v>
      </c>
      <c r="D739" s="4" t="s">
        <v>6202</v>
      </c>
      <c r="E739" s="4" t="s">
        <v>6195</v>
      </c>
      <c r="F739" s="4"/>
    </row>
    <row r="740" customFormat="false" ht="15" hidden="false" customHeight="true" outlineLevel="0" collapsed="false">
      <c r="A740" s="4" t="s">
        <v>916</v>
      </c>
      <c r="B740" s="13" t="n">
        <v>45595</v>
      </c>
      <c r="C740" s="4" t="s">
        <v>6201</v>
      </c>
      <c r="D740" s="4" t="s">
        <v>6196</v>
      </c>
      <c r="E740" s="4" t="s">
        <v>6196</v>
      </c>
      <c r="F740" s="4"/>
    </row>
    <row r="741" customFormat="false" ht="15" hidden="false" customHeight="true" outlineLevel="0" collapsed="false">
      <c r="A741" s="4" t="s">
        <v>917</v>
      </c>
      <c r="B741" s="13" t="n">
        <v>45219</v>
      </c>
      <c r="C741" s="4" t="s">
        <v>6198</v>
      </c>
      <c r="D741" s="4" t="s">
        <v>6202</v>
      </c>
      <c r="E741" s="4" t="s">
        <v>6203</v>
      </c>
      <c r="F741" s="4"/>
    </row>
    <row r="742" customFormat="false" ht="15" hidden="false" customHeight="true" outlineLevel="0" collapsed="false">
      <c r="A742" s="4" t="s">
        <v>918</v>
      </c>
      <c r="B742" s="13" t="n">
        <v>45436</v>
      </c>
      <c r="C742" s="4" t="s">
        <v>6213</v>
      </c>
      <c r="D742" s="4" t="s">
        <v>6206</v>
      </c>
      <c r="E742" s="4" t="s">
        <v>6205</v>
      </c>
      <c r="F742" s="4"/>
    </row>
    <row r="743" customFormat="false" ht="15" hidden="false" customHeight="true" outlineLevel="0" collapsed="false">
      <c r="A743" s="4" t="s">
        <v>919</v>
      </c>
      <c r="B743" s="13" t="n">
        <v>45424</v>
      </c>
      <c r="C743" s="4" t="s">
        <v>6209</v>
      </c>
      <c r="D743" s="4" t="s">
        <v>6203</v>
      </c>
      <c r="E743" s="4" t="s">
        <v>6207</v>
      </c>
      <c r="F743" s="4"/>
    </row>
    <row r="744" customFormat="false" ht="15" hidden="false" customHeight="true" outlineLevel="0" collapsed="false">
      <c r="A744" s="4" t="s">
        <v>920</v>
      </c>
      <c r="B744" s="13" t="n">
        <v>45509</v>
      </c>
      <c r="C744" s="4" t="s">
        <v>6198</v>
      </c>
      <c r="D744" s="4" t="s">
        <v>6196</v>
      </c>
      <c r="E744" s="4" t="s">
        <v>6203</v>
      </c>
      <c r="F744" s="4" t="s">
        <v>6200</v>
      </c>
    </row>
    <row r="745" customFormat="false" ht="15" hidden="false" customHeight="true" outlineLevel="0" collapsed="false">
      <c r="A745" s="4" t="s">
        <v>921</v>
      </c>
      <c r="B745" s="13" t="n">
        <v>45388</v>
      </c>
      <c r="C745" s="4" t="s">
        <v>6201</v>
      </c>
      <c r="D745" s="4" t="s">
        <v>6206</v>
      </c>
      <c r="E745" s="4" t="s">
        <v>6195</v>
      </c>
      <c r="F745" s="4"/>
    </row>
    <row r="746" customFormat="false" ht="15" hidden="false" customHeight="true" outlineLevel="0" collapsed="false">
      <c r="A746" s="4" t="s">
        <v>922</v>
      </c>
      <c r="B746" s="13" t="n">
        <v>45408</v>
      </c>
      <c r="C746" s="4" t="s">
        <v>6215</v>
      </c>
      <c r="D746" s="4" t="s">
        <v>6196</v>
      </c>
      <c r="E746" s="4" t="s">
        <v>6196</v>
      </c>
      <c r="F746" s="4" t="s">
        <v>6214</v>
      </c>
    </row>
    <row r="747" customFormat="false" ht="15" hidden="false" customHeight="true" outlineLevel="0" collapsed="false">
      <c r="A747" s="4" t="s">
        <v>923</v>
      </c>
      <c r="B747" s="13" t="n">
        <v>45444</v>
      </c>
      <c r="C747" s="4" t="s">
        <v>6209</v>
      </c>
      <c r="D747" s="4" t="s">
        <v>6205</v>
      </c>
      <c r="E747" s="4" t="s">
        <v>6211</v>
      </c>
      <c r="F747" s="4" t="s">
        <v>6197</v>
      </c>
    </row>
    <row r="748" customFormat="false" ht="15" hidden="false" customHeight="true" outlineLevel="0" collapsed="false">
      <c r="A748" s="4" t="s">
        <v>924</v>
      </c>
      <c r="B748" s="13" t="n">
        <v>44971</v>
      </c>
      <c r="C748" s="4" t="s">
        <v>6194</v>
      </c>
      <c r="D748" s="4" t="s">
        <v>6211</v>
      </c>
      <c r="E748" s="4" t="s">
        <v>6205</v>
      </c>
      <c r="F748" s="4" t="s">
        <v>6204</v>
      </c>
    </row>
    <row r="749" customFormat="false" ht="15" hidden="false" customHeight="true" outlineLevel="0" collapsed="false">
      <c r="A749" s="4" t="s">
        <v>925</v>
      </c>
      <c r="B749" s="13" t="n">
        <v>45215</v>
      </c>
      <c r="C749" s="4" t="s">
        <v>6215</v>
      </c>
      <c r="D749" s="4" t="s">
        <v>6207</v>
      </c>
      <c r="E749" s="4" t="s">
        <v>6207</v>
      </c>
      <c r="F749" s="4" t="s">
        <v>6200</v>
      </c>
    </row>
    <row r="750" customFormat="false" ht="15" hidden="false" customHeight="true" outlineLevel="0" collapsed="false">
      <c r="A750" s="4" t="s">
        <v>926</v>
      </c>
      <c r="B750" s="13" t="n">
        <v>45419</v>
      </c>
      <c r="C750" s="4" t="s">
        <v>6201</v>
      </c>
      <c r="D750" s="4" t="s">
        <v>6202</v>
      </c>
      <c r="E750" s="4" t="s">
        <v>6206</v>
      </c>
      <c r="F750" s="4" t="s">
        <v>6216</v>
      </c>
    </row>
    <row r="751" customFormat="false" ht="15" hidden="false" customHeight="true" outlineLevel="0" collapsed="false">
      <c r="A751" s="4" t="s">
        <v>927</v>
      </c>
      <c r="B751" s="13" t="n">
        <v>45079</v>
      </c>
      <c r="C751" s="4" t="s">
        <v>6210</v>
      </c>
      <c r="D751" s="4" t="s">
        <v>6206</v>
      </c>
      <c r="E751" s="4" t="s">
        <v>6205</v>
      </c>
      <c r="F751" s="4" t="s">
        <v>6204</v>
      </c>
    </row>
    <row r="752" customFormat="false" ht="15" hidden="false" customHeight="true" outlineLevel="0" collapsed="false">
      <c r="A752" s="4" t="s">
        <v>928</v>
      </c>
      <c r="B752" s="13" t="n">
        <v>45095</v>
      </c>
      <c r="C752" s="4" t="s">
        <v>6198</v>
      </c>
      <c r="D752" s="4" t="s">
        <v>6211</v>
      </c>
      <c r="E752" s="4" t="s">
        <v>6203</v>
      </c>
      <c r="F752" s="4"/>
    </row>
    <row r="753" customFormat="false" ht="15" hidden="false" customHeight="true" outlineLevel="0" collapsed="false">
      <c r="A753" s="4" t="s">
        <v>929</v>
      </c>
      <c r="B753" s="13" t="n">
        <v>45307</v>
      </c>
      <c r="C753" s="4" t="s">
        <v>6215</v>
      </c>
      <c r="D753" s="4" t="s">
        <v>6208</v>
      </c>
      <c r="E753" s="4" t="s">
        <v>6208</v>
      </c>
      <c r="F753" s="4" t="s">
        <v>6212</v>
      </c>
    </row>
    <row r="754" customFormat="false" ht="15" hidden="false" customHeight="true" outlineLevel="0" collapsed="false">
      <c r="A754" s="4" t="s">
        <v>930</v>
      </c>
      <c r="B754" s="13" t="n">
        <v>45502</v>
      </c>
      <c r="C754" s="4" t="s">
        <v>6198</v>
      </c>
      <c r="D754" s="4" t="s">
        <v>6202</v>
      </c>
      <c r="E754" s="4" t="s">
        <v>6211</v>
      </c>
      <c r="F754" s="4" t="s">
        <v>6214</v>
      </c>
    </row>
    <row r="755" customFormat="false" ht="15" hidden="false" customHeight="true" outlineLevel="0" collapsed="false">
      <c r="A755" s="4" t="s">
        <v>931</v>
      </c>
      <c r="B755" s="13" t="n">
        <v>44932</v>
      </c>
      <c r="C755" s="4" t="s">
        <v>6194</v>
      </c>
      <c r="D755" s="4" t="s">
        <v>6202</v>
      </c>
      <c r="E755" s="4" t="s">
        <v>6203</v>
      </c>
      <c r="F755" s="4" t="s">
        <v>6216</v>
      </c>
    </row>
    <row r="756" customFormat="false" ht="15" hidden="false" customHeight="true" outlineLevel="0" collapsed="false">
      <c r="A756" s="4" t="s">
        <v>932</v>
      </c>
      <c r="B756" s="13" t="n">
        <v>45239</v>
      </c>
      <c r="C756" s="4" t="s">
        <v>6213</v>
      </c>
      <c r="D756" s="4" t="s">
        <v>6211</v>
      </c>
      <c r="E756" s="4" t="s">
        <v>6199</v>
      </c>
      <c r="F756" s="4" t="s">
        <v>6214</v>
      </c>
    </row>
    <row r="757" customFormat="false" ht="15" hidden="false" customHeight="true" outlineLevel="0" collapsed="false">
      <c r="A757" s="4" t="s">
        <v>933</v>
      </c>
      <c r="B757" s="13" t="n">
        <v>45444</v>
      </c>
      <c r="C757" s="4" t="s">
        <v>6215</v>
      </c>
      <c r="D757" s="4" t="s">
        <v>6202</v>
      </c>
      <c r="E757" s="4" t="s">
        <v>6205</v>
      </c>
      <c r="F757" s="4"/>
    </row>
    <row r="758" customFormat="false" ht="15" hidden="false" customHeight="true" outlineLevel="0" collapsed="false">
      <c r="A758" s="4" t="s">
        <v>934</v>
      </c>
      <c r="B758" s="13" t="n">
        <v>45334</v>
      </c>
      <c r="C758" s="4" t="s">
        <v>6210</v>
      </c>
      <c r="D758" s="4" t="s">
        <v>6205</v>
      </c>
      <c r="E758" s="4" t="s">
        <v>6203</v>
      </c>
      <c r="F758" s="4" t="s">
        <v>6200</v>
      </c>
    </row>
    <row r="759" customFormat="false" ht="15" hidden="false" customHeight="true" outlineLevel="0" collapsed="false">
      <c r="A759" s="4" t="s">
        <v>935</v>
      </c>
      <c r="B759" s="13" t="n">
        <v>45637</v>
      </c>
      <c r="C759" s="4" t="s">
        <v>6194</v>
      </c>
      <c r="D759" s="4" t="s">
        <v>6208</v>
      </c>
      <c r="E759" s="4" t="s">
        <v>6202</v>
      </c>
      <c r="F759" s="4" t="s">
        <v>6212</v>
      </c>
    </row>
    <row r="760" customFormat="false" ht="15" hidden="false" customHeight="true" outlineLevel="0" collapsed="false">
      <c r="A760" s="4" t="s">
        <v>936</v>
      </c>
      <c r="B760" s="13" t="n">
        <v>45377</v>
      </c>
      <c r="C760" s="4" t="s">
        <v>6201</v>
      </c>
      <c r="D760" s="4" t="s">
        <v>6208</v>
      </c>
      <c r="E760" s="4" t="s">
        <v>6203</v>
      </c>
      <c r="F760" s="4" t="s">
        <v>6197</v>
      </c>
    </row>
    <row r="761" customFormat="false" ht="15" hidden="false" customHeight="true" outlineLevel="0" collapsed="false">
      <c r="A761" s="4" t="s">
        <v>937</v>
      </c>
      <c r="B761" s="13" t="n">
        <v>45185</v>
      </c>
      <c r="C761" s="4" t="s">
        <v>6201</v>
      </c>
      <c r="D761" s="4" t="s">
        <v>6195</v>
      </c>
      <c r="E761" s="4" t="s">
        <v>6206</v>
      </c>
      <c r="F761" s="4"/>
    </row>
    <row r="762" customFormat="false" ht="15" hidden="false" customHeight="true" outlineLevel="0" collapsed="false">
      <c r="A762" s="4" t="s">
        <v>938</v>
      </c>
      <c r="B762" s="13" t="n">
        <v>45613</v>
      </c>
      <c r="C762" s="4" t="s">
        <v>6215</v>
      </c>
      <c r="D762" s="4" t="s">
        <v>6195</v>
      </c>
      <c r="E762" s="4" t="s">
        <v>6206</v>
      </c>
      <c r="F762" s="4"/>
    </row>
    <row r="763" customFormat="false" ht="15" hidden="false" customHeight="true" outlineLevel="0" collapsed="false">
      <c r="A763" s="4" t="s">
        <v>939</v>
      </c>
      <c r="B763" s="13" t="n">
        <v>45379</v>
      </c>
      <c r="C763" s="4" t="s">
        <v>6194</v>
      </c>
      <c r="D763" s="4" t="s">
        <v>6199</v>
      </c>
      <c r="E763" s="4" t="s">
        <v>6203</v>
      </c>
      <c r="F763" s="4"/>
    </row>
    <row r="764" customFormat="false" ht="15" hidden="false" customHeight="true" outlineLevel="0" collapsed="false">
      <c r="A764" s="4" t="s">
        <v>940</v>
      </c>
      <c r="B764" s="13" t="n">
        <v>45170</v>
      </c>
      <c r="C764" s="4" t="s">
        <v>6215</v>
      </c>
      <c r="D764" s="4" t="s">
        <v>6205</v>
      </c>
      <c r="E764" s="4" t="s">
        <v>6203</v>
      </c>
      <c r="F764" s="4"/>
    </row>
    <row r="765" customFormat="false" ht="15" hidden="false" customHeight="true" outlineLevel="0" collapsed="false">
      <c r="A765" s="4" t="s">
        <v>941</v>
      </c>
      <c r="B765" s="13" t="n">
        <v>45236</v>
      </c>
      <c r="C765" s="4" t="s">
        <v>6201</v>
      </c>
      <c r="D765" s="4" t="s">
        <v>6206</v>
      </c>
      <c r="E765" s="4" t="s">
        <v>6205</v>
      </c>
      <c r="F765" s="4" t="s">
        <v>6200</v>
      </c>
    </row>
    <row r="766" customFormat="false" ht="15" hidden="false" customHeight="true" outlineLevel="0" collapsed="false">
      <c r="A766" s="4" t="s">
        <v>942</v>
      </c>
      <c r="B766" s="13" t="n">
        <v>45151</v>
      </c>
      <c r="C766" s="4" t="s">
        <v>6210</v>
      </c>
      <c r="D766" s="4" t="s">
        <v>6208</v>
      </c>
      <c r="E766" s="4" t="s">
        <v>6196</v>
      </c>
      <c r="F766" s="4" t="s">
        <v>6200</v>
      </c>
    </row>
    <row r="767" customFormat="false" ht="15" hidden="false" customHeight="true" outlineLevel="0" collapsed="false">
      <c r="A767" s="4" t="s">
        <v>943</v>
      </c>
      <c r="B767" s="13" t="n">
        <v>45359</v>
      </c>
      <c r="C767" s="4" t="s">
        <v>6213</v>
      </c>
      <c r="D767" s="4" t="s">
        <v>6208</v>
      </c>
      <c r="E767" s="4" t="s">
        <v>6202</v>
      </c>
      <c r="F767" s="4" t="s">
        <v>6204</v>
      </c>
    </row>
    <row r="768" customFormat="false" ht="15" hidden="false" customHeight="true" outlineLevel="0" collapsed="false">
      <c r="A768" s="4" t="s">
        <v>944</v>
      </c>
      <c r="B768" s="13" t="n">
        <v>45164</v>
      </c>
      <c r="C768" s="4" t="s">
        <v>6215</v>
      </c>
      <c r="D768" s="4" t="s">
        <v>6196</v>
      </c>
      <c r="E768" s="4" t="s">
        <v>6202</v>
      </c>
      <c r="F768" s="4" t="s">
        <v>6197</v>
      </c>
    </row>
    <row r="769" customFormat="false" ht="15" hidden="false" customHeight="true" outlineLevel="0" collapsed="false">
      <c r="A769" s="4" t="s">
        <v>945</v>
      </c>
      <c r="B769" s="13" t="n">
        <v>45210</v>
      </c>
      <c r="C769" s="4" t="s">
        <v>6210</v>
      </c>
      <c r="D769" s="4" t="s">
        <v>6205</v>
      </c>
      <c r="E769" s="4" t="s">
        <v>6199</v>
      </c>
      <c r="F769" s="4"/>
    </row>
    <row r="770" customFormat="false" ht="15" hidden="false" customHeight="true" outlineLevel="0" collapsed="false">
      <c r="A770" s="4" t="s">
        <v>946</v>
      </c>
      <c r="B770" s="13" t="n">
        <v>45324</v>
      </c>
      <c r="C770" s="4" t="s">
        <v>6213</v>
      </c>
      <c r="D770" s="4" t="s">
        <v>6208</v>
      </c>
      <c r="E770" s="4" t="s">
        <v>6196</v>
      </c>
      <c r="F770" s="4"/>
    </row>
    <row r="771" customFormat="false" ht="15" hidden="false" customHeight="true" outlineLevel="0" collapsed="false">
      <c r="A771" s="4" t="s">
        <v>947</v>
      </c>
      <c r="B771" s="13" t="n">
        <v>45299</v>
      </c>
      <c r="C771" s="4" t="s">
        <v>6215</v>
      </c>
      <c r="D771" s="4" t="s">
        <v>6195</v>
      </c>
      <c r="E771" s="4" t="s">
        <v>6205</v>
      </c>
      <c r="F771" s="4" t="s">
        <v>6200</v>
      </c>
    </row>
    <row r="772" customFormat="false" ht="15" hidden="false" customHeight="true" outlineLevel="0" collapsed="false">
      <c r="A772" s="4" t="s">
        <v>948</v>
      </c>
      <c r="B772" s="13" t="n">
        <v>45014</v>
      </c>
      <c r="C772" s="4" t="s">
        <v>6213</v>
      </c>
      <c r="D772" s="4" t="s">
        <v>6199</v>
      </c>
      <c r="E772" s="4" t="s">
        <v>6208</v>
      </c>
      <c r="F772" s="4"/>
    </row>
    <row r="773" customFormat="false" ht="15" hidden="false" customHeight="true" outlineLevel="0" collapsed="false">
      <c r="A773" s="4" t="s">
        <v>949</v>
      </c>
      <c r="B773" s="13" t="n">
        <v>45120</v>
      </c>
      <c r="C773" s="4" t="s">
        <v>6210</v>
      </c>
      <c r="D773" s="4" t="s">
        <v>6205</v>
      </c>
      <c r="E773" s="4" t="s">
        <v>6211</v>
      </c>
      <c r="F773" s="4" t="s">
        <v>6200</v>
      </c>
    </row>
    <row r="774" customFormat="false" ht="15" hidden="false" customHeight="true" outlineLevel="0" collapsed="false">
      <c r="A774" s="4" t="s">
        <v>950</v>
      </c>
      <c r="B774" s="13" t="n">
        <v>45486</v>
      </c>
      <c r="C774" s="4" t="s">
        <v>6209</v>
      </c>
      <c r="D774" s="4" t="s">
        <v>6202</v>
      </c>
      <c r="E774" s="4" t="s">
        <v>6203</v>
      </c>
      <c r="F774" s="4" t="s">
        <v>6214</v>
      </c>
    </row>
    <row r="775" customFormat="false" ht="15" hidden="false" customHeight="true" outlineLevel="0" collapsed="false">
      <c r="A775" s="4" t="s">
        <v>951</v>
      </c>
      <c r="B775" s="13" t="n">
        <v>45500</v>
      </c>
      <c r="C775" s="4" t="s">
        <v>6215</v>
      </c>
      <c r="D775" s="4" t="s">
        <v>6203</v>
      </c>
      <c r="E775" s="4" t="s">
        <v>6203</v>
      </c>
      <c r="F775" s="4" t="s">
        <v>6216</v>
      </c>
    </row>
    <row r="776" customFormat="false" ht="15" hidden="false" customHeight="true" outlineLevel="0" collapsed="false">
      <c r="A776" s="4" t="s">
        <v>952</v>
      </c>
      <c r="B776" s="13" t="n">
        <v>45323</v>
      </c>
      <c r="C776" s="4" t="s">
        <v>6201</v>
      </c>
      <c r="D776" s="4" t="s">
        <v>6199</v>
      </c>
      <c r="E776" s="4" t="s">
        <v>6196</v>
      </c>
      <c r="F776" s="4" t="s">
        <v>6197</v>
      </c>
    </row>
    <row r="777" customFormat="false" ht="15" hidden="false" customHeight="true" outlineLevel="0" collapsed="false">
      <c r="A777" s="4" t="s">
        <v>953</v>
      </c>
      <c r="B777" s="13" t="n">
        <v>44971</v>
      </c>
      <c r="C777" s="4" t="s">
        <v>6209</v>
      </c>
      <c r="D777" s="4" t="s">
        <v>6195</v>
      </c>
      <c r="E777" s="4" t="s">
        <v>6203</v>
      </c>
      <c r="F777" s="4"/>
    </row>
    <row r="778" customFormat="false" ht="15" hidden="false" customHeight="true" outlineLevel="0" collapsed="false">
      <c r="A778" s="4" t="s">
        <v>954</v>
      </c>
      <c r="B778" s="13" t="n">
        <v>44971</v>
      </c>
      <c r="C778" s="4" t="s">
        <v>6215</v>
      </c>
      <c r="D778" s="4" t="s">
        <v>6207</v>
      </c>
      <c r="E778" s="4" t="s">
        <v>6208</v>
      </c>
      <c r="F778" s="4"/>
    </row>
    <row r="779" customFormat="false" ht="15" hidden="false" customHeight="true" outlineLevel="0" collapsed="false">
      <c r="A779" s="4" t="s">
        <v>955</v>
      </c>
      <c r="B779" s="13" t="n">
        <v>45486</v>
      </c>
      <c r="C779" s="4" t="s">
        <v>6201</v>
      </c>
      <c r="D779" s="4" t="s">
        <v>6199</v>
      </c>
      <c r="E779" s="4" t="s">
        <v>6211</v>
      </c>
      <c r="F779" s="4" t="s">
        <v>6197</v>
      </c>
    </row>
    <row r="780" customFormat="false" ht="15" hidden="false" customHeight="true" outlineLevel="0" collapsed="false">
      <c r="A780" s="4" t="s">
        <v>956</v>
      </c>
      <c r="B780" s="13" t="n">
        <v>45419</v>
      </c>
      <c r="C780" s="4" t="s">
        <v>6194</v>
      </c>
      <c r="D780" s="4" t="s">
        <v>6207</v>
      </c>
      <c r="E780" s="4" t="s">
        <v>6205</v>
      </c>
      <c r="F780" s="4" t="s">
        <v>6200</v>
      </c>
    </row>
    <row r="781" customFormat="false" ht="15" hidden="false" customHeight="true" outlineLevel="0" collapsed="false">
      <c r="A781" s="4" t="s">
        <v>957</v>
      </c>
      <c r="B781" s="13" t="n">
        <v>45480</v>
      </c>
      <c r="C781" s="4" t="s">
        <v>6210</v>
      </c>
      <c r="D781" s="4" t="s">
        <v>6203</v>
      </c>
      <c r="E781" s="4" t="s">
        <v>6202</v>
      </c>
      <c r="F781" s="4"/>
    </row>
    <row r="782" customFormat="false" ht="15" hidden="false" customHeight="true" outlineLevel="0" collapsed="false">
      <c r="A782" s="4" t="s">
        <v>958</v>
      </c>
      <c r="B782" s="13" t="n">
        <v>45222</v>
      </c>
      <c r="C782" s="4" t="s">
        <v>6198</v>
      </c>
      <c r="D782" s="4" t="s">
        <v>6195</v>
      </c>
      <c r="E782" s="4" t="s">
        <v>6211</v>
      </c>
      <c r="F782" s="4" t="s">
        <v>6204</v>
      </c>
    </row>
    <row r="783" customFormat="false" ht="15" hidden="false" customHeight="true" outlineLevel="0" collapsed="false">
      <c r="A783" s="4" t="s">
        <v>959</v>
      </c>
      <c r="B783" s="13" t="n">
        <v>45612</v>
      </c>
      <c r="C783" s="4" t="s">
        <v>6215</v>
      </c>
      <c r="D783" s="4" t="s">
        <v>6195</v>
      </c>
      <c r="E783" s="4" t="s">
        <v>6207</v>
      </c>
      <c r="F783" s="4" t="s">
        <v>6204</v>
      </c>
    </row>
    <row r="784" customFormat="false" ht="15" hidden="false" customHeight="true" outlineLevel="0" collapsed="false">
      <c r="A784" s="4" t="s">
        <v>960</v>
      </c>
      <c r="B784" s="13" t="n">
        <v>45419</v>
      </c>
      <c r="C784" s="4" t="s">
        <v>6198</v>
      </c>
      <c r="D784" s="4" t="s">
        <v>6203</v>
      </c>
      <c r="E784" s="4" t="s">
        <v>6196</v>
      </c>
      <c r="F784" s="4"/>
    </row>
    <row r="785" customFormat="false" ht="15" hidden="false" customHeight="true" outlineLevel="0" collapsed="false">
      <c r="A785" s="4" t="s">
        <v>961</v>
      </c>
      <c r="B785" s="13" t="n">
        <v>45604</v>
      </c>
      <c r="C785" s="4" t="s">
        <v>6213</v>
      </c>
      <c r="D785" s="4" t="s">
        <v>6199</v>
      </c>
      <c r="E785" s="4" t="s">
        <v>6206</v>
      </c>
      <c r="F785" s="4"/>
    </row>
    <row r="786" customFormat="false" ht="15" hidden="false" customHeight="true" outlineLevel="0" collapsed="false">
      <c r="A786" s="4" t="s">
        <v>962</v>
      </c>
      <c r="B786" s="13" t="n">
        <v>45093</v>
      </c>
      <c r="C786" s="4" t="s">
        <v>6209</v>
      </c>
      <c r="D786" s="4" t="s">
        <v>6206</v>
      </c>
      <c r="E786" s="4" t="s">
        <v>6211</v>
      </c>
      <c r="F786" s="4" t="s">
        <v>6212</v>
      </c>
    </row>
    <row r="787" customFormat="false" ht="15" hidden="false" customHeight="true" outlineLevel="0" collapsed="false">
      <c r="A787" s="4" t="s">
        <v>963</v>
      </c>
      <c r="B787" s="13" t="n">
        <v>45087</v>
      </c>
      <c r="C787" s="4" t="s">
        <v>6194</v>
      </c>
      <c r="D787" s="4" t="s">
        <v>6195</v>
      </c>
      <c r="E787" s="4" t="s">
        <v>6203</v>
      </c>
      <c r="F787" s="4" t="s">
        <v>6200</v>
      </c>
    </row>
    <row r="788" customFormat="false" ht="15" hidden="false" customHeight="true" outlineLevel="0" collapsed="false">
      <c r="A788" s="4" t="s">
        <v>964</v>
      </c>
      <c r="B788" s="13" t="n">
        <v>45334</v>
      </c>
      <c r="C788" s="4" t="s">
        <v>6198</v>
      </c>
      <c r="D788" s="4" t="s">
        <v>6206</v>
      </c>
      <c r="E788" s="4" t="s">
        <v>6207</v>
      </c>
      <c r="F788" s="4"/>
    </row>
    <row r="789" customFormat="false" ht="15" hidden="false" customHeight="true" outlineLevel="0" collapsed="false">
      <c r="A789" s="4" t="s">
        <v>965</v>
      </c>
      <c r="B789" s="13" t="n">
        <v>45470</v>
      </c>
      <c r="C789" s="4" t="s">
        <v>6210</v>
      </c>
      <c r="D789" s="4" t="s">
        <v>6205</v>
      </c>
      <c r="E789" s="4" t="s">
        <v>6206</v>
      </c>
      <c r="F789" s="4" t="s">
        <v>6216</v>
      </c>
    </row>
    <row r="790" customFormat="false" ht="15" hidden="false" customHeight="true" outlineLevel="0" collapsed="false">
      <c r="A790" s="4" t="s">
        <v>966</v>
      </c>
      <c r="B790" s="13" t="n">
        <v>45292</v>
      </c>
      <c r="C790" s="4" t="s">
        <v>6194</v>
      </c>
      <c r="D790" s="4" t="s">
        <v>6202</v>
      </c>
      <c r="E790" s="4" t="s">
        <v>6196</v>
      </c>
      <c r="F790" s="4" t="s">
        <v>6200</v>
      </c>
    </row>
    <row r="791" customFormat="false" ht="15" hidden="false" customHeight="true" outlineLevel="0" collapsed="false">
      <c r="A791" s="4" t="s">
        <v>967</v>
      </c>
      <c r="B791" s="13" t="n">
        <v>45131</v>
      </c>
      <c r="C791" s="4" t="s">
        <v>6209</v>
      </c>
      <c r="D791" s="4" t="s">
        <v>6205</v>
      </c>
      <c r="E791" s="4" t="s">
        <v>6195</v>
      </c>
      <c r="F791" s="4"/>
    </row>
    <row r="792" customFormat="false" ht="15" hidden="false" customHeight="true" outlineLevel="0" collapsed="false">
      <c r="A792" s="4" t="s">
        <v>968</v>
      </c>
      <c r="B792" s="13" t="n">
        <v>45031</v>
      </c>
      <c r="C792" s="4" t="s">
        <v>6198</v>
      </c>
      <c r="D792" s="4" t="s">
        <v>6199</v>
      </c>
      <c r="E792" s="4" t="s">
        <v>6196</v>
      </c>
      <c r="F792" s="4"/>
    </row>
    <row r="793" customFormat="false" ht="15" hidden="false" customHeight="true" outlineLevel="0" collapsed="false">
      <c r="A793" s="4" t="s">
        <v>969</v>
      </c>
      <c r="B793" s="13" t="n">
        <v>44991</v>
      </c>
      <c r="C793" s="4" t="s">
        <v>6198</v>
      </c>
      <c r="D793" s="4" t="s">
        <v>6202</v>
      </c>
      <c r="E793" s="4" t="s">
        <v>6211</v>
      </c>
      <c r="F793" s="4" t="s">
        <v>6197</v>
      </c>
    </row>
    <row r="794" customFormat="false" ht="15" hidden="false" customHeight="true" outlineLevel="0" collapsed="false">
      <c r="A794" s="4" t="s">
        <v>970</v>
      </c>
      <c r="B794" s="13" t="n">
        <v>45508</v>
      </c>
      <c r="C794" s="4" t="s">
        <v>6201</v>
      </c>
      <c r="D794" s="4" t="s">
        <v>6199</v>
      </c>
      <c r="E794" s="4" t="s">
        <v>6205</v>
      </c>
      <c r="F794" s="4" t="s">
        <v>6200</v>
      </c>
    </row>
    <row r="795" customFormat="false" ht="15" hidden="false" customHeight="true" outlineLevel="0" collapsed="false">
      <c r="A795" s="4" t="s">
        <v>971</v>
      </c>
      <c r="B795" s="13" t="n">
        <v>45429</v>
      </c>
      <c r="C795" s="4" t="s">
        <v>6210</v>
      </c>
      <c r="D795" s="4" t="s">
        <v>6206</v>
      </c>
      <c r="E795" s="4" t="s">
        <v>6208</v>
      </c>
      <c r="F795" s="4" t="s">
        <v>6204</v>
      </c>
    </row>
    <row r="796" customFormat="false" ht="15" hidden="false" customHeight="true" outlineLevel="0" collapsed="false">
      <c r="A796" s="4" t="s">
        <v>972</v>
      </c>
      <c r="B796" s="13" t="n">
        <v>45066</v>
      </c>
      <c r="C796" s="4" t="s">
        <v>6215</v>
      </c>
      <c r="D796" s="4" t="s">
        <v>6199</v>
      </c>
      <c r="E796" s="4" t="s">
        <v>6203</v>
      </c>
      <c r="F796" s="4" t="s">
        <v>6214</v>
      </c>
    </row>
    <row r="797" customFormat="false" ht="15" hidden="false" customHeight="true" outlineLevel="0" collapsed="false">
      <c r="A797" s="4" t="s">
        <v>973</v>
      </c>
      <c r="B797" s="13" t="n">
        <v>45103</v>
      </c>
      <c r="C797" s="4" t="s">
        <v>6201</v>
      </c>
      <c r="D797" s="4" t="s">
        <v>6195</v>
      </c>
      <c r="E797" s="4" t="s">
        <v>6211</v>
      </c>
      <c r="F797" s="4" t="s">
        <v>6212</v>
      </c>
    </row>
    <row r="798" customFormat="false" ht="15" hidden="false" customHeight="true" outlineLevel="0" collapsed="false">
      <c r="A798" s="4" t="s">
        <v>974</v>
      </c>
      <c r="B798" s="13" t="n">
        <v>45225</v>
      </c>
      <c r="C798" s="4" t="s">
        <v>6198</v>
      </c>
      <c r="D798" s="4" t="s">
        <v>6196</v>
      </c>
      <c r="E798" s="4" t="s">
        <v>6195</v>
      </c>
      <c r="F798" s="4" t="s">
        <v>6214</v>
      </c>
    </row>
    <row r="799" customFormat="false" ht="15" hidden="false" customHeight="true" outlineLevel="0" collapsed="false">
      <c r="A799" s="4" t="s">
        <v>975</v>
      </c>
      <c r="B799" s="13" t="n">
        <v>45256</v>
      </c>
      <c r="C799" s="4" t="s">
        <v>6201</v>
      </c>
      <c r="D799" s="4" t="s">
        <v>6202</v>
      </c>
      <c r="E799" s="4" t="s">
        <v>6203</v>
      </c>
      <c r="F799" s="4"/>
    </row>
    <row r="800" customFormat="false" ht="15" hidden="false" customHeight="true" outlineLevel="0" collapsed="false">
      <c r="A800" s="4" t="s">
        <v>976</v>
      </c>
      <c r="B800" s="13" t="n">
        <v>45149</v>
      </c>
      <c r="C800" s="4" t="s">
        <v>6213</v>
      </c>
      <c r="D800" s="4" t="s">
        <v>6211</v>
      </c>
      <c r="E800" s="4" t="s">
        <v>6196</v>
      </c>
      <c r="F800" s="4" t="s">
        <v>6212</v>
      </c>
    </row>
    <row r="801" customFormat="false" ht="15" hidden="false" customHeight="true" outlineLevel="0" collapsed="false">
      <c r="A801" s="4" t="s">
        <v>977</v>
      </c>
      <c r="B801" s="13" t="n">
        <v>45214</v>
      </c>
      <c r="C801" s="4" t="s">
        <v>6194</v>
      </c>
      <c r="D801" s="4" t="s">
        <v>6205</v>
      </c>
      <c r="E801" s="4" t="s">
        <v>6195</v>
      </c>
      <c r="F801" s="4" t="s">
        <v>6204</v>
      </c>
    </row>
    <row r="802" customFormat="false" ht="15" hidden="false" customHeight="true" outlineLevel="0" collapsed="false">
      <c r="A802" s="4" t="s">
        <v>978</v>
      </c>
      <c r="B802" s="13" t="n">
        <v>45306</v>
      </c>
      <c r="C802" s="4" t="s">
        <v>6194</v>
      </c>
      <c r="D802" s="4" t="s">
        <v>6203</v>
      </c>
      <c r="E802" s="4" t="s">
        <v>6202</v>
      </c>
      <c r="F802" s="4" t="s">
        <v>6204</v>
      </c>
    </row>
    <row r="803" customFormat="false" ht="15" hidden="false" customHeight="true" outlineLevel="0" collapsed="false">
      <c r="A803" s="4" t="s">
        <v>979</v>
      </c>
      <c r="B803" s="13" t="n">
        <v>45541</v>
      </c>
      <c r="C803" s="4" t="s">
        <v>6209</v>
      </c>
      <c r="D803" s="4" t="s">
        <v>6202</v>
      </c>
      <c r="E803" s="4" t="s">
        <v>6199</v>
      </c>
      <c r="F803" s="4" t="s">
        <v>6212</v>
      </c>
    </row>
    <row r="804" customFormat="false" ht="15" hidden="false" customHeight="true" outlineLevel="0" collapsed="false">
      <c r="A804" s="4" t="s">
        <v>980</v>
      </c>
      <c r="B804" s="13" t="n">
        <v>45387</v>
      </c>
      <c r="C804" s="4" t="s">
        <v>6201</v>
      </c>
      <c r="D804" s="4" t="s">
        <v>6206</v>
      </c>
      <c r="E804" s="4" t="s">
        <v>6205</v>
      </c>
      <c r="F804" s="4" t="s">
        <v>6204</v>
      </c>
    </row>
    <row r="805" customFormat="false" ht="15" hidden="false" customHeight="true" outlineLevel="0" collapsed="false">
      <c r="A805" s="4" t="s">
        <v>981</v>
      </c>
      <c r="B805" s="13" t="n">
        <v>45428</v>
      </c>
      <c r="C805" s="4" t="s">
        <v>6201</v>
      </c>
      <c r="D805" s="4" t="s">
        <v>6196</v>
      </c>
      <c r="E805" s="4" t="s">
        <v>6208</v>
      </c>
      <c r="F805" s="4" t="s">
        <v>6200</v>
      </c>
    </row>
    <row r="806" customFormat="false" ht="15" hidden="false" customHeight="true" outlineLevel="0" collapsed="false">
      <c r="A806" s="4" t="s">
        <v>982</v>
      </c>
      <c r="B806" s="13" t="n">
        <v>45345</v>
      </c>
      <c r="C806" s="4" t="s">
        <v>6198</v>
      </c>
      <c r="D806" s="4" t="s">
        <v>6203</v>
      </c>
      <c r="E806" s="4" t="s">
        <v>6195</v>
      </c>
      <c r="F806" s="4" t="s">
        <v>6197</v>
      </c>
    </row>
    <row r="807" customFormat="false" ht="15" hidden="false" customHeight="true" outlineLevel="0" collapsed="false">
      <c r="A807" s="4" t="s">
        <v>983</v>
      </c>
      <c r="B807" s="13" t="n">
        <v>45231</v>
      </c>
      <c r="C807" s="4" t="s">
        <v>6194</v>
      </c>
      <c r="D807" s="4" t="s">
        <v>6207</v>
      </c>
      <c r="E807" s="4" t="s">
        <v>6208</v>
      </c>
      <c r="F807" s="4"/>
    </row>
    <row r="808" customFormat="false" ht="15" hidden="false" customHeight="true" outlineLevel="0" collapsed="false">
      <c r="A808" s="4" t="s">
        <v>984</v>
      </c>
      <c r="B808" s="13" t="n">
        <v>45085</v>
      </c>
      <c r="C808" s="4" t="s">
        <v>6201</v>
      </c>
      <c r="D808" s="4" t="s">
        <v>6207</v>
      </c>
      <c r="E808" s="4" t="s">
        <v>6203</v>
      </c>
      <c r="F808" s="4" t="s">
        <v>6216</v>
      </c>
    </row>
    <row r="809" customFormat="false" ht="15" hidden="false" customHeight="true" outlineLevel="0" collapsed="false">
      <c r="A809" s="4" t="s">
        <v>985</v>
      </c>
      <c r="B809" s="13" t="n">
        <v>45140</v>
      </c>
      <c r="C809" s="4" t="s">
        <v>6201</v>
      </c>
      <c r="D809" s="4" t="s">
        <v>6202</v>
      </c>
      <c r="E809" s="4" t="s">
        <v>6199</v>
      </c>
      <c r="F809" s="4" t="s">
        <v>6204</v>
      </c>
    </row>
    <row r="810" customFormat="false" ht="15" hidden="false" customHeight="true" outlineLevel="0" collapsed="false">
      <c r="A810" s="4" t="s">
        <v>986</v>
      </c>
      <c r="B810" s="13" t="n">
        <v>45407</v>
      </c>
      <c r="C810" s="4" t="s">
        <v>6215</v>
      </c>
      <c r="D810" s="4" t="s">
        <v>6205</v>
      </c>
      <c r="E810" s="4" t="s">
        <v>6207</v>
      </c>
      <c r="F810" s="4"/>
    </row>
    <row r="811" customFormat="false" ht="15" hidden="false" customHeight="true" outlineLevel="0" collapsed="false">
      <c r="A811" s="4" t="s">
        <v>987</v>
      </c>
      <c r="B811" s="13" t="n">
        <v>45151</v>
      </c>
      <c r="C811" s="4" t="s">
        <v>6210</v>
      </c>
      <c r="D811" s="4" t="s">
        <v>6211</v>
      </c>
      <c r="E811" s="4" t="s">
        <v>6205</v>
      </c>
      <c r="F811" s="4" t="s">
        <v>6212</v>
      </c>
    </row>
    <row r="812" customFormat="false" ht="15" hidden="false" customHeight="true" outlineLevel="0" collapsed="false">
      <c r="A812" s="4" t="s">
        <v>988</v>
      </c>
      <c r="B812" s="13" t="n">
        <v>45515</v>
      </c>
      <c r="C812" s="4" t="s">
        <v>6201</v>
      </c>
      <c r="D812" s="4" t="s">
        <v>6208</v>
      </c>
      <c r="E812" s="4" t="s">
        <v>6202</v>
      </c>
      <c r="F812" s="4"/>
    </row>
    <row r="813" customFormat="false" ht="15" hidden="false" customHeight="true" outlineLevel="0" collapsed="false">
      <c r="A813" s="4" t="s">
        <v>989</v>
      </c>
      <c r="B813" s="13" t="n">
        <v>45383</v>
      </c>
      <c r="C813" s="4" t="s">
        <v>6198</v>
      </c>
      <c r="D813" s="4" t="s">
        <v>6202</v>
      </c>
      <c r="E813" s="4" t="s">
        <v>6205</v>
      </c>
      <c r="F813" s="4" t="s">
        <v>6197</v>
      </c>
    </row>
    <row r="814" customFormat="false" ht="15" hidden="false" customHeight="true" outlineLevel="0" collapsed="false">
      <c r="A814" s="4" t="s">
        <v>990</v>
      </c>
      <c r="B814" s="13" t="n">
        <v>45363</v>
      </c>
      <c r="C814" s="4" t="s">
        <v>6210</v>
      </c>
      <c r="D814" s="4" t="s">
        <v>6195</v>
      </c>
      <c r="E814" s="4" t="s">
        <v>6208</v>
      </c>
      <c r="F814" s="4" t="s">
        <v>6216</v>
      </c>
    </row>
    <row r="815" customFormat="false" ht="15" hidden="false" customHeight="true" outlineLevel="0" collapsed="false">
      <c r="A815" s="4" t="s">
        <v>991</v>
      </c>
      <c r="B815" s="13" t="n">
        <v>45406</v>
      </c>
      <c r="C815" s="4" t="s">
        <v>6210</v>
      </c>
      <c r="D815" s="4" t="s">
        <v>6196</v>
      </c>
      <c r="E815" s="4" t="s">
        <v>6199</v>
      </c>
      <c r="F815" s="4" t="s">
        <v>6214</v>
      </c>
    </row>
    <row r="816" customFormat="false" ht="15" hidden="false" customHeight="true" outlineLevel="0" collapsed="false">
      <c r="A816" s="4" t="s">
        <v>992</v>
      </c>
      <c r="B816" s="13" t="n">
        <v>44958</v>
      </c>
      <c r="C816" s="4" t="s">
        <v>6215</v>
      </c>
      <c r="D816" s="4" t="s">
        <v>6211</v>
      </c>
      <c r="E816" s="4" t="s">
        <v>6205</v>
      </c>
      <c r="F816" s="4" t="s">
        <v>6216</v>
      </c>
    </row>
    <row r="817" customFormat="false" ht="15" hidden="false" customHeight="true" outlineLevel="0" collapsed="false">
      <c r="A817" s="4" t="s">
        <v>993</v>
      </c>
      <c r="B817" s="13" t="n">
        <v>45352</v>
      </c>
      <c r="C817" s="4" t="s">
        <v>6215</v>
      </c>
      <c r="D817" s="4" t="s">
        <v>6203</v>
      </c>
      <c r="E817" s="4" t="s">
        <v>6203</v>
      </c>
      <c r="F817" s="4"/>
    </row>
    <row r="818" customFormat="false" ht="15" hidden="false" customHeight="true" outlineLevel="0" collapsed="false">
      <c r="A818" s="4" t="s">
        <v>994</v>
      </c>
      <c r="B818" s="13" t="n">
        <v>44968</v>
      </c>
      <c r="C818" s="4" t="s">
        <v>6213</v>
      </c>
      <c r="D818" s="4" t="s">
        <v>6196</v>
      </c>
      <c r="E818" s="4" t="s">
        <v>6202</v>
      </c>
      <c r="F818" s="4" t="s">
        <v>6214</v>
      </c>
    </row>
    <row r="819" customFormat="false" ht="15" hidden="false" customHeight="true" outlineLevel="0" collapsed="false">
      <c r="A819" s="4" t="s">
        <v>995</v>
      </c>
      <c r="B819" s="13" t="n">
        <v>44984</v>
      </c>
      <c r="C819" s="4" t="s">
        <v>6198</v>
      </c>
      <c r="D819" s="4" t="s">
        <v>6208</v>
      </c>
      <c r="E819" s="4" t="s">
        <v>6202</v>
      </c>
      <c r="F819" s="4" t="s">
        <v>6212</v>
      </c>
    </row>
    <row r="820" customFormat="false" ht="15" hidden="false" customHeight="true" outlineLevel="0" collapsed="false">
      <c r="A820" s="4" t="s">
        <v>996</v>
      </c>
      <c r="B820" s="13" t="n">
        <v>45179</v>
      </c>
      <c r="C820" s="4" t="s">
        <v>6215</v>
      </c>
      <c r="D820" s="4" t="s">
        <v>6196</v>
      </c>
      <c r="E820" s="4" t="s">
        <v>6196</v>
      </c>
      <c r="F820" s="4"/>
    </row>
    <row r="821" customFormat="false" ht="15" hidden="false" customHeight="true" outlineLevel="0" collapsed="false">
      <c r="A821" s="4" t="s">
        <v>997</v>
      </c>
      <c r="B821" s="13" t="n">
        <v>45021</v>
      </c>
      <c r="C821" s="4" t="s">
        <v>6213</v>
      </c>
      <c r="D821" s="4" t="s">
        <v>6205</v>
      </c>
      <c r="E821" s="4" t="s">
        <v>6195</v>
      </c>
      <c r="F821" s="4" t="s">
        <v>6200</v>
      </c>
    </row>
    <row r="822" customFormat="false" ht="15" hidden="false" customHeight="true" outlineLevel="0" collapsed="false">
      <c r="A822" s="4" t="s">
        <v>998</v>
      </c>
      <c r="B822" s="13" t="n">
        <v>45185</v>
      </c>
      <c r="C822" s="4" t="s">
        <v>6210</v>
      </c>
      <c r="D822" s="4" t="s">
        <v>6202</v>
      </c>
      <c r="E822" s="4" t="s">
        <v>6208</v>
      </c>
      <c r="F822" s="4"/>
    </row>
    <row r="823" customFormat="false" ht="15" hidden="false" customHeight="true" outlineLevel="0" collapsed="false">
      <c r="A823" s="4" t="s">
        <v>999</v>
      </c>
      <c r="B823" s="13" t="n">
        <v>45378</v>
      </c>
      <c r="C823" s="4" t="s">
        <v>6209</v>
      </c>
      <c r="D823" s="4" t="s">
        <v>6211</v>
      </c>
      <c r="E823" s="4" t="s">
        <v>6205</v>
      </c>
      <c r="F823" s="4"/>
    </row>
    <row r="824" customFormat="false" ht="15" hidden="false" customHeight="true" outlineLevel="0" collapsed="false">
      <c r="A824" s="4" t="s">
        <v>1000</v>
      </c>
      <c r="B824" s="13" t="n">
        <v>45208</v>
      </c>
      <c r="C824" s="4" t="s">
        <v>6210</v>
      </c>
      <c r="D824" s="4" t="s">
        <v>6207</v>
      </c>
      <c r="E824" s="4" t="s">
        <v>6207</v>
      </c>
      <c r="F824" s="4"/>
    </row>
    <row r="825" customFormat="false" ht="15" hidden="false" customHeight="true" outlineLevel="0" collapsed="false">
      <c r="A825" s="4" t="s">
        <v>1001</v>
      </c>
      <c r="B825" s="13" t="n">
        <v>45505</v>
      </c>
      <c r="C825" s="4" t="s">
        <v>6215</v>
      </c>
      <c r="D825" s="4" t="s">
        <v>6195</v>
      </c>
      <c r="E825" s="4" t="s">
        <v>6208</v>
      </c>
      <c r="F825" s="4" t="s">
        <v>6216</v>
      </c>
    </row>
    <row r="826" customFormat="false" ht="15" hidden="false" customHeight="true" outlineLevel="0" collapsed="false">
      <c r="A826" s="4" t="s">
        <v>1002</v>
      </c>
      <c r="B826" s="13" t="n">
        <v>45013</v>
      </c>
      <c r="C826" s="4" t="s">
        <v>6213</v>
      </c>
      <c r="D826" s="4" t="s">
        <v>6203</v>
      </c>
      <c r="E826" s="4" t="s">
        <v>6195</v>
      </c>
      <c r="F826" s="4" t="s">
        <v>6197</v>
      </c>
    </row>
    <row r="827" customFormat="false" ht="15" hidden="false" customHeight="true" outlineLevel="0" collapsed="false">
      <c r="A827" s="4" t="s">
        <v>1003</v>
      </c>
      <c r="B827" s="13" t="n">
        <v>45059</v>
      </c>
      <c r="C827" s="4" t="s">
        <v>6210</v>
      </c>
      <c r="D827" s="4" t="s">
        <v>6206</v>
      </c>
      <c r="E827" s="4" t="s">
        <v>6211</v>
      </c>
      <c r="F827" s="4"/>
    </row>
    <row r="828" customFormat="false" ht="15" hidden="false" customHeight="true" outlineLevel="0" collapsed="false">
      <c r="A828" s="4" t="s">
        <v>1004</v>
      </c>
      <c r="B828" s="13" t="n">
        <v>44998</v>
      </c>
      <c r="C828" s="4" t="s">
        <v>6210</v>
      </c>
      <c r="D828" s="4" t="s">
        <v>6207</v>
      </c>
      <c r="E828" s="4" t="s">
        <v>6211</v>
      </c>
      <c r="F828" s="4"/>
    </row>
    <row r="829" customFormat="false" ht="15" hidden="false" customHeight="true" outlineLevel="0" collapsed="false">
      <c r="A829" s="4" t="s">
        <v>1005</v>
      </c>
      <c r="B829" s="13" t="n">
        <v>45431</v>
      </c>
      <c r="C829" s="4" t="s">
        <v>6215</v>
      </c>
      <c r="D829" s="4" t="s">
        <v>6196</v>
      </c>
      <c r="E829" s="4" t="s">
        <v>6207</v>
      </c>
      <c r="F829" s="4" t="s">
        <v>6214</v>
      </c>
    </row>
    <row r="830" customFormat="false" ht="15" hidden="false" customHeight="true" outlineLevel="0" collapsed="false">
      <c r="A830" s="4" t="s">
        <v>1006</v>
      </c>
      <c r="B830" s="13" t="n">
        <v>45324</v>
      </c>
      <c r="C830" s="4" t="s">
        <v>6215</v>
      </c>
      <c r="D830" s="4" t="s">
        <v>6211</v>
      </c>
      <c r="E830" s="4" t="s">
        <v>6203</v>
      </c>
      <c r="F830" s="4" t="s">
        <v>6204</v>
      </c>
    </row>
    <row r="831" customFormat="false" ht="15" hidden="false" customHeight="true" outlineLevel="0" collapsed="false">
      <c r="A831" s="4" t="s">
        <v>1007</v>
      </c>
      <c r="B831" s="13" t="n">
        <v>45438</v>
      </c>
      <c r="C831" s="4" t="s">
        <v>6213</v>
      </c>
      <c r="D831" s="4" t="s">
        <v>6195</v>
      </c>
      <c r="E831" s="4" t="s">
        <v>6205</v>
      </c>
      <c r="F831" s="4" t="s">
        <v>6204</v>
      </c>
    </row>
    <row r="832" customFormat="false" ht="15" hidden="false" customHeight="true" outlineLevel="0" collapsed="false">
      <c r="A832" s="4" t="s">
        <v>1008</v>
      </c>
      <c r="B832" s="13" t="n">
        <v>45100</v>
      </c>
      <c r="C832" s="4" t="s">
        <v>6215</v>
      </c>
      <c r="D832" s="4" t="s">
        <v>6206</v>
      </c>
      <c r="E832" s="4" t="s">
        <v>6203</v>
      </c>
      <c r="F832" s="4" t="s">
        <v>6204</v>
      </c>
    </row>
    <row r="833" customFormat="false" ht="15" hidden="false" customHeight="true" outlineLevel="0" collapsed="false">
      <c r="A833" s="4" t="s">
        <v>1009</v>
      </c>
      <c r="B833" s="13" t="n">
        <v>45222</v>
      </c>
      <c r="C833" s="4" t="s">
        <v>6198</v>
      </c>
      <c r="D833" s="4" t="s">
        <v>6199</v>
      </c>
      <c r="E833" s="4" t="s">
        <v>6203</v>
      </c>
      <c r="F833" s="4" t="s">
        <v>6200</v>
      </c>
    </row>
    <row r="834" customFormat="false" ht="15" hidden="false" customHeight="true" outlineLevel="0" collapsed="false">
      <c r="A834" s="4" t="s">
        <v>1010</v>
      </c>
      <c r="B834" s="13" t="n">
        <v>44993</v>
      </c>
      <c r="C834" s="4" t="s">
        <v>6198</v>
      </c>
      <c r="D834" s="4" t="s">
        <v>6208</v>
      </c>
      <c r="E834" s="4" t="s">
        <v>6208</v>
      </c>
      <c r="F834" s="4" t="s">
        <v>6197</v>
      </c>
    </row>
    <row r="835" customFormat="false" ht="15" hidden="false" customHeight="true" outlineLevel="0" collapsed="false">
      <c r="A835" s="4" t="s">
        <v>1011</v>
      </c>
      <c r="B835" s="13" t="n">
        <v>45117</v>
      </c>
      <c r="C835" s="4" t="s">
        <v>6210</v>
      </c>
      <c r="D835" s="4" t="s">
        <v>6205</v>
      </c>
      <c r="E835" s="4" t="s">
        <v>6205</v>
      </c>
      <c r="F835" s="4" t="s">
        <v>6204</v>
      </c>
    </row>
    <row r="836" customFormat="false" ht="15" hidden="false" customHeight="true" outlineLevel="0" collapsed="false">
      <c r="A836" s="4" t="s">
        <v>1012</v>
      </c>
      <c r="B836" s="13" t="n">
        <v>45337</v>
      </c>
      <c r="C836" s="4" t="s">
        <v>6210</v>
      </c>
      <c r="D836" s="4" t="s">
        <v>6203</v>
      </c>
      <c r="E836" s="4" t="s">
        <v>6208</v>
      </c>
      <c r="F836" s="4" t="s">
        <v>6214</v>
      </c>
    </row>
    <row r="837" customFormat="false" ht="15" hidden="false" customHeight="true" outlineLevel="0" collapsed="false">
      <c r="A837" s="4" t="s">
        <v>1013</v>
      </c>
      <c r="B837" s="13" t="n">
        <v>45030</v>
      </c>
      <c r="C837" s="4" t="s">
        <v>6194</v>
      </c>
      <c r="D837" s="4" t="s">
        <v>6208</v>
      </c>
      <c r="E837" s="4" t="s">
        <v>6199</v>
      </c>
      <c r="F837" s="4" t="s">
        <v>6212</v>
      </c>
    </row>
    <row r="838" customFormat="false" ht="15" hidden="false" customHeight="true" outlineLevel="0" collapsed="false">
      <c r="A838" s="4" t="s">
        <v>1014</v>
      </c>
      <c r="B838" s="13" t="n">
        <v>45181</v>
      </c>
      <c r="C838" s="4" t="s">
        <v>6213</v>
      </c>
      <c r="D838" s="4" t="s">
        <v>6207</v>
      </c>
      <c r="E838" s="4" t="s">
        <v>6208</v>
      </c>
      <c r="F838" s="4"/>
    </row>
    <row r="839" customFormat="false" ht="15" hidden="false" customHeight="true" outlineLevel="0" collapsed="false">
      <c r="A839" s="4" t="s">
        <v>1015</v>
      </c>
      <c r="B839" s="13" t="n">
        <v>45213</v>
      </c>
      <c r="C839" s="4" t="s">
        <v>6201</v>
      </c>
      <c r="D839" s="4" t="s">
        <v>6206</v>
      </c>
      <c r="E839" s="4" t="s">
        <v>6207</v>
      </c>
      <c r="F839" s="4" t="s">
        <v>6197</v>
      </c>
    </row>
    <row r="840" customFormat="false" ht="15" hidden="false" customHeight="true" outlineLevel="0" collapsed="false">
      <c r="A840" s="4" t="s">
        <v>1016</v>
      </c>
      <c r="B840" s="13" t="n">
        <v>44942</v>
      </c>
      <c r="C840" s="4" t="s">
        <v>6210</v>
      </c>
      <c r="D840" s="4" t="s">
        <v>6206</v>
      </c>
      <c r="E840" s="4" t="s">
        <v>6202</v>
      </c>
      <c r="F840" s="4" t="s">
        <v>6197</v>
      </c>
    </row>
    <row r="841" customFormat="false" ht="15" hidden="false" customHeight="true" outlineLevel="0" collapsed="false">
      <c r="A841" s="4" t="s">
        <v>1017</v>
      </c>
      <c r="B841" s="13" t="n">
        <v>45438</v>
      </c>
      <c r="C841" s="4" t="s">
        <v>6194</v>
      </c>
      <c r="D841" s="4" t="s">
        <v>6206</v>
      </c>
      <c r="E841" s="4" t="s">
        <v>6202</v>
      </c>
      <c r="F841" s="4" t="s">
        <v>6204</v>
      </c>
    </row>
    <row r="842" customFormat="false" ht="15" hidden="false" customHeight="true" outlineLevel="0" collapsed="false">
      <c r="A842" s="4" t="s">
        <v>1018</v>
      </c>
      <c r="B842" s="13" t="n">
        <v>45064</v>
      </c>
      <c r="C842" s="4" t="s">
        <v>6210</v>
      </c>
      <c r="D842" s="4" t="s">
        <v>6202</v>
      </c>
      <c r="E842" s="4" t="s">
        <v>6211</v>
      </c>
      <c r="F842" s="4" t="s">
        <v>6200</v>
      </c>
    </row>
    <row r="843" customFormat="false" ht="15" hidden="false" customHeight="true" outlineLevel="0" collapsed="false">
      <c r="A843" s="4" t="s">
        <v>1019</v>
      </c>
      <c r="B843" s="13" t="n">
        <v>45114</v>
      </c>
      <c r="C843" s="4" t="s">
        <v>6215</v>
      </c>
      <c r="D843" s="4" t="s">
        <v>6206</v>
      </c>
      <c r="E843" s="4" t="s">
        <v>6206</v>
      </c>
      <c r="F843" s="4"/>
    </row>
    <row r="844" customFormat="false" ht="15" hidden="false" customHeight="true" outlineLevel="0" collapsed="false">
      <c r="A844" s="4" t="s">
        <v>1020</v>
      </c>
      <c r="B844" s="13" t="n">
        <v>45231</v>
      </c>
      <c r="C844" s="4" t="s">
        <v>6194</v>
      </c>
      <c r="D844" s="4" t="s">
        <v>6196</v>
      </c>
      <c r="E844" s="4" t="s">
        <v>6206</v>
      </c>
      <c r="F844" s="4" t="s">
        <v>6204</v>
      </c>
    </row>
    <row r="845" customFormat="false" ht="15" hidden="false" customHeight="true" outlineLevel="0" collapsed="false">
      <c r="A845" s="4" t="s">
        <v>1021</v>
      </c>
      <c r="B845" s="13" t="n">
        <v>45367</v>
      </c>
      <c r="C845" s="4" t="s">
        <v>6198</v>
      </c>
      <c r="D845" s="4" t="s">
        <v>6206</v>
      </c>
      <c r="E845" s="4" t="s">
        <v>6203</v>
      </c>
      <c r="F845" s="4"/>
    </row>
    <row r="846" customFormat="false" ht="15" hidden="false" customHeight="true" outlineLevel="0" collapsed="false">
      <c r="A846" s="4" t="s">
        <v>1022</v>
      </c>
      <c r="B846" s="13" t="n">
        <v>44976</v>
      </c>
      <c r="C846" s="4" t="s">
        <v>6215</v>
      </c>
      <c r="D846" s="4" t="s">
        <v>6207</v>
      </c>
      <c r="E846" s="4" t="s">
        <v>6207</v>
      </c>
      <c r="F846" s="4" t="s">
        <v>6200</v>
      </c>
    </row>
    <row r="847" customFormat="false" ht="15" hidden="false" customHeight="true" outlineLevel="0" collapsed="false">
      <c r="A847" s="4" t="s">
        <v>1023</v>
      </c>
      <c r="B847" s="13" t="n">
        <v>45351</v>
      </c>
      <c r="C847" s="4" t="s">
        <v>6210</v>
      </c>
      <c r="D847" s="4" t="s">
        <v>6199</v>
      </c>
      <c r="E847" s="4" t="s">
        <v>6203</v>
      </c>
      <c r="F847" s="4"/>
    </row>
    <row r="848" customFormat="false" ht="15" hidden="false" customHeight="true" outlineLevel="0" collapsed="false">
      <c r="A848" s="4" t="s">
        <v>1024</v>
      </c>
      <c r="B848" s="13" t="n">
        <v>45448</v>
      </c>
      <c r="C848" s="4" t="s">
        <v>6194</v>
      </c>
      <c r="D848" s="4" t="s">
        <v>6196</v>
      </c>
      <c r="E848" s="4" t="s">
        <v>6208</v>
      </c>
      <c r="F848" s="4"/>
    </row>
    <row r="849" customFormat="false" ht="15" hidden="false" customHeight="true" outlineLevel="0" collapsed="false">
      <c r="A849" s="4" t="s">
        <v>1025</v>
      </c>
      <c r="B849" s="13" t="n">
        <v>45502</v>
      </c>
      <c r="C849" s="4" t="s">
        <v>6201</v>
      </c>
      <c r="D849" s="4" t="s">
        <v>6207</v>
      </c>
      <c r="E849" s="4" t="s">
        <v>6195</v>
      </c>
      <c r="F849" s="4" t="s">
        <v>6214</v>
      </c>
    </row>
    <row r="850" customFormat="false" ht="15" hidden="false" customHeight="true" outlineLevel="0" collapsed="false">
      <c r="A850" s="4" t="s">
        <v>1026</v>
      </c>
      <c r="B850" s="13" t="n">
        <v>45181</v>
      </c>
      <c r="C850" s="4" t="s">
        <v>6210</v>
      </c>
      <c r="D850" s="4" t="s">
        <v>6207</v>
      </c>
      <c r="E850" s="4" t="s">
        <v>6196</v>
      </c>
      <c r="F850" s="4"/>
    </row>
    <row r="851" customFormat="false" ht="15" hidden="false" customHeight="true" outlineLevel="0" collapsed="false">
      <c r="A851" s="4" t="s">
        <v>1027</v>
      </c>
      <c r="B851" s="13" t="n">
        <v>45032</v>
      </c>
      <c r="C851" s="4" t="s">
        <v>6198</v>
      </c>
      <c r="D851" s="4" t="s">
        <v>6202</v>
      </c>
      <c r="E851" s="4" t="s">
        <v>6195</v>
      </c>
      <c r="F851" s="4" t="s">
        <v>6200</v>
      </c>
    </row>
    <row r="852" customFormat="false" ht="15" hidden="false" customHeight="true" outlineLevel="0" collapsed="false">
      <c r="A852" s="4" t="s">
        <v>1028</v>
      </c>
      <c r="B852" s="13" t="n">
        <v>45124</v>
      </c>
      <c r="C852" s="4" t="s">
        <v>6210</v>
      </c>
      <c r="D852" s="4" t="s">
        <v>6195</v>
      </c>
      <c r="E852" s="4" t="s">
        <v>6195</v>
      </c>
      <c r="F852" s="4"/>
    </row>
    <row r="853" customFormat="false" ht="15" hidden="false" customHeight="true" outlineLevel="0" collapsed="false">
      <c r="A853" s="4" t="s">
        <v>1029</v>
      </c>
      <c r="B853" s="13" t="n">
        <v>45283</v>
      </c>
      <c r="C853" s="4" t="s">
        <v>6194</v>
      </c>
      <c r="D853" s="4" t="s">
        <v>6211</v>
      </c>
      <c r="E853" s="4" t="s">
        <v>6202</v>
      </c>
      <c r="F853" s="4"/>
    </row>
    <row r="854" customFormat="false" ht="15" hidden="false" customHeight="true" outlineLevel="0" collapsed="false">
      <c r="A854" s="4" t="s">
        <v>1030</v>
      </c>
      <c r="B854" s="13" t="n">
        <v>45113</v>
      </c>
      <c r="C854" s="4" t="s">
        <v>6209</v>
      </c>
      <c r="D854" s="4" t="s">
        <v>6199</v>
      </c>
      <c r="E854" s="4" t="s">
        <v>6202</v>
      </c>
      <c r="F854" s="4" t="s">
        <v>6214</v>
      </c>
    </row>
    <row r="855" customFormat="false" ht="15" hidden="false" customHeight="true" outlineLevel="0" collapsed="false">
      <c r="A855" s="4" t="s">
        <v>1031</v>
      </c>
      <c r="B855" s="13" t="n">
        <v>45279</v>
      </c>
      <c r="C855" s="4" t="s">
        <v>6194</v>
      </c>
      <c r="D855" s="4" t="s">
        <v>6206</v>
      </c>
      <c r="E855" s="4" t="s">
        <v>6206</v>
      </c>
      <c r="F855" s="4"/>
    </row>
    <row r="856" customFormat="false" ht="15" hidden="false" customHeight="true" outlineLevel="0" collapsed="false">
      <c r="A856" s="4" t="s">
        <v>1032</v>
      </c>
      <c r="B856" s="13" t="n">
        <v>45145</v>
      </c>
      <c r="C856" s="4" t="s">
        <v>6213</v>
      </c>
      <c r="D856" s="4" t="s">
        <v>6202</v>
      </c>
      <c r="E856" s="4" t="s">
        <v>6199</v>
      </c>
      <c r="F856" s="4"/>
    </row>
    <row r="857" customFormat="false" ht="15" hidden="false" customHeight="true" outlineLevel="0" collapsed="false">
      <c r="A857" s="4" t="s">
        <v>1033</v>
      </c>
      <c r="B857" s="13" t="n">
        <v>44978</v>
      </c>
      <c r="C857" s="4" t="s">
        <v>6194</v>
      </c>
      <c r="D857" s="4" t="s">
        <v>6196</v>
      </c>
      <c r="E857" s="4" t="s">
        <v>6206</v>
      </c>
      <c r="F857" s="4" t="s">
        <v>6214</v>
      </c>
    </row>
    <row r="858" customFormat="false" ht="15" hidden="false" customHeight="true" outlineLevel="0" collapsed="false">
      <c r="A858" s="4" t="s">
        <v>1034</v>
      </c>
      <c r="B858" s="13" t="n">
        <v>45280</v>
      </c>
      <c r="C858" s="4" t="s">
        <v>6213</v>
      </c>
      <c r="D858" s="4" t="s">
        <v>6195</v>
      </c>
      <c r="E858" s="4" t="s">
        <v>6206</v>
      </c>
      <c r="F858" s="4" t="s">
        <v>6197</v>
      </c>
    </row>
    <row r="859" customFormat="false" ht="15" hidden="false" customHeight="true" outlineLevel="0" collapsed="false">
      <c r="A859" s="4" t="s">
        <v>1035</v>
      </c>
      <c r="B859" s="13" t="n">
        <v>45579</v>
      </c>
      <c r="C859" s="4" t="s">
        <v>6198</v>
      </c>
      <c r="D859" s="4" t="s">
        <v>6205</v>
      </c>
      <c r="E859" s="4" t="s">
        <v>6206</v>
      </c>
      <c r="F859" s="4"/>
    </row>
    <row r="860" customFormat="false" ht="15" hidden="false" customHeight="true" outlineLevel="0" collapsed="false">
      <c r="A860" s="4" t="s">
        <v>1036</v>
      </c>
      <c r="B860" s="13" t="n">
        <v>45093</v>
      </c>
      <c r="C860" s="4" t="s">
        <v>6209</v>
      </c>
      <c r="D860" s="4" t="s">
        <v>6199</v>
      </c>
      <c r="E860" s="4" t="s">
        <v>6211</v>
      </c>
      <c r="F860" s="4" t="s">
        <v>6212</v>
      </c>
    </row>
    <row r="861" customFormat="false" ht="15" hidden="false" customHeight="true" outlineLevel="0" collapsed="false">
      <c r="A861" s="4" t="s">
        <v>1037</v>
      </c>
      <c r="B861" s="13" t="n">
        <v>45319</v>
      </c>
      <c r="C861" s="4" t="s">
        <v>6210</v>
      </c>
      <c r="D861" s="4" t="s">
        <v>6202</v>
      </c>
      <c r="E861" s="4" t="s">
        <v>6199</v>
      </c>
      <c r="F861" s="4"/>
    </row>
    <row r="862" customFormat="false" ht="15" hidden="false" customHeight="true" outlineLevel="0" collapsed="false">
      <c r="A862" s="4" t="s">
        <v>1038</v>
      </c>
      <c r="B862" s="13" t="n">
        <v>45266</v>
      </c>
      <c r="C862" s="4" t="s">
        <v>6198</v>
      </c>
      <c r="D862" s="4" t="s">
        <v>6199</v>
      </c>
      <c r="E862" s="4" t="s">
        <v>6203</v>
      </c>
      <c r="F862" s="4" t="s">
        <v>6200</v>
      </c>
    </row>
    <row r="863" customFormat="false" ht="15" hidden="false" customHeight="true" outlineLevel="0" collapsed="false">
      <c r="A863" s="4" t="s">
        <v>1039</v>
      </c>
      <c r="B863" s="13" t="n">
        <v>45378</v>
      </c>
      <c r="C863" s="4" t="s">
        <v>6201</v>
      </c>
      <c r="D863" s="4" t="s">
        <v>6211</v>
      </c>
      <c r="E863" s="4" t="s">
        <v>6196</v>
      </c>
      <c r="F863" s="4"/>
    </row>
    <row r="864" customFormat="false" ht="15" hidden="false" customHeight="true" outlineLevel="0" collapsed="false">
      <c r="A864" s="4" t="s">
        <v>1040</v>
      </c>
      <c r="B864" s="13" t="n">
        <v>45603</v>
      </c>
      <c r="C864" s="4" t="s">
        <v>6201</v>
      </c>
      <c r="D864" s="4" t="s">
        <v>6203</v>
      </c>
      <c r="E864" s="4" t="s">
        <v>6206</v>
      </c>
      <c r="F864" s="4" t="s">
        <v>6214</v>
      </c>
    </row>
    <row r="865" customFormat="false" ht="15" hidden="false" customHeight="true" outlineLevel="0" collapsed="false">
      <c r="A865" s="4" t="s">
        <v>1041</v>
      </c>
      <c r="B865" s="13" t="n">
        <v>45291</v>
      </c>
      <c r="C865" s="4" t="s">
        <v>6210</v>
      </c>
      <c r="D865" s="4" t="s">
        <v>6202</v>
      </c>
      <c r="E865" s="4" t="s">
        <v>6207</v>
      </c>
      <c r="F865" s="4"/>
    </row>
    <row r="866" customFormat="false" ht="15" hidden="false" customHeight="true" outlineLevel="0" collapsed="false">
      <c r="A866" s="4" t="s">
        <v>1042</v>
      </c>
      <c r="B866" s="13" t="n">
        <v>44983</v>
      </c>
      <c r="C866" s="4" t="s">
        <v>6210</v>
      </c>
      <c r="D866" s="4" t="s">
        <v>6205</v>
      </c>
      <c r="E866" s="4" t="s">
        <v>6195</v>
      </c>
      <c r="F866" s="4"/>
    </row>
    <row r="867" customFormat="false" ht="15" hidden="false" customHeight="true" outlineLevel="0" collapsed="false">
      <c r="A867" s="4" t="s">
        <v>1043</v>
      </c>
      <c r="B867" s="13" t="n">
        <v>45514</v>
      </c>
      <c r="C867" s="4" t="s">
        <v>6198</v>
      </c>
      <c r="D867" s="4" t="s">
        <v>6206</v>
      </c>
      <c r="E867" s="4" t="s">
        <v>6202</v>
      </c>
      <c r="F867" s="4" t="s">
        <v>6200</v>
      </c>
    </row>
    <row r="868" customFormat="false" ht="15" hidden="false" customHeight="true" outlineLevel="0" collapsed="false">
      <c r="A868" s="4" t="s">
        <v>1044</v>
      </c>
      <c r="B868" s="13" t="n">
        <v>45240</v>
      </c>
      <c r="C868" s="4" t="s">
        <v>6215</v>
      </c>
      <c r="D868" s="4" t="s">
        <v>6205</v>
      </c>
      <c r="E868" s="4" t="s">
        <v>6195</v>
      </c>
      <c r="F868" s="4" t="s">
        <v>6216</v>
      </c>
    </row>
    <row r="869" customFormat="false" ht="15" hidden="false" customHeight="true" outlineLevel="0" collapsed="false">
      <c r="A869" s="4" t="s">
        <v>1045</v>
      </c>
      <c r="B869" s="13" t="n">
        <v>45207</v>
      </c>
      <c r="C869" s="4" t="s">
        <v>6201</v>
      </c>
      <c r="D869" s="4" t="s">
        <v>6207</v>
      </c>
      <c r="E869" s="4" t="s">
        <v>6196</v>
      </c>
      <c r="F869" s="4" t="s">
        <v>6200</v>
      </c>
    </row>
    <row r="870" customFormat="false" ht="15" hidden="false" customHeight="true" outlineLevel="0" collapsed="false">
      <c r="A870" s="4" t="s">
        <v>1046</v>
      </c>
      <c r="B870" s="13" t="n">
        <v>45221</v>
      </c>
      <c r="C870" s="4" t="s">
        <v>6213</v>
      </c>
      <c r="D870" s="4" t="s">
        <v>6195</v>
      </c>
      <c r="E870" s="4" t="s">
        <v>6205</v>
      </c>
      <c r="F870" s="4" t="s">
        <v>6216</v>
      </c>
    </row>
    <row r="871" customFormat="false" ht="15" hidden="false" customHeight="true" outlineLevel="0" collapsed="false">
      <c r="A871" s="4" t="s">
        <v>1047</v>
      </c>
      <c r="B871" s="13" t="n">
        <v>45525</v>
      </c>
      <c r="C871" s="4" t="s">
        <v>6209</v>
      </c>
      <c r="D871" s="4" t="s">
        <v>6205</v>
      </c>
      <c r="E871" s="4" t="s">
        <v>6195</v>
      </c>
      <c r="F871" s="4"/>
    </row>
    <row r="872" customFormat="false" ht="15" hidden="false" customHeight="true" outlineLevel="0" collapsed="false">
      <c r="A872" s="4" t="s">
        <v>1048</v>
      </c>
      <c r="B872" s="13" t="n">
        <v>45224</v>
      </c>
      <c r="C872" s="4" t="s">
        <v>6198</v>
      </c>
      <c r="D872" s="4" t="s">
        <v>6202</v>
      </c>
      <c r="E872" s="4" t="s">
        <v>6206</v>
      </c>
      <c r="F872" s="4" t="s">
        <v>6216</v>
      </c>
    </row>
    <row r="873" customFormat="false" ht="15" hidden="false" customHeight="true" outlineLevel="0" collapsed="false">
      <c r="A873" s="4" t="s">
        <v>1049</v>
      </c>
      <c r="B873" s="13" t="n">
        <v>45390</v>
      </c>
      <c r="C873" s="4" t="s">
        <v>6209</v>
      </c>
      <c r="D873" s="4" t="s">
        <v>6206</v>
      </c>
      <c r="E873" s="4" t="s">
        <v>6211</v>
      </c>
      <c r="F873" s="4" t="s">
        <v>6197</v>
      </c>
    </row>
    <row r="874" customFormat="false" ht="15" hidden="false" customHeight="true" outlineLevel="0" collapsed="false">
      <c r="A874" s="4" t="s">
        <v>1050</v>
      </c>
      <c r="B874" s="13" t="n">
        <v>45129</v>
      </c>
      <c r="C874" s="4" t="s">
        <v>6215</v>
      </c>
      <c r="D874" s="4" t="s">
        <v>6202</v>
      </c>
      <c r="E874" s="4" t="s">
        <v>6203</v>
      </c>
      <c r="F874" s="4" t="s">
        <v>6212</v>
      </c>
    </row>
    <row r="875" customFormat="false" ht="15" hidden="false" customHeight="true" outlineLevel="0" collapsed="false">
      <c r="A875" s="4" t="s">
        <v>1051</v>
      </c>
      <c r="B875" s="13" t="n">
        <v>45264</v>
      </c>
      <c r="C875" s="4" t="s">
        <v>6201</v>
      </c>
      <c r="D875" s="4" t="s">
        <v>6206</v>
      </c>
      <c r="E875" s="4" t="s">
        <v>6211</v>
      </c>
      <c r="F875" s="4" t="s">
        <v>6212</v>
      </c>
    </row>
    <row r="876" customFormat="false" ht="15" hidden="false" customHeight="true" outlineLevel="0" collapsed="false">
      <c r="A876" s="4" t="s">
        <v>1052</v>
      </c>
      <c r="B876" s="13" t="n">
        <v>45623</v>
      </c>
      <c r="C876" s="4" t="s">
        <v>6210</v>
      </c>
      <c r="D876" s="4" t="s">
        <v>6206</v>
      </c>
      <c r="E876" s="4" t="s">
        <v>6208</v>
      </c>
      <c r="F876" s="4"/>
    </row>
    <row r="877" customFormat="false" ht="15" hidden="false" customHeight="true" outlineLevel="0" collapsed="false">
      <c r="A877" s="4" t="s">
        <v>1053</v>
      </c>
      <c r="B877" s="13" t="n">
        <v>45013</v>
      </c>
      <c r="C877" s="4" t="s">
        <v>6215</v>
      </c>
      <c r="D877" s="4" t="s">
        <v>6206</v>
      </c>
      <c r="E877" s="4" t="s">
        <v>6211</v>
      </c>
      <c r="F877" s="4" t="s">
        <v>6214</v>
      </c>
    </row>
    <row r="878" customFormat="false" ht="15" hidden="false" customHeight="true" outlineLevel="0" collapsed="false">
      <c r="A878" s="4" t="s">
        <v>1054</v>
      </c>
      <c r="B878" s="13" t="n">
        <v>45026</v>
      </c>
      <c r="C878" s="4" t="s">
        <v>6215</v>
      </c>
      <c r="D878" s="4" t="s">
        <v>6195</v>
      </c>
      <c r="E878" s="4" t="s">
        <v>6203</v>
      </c>
      <c r="F878" s="4"/>
    </row>
    <row r="879" customFormat="false" ht="15" hidden="false" customHeight="true" outlineLevel="0" collapsed="false">
      <c r="A879" s="4" t="s">
        <v>1055</v>
      </c>
      <c r="B879" s="13" t="n">
        <v>45444</v>
      </c>
      <c r="C879" s="4" t="s">
        <v>6194</v>
      </c>
      <c r="D879" s="4" t="s">
        <v>6195</v>
      </c>
      <c r="E879" s="4" t="s">
        <v>6195</v>
      </c>
      <c r="F879" s="4" t="s">
        <v>6216</v>
      </c>
    </row>
    <row r="880" customFormat="false" ht="15" hidden="false" customHeight="true" outlineLevel="0" collapsed="false">
      <c r="A880" s="4" t="s">
        <v>1056</v>
      </c>
      <c r="B880" s="13" t="n">
        <v>45153</v>
      </c>
      <c r="C880" s="4" t="s">
        <v>6209</v>
      </c>
      <c r="D880" s="4" t="s">
        <v>6208</v>
      </c>
      <c r="E880" s="4" t="s">
        <v>6208</v>
      </c>
      <c r="F880" s="4" t="s">
        <v>6204</v>
      </c>
    </row>
    <row r="881" customFormat="false" ht="15" hidden="false" customHeight="true" outlineLevel="0" collapsed="false">
      <c r="A881" s="4" t="s">
        <v>1057</v>
      </c>
      <c r="B881" s="13" t="n">
        <v>45026</v>
      </c>
      <c r="C881" s="4" t="s">
        <v>6201</v>
      </c>
      <c r="D881" s="4" t="s">
        <v>6206</v>
      </c>
      <c r="E881" s="4" t="s">
        <v>6207</v>
      </c>
      <c r="F881" s="4" t="s">
        <v>6204</v>
      </c>
    </row>
    <row r="882" customFormat="false" ht="15" hidden="false" customHeight="true" outlineLevel="0" collapsed="false">
      <c r="A882" s="4" t="s">
        <v>1058</v>
      </c>
      <c r="B882" s="13" t="n">
        <v>44989</v>
      </c>
      <c r="C882" s="4" t="s">
        <v>6198</v>
      </c>
      <c r="D882" s="4" t="s">
        <v>6207</v>
      </c>
      <c r="E882" s="4" t="s">
        <v>6207</v>
      </c>
      <c r="F882" s="4"/>
    </row>
    <row r="883" customFormat="false" ht="15" hidden="false" customHeight="true" outlineLevel="0" collapsed="false">
      <c r="A883" s="4" t="s">
        <v>1059</v>
      </c>
      <c r="B883" s="13" t="n">
        <v>45398</v>
      </c>
      <c r="C883" s="4" t="s">
        <v>6210</v>
      </c>
      <c r="D883" s="4" t="s">
        <v>6196</v>
      </c>
      <c r="E883" s="4" t="s">
        <v>6208</v>
      </c>
      <c r="F883" s="4" t="s">
        <v>6204</v>
      </c>
    </row>
    <row r="884" customFormat="false" ht="15" hidden="false" customHeight="true" outlineLevel="0" collapsed="false">
      <c r="A884" s="4" t="s">
        <v>1060</v>
      </c>
      <c r="B884" s="13" t="n">
        <v>45147</v>
      </c>
      <c r="C884" s="4" t="s">
        <v>6213</v>
      </c>
      <c r="D884" s="4" t="s">
        <v>6199</v>
      </c>
      <c r="E884" s="4" t="s">
        <v>6196</v>
      </c>
      <c r="F884" s="4"/>
    </row>
    <row r="885" customFormat="false" ht="15" hidden="false" customHeight="true" outlineLevel="0" collapsed="false">
      <c r="A885" s="4" t="s">
        <v>1061</v>
      </c>
      <c r="B885" s="13" t="n">
        <v>45107</v>
      </c>
      <c r="C885" s="4" t="s">
        <v>6209</v>
      </c>
      <c r="D885" s="4" t="s">
        <v>6196</v>
      </c>
      <c r="E885" s="4" t="s">
        <v>6202</v>
      </c>
      <c r="F885" s="4" t="s">
        <v>6200</v>
      </c>
    </row>
    <row r="886" customFormat="false" ht="15" hidden="false" customHeight="true" outlineLevel="0" collapsed="false">
      <c r="A886" s="4" t="s">
        <v>1062</v>
      </c>
      <c r="B886" s="13" t="n">
        <v>45225</v>
      </c>
      <c r="C886" s="4" t="s">
        <v>6209</v>
      </c>
      <c r="D886" s="4" t="s">
        <v>6207</v>
      </c>
      <c r="E886" s="4" t="s">
        <v>6208</v>
      </c>
      <c r="F886" s="4" t="s">
        <v>6214</v>
      </c>
    </row>
    <row r="887" customFormat="false" ht="15" hidden="false" customHeight="true" outlineLevel="0" collapsed="false">
      <c r="A887" s="4" t="s">
        <v>1063</v>
      </c>
      <c r="B887" s="13" t="n">
        <v>45564</v>
      </c>
      <c r="C887" s="4" t="s">
        <v>6215</v>
      </c>
      <c r="D887" s="4" t="s">
        <v>6206</v>
      </c>
      <c r="E887" s="4" t="s">
        <v>6206</v>
      </c>
      <c r="F887" s="4" t="s">
        <v>6204</v>
      </c>
    </row>
    <row r="888" customFormat="false" ht="15" hidden="false" customHeight="true" outlineLevel="0" collapsed="false">
      <c r="A888" s="4" t="s">
        <v>1064</v>
      </c>
      <c r="B888" s="13" t="n">
        <v>45165</v>
      </c>
      <c r="C888" s="4" t="s">
        <v>6209</v>
      </c>
      <c r="D888" s="4" t="s">
        <v>6203</v>
      </c>
      <c r="E888" s="4" t="s">
        <v>6195</v>
      </c>
      <c r="F888" s="4" t="s">
        <v>6200</v>
      </c>
    </row>
    <row r="889" customFormat="false" ht="15" hidden="false" customHeight="true" outlineLevel="0" collapsed="false">
      <c r="A889" s="4" t="s">
        <v>1065</v>
      </c>
      <c r="B889" s="13" t="n">
        <v>45633</v>
      </c>
      <c r="C889" s="4" t="s">
        <v>6198</v>
      </c>
      <c r="D889" s="4" t="s">
        <v>6206</v>
      </c>
      <c r="E889" s="4" t="s">
        <v>6208</v>
      </c>
      <c r="F889" s="4"/>
    </row>
    <row r="890" customFormat="false" ht="15" hidden="false" customHeight="true" outlineLevel="0" collapsed="false">
      <c r="A890" s="4" t="s">
        <v>1066</v>
      </c>
      <c r="B890" s="13" t="n">
        <v>45468</v>
      </c>
      <c r="C890" s="4" t="s">
        <v>6198</v>
      </c>
      <c r="D890" s="4" t="s">
        <v>6208</v>
      </c>
      <c r="E890" s="4" t="s">
        <v>6205</v>
      </c>
      <c r="F890" s="4" t="s">
        <v>6197</v>
      </c>
    </row>
    <row r="891" customFormat="false" ht="15" hidden="false" customHeight="true" outlineLevel="0" collapsed="false">
      <c r="A891" s="4" t="s">
        <v>1067</v>
      </c>
      <c r="B891" s="13" t="n">
        <v>45549</v>
      </c>
      <c r="C891" s="4" t="s">
        <v>6213</v>
      </c>
      <c r="D891" s="4" t="s">
        <v>6203</v>
      </c>
      <c r="E891" s="4" t="s">
        <v>6208</v>
      </c>
      <c r="F891" s="4"/>
    </row>
    <row r="892" customFormat="false" ht="15" hidden="false" customHeight="true" outlineLevel="0" collapsed="false">
      <c r="A892" s="4" t="s">
        <v>1068</v>
      </c>
      <c r="B892" s="13" t="n">
        <v>45619</v>
      </c>
      <c r="C892" s="4" t="s">
        <v>6194</v>
      </c>
      <c r="D892" s="4" t="s">
        <v>6203</v>
      </c>
      <c r="E892" s="4" t="s">
        <v>6208</v>
      </c>
      <c r="F892" s="4"/>
    </row>
    <row r="893" customFormat="false" ht="15" hidden="false" customHeight="true" outlineLevel="0" collapsed="false">
      <c r="A893" s="4" t="s">
        <v>1069</v>
      </c>
      <c r="B893" s="13" t="n">
        <v>45271</v>
      </c>
      <c r="C893" s="4" t="s">
        <v>6215</v>
      </c>
      <c r="D893" s="4" t="s">
        <v>6206</v>
      </c>
      <c r="E893" s="4" t="s">
        <v>6211</v>
      </c>
      <c r="F893" s="4" t="s">
        <v>6214</v>
      </c>
    </row>
    <row r="894" customFormat="false" ht="15" hidden="false" customHeight="true" outlineLevel="0" collapsed="false">
      <c r="A894" s="4" t="s">
        <v>1070</v>
      </c>
      <c r="B894" s="13" t="n">
        <v>45207</v>
      </c>
      <c r="C894" s="4" t="s">
        <v>6215</v>
      </c>
      <c r="D894" s="4" t="s">
        <v>6196</v>
      </c>
      <c r="E894" s="4" t="s">
        <v>6203</v>
      </c>
      <c r="F894" s="4"/>
    </row>
    <row r="895" customFormat="false" ht="15" hidden="false" customHeight="true" outlineLevel="0" collapsed="false">
      <c r="A895" s="4" t="s">
        <v>1071</v>
      </c>
      <c r="B895" s="13" t="n">
        <v>45187</v>
      </c>
      <c r="C895" s="4" t="s">
        <v>6201</v>
      </c>
      <c r="D895" s="4" t="s">
        <v>6211</v>
      </c>
      <c r="E895" s="4" t="s">
        <v>6207</v>
      </c>
      <c r="F895" s="4" t="s">
        <v>6216</v>
      </c>
    </row>
    <row r="896" customFormat="false" ht="15" hidden="false" customHeight="true" outlineLevel="0" collapsed="false">
      <c r="A896" s="4" t="s">
        <v>1072</v>
      </c>
      <c r="B896" s="13" t="n">
        <v>45184</v>
      </c>
      <c r="C896" s="4" t="s">
        <v>6215</v>
      </c>
      <c r="D896" s="4" t="s">
        <v>6202</v>
      </c>
      <c r="E896" s="4" t="s">
        <v>6211</v>
      </c>
      <c r="F896" s="4" t="s">
        <v>6204</v>
      </c>
    </row>
    <row r="897" customFormat="false" ht="15" hidden="false" customHeight="true" outlineLevel="0" collapsed="false">
      <c r="A897" s="4" t="s">
        <v>1073</v>
      </c>
      <c r="B897" s="13" t="n">
        <v>44949</v>
      </c>
      <c r="C897" s="4" t="s">
        <v>6210</v>
      </c>
      <c r="D897" s="4" t="s">
        <v>6205</v>
      </c>
      <c r="E897" s="4" t="s">
        <v>6199</v>
      </c>
      <c r="F897" s="4" t="s">
        <v>6204</v>
      </c>
    </row>
    <row r="898" customFormat="false" ht="15" hidden="false" customHeight="true" outlineLevel="0" collapsed="false">
      <c r="A898" s="4" t="s">
        <v>1074</v>
      </c>
      <c r="B898" s="13" t="n">
        <v>44991</v>
      </c>
      <c r="C898" s="4" t="s">
        <v>6201</v>
      </c>
      <c r="D898" s="4" t="s">
        <v>6206</v>
      </c>
      <c r="E898" s="4" t="s">
        <v>6203</v>
      </c>
      <c r="F898" s="4" t="s">
        <v>6216</v>
      </c>
    </row>
    <row r="899" customFormat="false" ht="15" hidden="false" customHeight="true" outlineLevel="0" collapsed="false">
      <c r="A899" s="4" t="s">
        <v>1075</v>
      </c>
      <c r="B899" s="13" t="n">
        <v>45189</v>
      </c>
      <c r="C899" s="4" t="s">
        <v>6201</v>
      </c>
      <c r="D899" s="4" t="s">
        <v>6205</v>
      </c>
      <c r="E899" s="4" t="s">
        <v>6196</v>
      </c>
      <c r="F899" s="4" t="s">
        <v>6204</v>
      </c>
    </row>
    <row r="900" customFormat="false" ht="15" hidden="false" customHeight="true" outlineLevel="0" collapsed="false">
      <c r="A900" s="4" t="s">
        <v>1076</v>
      </c>
      <c r="B900" s="13" t="n">
        <v>45393</v>
      </c>
      <c r="C900" s="4" t="s">
        <v>6215</v>
      </c>
      <c r="D900" s="4" t="s">
        <v>6196</v>
      </c>
      <c r="E900" s="4" t="s">
        <v>6202</v>
      </c>
      <c r="F900" s="4"/>
    </row>
    <row r="901" customFormat="false" ht="15" hidden="false" customHeight="true" outlineLevel="0" collapsed="false">
      <c r="A901" s="4" t="s">
        <v>1077</v>
      </c>
      <c r="B901" s="13" t="n">
        <v>45415</v>
      </c>
      <c r="C901" s="4" t="s">
        <v>6215</v>
      </c>
      <c r="D901" s="4" t="s">
        <v>6196</v>
      </c>
      <c r="E901" s="4" t="s">
        <v>6211</v>
      </c>
      <c r="F901" s="4"/>
    </row>
    <row r="902" customFormat="false" ht="15" hidden="false" customHeight="true" outlineLevel="0" collapsed="false">
      <c r="A902" s="4" t="s">
        <v>1078</v>
      </c>
      <c r="B902" s="13" t="n">
        <v>45448</v>
      </c>
      <c r="C902" s="4" t="s">
        <v>6201</v>
      </c>
      <c r="D902" s="4" t="s">
        <v>6195</v>
      </c>
      <c r="E902" s="4" t="s">
        <v>6205</v>
      </c>
      <c r="F902" s="4"/>
    </row>
    <row r="903" customFormat="false" ht="15" hidden="false" customHeight="true" outlineLevel="0" collapsed="false">
      <c r="A903" s="4" t="s">
        <v>1079</v>
      </c>
      <c r="B903" s="13" t="n">
        <v>45471</v>
      </c>
      <c r="C903" s="4" t="s">
        <v>6213</v>
      </c>
      <c r="D903" s="4" t="s">
        <v>6195</v>
      </c>
      <c r="E903" s="4" t="s">
        <v>6208</v>
      </c>
      <c r="F903" s="4" t="s">
        <v>6200</v>
      </c>
    </row>
    <row r="904" customFormat="false" ht="15" hidden="false" customHeight="true" outlineLevel="0" collapsed="false">
      <c r="A904" s="4" t="s">
        <v>1080</v>
      </c>
      <c r="B904" s="13" t="n">
        <v>45106</v>
      </c>
      <c r="C904" s="4" t="s">
        <v>6194</v>
      </c>
      <c r="D904" s="4" t="s">
        <v>6202</v>
      </c>
      <c r="E904" s="4" t="s">
        <v>6211</v>
      </c>
      <c r="F904" s="4" t="s">
        <v>6214</v>
      </c>
    </row>
    <row r="905" customFormat="false" ht="15" hidden="false" customHeight="true" outlineLevel="0" collapsed="false">
      <c r="A905" s="4" t="s">
        <v>1081</v>
      </c>
      <c r="B905" s="13" t="n">
        <v>45145</v>
      </c>
      <c r="C905" s="4" t="s">
        <v>6201</v>
      </c>
      <c r="D905" s="4" t="s">
        <v>6202</v>
      </c>
      <c r="E905" s="4" t="s">
        <v>6207</v>
      </c>
      <c r="F905" s="4" t="s">
        <v>6214</v>
      </c>
    </row>
    <row r="906" customFormat="false" ht="15" hidden="false" customHeight="true" outlineLevel="0" collapsed="false">
      <c r="A906" s="4" t="s">
        <v>1082</v>
      </c>
      <c r="B906" s="13" t="n">
        <v>45037</v>
      </c>
      <c r="C906" s="4" t="s">
        <v>6210</v>
      </c>
      <c r="D906" s="4" t="s">
        <v>6208</v>
      </c>
      <c r="E906" s="4" t="s">
        <v>6211</v>
      </c>
      <c r="F906" s="4" t="s">
        <v>6204</v>
      </c>
    </row>
    <row r="907" customFormat="false" ht="15" hidden="false" customHeight="true" outlineLevel="0" collapsed="false">
      <c r="A907" s="4" t="s">
        <v>1083</v>
      </c>
      <c r="B907" s="13" t="n">
        <v>45038</v>
      </c>
      <c r="C907" s="4" t="s">
        <v>6201</v>
      </c>
      <c r="D907" s="4" t="s">
        <v>6196</v>
      </c>
      <c r="E907" s="4" t="s">
        <v>6206</v>
      </c>
      <c r="F907" s="4" t="s">
        <v>6216</v>
      </c>
    </row>
    <row r="908" customFormat="false" ht="15" hidden="false" customHeight="true" outlineLevel="0" collapsed="false">
      <c r="A908" s="4" t="s">
        <v>1084</v>
      </c>
      <c r="B908" s="13" t="n">
        <v>45076</v>
      </c>
      <c r="C908" s="4" t="s">
        <v>6215</v>
      </c>
      <c r="D908" s="4" t="s">
        <v>6211</v>
      </c>
      <c r="E908" s="4" t="s">
        <v>6199</v>
      </c>
      <c r="F908" s="4" t="s">
        <v>6216</v>
      </c>
    </row>
    <row r="909" customFormat="false" ht="15" hidden="false" customHeight="true" outlineLevel="0" collapsed="false">
      <c r="A909" s="4" t="s">
        <v>1085</v>
      </c>
      <c r="B909" s="13" t="n">
        <v>45194</v>
      </c>
      <c r="C909" s="4" t="s">
        <v>6194</v>
      </c>
      <c r="D909" s="4" t="s">
        <v>6199</v>
      </c>
      <c r="E909" s="4" t="s">
        <v>6199</v>
      </c>
      <c r="F909" s="4" t="s">
        <v>6197</v>
      </c>
    </row>
    <row r="910" customFormat="false" ht="15" hidden="false" customHeight="true" outlineLevel="0" collapsed="false">
      <c r="A910" s="4" t="s">
        <v>1086</v>
      </c>
      <c r="B910" s="13" t="n">
        <v>45370</v>
      </c>
      <c r="C910" s="4" t="s">
        <v>6194</v>
      </c>
      <c r="D910" s="4" t="s">
        <v>6199</v>
      </c>
      <c r="E910" s="4" t="s">
        <v>6211</v>
      </c>
      <c r="F910" s="4"/>
    </row>
    <row r="911" customFormat="false" ht="15" hidden="false" customHeight="true" outlineLevel="0" collapsed="false">
      <c r="A911" s="4" t="s">
        <v>1087</v>
      </c>
      <c r="B911" s="13" t="n">
        <v>45239</v>
      </c>
      <c r="C911" s="4" t="s">
        <v>6194</v>
      </c>
      <c r="D911" s="4" t="s">
        <v>6199</v>
      </c>
      <c r="E911" s="4" t="s">
        <v>6195</v>
      </c>
      <c r="F911" s="4"/>
    </row>
    <row r="912" customFormat="false" ht="15" hidden="false" customHeight="true" outlineLevel="0" collapsed="false">
      <c r="A912" s="4" t="s">
        <v>1088</v>
      </c>
      <c r="B912" s="13" t="n">
        <v>45397</v>
      </c>
      <c r="C912" s="4" t="s">
        <v>6213</v>
      </c>
      <c r="D912" s="4" t="s">
        <v>6211</v>
      </c>
      <c r="E912" s="4" t="s">
        <v>6203</v>
      </c>
      <c r="F912" s="4"/>
    </row>
    <row r="913" customFormat="false" ht="15" hidden="false" customHeight="true" outlineLevel="0" collapsed="false">
      <c r="A913" s="4" t="s">
        <v>1089</v>
      </c>
      <c r="B913" s="13" t="n">
        <v>45361</v>
      </c>
      <c r="C913" s="4" t="s">
        <v>6201</v>
      </c>
      <c r="D913" s="4" t="s">
        <v>6205</v>
      </c>
      <c r="E913" s="4" t="s">
        <v>6205</v>
      </c>
      <c r="F913" s="4" t="s">
        <v>6214</v>
      </c>
    </row>
    <row r="914" customFormat="false" ht="15" hidden="false" customHeight="true" outlineLevel="0" collapsed="false">
      <c r="A914" s="4" t="s">
        <v>1090</v>
      </c>
      <c r="B914" s="13" t="n">
        <v>45560</v>
      </c>
      <c r="C914" s="4" t="s">
        <v>6201</v>
      </c>
      <c r="D914" s="4" t="s">
        <v>6202</v>
      </c>
      <c r="E914" s="4" t="s">
        <v>6203</v>
      </c>
      <c r="F914" s="4"/>
    </row>
    <row r="915" customFormat="false" ht="15" hidden="false" customHeight="true" outlineLevel="0" collapsed="false">
      <c r="A915" s="4" t="s">
        <v>1091</v>
      </c>
      <c r="B915" s="13" t="n">
        <v>45011</v>
      </c>
      <c r="C915" s="4" t="s">
        <v>6198</v>
      </c>
      <c r="D915" s="4" t="s">
        <v>6199</v>
      </c>
      <c r="E915" s="4" t="s">
        <v>6205</v>
      </c>
      <c r="F915" s="4" t="s">
        <v>6214</v>
      </c>
    </row>
    <row r="916" customFormat="false" ht="15" hidden="false" customHeight="true" outlineLevel="0" collapsed="false">
      <c r="A916" s="4" t="s">
        <v>1092</v>
      </c>
      <c r="B916" s="13" t="n">
        <v>45445</v>
      </c>
      <c r="C916" s="4" t="s">
        <v>6213</v>
      </c>
      <c r="D916" s="4" t="s">
        <v>6206</v>
      </c>
      <c r="E916" s="4" t="s">
        <v>6202</v>
      </c>
      <c r="F916" s="4" t="s">
        <v>6216</v>
      </c>
    </row>
    <row r="917" customFormat="false" ht="15" hidden="false" customHeight="true" outlineLevel="0" collapsed="false">
      <c r="A917" s="4" t="s">
        <v>1093</v>
      </c>
      <c r="B917" s="13" t="n">
        <v>45439</v>
      </c>
      <c r="C917" s="4" t="s">
        <v>6215</v>
      </c>
      <c r="D917" s="4" t="s">
        <v>6206</v>
      </c>
      <c r="E917" s="4" t="s">
        <v>6203</v>
      </c>
      <c r="F917" s="4" t="s">
        <v>6197</v>
      </c>
    </row>
    <row r="918" customFormat="false" ht="15" hidden="false" customHeight="true" outlineLevel="0" collapsed="false">
      <c r="A918" s="4" t="s">
        <v>1094</v>
      </c>
      <c r="B918" s="13" t="n">
        <v>45138</v>
      </c>
      <c r="C918" s="4" t="s">
        <v>6213</v>
      </c>
      <c r="D918" s="4" t="s">
        <v>6206</v>
      </c>
      <c r="E918" s="4" t="s">
        <v>6195</v>
      </c>
      <c r="F918" s="4" t="s">
        <v>6197</v>
      </c>
    </row>
    <row r="919" customFormat="false" ht="15" hidden="false" customHeight="true" outlineLevel="0" collapsed="false">
      <c r="A919" s="4" t="s">
        <v>1095</v>
      </c>
      <c r="B919" s="13" t="n">
        <v>45115</v>
      </c>
      <c r="C919" s="4" t="s">
        <v>6215</v>
      </c>
      <c r="D919" s="4" t="s">
        <v>6196</v>
      </c>
      <c r="E919" s="4" t="s">
        <v>6195</v>
      </c>
      <c r="F919" s="4" t="s">
        <v>6200</v>
      </c>
    </row>
    <row r="920" customFormat="false" ht="15" hidden="false" customHeight="true" outlineLevel="0" collapsed="false">
      <c r="A920" s="4" t="s">
        <v>1096</v>
      </c>
      <c r="B920" s="13" t="n">
        <v>45374</v>
      </c>
      <c r="C920" s="4" t="s">
        <v>6209</v>
      </c>
      <c r="D920" s="4" t="s">
        <v>6206</v>
      </c>
      <c r="E920" s="4" t="s">
        <v>6199</v>
      </c>
      <c r="F920" s="4" t="s">
        <v>6200</v>
      </c>
    </row>
    <row r="921" customFormat="false" ht="15" hidden="false" customHeight="true" outlineLevel="0" collapsed="false">
      <c r="A921" s="4" t="s">
        <v>1097</v>
      </c>
      <c r="B921" s="13" t="n">
        <v>45551</v>
      </c>
      <c r="C921" s="4" t="s">
        <v>6194</v>
      </c>
      <c r="D921" s="4" t="s">
        <v>6195</v>
      </c>
      <c r="E921" s="4" t="s">
        <v>6206</v>
      </c>
      <c r="F921" s="4" t="s">
        <v>6216</v>
      </c>
    </row>
    <row r="922" customFormat="false" ht="15" hidden="false" customHeight="true" outlineLevel="0" collapsed="false">
      <c r="A922" s="4" t="s">
        <v>1098</v>
      </c>
      <c r="B922" s="13" t="n">
        <v>45091</v>
      </c>
      <c r="C922" s="4" t="s">
        <v>6209</v>
      </c>
      <c r="D922" s="4" t="s">
        <v>6202</v>
      </c>
      <c r="E922" s="4" t="s">
        <v>6207</v>
      </c>
      <c r="F922" s="4"/>
    </row>
    <row r="923" customFormat="false" ht="15" hidden="false" customHeight="true" outlineLevel="0" collapsed="false">
      <c r="A923" s="4" t="s">
        <v>1099</v>
      </c>
      <c r="B923" s="13" t="n">
        <v>45538</v>
      </c>
      <c r="C923" s="4" t="s">
        <v>6209</v>
      </c>
      <c r="D923" s="4" t="s">
        <v>6196</v>
      </c>
      <c r="E923" s="4" t="s">
        <v>6211</v>
      </c>
      <c r="F923" s="4" t="s">
        <v>6212</v>
      </c>
    </row>
    <row r="924" customFormat="false" ht="15" hidden="false" customHeight="true" outlineLevel="0" collapsed="false">
      <c r="A924" s="4" t="s">
        <v>1100</v>
      </c>
      <c r="B924" s="13" t="n">
        <v>45099</v>
      </c>
      <c r="C924" s="4" t="s">
        <v>6194</v>
      </c>
      <c r="D924" s="4" t="s">
        <v>6206</v>
      </c>
      <c r="E924" s="4" t="s">
        <v>6203</v>
      </c>
      <c r="F924" s="4"/>
    </row>
    <row r="925" customFormat="false" ht="15" hidden="false" customHeight="true" outlineLevel="0" collapsed="false">
      <c r="A925" s="4" t="s">
        <v>1101</v>
      </c>
      <c r="B925" s="13" t="n">
        <v>45473</v>
      </c>
      <c r="C925" s="4" t="s">
        <v>6201</v>
      </c>
      <c r="D925" s="4" t="s">
        <v>6195</v>
      </c>
      <c r="E925" s="4" t="s">
        <v>6211</v>
      </c>
      <c r="F925" s="4" t="s">
        <v>6212</v>
      </c>
    </row>
    <row r="926" customFormat="false" ht="15" hidden="false" customHeight="true" outlineLevel="0" collapsed="false">
      <c r="A926" s="4" t="s">
        <v>1102</v>
      </c>
      <c r="B926" s="13" t="n">
        <v>45462</v>
      </c>
      <c r="C926" s="4" t="s">
        <v>6194</v>
      </c>
      <c r="D926" s="4" t="s">
        <v>6207</v>
      </c>
      <c r="E926" s="4" t="s">
        <v>6203</v>
      </c>
      <c r="F926" s="4" t="s">
        <v>6216</v>
      </c>
    </row>
    <row r="927" customFormat="false" ht="15" hidden="false" customHeight="true" outlineLevel="0" collapsed="false">
      <c r="A927" s="4" t="s">
        <v>1103</v>
      </c>
      <c r="B927" s="13" t="n">
        <v>45562</v>
      </c>
      <c r="C927" s="4" t="s">
        <v>6213</v>
      </c>
      <c r="D927" s="4" t="s">
        <v>6206</v>
      </c>
      <c r="E927" s="4" t="s">
        <v>6205</v>
      </c>
      <c r="F927" s="4" t="s">
        <v>6212</v>
      </c>
    </row>
    <row r="928" customFormat="false" ht="15" hidden="false" customHeight="true" outlineLevel="0" collapsed="false">
      <c r="A928" s="4" t="s">
        <v>1104</v>
      </c>
      <c r="B928" s="13" t="n">
        <v>44946</v>
      </c>
      <c r="C928" s="4" t="s">
        <v>6213</v>
      </c>
      <c r="D928" s="4" t="s">
        <v>6196</v>
      </c>
      <c r="E928" s="4" t="s">
        <v>6211</v>
      </c>
      <c r="F928" s="4" t="s">
        <v>6214</v>
      </c>
    </row>
    <row r="929" customFormat="false" ht="15" hidden="false" customHeight="true" outlineLevel="0" collapsed="false">
      <c r="A929" s="4" t="s">
        <v>1105</v>
      </c>
      <c r="B929" s="13" t="n">
        <v>45227</v>
      </c>
      <c r="C929" s="4" t="s">
        <v>6194</v>
      </c>
      <c r="D929" s="4" t="s">
        <v>6205</v>
      </c>
      <c r="E929" s="4" t="s">
        <v>6202</v>
      </c>
      <c r="F929" s="4"/>
    </row>
    <row r="930" customFormat="false" ht="15" hidden="false" customHeight="true" outlineLevel="0" collapsed="false">
      <c r="A930" s="4" t="s">
        <v>1106</v>
      </c>
      <c r="B930" s="13" t="n">
        <v>45618</v>
      </c>
      <c r="C930" s="4" t="s">
        <v>6215</v>
      </c>
      <c r="D930" s="4" t="s">
        <v>6195</v>
      </c>
      <c r="E930" s="4" t="s">
        <v>6195</v>
      </c>
      <c r="F930" s="4" t="s">
        <v>6216</v>
      </c>
    </row>
    <row r="931" customFormat="false" ht="15" hidden="false" customHeight="true" outlineLevel="0" collapsed="false">
      <c r="A931" s="4" t="s">
        <v>1107</v>
      </c>
      <c r="B931" s="13" t="n">
        <v>45616</v>
      </c>
      <c r="C931" s="4" t="s">
        <v>6194</v>
      </c>
      <c r="D931" s="4" t="s">
        <v>6205</v>
      </c>
      <c r="E931" s="4" t="s">
        <v>6195</v>
      </c>
      <c r="F931" s="4" t="s">
        <v>6216</v>
      </c>
    </row>
    <row r="932" customFormat="false" ht="15" hidden="false" customHeight="true" outlineLevel="0" collapsed="false">
      <c r="A932" s="4" t="s">
        <v>1108</v>
      </c>
      <c r="B932" s="13" t="n">
        <v>45065</v>
      </c>
      <c r="C932" s="4" t="s">
        <v>6213</v>
      </c>
      <c r="D932" s="4" t="s">
        <v>6208</v>
      </c>
      <c r="E932" s="4" t="s">
        <v>6195</v>
      </c>
      <c r="F932" s="4" t="s">
        <v>6216</v>
      </c>
    </row>
    <row r="933" customFormat="false" ht="15" hidden="false" customHeight="true" outlineLevel="0" collapsed="false">
      <c r="A933" s="4" t="s">
        <v>1109</v>
      </c>
      <c r="B933" s="13" t="n">
        <v>45383</v>
      </c>
      <c r="C933" s="4" t="s">
        <v>6210</v>
      </c>
      <c r="D933" s="4" t="s">
        <v>6207</v>
      </c>
      <c r="E933" s="4" t="s">
        <v>6202</v>
      </c>
      <c r="F933" s="4" t="s">
        <v>6212</v>
      </c>
    </row>
    <row r="934" customFormat="false" ht="15" hidden="false" customHeight="true" outlineLevel="0" collapsed="false">
      <c r="A934" s="4" t="s">
        <v>1110</v>
      </c>
      <c r="B934" s="13" t="n">
        <v>45524</v>
      </c>
      <c r="C934" s="4" t="s">
        <v>6213</v>
      </c>
      <c r="D934" s="4" t="s">
        <v>6208</v>
      </c>
      <c r="E934" s="4" t="s">
        <v>6208</v>
      </c>
      <c r="F934" s="4"/>
    </row>
    <row r="935" customFormat="false" ht="15" hidden="false" customHeight="true" outlineLevel="0" collapsed="false">
      <c r="A935" s="4" t="s">
        <v>1111</v>
      </c>
      <c r="B935" s="13" t="n">
        <v>44990</v>
      </c>
      <c r="C935" s="4" t="s">
        <v>6210</v>
      </c>
      <c r="D935" s="4" t="s">
        <v>6211</v>
      </c>
      <c r="E935" s="4" t="s">
        <v>6199</v>
      </c>
      <c r="F935" s="4" t="s">
        <v>6204</v>
      </c>
    </row>
    <row r="936" customFormat="false" ht="15" hidden="false" customHeight="true" outlineLevel="0" collapsed="false">
      <c r="A936" s="4" t="s">
        <v>1112</v>
      </c>
      <c r="B936" s="13" t="n">
        <v>45376</v>
      </c>
      <c r="C936" s="4" t="s">
        <v>6209</v>
      </c>
      <c r="D936" s="4" t="s">
        <v>6206</v>
      </c>
      <c r="E936" s="4" t="s">
        <v>6206</v>
      </c>
      <c r="F936" s="4"/>
    </row>
    <row r="937" customFormat="false" ht="15" hidden="false" customHeight="true" outlineLevel="0" collapsed="false">
      <c r="A937" s="4" t="s">
        <v>1113</v>
      </c>
      <c r="B937" s="13" t="n">
        <v>45065</v>
      </c>
      <c r="C937" s="4" t="s">
        <v>6215</v>
      </c>
      <c r="D937" s="4" t="s">
        <v>6199</v>
      </c>
      <c r="E937" s="4" t="s">
        <v>6211</v>
      </c>
      <c r="F937" s="4" t="s">
        <v>6204</v>
      </c>
    </row>
    <row r="938" customFormat="false" ht="15" hidden="false" customHeight="true" outlineLevel="0" collapsed="false">
      <c r="A938" s="4" t="s">
        <v>1114</v>
      </c>
      <c r="B938" s="13" t="n">
        <v>45656</v>
      </c>
      <c r="C938" s="4" t="s">
        <v>6210</v>
      </c>
      <c r="D938" s="4" t="s">
        <v>6196</v>
      </c>
      <c r="E938" s="4" t="s">
        <v>6205</v>
      </c>
      <c r="F938" s="4"/>
    </row>
    <row r="939" customFormat="false" ht="15" hidden="false" customHeight="true" outlineLevel="0" collapsed="false">
      <c r="A939" s="4" t="s">
        <v>1115</v>
      </c>
      <c r="B939" s="13" t="n">
        <v>45252</v>
      </c>
      <c r="C939" s="4" t="s">
        <v>6201</v>
      </c>
      <c r="D939" s="4" t="s">
        <v>6195</v>
      </c>
      <c r="E939" s="4" t="s">
        <v>6206</v>
      </c>
      <c r="F939" s="4" t="s">
        <v>6216</v>
      </c>
    </row>
    <row r="940" customFormat="false" ht="15" hidden="false" customHeight="true" outlineLevel="0" collapsed="false">
      <c r="A940" s="4" t="s">
        <v>1116</v>
      </c>
      <c r="B940" s="13" t="n">
        <v>44972</v>
      </c>
      <c r="C940" s="4" t="s">
        <v>6201</v>
      </c>
      <c r="D940" s="4" t="s">
        <v>6196</v>
      </c>
      <c r="E940" s="4" t="s">
        <v>6202</v>
      </c>
      <c r="F940" s="4" t="s">
        <v>6204</v>
      </c>
    </row>
    <row r="941" customFormat="false" ht="15" hidden="false" customHeight="true" outlineLevel="0" collapsed="false">
      <c r="A941" s="4" t="s">
        <v>1117</v>
      </c>
      <c r="B941" s="13" t="n">
        <v>45497</v>
      </c>
      <c r="C941" s="4" t="s">
        <v>6194</v>
      </c>
      <c r="D941" s="4" t="s">
        <v>6195</v>
      </c>
      <c r="E941" s="4" t="s">
        <v>6203</v>
      </c>
      <c r="F941" s="4" t="s">
        <v>6204</v>
      </c>
    </row>
    <row r="942" customFormat="false" ht="15" hidden="false" customHeight="true" outlineLevel="0" collapsed="false">
      <c r="A942" s="4" t="s">
        <v>1118</v>
      </c>
      <c r="B942" s="13" t="n">
        <v>45017</v>
      </c>
      <c r="C942" s="4" t="s">
        <v>6215</v>
      </c>
      <c r="D942" s="4" t="s">
        <v>6199</v>
      </c>
      <c r="E942" s="4" t="s">
        <v>6211</v>
      </c>
      <c r="F942" s="4" t="s">
        <v>6200</v>
      </c>
    </row>
    <row r="943" customFormat="false" ht="15" hidden="false" customHeight="true" outlineLevel="0" collapsed="false">
      <c r="A943" s="4" t="s">
        <v>1119</v>
      </c>
      <c r="B943" s="13" t="n">
        <v>44961</v>
      </c>
      <c r="C943" s="4" t="s">
        <v>6198</v>
      </c>
      <c r="D943" s="4" t="s">
        <v>6203</v>
      </c>
      <c r="E943" s="4" t="s">
        <v>6195</v>
      </c>
      <c r="F943" s="4"/>
    </row>
    <row r="944" customFormat="false" ht="15" hidden="false" customHeight="true" outlineLevel="0" collapsed="false">
      <c r="A944" s="4" t="s">
        <v>1120</v>
      </c>
      <c r="B944" s="13" t="n">
        <v>45435</v>
      </c>
      <c r="C944" s="4" t="s">
        <v>6198</v>
      </c>
      <c r="D944" s="4" t="s">
        <v>6206</v>
      </c>
      <c r="E944" s="4" t="s">
        <v>6195</v>
      </c>
      <c r="F944" s="4" t="s">
        <v>6200</v>
      </c>
    </row>
    <row r="945" customFormat="false" ht="15" hidden="false" customHeight="true" outlineLevel="0" collapsed="false">
      <c r="A945" s="4" t="s">
        <v>1121</v>
      </c>
      <c r="B945" s="13" t="n">
        <v>45421</v>
      </c>
      <c r="C945" s="4" t="s">
        <v>6194</v>
      </c>
      <c r="D945" s="4" t="s">
        <v>6206</v>
      </c>
      <c r="E945" s="4" t="s">
        <v>6202</v>
      </c>
      <c r="F945" s="4" t="s">
        <v>6214</v>
      </c>
    </row>
    <row r="946" customFormat="false" ht="15" hidden="false" customHeight="true" outlineLevel="0" collapsed="false">
      <c r="A946" s="4" t="s">
        <v>1122</v>
      </c>
      <c r="B946" s="13" t="n">
        <v>45615</v>
      </c>
      <c r="C946" s="4" t="s">
        <v>6194</v>
      </c>
      <c r="D946" s="4" t="s">
        <v>6199</v>
      </c>
      <c r="E946" s="4" t="s">
        <v>6195</v>
      </c>
      <c r="F946" s="4" t="s">
        <v>6214</v>
      </c>
    </row>
    <row r="947" customFormat="false" ht="15" hidden="false" customHeight="true" outlineLevel="0" collapsed="false">
      <c r="A947" s="4" t="s">
        <v>1123</v>
      </c>
      <c r="B947" s="13" t="n">
        <v>45508</v>
      </c>
      <c r="C947" s="4" t="s">
        <v>6198</v>
      </c>
      <c r="D947" s="4" t="s">
        <v>6202</v>
      </c>
      <c r="E947" s="4" t="s">
        <v>6203</v>
      </c>
      <c r="F947" s="4" t="s">
        <v>6214</v>
      </c>
    </row>
    <row r="948" customFormat="false" ht="15" hidden="false" customHeight="true" outlineLevel="0" collapsed="false">
      <c r="A948" s="4" t="s">
        <v>1124</v>
      </c>
      <c r="B948" s="13" t="n">
        <v>45272</v>
      </c>
      <c r="C948" s="4" t="s">
        <v>6213</v>
      </c>
      <c r="D948" s="4" t="s">
        <v>6202</v>
      </c>
      <c r="E948" s="4" t="s">
        <v>6199</v>
      </c>
      <c r="F948" s="4" t="s">
        <v>6212</v>
      </c>
    </row>
    <row r="949" customFormat="false" ht="15" hidden="false" customHeight="true" outlineLevel="0" collapsed="false">
      <c r="A949" s="4" t="s">
        <v>1125</v>
      </c>
      <c r="B949" s="13" t="n">
        <v>44958</v>
      </c>
      <c r="C949" s="4" t="s">
        <v>6198</v>
      </c>
      <c r="D949" s="4" t="s">
        <v>6202</v>
      </c>
      <c r="E949" s="4" t="s">
        <v>6206</v>
      </c>
      <c r="F949" s="4" t="s">
        <v>6212</v>
      </c>
    </row>
    <row r="950" customFormat="false" ht="15" hidden="false" customHeight="true" outlineLevel="0" collapsed="false">
      <c r="A950" s="4" t="s">
        <v>1126</v>
      </c>
      <c r="B950" s="13" t="n">
        <v>45053</v>
      </c>
      <c r="C950" s="4" t="s">
        <v>6215</v>
      </c>
      <c r="D950" s="4" t="s">
        <v>6206</v>
      </c>
      <c r="E950" s="4" t="s">
        <v>6199</v>
      </c>
      <c r="F950" s="4" t="s">
        <v>6214</v>
      </c>
    </row>
    <row r="951" customFormat="false" ht="15" hidden="false" customHeight="true" outlineLevel="0" collapsed="false">
      <c r="A951" s="4" t="s">
        <v>1127</v>
      </c>
      <c r="B951" s="13" t="n">
        <v>45053</v>
      </c>
      <c r="C951" s="4" t="s">
        <v>6209</v>
      </c>
      <c r="D951" s="4" t="s">
        <v>6207</v>
      </c>
      <c r="E951" s="4" t="s">
        <v>6208</v>
      </c>
      <c r="F951" s="4"/>
    </row>
    <row r="952" customFormat="false" ht="15" hidden="false" customHeight="true" outlineLevel="0" collapsed="false">
      <c r="A952" s="4" t="s">
        <v>1128</v>
      </c>
      <c r="B952" s="13" t="n">
        <v>45424</v>
      </c>
      <c r="C952" s="4" t="s">
        <v>6210</v>
      </c>
      <c r="D952" s="4" t="s">
        <v>6208</v>
      </c>
      <c r="E952" s="4" t="s">
        <v>6202</v>
      </c>
      <c r="F952" s="4" t="s">
        <v>6212</v>
      </c>
    </row>
    <row r="953" customFormat="false" ht="15" hidden="false" customHeight="true" outlineLevel="0" collapsed="false">
      <c r="A953" s="4" t="s">
        <v>1129</v>
      </c>
      <c r="B953" s="13" t="n">
        <v>44960</v>
      </c>
      <c r="C953" s="4" t="s">
        <v>6201</v>
      </c>
      <c r="D953" s="4" t="s">
        <v>6196</v>
      </c>
      <c r="E953" s="4" t="s">
        <v>6202</v>
      </c>
      <c r="F953" s="4" t="s">
        <v>6212</v>
      </c>
    </row>
    <row r="954" customFormat="false" ht="15" hidden="false" customHeight="true" outlineLevel="0" collapsed="false">
      <c r="A954" s="4" t="s">
        <v>1130</v>
      </c>
      <c r="B954" s="13" t="n">
        <v>45238</v>
      </c>
      <c r="C954" s="4" t="s">
        <v>6201</v>
      </c>
      <c r="D954" s="4" t="s">
        <v>6202</v>
      </c>
      <c r="E954" s="4" t="s">
        <v>6211</v>
      </c>
      <c r="F954" s="4" t="s">
        <v>6197</v>
      </c>
    </row>
    <row r="955" customFormat="false" ht="15" hidden="false" customHeight="true" outlineLevel="0" collapsed="false">
      <c r="A955" s="4" t="s">
        <v>1131</v>
      </c>
      <c r="B955" s="13" t="n">
        <v>45505</v>
      </c>
      <c r="C955" s="4" t="s">
        <v>6201</v>
      </c>
      <c r="D955" s="4" t="s">
        <v>6208</v>
      </c>
      <c r="E955" s="4" t="s">
        <v>6208</v>
      </c>
      <c r="F955" s="4"/>
    </row>
    <row r="956" customFormat="false" ht="15" hidden="false" customHeight="true" outlineLevel="0" collapsed="false">
      <c r="A956" s="4" t="s">
        <v>1132</v>
      </c>
      <c r="B956" s="13" t="n">
        <v>45344</v>
      </c>
      <c r="C956" s="4" t="s">
        <v>6213</v>
      </c>
      <c r="D956" s="4" t="s">
        <v>6202</v>
      </c>
      <c r="E956" s="4" t="s">
        <v>6202</v>
      </c>
      <c r="F956" s="4"/>
    </row>
    <row r="957" customFormat="false" ht="15" hidden="false" customHeight="true" outlineLevel="0" collapsed="false">
      <c r="A957" s="4" t="s">
        <v>1133</v>
      </c>
      <c r="B957" s="13" t="n">
        <v>45639</v>
      </c>
      <c r="C957" s="4" t="s">
        <v>6198</v>
      </c>
      <c r="D957" s="4" t="s">
        <v>6207</v>
      </c>
      <c r="E957" s="4" t="s">
        <v>6211</v>
      </c>
      <c r="F957" s="4" t="s">
        <v>6214</v>
      </c>
    </row>
    <row r="958" customFormat="false" ht="15" hidden="false" customHeight="true" outlineLevel="0" collapsed="false">
      <c r="A958" s="4" t="s">
        <v>1134</v>
      </c>
      <c r="B958" s="13" t="n">
        <v>45012</v>
      </c>
      <c r="C958" s="4" t="s">
        <v>6215</v>
      </c>
      <c r="D958" s="4" t="s">
        <v>6199</v>
      </c>
      <c r="E958" s="4" t="s">
        <v>6205</v>
      </c>
      <c r="F958" s="4" t="s">
        <v>6200</v>
      </c>
    </row>
    <row r="959" customFormat="false" ht="15" hidden="false" customHeight="true" outlineLevel="0" collapsed="false">
      <c r="A959" s="4" t="s">
        <v>1135</v>
      </c>
      <c r="B959" s="13" t="n">
        <v>45221</v>
      </c>
      <c r="C959" s="4" t="s">
        <v>6209</v>
      </c>
      <c r="D959" s="4" t="s">
        <v>6202</v>
      </c>
      <c r="E959" s="4" t="s">
        <v>6199</v>
      </c>
      <c r="F959" s="4" t="s">
        <v>6216</v>
      </c>
    </row>
    <row r="960" customFormat="false" ht="15" hidden="false" customHeight="true" outlineLevel="0" collapsed="false">
      <c r="A960" s="4" t="s">
        <v>1136</v>
      </c>
      <c r="B960" s="13" t="n">
        <v>45287</v>
      </c>
      <c r="C960" s="4" t="s">
        <v>6213</v>
      </c>
      <c r="D960" s="4" t="s">
        <v>6203</v>
      </c>
      <c r="E960" s="4" t="s">
        <v>6196</v>
      </c>
      <c r="F960" s="4" t="s">
        <v>6200</v>
      </c>
    </row>
    <row r="961" customFormat="false" ht="15" hidden="false" customHeight="true" outlineLevel="0" collapsed="false">
      <c r="A961" s="4" t="s">
        <v>1137</v>
      </c>
      <c r="B961" s="13" t="n">
        <v>45021</v>
      </c>
      <c r="C961" s="4" t="s">
        <v>6194</v>
      </c>
      <c r="D961" s="4" t="s">
        <v>6203</v>
      </c>
      <c r="E961" s="4" t="s">
        <v>6203</v>
      </c>
      <c r="F961" s="4"/>
    </row>
    <row r="962" customFormat="false" ht="15" hidden="false" customHeight="true" outlineLevel="0" collapsed="false">
      <c r="A962" s="4" t="s">
        <v>1138</v>
      </c>
      <c r="B962" s="13" t="n">
        <v>45575</v>
      </c>
      <c r="C962" s="4" t="s">
        <v>6210</v>
      </c>
      <c r="D962" s="4" t="s">
        <v>6205</v>
      </c>
      <c r="E962" s="4" t="s">
        <v>6206</v>
      </c>
      <c r="F962" s="4"/>
    </row>
    <row r="963" customFormat="false" ht="15" hidden="false" customHeight="true" outlineLevel="0" collapsed="false">
      <c r="A963" s="4" t="s">
        <v>1139</v>
      </c>
      <c r="B963" s="13" t="n">
        <v>45431</v>
      </c>
      <c r="C963" s="4" t="s">
        <v>6215</v>
      </c>
      <c r="D963" s="4" t="s">
        <v>6205</v>
      </c>
      <c r="E963" s="4" t="s">
        <v>6202</v>
      </c>
      <c r="F963" s="4" t="s">
        <v>6204</v>
      </c>
    </row>
    <row r="964" customFormat="false" ht="15" hidden="false" customHeight="true" outlineLevel="0" collapsed="false">
      <c r="A964" s="4" t="s">
        <v>1140</v>
      </c>
      <c r="B964" s="13" t="n">
        <v>45140</v>
      </c>
      <c r="C964" s="4" t="s">
        <v>6213</v>
      </c>
      <c r="D964" s="4" t="s">
        <v>6206</v>
      </c>
      <c r="E964" s="4" t="s">
        <v>6196</v>
      </c>
      <c r="F964" s="4"/>
    </row>
    <row r="965" customFormat="false" ht="15" hidden="false" customHeight="true" outlineLevel="0" collapsed="false">
      <c r="A965" s="4" t="s">
        <v>1141</v>
      </c>
      <c r="B965" s="13" t="n">
        <v>45280</v>
      </c>
      <c r="C965" s="4" t="s">
        <v>6210</v>
      </c>
      <c r="D965" s="4" t="s">
        <v>6196</v>
      </c>
      <c r="E965" s="4" t="s">
        <v>6203</v>
      </c>
      <c r="F965" s="4" t="s">
        <v>6214</v>
      </c>
    </row>
    <row r="966" customFormat="false" ht="15" hidden="false" customHeight="true" outlineLevel="0" collapsed="false">
      <c r="A966" s="4" t="s">
        <v>1142</v>
      </c>
      <c r="B966" s="13" t="n">
        <v>45331</v>
      </c>
      <c r="C966" s="4" t="s">
        <v>6210</v>
      </c>
      <c r="D966" s="4" t="s">
        <v>6199</v>
      </c>
      <c r="E966" s="4" t="s">
        <v>6199</v>
      </c>
      <c r="F966" s="4"/>
    </row>
    <row r="967" customFormat="false" ht="15" hidden="false" customHeight="true" outlineLevel="0" collapsed="false">
      <c r="A967" s="4" t="s">
        <v>1143</v>
      </c>
      <c r="B967" s="13" t="n">
        <v>45287</v>
      </c>
      <c r="C967" s="4" t="s">
        <v>6198</v>
      </c>
      <c r="D967" s="4" t="s">
        <v>6199</v>
      </c>
      <c r="E967" s="4" t="s">
        <v>6202</v>
      </c>
      <c r="F967" s="4" t="s">
        <v>6200</v>
      </c>
    </row>
    <row r="968" customFormat="false" ht="15" hidden="false" customHeight="true" outlineLevel="0" collapsed="false">
      <c r="A968" s="4" t="s">
        <v>1144</v>
      </c>
      <c r="B968" s="13" t="n">
        <v>45048</v>
      </c>
      <c r="C968" s="4" t="s">
        <v>6194</v>
      </c>
      <c r="D968" s="4" t="s">
        <v>6199</v>
      </c>
      <c r="E968" s="4" t="s">
        <v>6203</v>
      </c>
      <c r="F968" s="4" t="s">
        <v>6197</v>
      </c>
    </row>
    <row r="969" customFormat="false" ht="15" hidden="false" customHeight="true" outlineLevel="0" collapsed="false">
      <c r="A969" s="4" t="s">
        <v>1145</v>
      </c>
      <c r="B969" s="13" t="n">
        <v>45615</v>
      </c>
      <c r="C969" s="4" t="s">
        <v>6210</v>
      </c>
      <c r="D969" s="4" t="s">
        <v>6211</v>
      </c>
      <c r="E969" s="4" t="s">
        <v>6203</v>
      </c>
      <c r="F969" s="4" t="s">
        <v>6200</v>
      </c>
    </row>
    <row r="970" customFormat="false" ht="15" hidden="false" customHeight="true" outlineLevel="0" collapsed="false">
      <c r="A970" s="4" t="s">
        <v>1146</v>
      </c>
      <c r="B970" s="13" t="n">
        <v>45169</v>
      </c>
      <c r="C970" s="4" t="s">
        <v>6210</v>
      </c>
      <c r="D970" s="4" t="s">
        <v>6211</v>
      </c>
      <c r="E970" s="4" t="s">
        <v>6205</v>
      </c>
      <c r="F970" s="4" t="s">
        <v>6214</v>
      </c>
    </row>
    <row r="971" customFormat="false" ht="15" hidden="false" customHeight="true" outlineLevel="0" collapsed="false">
      <c r="A971" s="4" t="s">
        <v>1147</v>
      </c>
      <c r="B971" s="13" t="n">
        <v>44949</v>
      </c>
      <c r="C971" s="4" t="s">
        <v>6213</v>
      </c>
      <c r="D971" s="4" t="s">
        <v>6199</v>
      </c>
      <c r="E971" s="4" t="s">
        <v>6205</v>
      </c>
      <c r="F971" s="4" t="s">
        <v>6214</v>
      </c>
    </row>
    <row r="972" customFormat="false" ht="15" hidden="false" customHeight="true" outlineLevel="0" collapsed="false">
      <c r="A972" s="4" t="s">
        <v>1148</v>
      </c>
      <c r="B972" s="13" t="n">
        <v>44998</v>
      </c>
      <c r="C972" s="4" t="s">
        <v>6213</v>
      </c>
      <c r="D972" s="4" t="s">
        <v>6199</v>
      </c>
      <c r="E972" s="4" t="s">
        <v>6195</v>
      </c>
      <c r="F972" s="4"/>
    </row>
    <row r="973" customFormat="false" ht="15" hidden="false" customHeight="true" outlineLevel="0" collapsed="false">
      <c r="A973" s="4" t="s">
        <v>1149</v>
      </c>
      <c r="B973" s="13" t="n">
        <v>45438</v>
      </c>
      <c r="C973" s="4" t="s">
        <v>6210</v>
      </c>
      <c r="D973" s="4" t="s">
        <v>6202</v>
      </c>
      <c r="E973" s="4" t="s">
        <v>6199</v>
      </c>
      <c r="F973" s="4" t="s">
        <v>6200</v>
      </c>
    </row>
    <row r="974" customFormat="false" ht="15" hidden="false" customHeight="true" outlineLevel="0" collapsed="false">
      <c r="A974" s="4" t="s">
        <v>1150</v>
      </c>
      <c r="B974" s="13" t="n">
        <v>45420</v>
      </c>
      <c r="C974" s="4" t="s">
        <v>6213</v>
      </c>
      <c r="D974" s="4" t="s">
        <v>6211</v>
      </c>
      <c r="E974" s="4" t="s">
        <v>6211</v>
      </c>
      <c r="F974" s="4" t="s">
        <v>6204</v>
      </c>
    </row>
    <row r="975" customFormat="false" ht="15" hidden="false" customHeight="true" outlineLevel="0" collapsed="false">
      <c r="A975" s="4" t="s">
        <v>1151</v>
      </c>
      <c r="B975" s="13" t="n">
        <v>45021</v>
      </c>
      <c r="C975" s="4" t="s">
        <v>6210</v>
      </c>
      <c r="D975" s="4" t="s">
        <v>6208</v>
      </c>
      <c r="E975" s="4" t="s">
        <v>6195</v>
      </c>
      <c r="F975" s="4"/>
    </row>
    <row r="976" customFormat="false" ht="15" hidden="false" customHeight="true" outlineLevel="0" collapsed="false">
      <c r="A976" s="4" t="s">
        <v>1152</v>
      </c>
      <c r="B976" s="13" t="n">
        <v>45604</v>
      </c>
      <c r="C976" s="4" t="s">
        <v>6213</v>
      </c>
      <c r="D976" s="4" t="s">
        <v>6205</v>
      </c>
      <c r="E976" s="4" t="s">
        <v>6208</v>
      </c>
      <c r="F976" s="4" t="s">
        <v>6214</v>
      </c>
    </row>
    <row r="977" customFormat="false" ht="15" hidden="false" customHeight="true" outlineLevel="0" collapsed="false">
      <c r="A977" s="4" t="s">
        <v>1153</v>
      </c>
      <c r="B977" s="13" t="n">
        <v>45179</v>
      </c>
      <c r="C977" s="4" t="s">
        <v>6213</v>
      </c>
      <c r="D977" s="4" t="s">
        <v>6208</v>
      </c>
      <c r="E977" s="4" t="s">
        <v>6195</v>
      </c>
      <c r="F977" s="4" t="s">
        <v>6214</v>
      </c>
    </row>
    <row r="978" customFormat="false" ht="15" hidden="false" customHeight="true" outlineLevel="0" collapsed="false">
      <c r="A978" s="4" t="s">
        <v>1154</v>
      </c>
      <c r="B978" s="13" t="n">
        <v>45169</v>
      </c>
      <c r="C978" s="4" t="s">
        <v>6198</v>
      </c>
      <c r="D978" s="4" t="s">
        <v>6199</v>
      </c>
      <c r="E978" s="4" t="s">
        <v>6211</v>
      </c>
      <c r="F978" s="4" t="s">
        <v>6216</v>
      </c>
    </row>
    <row r="979" customFormat="false" ht="15" hidden="false" customHeight="true" outlineLevel="0" collapsed="false">
      <c r="A979" s="4" t="s">
        <v>1155</v>
      </c>
      <c r="B979" s="13" t="n">
        <v>45015</v>
      </c>
      <c r="C979" s="4" t="s">
        <v>6194</v>
      </c>
      <c r="D979" s="4" t="s">
        <v>6195</v>
      </c>
      <c r="E979" s="4" t="s">
        <v>6211</v>
      </c>
      <c r="F979" s="4"/>
    </row>
    <row r="980" customFormat="false" ht="15" hidden="false" customHeight="true" outlineLevel="0" collapsed="false">
      <c r="A980" s="4" t="s">
        <v>1156</v>
      </c>
      <c r="B980" s="13" t="n">
        <v>44935</v>
      </c>
      <c r="C980" s="4" t="s">
        <v>6201</v>
      </c>
      <c r="D980" s="4" t="s">
        <v>6207</v>
      </c>
      <c r="E980" s="4" t="s">
        <v>6206</v>
      </c>
      <c r="F980" s="4"/>
    </row>
    <row r="981" customFormat="false" ht="15" hidden="false" customHeight="true" outlineLevel="0" collapsed="false">
      <c r="A981" s="4" t="s">
        <v>1157</v>
      </c>
      <c r="B981" s="13" t="n">
        <v>45424</v>
      </c>
      <c r="C981" s="4" t="s">
        <v>6210</v>
      </c>
      <c r="D981" s="4" t="s">
        <v>6206</v>
      </c>
      <c r="E981" s="4" t="s">
        <v>6196</v>
      </c>
      <c r="F981" s="4"/>
    </row>
    <row r="982" customFormat="false" ht="15" hidden="false" customHeight="true" outlineLevel="0" collapsed="false">
      <c r="A982" s="4" t="s">
        <v>1158</v>
      </c>
      <c r="B982" s="13" t="n">
        <v>45164</v>
      </c>
      <c r="C982" s="4" t="s">
        <v>6213</v>
      </c>
      <c r="D982" s="4" t="s">
        <v>6206</v>
      </c>
      <c r="E982" s="4" t="s">
        <v>6203</v>
      </c>
      <c r="F982" s="4"/>
    </row>
    <row r="983" customFormat="false" ht="15" hidden="false" customHeight="true" outlineLevel="0" collapsed="false">
      <c r="A983" s="4" t="s">
        <v>1159</v>
      </c>
      <c r="B983" s="13" t="n">
        <v>45533</v>
      </c>
      <c r="C983" s="4" t="s">
        <v>6201</v>
      </c>
      <c r="D983" s="4" t="s">
        <v>6199</v>
      </c>
      <c r="E983" s="4" t="s">
        <v>6203</v>
      </c>
      <c r="F983" s="4" t="s">
        <v>6200</v>
      </c>
    </row>
    <row r="984" customFormat="false" ht="15" hidden="false" customHeight="true" outlineLevel="0" collapsed="false">
      <c r="A984" s="4" t="s">
        <v>1160</v>
      </c>
      <c r="B984" s="13" t="n">
        <v>45314</v>
      </c>
      <c r="C984" s="4" t="s">
        <v>6194</v>
      </c>
      <c r="D984" s="4" t="s">
        <v>6208</v>
      </c>
      <c r="E984" s="4" t="s">
        <v>6208</v>
      </c>
      <c r="F984" s="4"/>
    </row>
    <row r="985" customFormat="false" ht="15" hidden="false" customHeight="true" outlineLevel="0" collapsed="false">
      <c r="A985" s="4" t="s">
        <v>1161</v>
      </c>
      <c r="B985" s="13" t="n">
        <v>45446</v>
      </c>
      <c r="C985" s="4" t="s">
        <v>6215</v>
      </c>
      <c r="D985" s="4" t="s">
        <v>6203</v>
      </c>
      <c r="E985" s="4" t="s">
        <v>6211</v>
      </c>
      <c r="F985" s="4" t="s">
        <v>6200</v>
      </c>
    </row>
    <row r="986" customFormat="false" ht="15" hidden="false" customHeight="true" outlineLevel="0" collapsed="false">
      <c r="A986" s="4" t="s">
        <v>1162</v>
      </c>
      <c r="B986" s="13" t="n">
        <v>45190</v>
      </c>
      <c r="C986" s="4" t="s">
        <v>6194</v>
      </c>
      <c r="D986" s="4" t="s">
        <v>6211</v>
      </c>
      <c r="E986" s="4" t="s">
        <v>6205</v>
      </c>
      <c r="F986" s="4" t="s">
        <v>6204</v>
      </c>
    </row>
    <row r="987" customFormat="false" ht="15" hidden="false" customHeight="true" outlineLevel="0" collapsed="false">
      <c r="A987" s="4" t="s">
        <v>1163</v>
      </c>
      <c r="B987" s="13" t="n">
        <v>45446</v>
      </c>
      <c r="C987" s="4" t="s">
        <v>6210</v>
      </c>
      <c r="D987" s="4" t="s">
        <v>6207</v>
      </c>
      <c r="E987" s="4" t="s">
        <v>6206</v>
      </c>
      <c r="F987" s="4" t="s">
        <v>6214</v>
      </c>
    </row>
    <row r="988" customFormat="false" ht="15" hidden="false" customHeight="true" outlineLevel="0" collapsed="false">
      <c r="A988" s="4" t="s">
        <v>1164</v>
      </c>
      <c r="B988" s="13" t="n">
        <v>45061</v>
      </c>
      <c r="C988" s="4" t="s">
        <v>6198</v>
      </c>
      <c r="D988" s="4" t="s">
        <v>6211</v>
      </c>
      <c r="E988" s="4" t="s">
        <v>6195</v>
      </c>
      <c r="F988" s="4" t="s">
        <v>6204</v>
      </c>
    </row>
    <row r="989" customFormat="false" ht="15" hidden="false" customHeight="true" outlineLevel="0" collapsed="false">
      <c r="A989" s="4" t="s">
        <v>1165</v>
      </c>
      <c r="B989" s="13" t="n">
        <v>45447</v>
      </c>
      <c r="C989" s="4" t="s">
        <v>6198</v>
      </c>
      <c r="D989" s="4" t="s">
        <v>6203</v>
      </c>
      <c r="E989" s="4" t="s">
        <v>6196</v>
      </c>
      <c r="F989" s="4" t="s">
        <v>6214</v>
      </c>
    </row>
    <row r="990" customFormat="false" ht="15" hidden="false" customHeight="true" outlineLevel="0" collapsed="false">
      <c r="A990" s="4" t="s">
        <v>1166</v>
      </c>
      <c r="B990" s="13" t="n">
        <v>45454</v>
      </c>
      <c r="C990" s="4" t="s">
        <v>6213</v>
      </c>
      <c r="D990" s="4" t="s">
        <v>6196</v>
      </c>
      <c r="E990" s="4" t="s">
        <v>6207</v>
      </c>
      <c r="F990" s="4" t="s">
        <v>6214</v>
      </c>
    </row>
    <row r="991" customFormat="false" ht="15" hidden="false" customHeight="true" outlineLevel="0" collapsed="false">
      <c r="A991" s="4" t="s">
        <v>1167</v>
      </c>
      <c r="B991" s="13" t="n">
        <v>45101</v>
      </c>
      <c r="C991" s="4" t="s">
        <v>6210</v>
      </c>
      <c r="D991" s="4" t="s">
        <v>6205</v>
      </c>
      <c r="E991" s="4" t="s">
        <v>6206</v>
      </c>
      <c r="F991" s="4"/>
    </row>
    <row r="992" customFormat="false" ht="15" hidden="false" customHeight="true" outlineLevel="0" collapsed="false">
      <c r="A992" s="4" t="s">
        <v>1168</v>
      </c>
      <c r="B992" s="13" t="n">
        <v>45652</v>
      </c>
      <c r="C992" s="4" t="s">
        <v>6201</v>
      </c>
      <c r="D992" s="4" t="s">
        <v>6208</v>
      </c>
      <c r="E992" s="4" t="s">
        <v>6195</v>
      </c>
      <c r="F992" s="4" t="s">
        <v>6214</v>
      </c>
    </row>
    <row r="993" customFormat="false" ht="15" hidden="false" customHeight="true" outlineLevel="0" collapsed="false">
      <c r="A993" s="4" t="s">
        <v>1169</v>
      </c>
      <c r="B993" s="13" t="n">
        <v>45016</v>
      </c>
      <c r="C993" s="4" t="s">
        <v>6198</v>
      </c>
      <c r="D993" s="4" t="s">
        <v>6195</v>
      </c>
      <c r="E993" s="4" t="s">
        <v>6208</v>
      </c>
      <c r="F993" s="4"/>
    </row>
    <row r="994" customFormat="false" ht="15" hidden="false" customHeight="true" outlineLevel="0" collapsed="false">
      <c r="A994" s="4" t="s">
        <v>1170</v>
      </c>
      <c r="B994" s="13" t="n">
        <v>45453</v>
      </c>
      <c r="C994" s="4" t="s">
        <v>6210</v>
      </c>
      <c r="D994" s="4" t="s">
        <v>6203</v>
      </c>
      <c r="E994" s="4" t="s">
        <v>6203</v>
      </c>
      <c r="F994" s="4"/>
    </row>
    <row r="995" customFormat="false" ht="15" hidden="false" customHeight="true" outlineLevel="0" collapsed="false">
      <c r="A995" s="4" t="s">
        <v>1171</v>
      </c>
      <c r="B995" s="13" t="n">
        <v>45536</v>
      </c>
      <c r="C995" s="4" t="s">
        <v>6215</v>
      </c>
      <c r="D995" s="4" t="s">
        <v>6203</v>
      </c>
      <c r="E995" s="4" t="s">
        <v>6196</v>
      </c>
      <c r="F995" s="4"/>
    </row>
    <row r="996" customFormat="false" ht="15" hidden="false" customHeight="true" outlineLevel="0" collapsed="false">
      <c r="A996" s="4" t="s">
        <v>1172</v>
      </c>
      <c r="B996" s="13" t="n">
        <v>45138</v>
      </c>
      <c r="C996" s="4" t="s">
        <v>6201</v>
      </c>
      <c r="D996" s="4" t="s">
        <v>6196</v>
      </c>
      <c r="E996" s="4" t="s">
        <v>6205</v>
      </c>
      <c r="F996" s="4" t="s">
        <v>6216</v>
      </c>
    </row>
    <row r="997" customFormat="false" ht="15" hidden="false" customHeight="true" outlineLevel="0" collapsed="false">
      <c r="A997" s="4" t="s">
        <v>1173</v>
      </c>
      <c r="B997" s="13" t="n">
        <v>45554</v>
      </c>
      <c r="C997" s="4" t="s">
        <v>6201</v>
      </c>
      <c r="D997" s="4" t="s">
        <v>6202</v>
      </c>
      <c r="E997" s="4" t="s">
        <v>6196</v>
      </c>
      <c r="F997" s="4" t="s">
        <v>6212</v>
      </c>
    </row>
    <row r="998" customFormat="false" ht="15" hidden="false" customHeight="true" outlineLevel="0" collapsed="false">
      <c r="A998" s="4" t="s">
        <v>1174</v>
      </c>
      <c r="B998" s="13" t="n">
        <v>45017</v>
      </c>
      <c r="C998" s="4" t="s">
        <v>6215</v>
      </c>
      <c r="D998" s="4" t="s">
        <v>6202</v>
      </c>
      <c r="E998" s="4" t="s">
        <v>6199</v>
      </c>
      <c r="F998" s="4" t="s">
        <v>6200</v>
      </c>
    </row>
    <row r="999" customFormat="false" ht="15" hidden="false" customHeight="true" outlineLevel="0" collapsed="false">
      <c r="A999" s="4" t="s">
        <v>1175</v>
      </c>
      <c r="B999" s="13" t="n">
        <v>45031</v>
      </c>
      <c r="C999" s="4" t="s">
        <v>6201</v>
      </c>
      <c r="D999" s="4" t="s">
        <v>6208</v>
      </c>
      <c r="E999" s="4" t="s">
        <v>6205</v>
      </c>
      <c r="F999" s="4"/>
    </row>
    <row r="1000" customFormat="false" ht="15" hidden="false" customHeight="true" outlineLevel="0" collapsed="false">
      <c r="A1000" s="4" t="s">
        <v>1176</v>
      </c>
      <c r="B1000" s="13" t="n">
        <v>45451</v>
      </c>
      <c r="C1000" s="4" t="s">
        <v>6198</v>
      </c>
      <c r="D1000" s="4" t="s">
        <v>6205</v>
      </c>
      <c r="E1000" s="4" t="s">
        <v>6211</v>
      </c>
      <c r="F1000" s="4"/>
    </row>
    <row r="1001" customFormat="false" ht="15" hidden="false" customHeight="true" outlineLevel="0" collapsed="false">
      <c r="A1001" s="4" t="s">
        <v>1177</v>
      </c>
      <c r="B1001" s="13" t="n">
        <v>45406</v>
      </c>
      <c r="C1001" s="4" t="s">
        <v>6213</v>
      </c>
      <c r="D1001" s="4" t="s">
        <v>6207</v>
      </c>
      <c r="E1001" s="4" t="s">
        <v>6195</v>
      </c>
      <c r="F1001" s="4" t="s">
        <v>6212</v>
      </c>
    </row>
    <row r="1002" customFormat="false" ht="15" hidden="false" customHeight="true" outlineLevel="0" collapsed="false">
      <c r="A1002" s="4" t="s">
        <v>1178</v>
      </c>
      <c r="B1002" s="13" t="n">
        <v>45218</v>
      </c>
      <c r="C1002" s="4" t="s">
        <v>6194</v>
      </c>
      <c r="D1002" s="4" t="s">
        <v>6195</v>
      </c>
      <c r="E1002" s="4" t="s">
        <v>6208</v>
      </c>
      <c r="F1002" s="4"/>
    </row>
    <row r="1003" customFormat="false" ht="15" hidden="false" customHeight="true" outlineLevel="0" collapsed="false">
      <c r="A1003" s="4" t="s">
        <v>1179</v>
      </c>
      <c r="B1003" s="13" t="n">
        <v>45477</v>
      </c>
      <c r="C1003" s="4" t="s">
        <v>6215</v>
      </c>
      <c r="D1003" s="4" t="s">
        <v>6205</v>
      </c>
      <c r="E1003" s="4" t="s">
        <v>6207</v>
      </c>
      <c r="F1003" s="4" t="s">
        <v>6214</v>
      </c>
    </row>
    <row r="1004" customFormat="false" ht="15" hidden="false" customHeight="true" outlineLevel="0" collapsed="false">
      <c r="A1004" s="4" t="s">
        <v>1180</v>
      </c>
      <c r="B1004" s="13" t="n">
        <v>45510</v>
      </c>
      <c r="C1004" s="4" t="s">
        <v>6198</v>
      </c>
      <c r="D1004" s="4" t="s">
        <v>6195</v>
      </c>
      <c r="E1004" s="4" t="s">
        <v>6206</v>
      </c>
      <c r="F1004" s="4"/>
    </row>
    <row r="1005" customFormat="false" ht="15" hidden="false" customHeight="true" outlineLevel="0" collapsed="false">
      <c r="A1005" s="4" t="s">
        <v>1181</v>
      </c>
      <c r="B1005" s="13" t="n">
        <v>45329</v>
      </c>
      <c r="C1005" s="4" t="s">
        <v>6210</v>
      </c>
      <c r="D1005" s="4" t="s">
        <v>6208</v>
      </c>
      <c r="E1005" s="4" t="s">
        <v>6199</v>
      </c>
      <c r="F1005" s="4"/>
    </row>
    <row r="1006" customFormat="false" ht="15" hidden="false" customHeight="true" outlineLevel="0" collapsed="false">
      <c r="A1006" s="4" t="s">
        <v>1182</v>
      </c>
      <c r="B1006" s="13" t="n">
        <v>45290</v>
      </c>
      <c r="C1006" s="4" t="s">
        <v>6198</v>
      </c>
      <c r="D1006" s="4" t="s">
        <v>6211</v>
      </c>
      <c r="E1006" s="4" t="s">
        <v>6205</v>
      </c>
      <c r="F1006" s="4" t="s">
        <v>6197</v>
      </c>
    </row>
    <row r="1007" customFormat="false" ht="15" hidden="false" customHeight="true" outlineLevel="0" collapsed="false">
      <c r="A1007" s="4" t="s">
        <v>1183</v>
      </c>
      <c r="B1007" s="13" t="n">
        <v>45430</v>
      </c>
      <c r="C1007" s="4" t="s">
        <v>6213</v>
      </c>
      <c r="D1007" s="4" t="s">
        <v>6203</v>
      </c>
      <c r="E1007" s="4" t="s">
        <v>6206</v>
      </c>
      <c r="F1007" s="4" t="s">
        <v>6214</v>
      </c>
    </row>
    <row r="1008" customFormat="false" ht="15" hidden="false" customHeight="true" outlineLevel="0" collapsed="false">
      <c r="A1008" s="4" t="s">
        <v>1184</v>
      </c>
      <c r="B1008" s="13" t="n">
        <v>45359</v>
      </c>
      <c r="C1008" s="4" t="s">
        <v>6198</v>
      </c>
      <c r="D1008" s="4" t="s">
        <v>6208</v>
      </c>
      <c r="E1008" s="4" t="s">
        <v>6206</v>
      </c>
      <c r="F1008" s="4"/>
    </row>
    <row r="1009" customFormat="false" ht="15" hidden="false" customHeight="true" outlineLevel="0" collapsed="false">
      <c r="A1009" s="4" t="s">
        <v>1185</v>
      </c>
      <c r="B1009" s="13" t="n">
        <v>45284</v>
      </c>
      <c r="C1009" s="4" t="s">
        <v>6210</v>
      </c>
      <c r="D1009" s="4" t="s">
        <v>6196</v>
      </c>
      <c r="E1009" s="4" t="s">
        <v>6211</v>
      </c>
      <c r="F1009" s="4"/>
    </row>
    <row r="1010" customFormat="false" ht="15" hidden="false" customHeight="true" outlineLevel="0" collapsed="false">
      <c r="A1010" s="4" t="s">
        <v>1186</v>
      </c>
      <c r="B1010" s="13" t="n">
        <v>45630</v>
      </c>
      <c r="C1010" s="4" t="s">
        <v>6215</v>
      </c>
      <c r="D1010" s="4" t="s">
        <v>6208</v>
      </c>
      <c r="E1010" s="4" t="s">
        <v>6199</v>
      </c>
      <c r="F1010" s="4"/>
    </row>
    <row r="1011" customFormat="false" ht="15" hidden="false" customHeight="true" outlineLevel="0" collapsed="false">
      <c r="A1011" s="4" t="s">
        <v>1187</v>
      </c>
      <c r="B1011" s="13" t="n">
        <v>45375</v>
      </c>
      <c r="C1011" s="4" t="s">
        <v>6215</v>
      </c>
      <c r="D1011" s="4" t="s">
        <v>6208</v>
      </c>
      <c r="E1011" s="4" t="s">
        <v>6203</v>
      </c>
      <c r="F1011" s="4" t="s">
        <v>6214</v>
      </c>
    </row>
    <row r="1012" customFormat="false" ht="15" hidden="false" customHeight="true" outlineLevel="0" collapsed="false">
      <c r="A1012" s="4" t="s">
        <v>1188</v>
      </c>
      <c r="B1012" s="13" t="n">
        <v>45097</v>
      </c>
      <c r="C1012" s="4" t="s">
        <v>6210</v>
      </c>
      <c r="D1012" s="4" t="s">
        <v>6206</v>
      </c>
      <c r="E1012" s="4" t="s">
        <v>6199</v>
      </c>
      <c r="F1012" s="4" t="s">
        <v>6200</v>
      </c>
    </row>
    <row r="1013" customFormat="false" ht="15" hidden="false" customHeight="true" outlineLevel="0" collapsed="false">
      <c r="A1013" s="4" t="s">
        <v>1189</v>
      </c>
      <c r="B1013" s="13" t="n">
        <v>45442</v>
      </c>
      <c r="C1013" s="4" t="s">
        <v>6215</v>
      </c>
      <c r="D1013" s="4" t="s">
        <v>6205</v>
      </c>
      <c r="E1013" s="4" t="s">
        <v>6196</v>
      </c>
      <c r="F1013" s="4" t="s">
        <v>6204</v>
      </c>
    </row>
    <row r="1014" customFormat="false" ht="15" hidden="false" customHeight="true" outlineLevel="0" collapsed="false">
      <c r="A1014" s="4" t="s">
        <v>1190</v>
      </c>
      <c r="B1014" s="13" t="n">
        <v>45499</v>
      </c>
      <c r="C1014" s="4" t="s">
        <v>6201</v>
      </c>
      <c r="D1014" s="4" t="s">
        <v>6207</v>
      </c>
      <c r="E1014" s="4" t="s">
        <v>6211</v>
      </c>
      <c r="F1014" s="4" t="s">
        <v>6216</v>
      </c>
    </row>
    <row r="1015" customFormat="false" ht="15" hidden="false" customHeight="true" outlineLevel="0" collapsed="false">
      <c r="A1015" s="4" t="s">
        <v>1191</v>
      </c>
      <c r="B1015" s="13" t="n">
        <v>45299</v>
      </c>
      <c r="C1015" s="4" t="s">
        <v>6194</v>
      </c>
      <c r="D1015" s="4" t="s">
        <v>6208</v>
      </c>
      <c r="E1015" s="4" t="s">
        <v>6196</v>
      </c>
      <c r="F1015" s="4"/>
    </row>
    <row r="1016" customFormat="false" ht="15" hidden="false" customHeight="true" outlineLevel="0" collapsed="false">
      <c r="A1016" s="4" t="s">
        <v>1192</v>
      </c>
      <c r="B1016" s="13" t="n">
        <v>45132</v>
      </c>
      <c r="C1016" s="4" t="s">
        <v>6201</v>
      </c>
      <c r="D1016" s="4" t="s">
        <v>6205</v>
      </c>
      <c r="E1016" s="4" t="s">
        <v>6203</v>
      </c>
      <c r="F1016" s="4" t="s">
        <v>6212</v>
      </c>
    </row>
    <row r="1017" customFormat="false" ht="15" hidden="false" customHeight="true" outlineLevel="0" collapsed="false">
      <c r="A1017" s="4" t="s">
        <v>1193</v>
      </c>
      <c r="B1017" s="13" t="n">
        <v>45406</v>
      </c>
      <c r="C1017" s="4" t="s">
        <v>6201</v>
      </c>
      <c r="D1017" s="4" t="s">
        <v>6208</v>
      </c>
      <c r="E1017" s="4" t="s">
        <v>6211</v>
      </c>
      <c r="F1017" s="4"/>
    </row>
    <row r="1018" customFormat="false" ht="15" hidden="false" customHeight="true" outlineLevel="0" collapsed="false">
      <c r="A1018" s="4" t="s">
        <v>1194</v>
      </c>
      <c r="B1018" s="13" t="n">
        <v>45634</v>
      </c>
      <c r="C1018" s="4" t="s">
        <v>6215</v>
      </c>
      <c r="D1018" s="4" t="s">
        <v>6205</v>
      </c>
      <c r="E1018" s="4" t="s">
        <v>6211</v>
      </c>
      <c r="F1018" s="4" t="s">
        <v>6197</v>
      </c>
    </row>
    <row r="1019" customFormat="false" ht="15" hidden="false" customHeight="true" outlineLevel="0" collapsed="false">
      <c r="A1019" s="4" t="s">
        <v>1195</v>
      </c>
      <c r="B1019" s="13" t="n">
        <v>45594</v>
      </c>
      <c r="C1019" s="4" t="s">
        <v>6201</v>
      </c>
      <c r="D1019" s="4" t="s">
        <v>6206</v>
      </c>
      <c r="E1019" s="4" t="s">
        <v>6196</v>
      </c>
      <c r="F1019" s="4"/>
    </row>
    <row r="1020" customFormat="false" ht="15" hidden="false" customHeight="true" outlineLevel="0" collapsed="false">
      <c r="A1020" s="4" t="s">
        <v>1196</v>
      </c>
      <c r="B1020" s="13" t="n">
        <v>45242</v>
      </c>
      <c r="C1020" s="4" t="s">
        <v>6215</v>
      </c>
      <c r="D1020" s="4" t="s">
        <v>6206</v>
      </c>
      <c r="E1020" s="4" t="s">
        <v>6196</v>
      </c>
      <c r="F1020" s="4" t="s">
        <v>6197</v>
      </c>
    </row>
    <row r="1021" customFormat="false" ht="15" hidden="false" customHeight="true" outlineLevel="0" collapsed="false">
      <c r="A1021" s="4" t="s">
        <v>1197</v>
      </c>
      <c r="B1021" s="13" t="n">
        <v>45600</v>
      </c>
      <c r="C1021" s="4" t="s">
        <v>6213</v>
      </c>
      <c r="D1021" s="4" t="s">
        <v>6207</v>
      </c>
      <c r="E1021" s="4" t="s">
        <v>6199</v>
      </c>
      <c r="F1021" s="4" t="s">
        <v>6212</v>
      </c>
    </row>
    <row r="1022" customFormat="false" ht="15" hidden="false" customHeight="true" outlineLevel="0" collapsed="false">
      <c r="A1022" s="4" t="s">
        <v>1198</v>
      </c>
      <c r="B1022" s="13" t="n">
        <v>45036</v>
      </c>
      <c r="C1022" s="4" t="s">
        <v>6201</v>
      </c>
      <c r="D1022" s="4" t="s">
        <v>6196</v>
      </c>
      <c r="E1022" s="4" t="s">
        <v>6203</v>
      </c>
      <c r="F1022" s="4" t="s">
        <v>6204</v>
      </c>
    </row>
    <row r="1023" customFormat="false" ht="15" hidden="false" customHeight="true" outlineLevel="0" collapsed="false">
      <c r="A1023" s="4" t="s">
        <v>1199</v>
      </c>
      <c r="B1023" s="13" t="n">
        <v>45629</v>
      </c>
      <c r="C1023" s="4" t="s">
        <v>6209</v>
      </c>
      <c r="D1023" s="4" t="s">
        <v>6205</v>
      </c>
      <c r="E1023" s="4" t="s">
        <v>6205</v>
      </c>
      <c r="F1023" s="4"/>
    </row>
    <row r="1024" customFormat="false" ht="15" hidden="false" customHeight="true" outlineLevel="0" collapsed="false">
      <c r="A1024" s="4" t="s">
        <v>1200</v>
      </c>
      <c r="B1024" s="13" t="n">
        <v>45342</v>
      </c>
      <c r="C1024" s="4" t="s">
        <v>6198</v>
      </c>
      <c r="D1024" s="4" t="s">
        <v>6203</v>
      </c>
      <c r="E1024" s="4" t="s">
        <v>6207</v>
      </c>
      <c r="F1024" s="4" t="s">
        <v>6197</v>
      </c>
    </row>
    <row r="1025" customFormat="false" ht="15" hidden="false" customHeight="true" outlineLevel="0" collapsed="false">
      <c r="A1025" s="4" t="s">
        <v>1201</v>
      </c>
      <c r="B1025" s="13" t="n">
        <v>45605</v>
      </c>
      <c r="C1025" s="4" t="s">
        <v>6194</v>
      </c>
      <c r="D1025" s="4" t="s">
        <v>6203</v>
      </c>
      <c r="E1025" s="4" t="s">
        <v>6211</v>
      </c>
      <c r="F1025" s="4"/>
    </row>
    <row r="1026" customFormat="false" ht="15" hidden="false" customHeight="true" outlineLevel="0" collapsed="false">
      <c r="A1026" s="4" t="s">
        <v>1202</v>
      </c>
      <c r="B1026" s="13" t="n">
        <v>45457</v>
      </c>
      <c r="C1026" s="4" t="s">
        <v>6215</v>
      </c>
      <c r="D1026" s="4" t="s">
        <v>6195</v>
      </c>
      <c r="E1026" s="4" t="s">
        <v>6196</v>
      </c>
      <c r="F1026" s="4" t="s">
        <v>6214</v>
      </c>
    </row>
    <row r="1027" customFormat="false" ht="15" hidden="false" customHeight="true" outlineLevel="0" collapsed="false">
      <c r="A1027" s="4" t="s">
        <v>1203</v>
      </c>
      <c r="B1027" s="13" t="n">
        <v>45493</v>
      </c>
      <c r="C1027" s="4" t="s">
        <v>6210</v>
      </c>
      <c r="D1027" s="4" t="s">
        <v>6195</v>
      </c>
      <c r="E1027" s="4" t="s">
        <v>6202</v>
      </c>
      <c r="F1027" s="4" t="s">
        <v>6204</v>
      </c>
    </row>
    <row r="1028" customFormat="false" ht="15" hidden="false" customHeight="true" outlineLevel="0" collapsed="false">
      <c r="A1028" s="4" t="s">
        <v>1204</v>
      </c>
      <c r="B1028" s="13" t="n">
        <v>45035</v>
      </c>
      <c r="C1028" s="4" t="s">
        <v>6209</v>
      </c>
      <c r="D1028" s="4" t="s">
        <v>6205</v>
      </c>
      <c r="E1028" s="4" t="s">
        <v>6195</v>
      </c>
      <c r="F1028" s="4"/>
    </row>
    <row r="1029" customFormat="false" ht="15" hidden="false" customHeight="true" outlineLevel="0" collapsed="false">
      <c r="A1029" s="4" t="s">
        <v>1205</v>
      </c>
      <c r="B1029" s="13" t="n">
        <v>44984</v>
      </c>
      <c r="C1029" s="4" t="s">
        <v>6209</v>
      </c>
      <c r="D1029" s="4" t="s">
        <v>6207</v>
      </c>
      <c r="E1029" s="4" t="s">
        <v>6195</v>
      </c>
      <c r="F1029" s="4"/>
    </row>
    <row r="1030" customFormat="false" ht="15" hidden="false" customHeight="true" outlineLevel="0" collapsed="false">
      <c r="A1030" s="4" t="s">
        <v>1206</v>
      </c>
      <c r="B1030" s="13" t="n">
        <v>45290</v>
      </c>
      <c r="C1030" s="4" t="s">
        <v>6194</v>
      </c>
      <c r="D1030" s="4" t="s">
        <v>6203</v>
      </c>
      <c r="E1030" s="4" t="s">
        <v>6203</v>
      </c>
      <c r="F1030" s="4"/>
    </row>
    <row r="1031" customFormat="false" ht="15" hidden="false" customHeight="true" outlineLevel="0" collapsed="false">
      <c r="A1031" s="4" t="s">
        <v>1207</v>
      </c>
      <c r="B1031" s="13" t="n">
        <v>44964</v>
      </c>
      <c r="C1031" s="4" t="s">
        <v>6201</v>
      </c>
      <c r="D1031" s="4" t="s">
        <v>6195</v>
      </c>
      <c r="E1031" s="4" t="s">
        <v>6211</v>
      </c>
      <c r="F1031" s="4" t="s">
        <v>6214</v>
      </c>
    </row>
    <row r="1032" customFormat="false" ht="15" hidden="false" customHeight="true" outlineLevel="0" collapsed="false">
      <c r="A1032" s="4" t="s">
        <v>1208</v>
      </c>
      <c r="B1032" s="13" t="n">
        <v>45295</v>
      </c>
      <c r="C1032" s="4" t="s">
        <v>6215</v>
      </c>
      <c r="D1032" s="4" t="s">
        <v>6211</v>
      </c>
      <c r="E1032" s="4" t="s">
        <v>6203</v>
      </c>
      <c r="F1032" s="4"/>
    </row>
    <row r="1033" customFormat="false" ht="15" hidden="false" customHeight="true" outlineLevel="0" collapsed="false">
      <c r="A1033" s="4" t="s">
        <v>1209</v>
      </c>
      <c r="B1033" s="13" t="n">
        <v>45118</v>
      </c>
      <c r="C1033" s="4" t="s">
        <v>6194</v>
      </c>
      <c r="D1033" s="4" t="s">
        <v>6202</v>
      </c>
      <c r="E1033" s="4" t="s">
        <v>6199</v>
      </c>
      <c r="F1033" s="4" t="s">
        <v>6200</v>
      </c>
    </row>
    <row r="1034" customFormat="false" ht="15" hidden="false" customHeight="true" outlineLevel="0" collapsed="false">
      <c r="A1034" s="4" t="s">
        <v>1210</v>
      </c>
      <c r="B1034" s="13" t="n">
        <v>45503</v>
      </c>
      <c r="C1034" s="4" t="s">
        <v>6194</v>
      </c>
      <c r="D1034" s="4" t="s">
        <v>6196</v>
      </c>
      <c r="E1034" s="4" t="s">
        <v>6208</v>
      </c>
      <c r="F1034" s="4" t="s">
        <v>6216</v>
      </c>
    </row>
    <row r="1035" customFormat="false" ht="15" hidden="false" customHeight="true" outlineLevel="0" collapsed="false">
      <c r="A1035" s="4" t="s">
        <v>1211</v>
      </c>
      <c r="B1035" s="13" t="n">
        <v>45096</v>
      </c>
      <c r="C1035" s="4" t="s">
        <v>6198</v>
      </c>
      <c r="D1035" s="4" t="s">
        <v>6207</v>
      </c>
      <c r="E1035" s="4" t="s">
        <v>6207</v>
      </c>
      <c r="F1035" s="4" t="s">
        <v>6214</v>
      </c>
    </row>
    <row r="1036" customFormat="false" ht="15" hidden="false" customHeight="true" outlineLevel="0" collapsed="false">
      <c r="A1036" s="4" t="s">
        <v>1212</v>
      </c>
      <c r="B1036" s="13" t="n">
        <v>45444</v>
      </c>
      <c r="C1036" s="4" t="s">
        <v>6210</v>
      </c>
      <c r="D1036" s="4" t="s">
        <v>6205</v>
      </c>
      <c r="E1036" s="4" t="s">
        <v>6206</v>
      </c>
      <c r="F1036" s="4" t="s">
        <v>6216</v>
      </c>
    </row>
    <row r="1037" customFormat="false" ht="15" hidden="false" customHeight="true" outlineLevel="0" collapsed="false">
      <c r="A1037" s="4" t="s">
        <v>1213</v>
      </c>
      <c r="B1037" s="13" t="n">
        <v>45426</v>
      </c>
      <c r="C1037" s="4" t="s">
        <v>6198</v>
      </c>
      <c r="D1037" s="4" t="s">
        <v>6195</v>
      </c>
      <c r="E1037" s="4" t="s">
        <v>6206</v>
      </c>
      <c r="F1037" s="4"/>
    </row>
    <row r="1038" customFormat="false" ht="15" hidden="false" customHeight="true" outlineLevel="0" collapsed="false">
      <c r="A1038" s="4" t="s">
        <v>1214</v>
      </c>
      <c r="B1038" s="13" t="n">
        <v>45419</v>
      </c>
      <c r="C1038" s="4" t="s">
        <v>6213</v>
      </c>
      <c r="D1038" s="4" t="s">
        <v>6202</v>
      </c>
      <c r="E1038" s="4" t="s">
        <v>6208</v>
      </c>
      <c r="F1038" s="4"/>
    </row>
    <row r="1039" customFormat="false" ht="15" hidden="false" customHeight="true" outlineLevel="0" collapsed="false">
      <c r="A1039" s="4" t="s">
        <v>1215</v>
      </c>
      <c r="B1039" s="13" t="n">
        <v>45157</v>
      </c>
      <c r="C1039" s="4" t="s">
        <v>6213</v>
      </c>
      <c r="D1039" s="4" t="s">
        <v>6195</v>
      </c>
      <c r="E1039" s="4" t="s">
        <v>6206</v>
      </c>
      <c r="F1039" s="4" t="s">
        <v>6197</v>
      </c>
    </row>
    <row r="1040" customFormat="false" ht="15" hidden="false" customHeight="true" outlineLevel="0" collapsed="false">
      <c r="A1040" s="4" t="s">
        <v>1216</v>
      </c>
      <c r="B1040" s="13" t="n">
        <v>45491</v>
      </c>
      <c r="C1040" s="4" t="s">
        <v>6213</v>
      </c>
      <c r="D1040" s="4" t="s">
        <v>6202</v>
      </c>
      <c r="E1040" s="4" t="s">
        <v>6199</v>
      </c>
      <c r="F1040" s="4"/>
    </row>
    <row r="1041" customFormat="false" ht="15" hidden="false" customHeight="true" outlineLevel="0" collapsed="false">
      <c r="A1041" s="4" t="s">
        <v>1217</v>
      </c>
      <c r="B1041" s="13" t="n">
        <v>45424</v>
      </c>
      <c r="C1041" s="4" t="s">
        <v>6215</v>
      </c>
      <c r="D1041" s="4" t="s">
        <v>6211</v>
      </c>
      <c r="E1041" s="4" t="s">
        <v>6208</v>
      </c>
      <c r="F1041" s="4" t="s">
        <v>6216</v>
      </c>
    </row>
    <row r="1042" customFormat="false" ht="15" hidden="false" customHeight="true" outlineLevel="0" collapsed="false">
      <c r="A1042" s="4" t="s">
        <v>1218</v>
      </c>
      <c r="B1042" s="13" t="n">
        <v>45214</v>
      </c>
      <c r="C1042" s="4" t="s">
        <v>6213</v>
      </c>
      <c r="D1042" s="4" t="s">
        <v>6199</v>
      </c>
      <c r="E1042" s="4" t="s">
        <v>6211</v>
      </c>
      <c r="F1042" s="4" t="s">
        <v>6212</v>
      </c>
    </row>
    <row r="1043" customFormat="false" ht="15" hidden="false" customHeight="true" outlineLevel="0" collapsed="false">
      <c r="A1043" s="4" t="s">
        <v>1219</v>
      </c>
      <c r="B1043" s="13" t="n">
        <v>45494</v>
      </c>
      <c r="C1043" s="4" t="s">
        <v>6201</v>
      </c>
      <c r="D1043" s="4" t="s">
        <v>6202</v>
      </c>
      <c r="E1043" s="4" t="s">
        <v>6208</v>
      </c>
      <c r="F1043" s="4" t="s">
        <v>6214</v>
      </c>
    </row>
    <row r="1044" customFormat="false" ht="15" hidden="false" customHeight="true" outlineLevel="0" collapsed="false">
      <c r="A1044" s="4" t="s">
        <v>1220</v>
      </c>
      <c r="B1044" s="13" t="n">
        <v>44950</v>
      </c>
      <c r="C1044" s="4" t="s">
        <v>6213</v>
      </c>
      <c r="D1044" s="4" t="s">
        <v>6205</v>
      </c>
      <c r="E1044" s="4" t="s">
        <v>6205</v>
      </c>
      <c r="F1044" s="4" t="s">
        <v>6204</v>
      </c>
    </row>
    <row r="1045" customFormat="false" ht="15" hidden="false" customHeight="true" outlineLevel="0" collapsed="false">
      <c r="A1045" s="4" t="s">
        <v>1221</v>
      </c>
      <c r="B1045" s="13" t="n">
        <v>45539</v>
      </c>
      <c r="C1045" s="4" t="s">
        <v>6215</v>
      </c>
      <c r="D1045" s="4" t="s">
        <v>6202</v>
      </c>
      <c r="E1045" s="4" t="s">
        <v>6203</v>
      </c>
      <c r="F1045" s="4" t="s">
        <v>6212</v>
      </c>
    </row>
    <row r="1046" customFormat="false" ht="15" hidden="false" customHeight="true" outlineLevel="0" collapsed="false">
      <c r="A1046" s="4" t="s">
        <v>1222</v>
      </c>
      <c r="B1046" s="13" t="n">
        <v>45453</v>
      </c>
      <c r="C1046" s="4" t="s">
        <v>6210</v>
      </c>
      <c r="D1046" s="4" t="s">
        <v>6208</v>
      </c>
      <c r="E1046" s="4" t="s">
        <v>6199</v>
      </c>
      <c r="F1046" s="4" t="s">
        <v>6204</v>
      </c>
    </row>
    <row r="1047" customFormat="false" ht="15" hidden="false" customHeight="true" outlineLevel="0" collapsed="false">
      <c r="A1047" s="4" t="s">
        <v>1223</v>
      </c>
      <c r="B1047" s="13" t="n">
        <v>45114</v>
      </c>
      <c r="C1047" s="4" t="s">
        <v>6210</v>
      </c>
      <c r="D1047" s="4" t="s">
        <v>6203</v>
      </c>
      <c r="E1047" s="4" t="s">
        <v>6195</v>
      </c>
      <c r="F1047" s="4" t="s">
        <v>6212</v>
      </c>
    </row>
    <row r="1048" customFormat="false" ht="15" hidden="false" customHeight="true" outlineLevel="0" collapsed="false">
      <c r="A1048" s="4" t="s">
        <v>1224</v>
      </c>
      <c r="B1048" s="13" t="n">
        <v>45497</v>
      </c>
      <c r="C1048" s="4" t="s">
        <v>6194</v>
      </c>
      <c r="D1048" s="4" t="s">
        <v>6211</v>
      </c>
      <c r="E1048" s="4" t="s">
        <v>6202</v>
      </c>
      <c r="F1048" s="4" t="s">
        <v>6200</v>
      </c>
    </row>
    <row r="1049" customFormat="false" ht="15" hidden="false" customHeight="true" outlineLevel="0" collapsed="false">
      <c r="A1049" s="4" t="s">
        <v>1225</v>
      </c>
      <c r="B1049" s="13" t="n">
        <v>45027</v>
      </c>
      <c r="C1049" s="4" t="s">
        <v>6213</v>
      </c>
      <c r="D1049" s="4" t="s">
        <v>6199</v>
      </c>
      <c r="E1049" s="4" t="s">
        <v>6199</v>
      </c>
      <c r="F1049" s="4"/>
    </row>
    <row r="1050" customFormat="false" ht="15" hidden="false" customHeight="true" outlineLevel="0" collapsed="false">
      <c r="A1050" s="4" t="s">
        <v>1226</v>
      </c>
      <c r="B1050" s="13" t="n">
        <v>45061</v>
      </c>
      <c r="C1050" s="4" t="s">
        <v>6209</v>
      </c>
      <c r="D1050" s="4" t="s">
        <v>6206</v>
      </c>
      <c r="E1050" s="4" t="s">
        <v>6202</v>
      </c>
      <c r="F1050" s="4"/>
    </row>
    <row r="1051" customFormat="false" ht="15" hidden="false" customHeight="true" outlineLevel="0" collapsed="false">
      <c r="A1051" s="4" t="s">
        <v>1227</v>
      </c>
      <c r="B1051" s="13" t="n">
        <v>45354</v>
      </c>
      <c r="C1051" s="4" t="s">
        <v>6210</v>
      </c>
      <c r="D1051" s="4" t="s">
        <v>6195</v>
      </c>
      <c r="E1051" s="4" t="s">
        <v>6202</v>
      </c>
      <c r="F1051" s="4"/>
    </row>
    <row r="1052" customFormat="false" ht="15" hidden="false" customHeight="true" outlineLevel="0" collapsed="false">
      <c r="A1052" s="4" t="s">
        <v>1228</v>
      </c>
      <c r="B1052" s="13" t="n">
        <v>45005</v>
      </c>
      <c r="C1052" s="4" t="s">
        <v>6210</v>
      </c>
      <c r="D1052" s="4" t="s">
        <v>6199</v>
      </c>
      <c r="E1052" s="4" t="s">
        <v>6199</v>
      </c>
      <c r="F1052" s="4"/>
    </row>
    <row r="1053" customFormat="false" ht="15" hidden="false" customHeight="true" outlineLevel="0" collapsed="false">
      <c r="A1053" s="4" t="s">
        <v>1229</v>
      </c>
      <c r="B1053" s="13" t="n">
        <v>45242</v>
      </c>
      <c r="C1053" s="4" t="s">
        <v>6215</v>
      </c>
      <c r="D1053" s="4" t="s">
        <v>6199</v>
      </c>
      <c r="E1053" s="4" t="s">
        <v>6195</v>
      </c>
      <c r="F1053" s="4" t="s">
        <v>6216</v>
      </c>
    </row>
    <row r="1054" customFormat="false" ht="15" hidden="false" customHeight="true" outlineLevel="0" collapsed="false">
      <c r="A1054" s="4" t="s">
        <v>1230</v>
      </c>
      <c r="B1054" s="13" t="n">
        <v>45070</v>
      </c>
      <c r="C1054" s="4" t="s">
        <v>6201</v>
      </c>
      <c r="D1054" s="4" t="s">
        <v>6203</v>
      </c>
      <c r="E1054" s="4" t="s">
        <v>6199</v>
      </c>
      <c r="F1054" s="4" t="s">
        <v>6204</v>
      </c>
    </row>
    <row r="1055" customFormat="false" ht="15" hidden="false" customHeight="true" outlineLevel="0" collapsed="false">
      <c r="A1055" s="4" t="s">
        <v>1231</v>
      </c>
      <c r="B1055" s="13" t="n">
        <v>45025</v>
      </c>
      <c r="C1055" s="4" t="s">
        <v>6210</v>
      </c>
      <c r="D1055" s="4" t="s">
        <v>6206</v>
      </c>
      <c r="E1055" s="4" t="s">
        <v>6207</v>
      </c>
      <c r="F1055" s="4" t="s">
        <v>6204</v>
      </c>
    </row>
    <row r="1056" customFormat="false" ht="15" hidden="false" customHeight="true" outlineLevel="0" collapsed="false">
      <c r="A1056" s="4" t="s">
        <v>1232</v>
      </c>
      <c r="B1056" s="13" t="n">
        <v>45236</v>
      </c>
      <c r="C1056" s="4" t="s">
        <v>6215</v>
      </c>
      <c r="D1056" s="4" t="s">
        <v>6203</v>
      </c>
      <c r="E1056" s="4" t="s">
        <v>6211</v>
      </c>
      <c r="F1056" s="4" t="s">
        <v>6204</v>
      </c>
    </row>
    <row r="1057" customFormat="false" ht="15" hidden="false" customHeight="true" outlineLevel="0" collapsed="false">
      <c r="A1057" s="4" t="s">
        <v>1233</v>
      </c>
      <c r="B1057" s="13" t="n">
        <v>45282</v>
      </c>
      <c r="C1057" s="4" t="s">
        <v>6209</v>
      </c>
      <c r="D1057" s="4" t="s">
        <v>6206</v>
      </c>
      <c r="E1057" s="4" t="s">
        <v>6206</v>
      </c>
      <c r="F1057" s="4"/>
    </row>
    <row r="1058" customFormat="false" ht="15" hidden="false" customHeight="true" outlineLevel="0" collapsed="false">
      <c r="A1058" s="4" t="s">
        <v>1234</v>
      </c>
      <c r="B1058" s="13" t="n">
        <v>45645</v>
      </c>
      <c r="C1058" s="4" t="s">
        <v>6201</v>
      </c>
      <c r="D1058" s="4" t="s">
        <v>6208</v>
      </c>
      <c r="E1058" s="4" t="s">
        <v>6202</v>
      </c>
      <c r="F1058" s="4"/>
    </row>
    <row r="1059" customFormat="false" ht="15" hidden="false" customHeight="true" outlineLevel="0" collapsed="false">
      <c r="A1059" s="4" t="s">
        <v>1235</v>
      </c>
      <c r="B1059" s="13" t="n">
        <v>45087</v>
      </c>
      <c r="C1059" s="4" t="s">
        <v>6201</v>
      </c>
      <c r="D1059" s="4" t="s">
        <v>6208</v>
      </c>
      <c r="E1059" s="4" t="s">
        <v>6206</v>
      </c>
      <c r="F1059" s="4" t="s">
        <v>6197</v>
      </c>
    </row>
    <row r="1060" customFormat="false" ht="15" hidden="false" customHeight="true" outlineLevel="0" collapsed="false">
      <c r="A1060" s="4" t="s">
        <v>1236</v>
      </c>
      <c r="B1060" s="13" t="n">
        <v>44985</v>
      </c>
      <c r="C1060" s="4" t="s">
        <v>6215</v>
      </c>
      <c r="D1060" s="4" t="s">
        <v>6207</v>
      </c>
      <c r="E1060" s="4" t="s">
        <v>6199</v>
      </c>
      <c r="F1060" s="4" t="s">
        <v>6214</v>
      </c>
    </row>
    <row r="1061" customFormat="false" ht="15" hidden="false" customHeight="true" outlineLevel="0" collapsed="false">
      <c r="A1061" s="4" t="s">
        <v>1237</v>
      </c>
      <c r="B1061" s="13" t="n">
        <v>45621</v>
      </c>
      <c r="C1061" s="4" t="s">
        <v>6201</v>
      </c>
      <c r="D1061" s="4" t="s">
        <v>6208</v>
      </c>
      <c r="E1061" s="4" t="s">
        <v>6208</v>
      </c>
      <c r="F1061" s="4" t="s">
        <v>6216</v>
      </c>
    </row>
    <row r="1062" customFormat="false" ht="15" hidden="false" customHeight="true" outlineLevel="0" collapsed="false">
      <c r="A1062" s="4" t="s">
        <v>1238</v>
      </c>
      <c r="B1062" s="13" t="n">
        <v>45520</v>
      </c>
      <c r="C1062" s="4" t="s">
        <v>6215</v>
      </c>
      <c r="D1062" s="4" t="s">
        <v>6199</v>
      </c>
      <c r="E1062" s="4" t="s">
        <v>6199</v>
      </c>
      <c r="F1062" s="4" t="s">
        <v>6216</v>
      </c>
    </row>
    <row r="1063" customFormat="false" ht="15" hidden="false" customHeight="true" outlineLevel="0" collapsed="false">
      <c r="A1063" s="4" t="s">
        <v>1239</v>
      </c>
      <c r="B1063" s="13" t="n">
        <v>45506</v>
      </c>
      <c r="C1063" s="4" t="s">
        <v>6213</v>
      </c>
      <c r="D1063" s="4" t="s">
        <v>6196</v>
      </c>
      <c r="E1063" s="4" t="s">
        <v>6207</v>
      </c>
      <c r="F1063" s="4" t="s">
        <v>6200</v>
      </c>
    </row>
    <row r="1064" customFormat="false" ht="15" hidden="false" customHeight="true" outlineLevel="0" collapsed="false">
      <c r="A1064" s="4" t="s">
        <v>1240</v>
      </c>
      <c r="B1064" s="13" t="n">
        <v>45600</v>
      </c>
      <c r="C1064" s="4" t="s">
        <v>6194</v>
      </c>
      <c r="D1064" s="4" t="s">
        <v>6203</v>
      </c>
      <c r="E1064" s="4" t="s">
        <v>6202</v>
      </c>
      <c r="F1064" s="4"/>
    </row>
    <row r="1065" customFormat="false" ht="15" hidden="false" customHeight="true" outlineLevel="0" collapsed="false">
      <c r="A1065" s="4" t="s">
        <v>1241</v>
      </c>
      <c r="B1065" s="13" t="n">
        <v>45507</v>
      </c>
      <c r="C1065" s="4" t="s">
        <v>6201</v>
      </c>
      <c r="D1065" s="4" t="s">
        <v>6199</v>
      </c>
      <c r="E1065" s="4" t="s">
        <v>6195</v>
      </c>
      <c r="F1065" s="4" t="s">
        <v>6197</v>
      </c>
    </row>
    <row r="1066" customFormat="false" ht="15" hidden="false" customHeight="true" outlineLevel="0" collapsed="false">
      <c r="A1066" s="4" t="s">
        <v>1242</v>
      </c>
      <c r="B1066" s="13" t="n">
        <v>45644</v>
      </c>
      <c r="C1066" s="4" t="s">
        <v>6210</v>
      </c>
      <c r="D1066" s="4" t="s">
        <v>6199</v>
      </c>
      <c r="E1066" s="4" t="s">
        <v>6199</v>
      </c>
      <c r="F1066" s="4" t="s">
        <v>6204</v>
      </c>
    </row>
    <row r="1067" customFormat="false" ht="15" hidden="false" customHeight="true" outlineLevel="0" collapsed="false">
      <c r="A1067" s="4" t="s">
        <v>1243</v>
      </c>
      <c r="B1067" s="13" t="n">
        <v>45567</v>
      </c>
      <c r="C1067" s="4" t="s">
        <v>6210</v>
      </c>
      <c r="D1067" s="4" t="s">
        <v>6208</v>
      </c>
      <c r="E1067" s="4" t="s">
        <v>6199</v>
      </c>
      <c r="F1067" s="4"/>
    </row>
    <row r="1068" customFormat="false" ht="15" hidden="false" customHeight="true" outlineLevel="0" collapsed="false">
      <c r="A1068" s="4" t="s">
        <v>1244</v>
      </c>
      <c r="B1068" s="13" t="n">
        <v>45511</v>
      </c>
      <c r="C1068" s="4" t="s">
        <v>6210</v>
      </c>
      <c r="D1068" s="4" t="s">
        <v>6195</v>
      </c>
      <c r="E1068" s="4" t="s">
        <v>6206</v>
      </c>
      <c r="F1068" s="4" t="s">
        <v>6197</v>
      </c>
    </row>
    <row r="1069" customFormat="false" ht="15" hidden="false" customHeight="true" outlineLevel="0" collapsed="false">
      <c r="A1069" s="4" t="s">
        <v>1245</v>
      </c>
      <c r="B1069" s="13" t="n">
        <v>45228</v>
      </c>
      <c r="C1069" s="4" t="s">
        <v>6213</v>
      </c>
      <c r="D1069" s="4" t="s">
        <v>6199</v>
      </c>
      <c r="E1069" s="4" t="s">
        <v>6202</v>
      </c>
      <c r="F1069" s="4" t="s">
        <v>6216</v>
      </c>
    </row>
    <row r="1070" customFormat="false" ht="15" hidden="false" customHeight="true" outlineLevel="0" collapsed="false">
      <c r="A1070" s="4" t="s">
        <v>1246</v>
      </c>
      <c r="B1070" s="13" t="n">
        <v>45043</v>
      </c>
      <c r="C1070" s="4" t="s">
        <v>6201</v>
      </c>
      <c r="D1070" s="4" t="s">
        <v>6196</v>
      </c>
      <c r="E1070" s="4" t="s">
        <v>6208</v>
      </c>
      <c r="F1070" s="4"/>
    </row>
    <row r="1071" customFormat="false" ht="15" hidden="false" customHeight="true" outlineLevel="0" collapsed="false">
      <c r="A1071" s="4" t="s">
        <v>1247</v>
      </c>
      <c r="B1071" s="13" t="n">
        <v>45457</v>
      </c>
      <c r="C1071" s="4" t="s">
        <v>6210</v>
      </c>
      <c r="D1071" s="4" t="s">
        <v>6203</v>
      </c>
      <c r="E1071" s="4" t="s">
        <v>6207</v>
      </c>
      <c r="F1071" s="4"/>
    </row>
    <row r="1072" customFormat="false" ht="15" hidden="false" customHeight="true" outlineLevel="0" collapsed="false">
      <c r="A1072" s="4" t="s">
        <v>1248</v>
      </c>
      <c r="B1072" s="13" t="n">
        <v>45064</v>
      </c>
      <c r="C1072" s="4" t="s">
        <v>6210</v>
      </c>
      <c r="D1072" s="4" t="s">
        <v>6203</v>
      </c>
      <c r="E1072" s="4" t="s">
        <v>6195</v>
      </c>
      <c r="F1072" s="4" t="s">
        <v>6204</v>
      </c>
    </row>
    <row r="1073" customFormat="false" ht="15" hidden="false" customHeight="true" outlineLevel="0" collapsed="false">
      <c r="A1073" s="4" t="s">
        <v>1249</v>
      </c>
      <c r="B1073" s="13" t="n">
        <v>45575</v>
      </c>
      <c r="C1073" s="4" t="s">
        <v>6201</v>
      </c>
      <c r="D1073" s="4" t="s">
        <v>6208</v>
      </c>
      <c r="E1073" s="4" t="s">
        <v>6202</v>
      </c>
      <c r="F1073" s="4" t="s">
        <v>6204</v>
      </c>
    </row>
    <row r="1074" customFormat="false" ht="15" hidden="false" customHeight="true" outlineLevel="0" collapsed="false">
      <c r="A1074" s="4" t="s">
        <v>1250</v>
      </c>
      <c r="B1074" s="13" t="n">
        <v>45548</v>
      </c>
      <c r="C1074" s="4" t="s">
        <v>6213</v>
      </c>
      <c r="D1074" s="4" t="s">
        <v>6208</v>
      </c>
      <c r="E1074" s="4" t="s">
        <v>6211</v>
      </c>
      <c r="F1074" s="4"/>
    </row>
    <row r="1075" customFormat="false" ht="15" hidden="false" customHeight="true" outlineLevel="0" collapsed="false">
      <c r="A1075" s="4" t="s">
        <v>1251</v>
      </c>
      <c r="B1075" s="13" t="n">
        <v>45188</v>
      </c>
      <c r="C1075" s="4" t="s">
        <v>6194</v>
      </c>
      <c r="D1075" s="4" t="s">
        <v>6202</v>
      </c>
      <c r="E1075" s="4" t="s">
        <v>6203</v>
      </c>
      <c r="F1075" s="4" t="s">
        <v>6212</v>
      </c>
    </row>
    <row r="1076" customFormat="false" ht="15" hidden="false" customHeight="true" outlineLevel="0" collapsed="false">
      <c r="A1076" s="4" t="s">
        <v>1252</v>
      </c>
      <c r="B1076" s="13" t="n">
        <v>45266</v>
      </c>
      <c r="C1076" s="4" t="s">
        <v>6194</v>
      </c>
      <c r="D1076" s="4" t="s">
        <v>6206</v>
      </c>
      <c r="E1076" s="4" t="s">
        <v>6208</v>
      </c>
      <c r="F1076" s="4" t="s">
        <v>6212</v>
      </c>
    </row>
    <row r="1077" customFormat="false" ht="15" hidden="false" customHeight="true" outlineLevel="0" collapsed="false">
      <c r="A1077" s="4" t="s">
        <v>1253</v>
      </c>
      <c r="B1077" s="13" t="n">
        <v>45415</v>
      </c>
      <c r="C1077" s="4" t="s">
        <v>6209</v>
      </c>
      <c r="D1077" s="4" t="s">
        <v>6205</v>
      </c>
      <c r="E1077" s="4" t="s">
        <v>6196</v>
      </c>
      <c r="F1077" s="4"/>
    </row>
    <row r="1078" customFormat="false" ht="15" hidden="false" customHeight="true" outlineLevel="0" collapsed="false">
      <c r="A1078" s="4" t="s">
        <v>1254</v>
      </c>
      <c r="B1078" s="13" t="n">
        <v>45042</v>
      </c>
      <c r="C1078" s="4" t="s">
        <v>6209</v>
      </c>
      <c r="D1078" s="4" t="s">
        <v>6202</v>
      </c>
      <c r="E1078" s="4" t="s">
        <v>6203</v>
      </c>
      <c r="F1078" s="4" t="s">
        <v>6200</v>
      </c>
    </row>
    <row r="1079" customFormat="false" ht="15" hidden="false" customHeight="true" outlineLevel="0" collapsed="false">
      <c r="A1079" s="4" t="s">
        <v>1255</v>
      </c>
      <c r="B1079" s="13" t="n">
        <v>45182</v>
      </c>
      <c r="C1079" s="4" t="s">
        <v>6201</v>
      </c>
      <c r="D1079" s="4" t="s">
        <v>6195</v>
      </c>
      <c r="E1079" s="4" t="s">
        <v>6203</v>
      </c>
      <c r="F1079" s="4" t="s">
        <v>6216</v>
      </c>
    </row>
    <row r="1080" customFormat="false" ht="15" hidden="false" customHeight="true" outlineLevel="0" collapsed="false">
      <c r="A1080" s="4" t="s">
        <v>1256</v>
      </c>
      <c r="B1080" s="13" t="n">
        <v>45239</v>
      </c>
      <c r="C1080" s="4" t="s">
        <v>6209</v>
      </c>
      <c r="D1080" s="4" t="s">
        <v>6211</v>
      </c>
      <c r="E1080" s="4" t="s">
        <v>6199</v>
      </c>
      <c r="F1080" s="4" t="s">
        <v>6204</v>
      </c>
    </row>
    <row r="1081" customFormat="false" ht="15" hidden="false" customHeight="true" outlineLevel="0" collapsed="false">
      <c r="A1081" s="4" t="s">
        <v>1257</v>
      </c>
      <c r="B1081" s="13" t="n">
        <v>45161</v>
      </c>
      <c r="C1081" s="4" t="s">
        <v>6215</v>
      </c>
      <c r="D1081" s="4" t="s">
        <v>6211</v>
      </c>
      <c r="E1081" s="4" t="s">
        <v>6202</v>
      </c>
      <c r="F1081" s="4" t="s">
        <v>6212</v>
      </c>
    </row>
    <row r="1082" customFormat="false" ht="15" hidden="false" customHeight="true" outlineLevel="0" collapsed="false">
      <c r="A1082" s="4" t="s">
        <v>1258</v>
      </c>
      <c r="B1082" s="13" t="n">
        <v>45278</v>
      </c>
      <c r="C1082" s="4" t="s">
        <v>6201</v>
      </c>
      <c r="D1082" s="4" t="s">
        <v>6195</v>
      </c>
      <c r="E1082" s="4" t="s">
        <v>6207</v>
      </c>
      <c r="F1082" s="4" t="s">
        <v>6212</v>
      </c>
    </row>
    <row r="1083" customFormat="false" ht="15" hidden="false" customHeight="true" outlineLevel="0" collapsed="false">
      <c r="A1083" s="4" t="s">
        <v>1259</v>
      </c>
      <c r="B1083" s="13" t="n">
        <v>45583</v>
      </c>
      <c r="C1083" s="4" t="s">
        <v>6194</v>
      </c>
      <c r="D1083" s="4" t="s">
        <v>6195</v>
      </c>
      <c r="E1083" s="4" t="s">
        <v>6206</v>
      </c>
      <c r="F1083" s="4"/>
    </row>
    <row r="1084" customFormat="false" ht="15" hidden="false" customHeight="true" outlineLevel="0" collapsed="false">
      <c r="A1084" s="4" t="s">
        <v>1260</v>
      </c>
      <c r="B1084" s="13" t="n">
        <v>45308</v>
      </c>
      <c r="C1084" s="4" t="s">
        <v>6210</v>
      </c>
      <c r="D1084" s="4" t="s">
        <v>6206</v>
      </c>
      <c r="E1084" s="4" t="s">
        <v>6195</v>
      </c>
      <c r="F1084" s="4" t="s">
        <v>6212</v>
      </c>
    </row>
    <row r="1085" customFormat="false" ht="15" hidden="false" customHeight="true" outlineLevel="0" collapsed="false">
      <c r="A1085" s="4" t="s">
        <v>1261</v>
      </c>
      <c r="B1085" s="13" t="n">
        <v>45163</v>
      </c>
      <c r="C1085" s="4" t="s">
        <v>6198</v>
      </c>
      <c r="D1085" s="4" t="s">
        <v>6208</v>
      </c>
      <c r="E1085" s="4" t="s">
        <v>6203</v>
      </c>
      <c r="F1085" s="4" t="s">
        <v>6216</v>
      </c>
    </row>
    <row r="1086" customFormat="false" ht="15" hidden="false" customHeight="true" outlineLevel="0" collapsed="false">
      <c r="A1086" s="4" t="s">
        <v>1262</v>
      </c>
      <c r="B1086" s="13" t="n">
        <v>45139</v>
      </c>
      <c r="C1086" s="4" t="s">
        <v>6201</v>
      </c>
      <c r="D1086" s="4" t="s">
        <v>6202</v>
      </c>
      <c r="E1086" s="4" t="s">
        <v>6199</v>
      </c>
      <c r="F1086" s="4"/>
    </row>
    <row r="1087" customFormat="false" ht="15" hidden="false" customHeight="true" outlineLevel="0" collapsed="false">
      <c r="A1087" s="4" t="s">
        <v>1263</v>
      </c>
      <c r="B1087" s="13" t="n">
        <v>45174</v>
      </c>
      <c r="C1087" s="4" t="s">
        <v>6215</v>
      </c>
      <c r="D1087" s="4" t="s">
        <v>6202</v>
      </c>
      <c r="E1087" s="4" t="s">
        <v>6203</v>
      </c>
      <c r="F1087" s="4"/>
    </row>
    <row r="1088" customFormat="false" ht="15" hidden="false" customHeight="true" outlineLevel="0" collapsed="false">
      <c r="A1088" s="4" t="s">
        <v>1264</v>
      </c>
      <c r="B1088" s="13" t="n">
        <v>45309</v>
      </c>
      <c r="C1088" s="4" t="s">
        <v>6194</v>
      </c>
      <c r="D1088" s="4" t="s">
        <v>6208</v>
      </c>
      <c r="E1088" s="4" t="s">
        <v>6206</v>
      </c>
      <c r="F1088" s="4" t="s">
        <v>6216</v>
      </c>
    </row>
    <row r="1089" customFormat="false" ht="15" hidden="false" customHeight="true" outlineLevel="0" collapsed="false">
      <c r="A1089" s="4" t="s">
        <v>1265</v>
      </c>
      <c r="B1089" s="13" t="n">
        <v>45062</v>
      </c>
      <c r="C1089" s="4" t="s">
        <v>6201</v>
      </c>
      <c r="D1089" s="4" t="s">
        <v>6202</v>
      </c>
      <c r="E1089" s="4" t="s">
        <v>6205</v>
      </c>
      <c r="F1089" s="4" t="s">
        <v>6212</v>
      </c>
    </row>
    <row r="1090" customFormat="false" ht="15" hidden="false" customHeight="true" outlineLevel="0" collapsed="false">
      <c r="A1090" s="4" t="s">
        <v>1266</v>
      </c>
      <c r="B1090" s="13" t="n">
        <v>45033</v>
      </c>
      <c r="C1090" s="4" t="s">
        <v>6201</v>
      </c>
      <c r="D1090" s="4" t="s">
        <v>6199</v>
      </c>
      <c r="E1090" s="4" t="s">
        <v>6205</v>
      </c>
      <c r="F1090" s="4" t="s">
        <v>6197</v>
      </c>
    </row>
    <row r="1091" customFormat="false" ht="15" hidden="false" customHeight="true" outlineLevel="0" collapsed="false">
      <c r="A1091" s="4" t="s">
        <v>1267</v>
      </c>
      <c r="B1091" s="13" t="n">
        <v>45440</v>
      </c>
      <c r="C1091" s="4" t="s">
        <v>6215</v>
      </c>
      <c r="D1091" s="4" t="s">
        <v>6208</v>
      </c>
      <c r="E1091" s="4" t="s">
        <v>6205</v>
      </c>
      <c r="F1091" s="4" t="s">
        <v>6197</v>
      </c>
    </row>
    <row r="1092" customFormat="false" ht="15" hidden="false" customHeight="true" outlineLevel="0" collapsed="false">
      <c r="A1092" s="4" t="s">
        <v>1268</v>
      </c>
      <c r="B1092" s="13" t="n">
        <v>45194</v>
      </c>
      <c r="C1092" s="4" t="s">
        <v>6210</v>
      </c>
      <c r="D1092" s="4" t="s">
        <v>6202</v>
      </c>
      <c r="E1092" s="4" t="s">
        <v>6196</v>
      </c>
      <c r="F1092" s="4" t="s">
        <v>6197</v>
      </c>
    </row>
    <row r="1093" customFormat="false" ht="15" hidden="false" customHeight="true" outlineLevel="0" collapsed="false">
      <c r="A1093" s="4" t="s">
        <v>1269</v>
      </c>
      <c r="B1093" s="13" t="n">
        <v>45055</v>
      </c>
      <c r="C1093" s="4" t="s">
        <v>6215</v>
      </c>
      <c r="D1093" s="4" t="s">
        <v>6205</v>
      </c>
      <c r="E1093" s="4" t="s">
        <v>6203</v>
      </c>
      <c r="F1093" s="4" t="s">
        <v>6214</v>
      </c>
    </row>
    <row r="1094" customFormat="false" ht="15" hidden="false" customHeight="true" outlineLevel="0" collapsed="false">
      <c r="A1094" s="4" t="s">
        <v>1270</v>
      </c>
      <c r="B1094" s="13" t="n">
        <v>45301</v>
      </c>
      <c r="C1094" s="4" t="s">
        <v>6194</v>
      </c>
      <c r="D1094" s="4" t="s">
        <v>6207</v>
      </c>
      <c r="E1094" s="4" t="s">
        <v>6196</v>
      </c>
      <c r="F1094" s="4"/>
    </row>
    <row r="1095" customFormat="false" ht="15" hidden="false" customHeight="true" outlineLevel="0" collapsed="false">
      <c r="A1095" s="4" t="s">
        <v>1271</v>
      </c>
      <c r="B1095" s="13" t="n">
        <v>44996</v>
      </c>
      <c r="C1095" s="4" t="s">
        <v>6210</v>
      </c>
      <c r="D1095" s="4" t="s">
        <v>6196</v>
      </c>
      <c r="E1095" s="4" t="s">
        <v>6211</v>
      </c>
      <c r="F1095" s="4" t="s">
        <v>6212</v>
      </c>
    </row>
    <row r="1096" customFormat="false" ht="15" hidden="false" customHeight="true" outlineLevel="0" collapsed="false">
      <c r="A1096" s="4" t="s">
        <v>1272</v>
      </c>
      <c r="B1096" s="13" t="n">
        <v>45177</v>
      </c>
      <c r="C1096" s="4" t="s">
        <v>6209</v>
      </c>
      <c r="D1096" s="4" t="s">
        <v>6206</v>
      </c>
      <c r="E1096" s="4" t="s">
        <v>6196</v>
      </c>
      <c r="F1096" s="4"/>
    </row>
    <row r="1097" customFormat="false" ht="15" hidden="false" customHeight="true" outlineLevel="0" collapsed="false">
      <c r="A1097" s="4" t="s">
        <v>1273</v>
      </c>
      <c r="B1097" s="13" t="n">
        <v>45327</v>
      </c>
      <c r="C1097" s="4" t="s">
        <v>6215</v>
      </c>
      <c r="D1097" s="4" t="s">
        <v>6203</v>
      </c>
      <c r="E1097" s="4" t="s">
        <v>6203</v>
      </c>
      <c r="F1097" s="4" t="s">
        <v>6204</v>
      </c>
    </row>
    <row r="1098" customFormat="false" ht="15" hidden="false" customHeight="true" outlineLevel="0" collapsed="false">
      <c r="A1098" s="4" t="s">
        <v>1274</v>
      </c>
      <c r="B1098" s="13" t="n">
        <v>45527</v>
      </c>
      <c r="C1098" s="4" t="s">
        <v>6213</v>
      </c>
      <c r="D1098" s="4" t="s">
        <v>6202</v>
      </c>
      <c r="E1098" s="4" t="s">
        <v>6195</v>
      </c>
      <c r="F1098" s="4" t="s">
        <v>6216</v>
      </c>
    </row>
    <row r="1099" customFormat="false" ht="15" hidden="false" customHeight="true" outlineLevel="0" collapsed="false">
      <c r="A1099" s="4" t="s">
        <v>1275</v>
      </c>
      <c r="B1099" s="13" t="n">
        <v>45438</v>
      </c>
      <c r="C1099" s="4" t="s">
        <v>6198</v>
      </c>
      <c r="D1099" s="4" t="s">
        <v>6208</v>
      </c>
      <c r="E1099" s="4" t="s">
        <v>6207</v>
      </c>
      <c r="F1099" s="4"/>
    </row>
    <row r="1100" customFormat="false" ht="15" hidden="false" customHeight="true" outlineLevel="0" collapsed="false">
      <c r="A1100" s="4" t="s">
        <v>1276</v>
      </c>
      <c r="B1100" s="13" t="n">
        <v>44983</v>
      </c>
      <c r="C1100" s="4" t="s">
        <v>6209</v>
      </c>
      <c r="D1100" s="4" t="s">
        <v>6206</v>
      </c>
      <c r="E1100" s="4" t="s">
        <v>6196</v>
      </c>
      <c r="F1100" s="4" t="s">
        <v>6200</v>
      </c>
    </row>
    <row r="1101" customFormat="false" ht="15" hidden="false" customHeight="true" outlineLevel="0" collapsed="false">
      <c r="A1101" s="4" t="s">
        <v>1277</v>
      </c>
      <c r="B1101" s="13" t="n">
        <v>45629</v>
      </c>
      <c r="C1101" s="4" t="s">
        <v>6198</v>
      </c>
      <c r="D1101" s="4" t="s">
        <v>6208</v>
      </c>
      <c r="E1101" s="4" t="s">
        <v>6195</v>
      </c>
      <c r="F1101" s="4" t="s">
        <v>6212</v>
      </c>
    </row>
    <row r="1102" customFormat="false" ht="15" hidden="false" customHeight="true" outlineLevel="0" collapsed="false">
      <c r="A1102" s="4" t="s">
        <v>1278</v>
      </c>
      <c r="B1102" s="13" t="n">
        <v>45271</v>
      </c>
      <c r="C1102" s="4" t="s">
        <v>6194</v>
      </c>
      <c r="D1102" s="4" t="s">
        <v>6199</v>
      </c>
      <c r="E1102" s="4" t="s">
        <v>6199</v>
      </c>
      <c r="F1102" s="4" t="s">
        <v>6214</v>
      </c>
    </row>
    <row r="1103" customFormat="false" ht="15" hidden="false" customHeight="true" outlineLevel="0" collapsed="false">
      <c r="A1103" s="4" t="s">
        <v>1279</v>
      </c>
      <c r="B1103" s="13" t="n">
        <v>45193</v>
      </c>
      <c r="C1103" s="4" t="s">
        <v>6194</v>
      </c>
      <c r="D1103" s="4" t="s">
        <v>6211</v>
      </c>
      <c r="E1103" s="4" t="s">
        <v>6205</v>
      </c>
      <c r="F1103" s="4" t="s">
        <v>6212</v>
      </c>
    </row>
    <row r="1104" customFormat="false" ht="15" hidden="false" customHeight="true" outlineLevel="0" collapsed="false">
      <c r="A1104" s="4" t="s">
        <v>1280</v>
      </c>
      <c r="B1104" s="13" t="n">
        <v>45256</v>
      </c>
      <c r="C1104" s="4" t="s">
        <v>6213</v>
      </c>
      <c r="D1104" s="4" t="s">
        <v>6208</v>
      </c>
      <c r="E1104" s="4" t="s">
        <v>6199</v>
      </c>
      <c r="F1104" s="4" t="s">
        <v>6212</v>
      </c>
    </row>
    <row r="1105" customFormat="false" ht="15" hidden="false" customHeight="true" outlineLevel="0" collapsed="false">
      <c r="A1105" s="4" t="s">
        <v>1281</v>
      </c>
      <c r="B1105" s="13" t="n">
        <v>45221</v>
      </c>
      <c r="C1105" s="4" t="s">
        <v>6209</v>
      </c>
      <c r="D1105" s="4" t="s">
        <v>6203</v>
      </c>
      <c r="E1105" s="4" t="s">
        <v>6196</v>
      </c>
      <c r="F1105" s="4" t="s">
        <v>6216</v>
      </c>
    </row>
    <row r="1106" customFormat="false" ht="15" hidden="false" customHeight="true" outlineLevel="0" collapsed="false">
      <c r="A1106" s="4" t="s">
        <v>1282</v>
      </c>
      <c r="B1106" s="13" t="n">
        <v>45400</v>
      </c>
      <c r="C1106" s="4" t="s">
        <v>6209</v>
      </c>
      <c r="D1106" s="4" t="s">
        <v>6196</v>
      </c>
      <c r="E1106" s="4" t="s">
        <v>6206</v>
      </c>
      <c r="F1106" s="4" t="s">
        <v>6204</v>
      </c>
    </row>
    <row r="1107" customFormat="false" ht="15" hidden="false" customHeight="true" outlineLevel="0" collapsed="false">
      <c r="A1107" s="4" t="s">
        <v>1283</v>
      </c>
      <c r="B1107" s="13" t="n">
        <v>45592</v>
      </c>
      <c r="C1107" s="4" t="s">
        <v>6209</v>
      </c>
      <c r="D1107" s="4" t="s">
        <v>6203</v>
      </c>
      <c r="E1107" s="4" t="s">
        <v>6202</v>
      </c>
      <c r="F1107" s="4" t="s">
        <v>6216</v>
      </c>
    </row>
    <row r="1108" customFormat="false" ht="15" hidden="false" customHeight="true" outlineLevel="0" collapsed="false">
      <c r="A1108" s="4" t="s">
        <v>1284</v>
      </c>
      <c r="B1108" s="13" t="n">
        <v>45308</v>
      </c>
      <c r="C1108" s="4" t="s">
        <v>6209</v>
      </c>
      <c r="D1108" s="4" t="s">
        <v>6203</v>
      </c>
      <c r="E1108" s="4" t="s">
        <v>6208</v>
      </c>
      <c r="F1108" s="4" t="s">
        <v>6204</v>
      </c>
    </row>
    <row r="1109" customFormat="false" ht="15" hidden="false" customHeight="true" outlineLevel="0" collapsed="false">
      <c r="A1109" s="4" t="s">
        <v>1285</v>
      </c>
      <c r="B1109" s="13" t="n">
        <v>44971</v>
      </c>
      <c r="C1109" s="4" t="s">
        <v>6198</v>
      </c>
      <c r="D1109" s="4" t="s">
        <v>6195</v>
      </c>
      <c r="E1109" s="4" t="s">
        <v>6203</v>
      </c>
      <c r="F1109" s="4" t="s">
        <v>6216</v>
      </c>
    </row>
    <row r="1110" customFormat="false" ht="15" hidden="false" customHeight="true" outlineLevel="0" collapsed="false">
      <c r="A1110" s="4" t="s">
        <v>1286</v>
      </c>
      <c r="B1110" s="13" t="n">
        <v>45284</v>
      </c>
      <c r="C1110" s="4" t="s">
        <v>6215</v>
      </c>
      <c r="D1110" s="4" t="s">
        <v>6205</v>
      </c>
      <c r="E1110" s="4" t="s">
        <v>6203</v>
      </c>
      <c r="F1110" s="4" t="s">
        <v>6200</v>
      </c>
    </row>
    <row r="1111" customFormat="false" ht="15" hidden="false" customHeight="true" outlineLevel="0" collapsed="false">
      <c r="A1111" s="4" t="s">
        <v>1287</v>
      </c>
      <c r="B1111" s="13" t="n">
        <v>45056</v>
      </c>
      <c r="C1111" s="4" t="s">
        <v>6213</v>
      </c>
      <c r="D1111" s="4" t="s">
        <v>6205</v>
      </c>
      <c r="E1111" s="4" t="s">
        <v>6203</v>
      </c>
      <c r="F1111" s="4" t="s">
        <v>6200</v>
      </c>
    </row>
    <row r="1112" customFormat="false" ht="15" hidden="false" customHeight="true" outlineLevel="0" collapsed="false">
      <c r="A1112" s="4" t="s">
        <v>1288</v>
      </c>
      <c r="B1112" s="13" t="n">
        <v>45023</v>
      </c>
      <c r="C1112" s="4" t="s">
        <v>6213</v>
      </c>
      <c r="D1112" s="4" t="s">
        <v>6203</v>
      </c>
      <c r="E1112" s="4" t="s">
        <v>6195</v>
      </c>
      <c r="F1112" s="4" t="s">
        <v>6214</v>
      </c>
    </row>
    <row r="1113" customFormat="false" ht="15" hidden="false" customHeight="true" outlineLevel="0" collapsed="false">
      <c r="A1113" s="4" t="s">
        <v>1289</v>
      </c>
      <c r="B1113" s="13" t="n">
        <v>45112</v>
      </c>
      <c r="C1113" s="4" t="s">
        <v>6210</v>
      </c>
      <c r="D1113" s="4" t="s">
        <v>6195</v>
      </c>
      <c r="E1113" s="4" t="s">
        <v>6195</v>
      </c>
      <c r="F1113" s="4"/>
    </row>
    <row r="1114" customFormat="false" ht="15" hidden="false" customHeight="true" outlineLevel="0" collapsed="false">
      <c r="A1114" s="4" t="s">
        <v>1290</v>
      </c>
      <c r="B1114" s="13" t="n">
        <v>45567</v>
      </c>
      <c r="C1114" s="4" t="s">
        <v>6201</v>
      </c>
      <c r="D1114" s="4" t="s">
        <v>6199</v>
      </c>
      <c r="E1114" s="4" t="s">
        <v>6207</v>
      </c>
      <c r="F1114" s="4" t="s">
        <v>6212</v>
      </c>
    </row>
    <row r="1115" customFormat="false" ht="15" hidden="false" customHeight="true" outlineLevel="0" collapsed="false">
      <c r="A1115" s="4" t="s">
        <v>1291</v>
      </c>
      <c r="B1115" s="13" t="n">
        <v>45615</v>
      </c>
      <c r="C1115" s="4" t="s">
        <v>6198</v>
      </c>
      <c r="D1115" s="4" t="s">
        <v>6203</v>
      </c>
      <c r="E1115" s="4" t="s">
        <v>6206</v>
      </c>
      <c r="F1115" s="4" t="s">
        <v>6216</v>
      </c>
    </row>
    <row r="1116" customFormat="false" ht="15" hidden="false" customHeight="true" outlineLevel="0" collapsed="false">
      <c r="A1116" s="4" t="s">
        <v>1292</v>
      </c>
      <c r="B1116" s="13" t="n">
        <v>45336</v>
      </c>
      <c r="C1116" s="4" t="s">
        <v>6201</v>
      </c>
      <c r="D1116" s="4" t="s">
        <v>6199</v>
      </c>
      <c r="E1116" s="4" t="s">
        <v>6207</v>
      </c>
      <c r="F1116" s="4" t="s">
        <v>6212</v>
      </c>
    </row>
    <row r="1117" customFormat="false" ht="15" hidden="false" customHeight="true" outlineLevel="0" collapsed="false">
      <c r="A1117" s="4" t="s">
        <v>1293</v>
      </c>
      <c r="B1117" s="13" t="n">
        <v>45517</v>
      </c>
      <c r="C1117" s="4" t="s">
        <v>6215</v>
      </c>
      <c r="D1117" s="4" t="s">
        <v>6205</v>
      </c>
      <c r="E1117" s="4" t="s">
        <v>6211</v>
      </c>
      <c r="F1117" s="4" t="s">
        <v>6216</v>
      </c>
    </row>
    <row r="1118" customFormat="false" ht="15" hidden="false" customHeight="true" outlineLevel="0" collapsed="false">
      <c r="A1118" s="4" t="s">
        <v>1294</v>
      </c>
      <c r="B1118" s="13" t="n">
        <v>45042</v>
      </c>
      <c r="C1118" s="4" t="s">
        <v>6210</v>
      </c>
      <c r="D1118" s="4" t="s">
        <v>6207</v>
      </c>
      <c r="E1118" s="4" t="s">
        <v>6205</v>
      </c>
      <c r="F1118" s="4"/>
    </row>
    <row r="1119" customFormat="false" ht="15" hidden="false" customHeight="true" outlineLevel="0" collapsed="false">
      <c r="A1119" s="4" t="s">
        <v>1295</v>
      </c>
      <c r="B1119" s="13" t="n">
        <v>45358</v>
      </c>
      <c r="C1119" s="4" t="s">
        <v>6194</v>
      </c>
      <c r="D1119" s="4" t="s">
        <v>6208</v>
      </c>
      <c r="E1119" s="4" t="s">
        <v>6195</v>
      </c>
      <c r="F1119" s="4" t="s">
        <v>6204</v>
      </c>
    </row>
    <row r="1120" customFormat="false" ht="15" hidden="false" customHeight="true" outlineLevel="0" collapsed="false">
      <c r="A1120" s="4" t="s">
        <v>1296</v>
      </c>
      <c r="B1120" s="13" t="n">
        <v>45633</v>
      </c>
      <c r="C1120" s="4" t="s">
        <v>6198</v>
      </c>
      <c r="D1120" s="4" t="s">
        <v>6206</v>
      </c>
      <c r="E1120" s="4" t="s">
        <v>6205</v>
      </c>
      <c r="F1120" s="4" t="s">
        <v>6204</v>
      </c>
    </row>
    <row r="1121" customFormat="false" ht="15" hidden="false" customHeight="true" outlineLevel="0" collapsed="false">
      <c r="A1121" s="4" t="s">
        <v>1297</v>
      </c>
      <c r="B1121" s="13" t="n">
        <v>45566</v>
      </c>
      <c r="C1121" s="4" t="s">
        <v>6194</v>
      </c>
      <c r="D1121" s="4" t="s">
        <v>6196</v>
      </c>
      <c r="E1121" s="4" t="s">
        <v>6203</v>
      </c>
      <c r="F1121" s="4"/>
    </row>
    <row r="1122" customFormat="false" ht="15" hidden="false" customHeight="true" outlineLevel="0" collapsed="false">
      <c r="A1122" s="4" t="s">
        <v>1298</v>
      </c>
      <c r="B1122" s="13" t="n">
        <v>45442</v>
      </c>
      <c r="C1122" s="4" t="s">
        <v>6194</v>
      </c>
      <c r="D1122" s="4" t="s">
        <v>6203</v>
      </c>
      <c r="E1122" s="4" t="s">
        <v>6199</v>
      </c>
      <c r="F1122" s="4" t="s">
        <v>6212</v>
      </c>
    </row>
    <row r="1123" customFormat="false" ht="15" hidden="false" customHeight="true" outlineLevel="0" collapsed="false">
      <c r="A1123" s="4" t="s">
        <v>1299</v>
      </c>
      <c r="B1123" s="13" t="n">
        <v>45384</v>
      </c>
      <c r="C1123" s="4" t="s">
        <v>6213</v>
      </c>
      <c r="D1123" s="4" t="s">
        <v>6206</v>
      </c>
      <c r="E1123" s="4" t="s">
        <v>6199</v>
      </c>
      <c r="F1123" s="4" t="s">
        <v>6212</v>
      </c>
    </row>
    <row r="1124" customFormat="false" ht="15" hidden="false" customHeight="true" outlineLevel="0" collapsed="false">
      <c r="A1124" s="4" t="s">
        <v>1300</v>
      </c>
      <c r="B1124" s="13" t="n">
        <v>45584</v>
      </c>
      <c r="C1124" s="4" t="s">
        <v>6194</v>
      </c>
      <c r="D1124" s="4" t="s">
        <v>6196</v>
      </c>
      <c r="E1124" s="4" t="s">
        <v>6199</v>
      </c>
      <c r="F1124" s="4" t="s">
        <v>6216</v>
      </c>
    </row>
    <row r="1125" customFormat="false" ht="15" hidden="false" customHeight="true" outlineLevel="0" collapsed="false">
      <c r="A1125" s="4" t="s">
        <v>1301</v>
      </c>
      <c r="B1125" s="13" t="n">
        <v>45259</v>
      </c>
      <c r="C1125" s="4" t="s">
        <v>6194</v>
      </c>
      <c r="D1125" s="4" t="s">
        <v>6205</v>
      </c>
      <c r="E1125" s="4" t="s">
        <v>6208</v>
      </c>
      <c r="F1125" s="4"/>
    </row>
    <row r="1126" customFormat="false" ht="15" hidden="false" customHeight="true" outlineLevel="0" collapsed="false">
      <c r="A1126" s="4" t="s">
        <v>1302</v>
      </c>
      <c r="B1126" s="13" t="n">
        <v>45586</v>
      </c>
      <c r="C1126" s="4" t="s">
        <v>6209</v>
      </c>
      <c r="D1126" s="4" t="s">
        <v>6203</v>
      </c>
      <c r="E1126" s="4" t="s">
        <v>6199</v>
      </c>
      <c r="F1126" s="4" t="s">
        <v>6200</v>
      </c>
    </row>
    <row r="1127" customFormat="false" ht="15" hidden="false" customHeight="true" outlineLevel="0" collapsed="false">
      <c r="A1127" s="4" t="s">
        <v>1303</v>
      </c>
      <c r="B1127" s="13" t="n">
        <v>45242</v>
      </c>
      <c r="C1127" s="4" t="s">
        <v>6201</v>
      </c>
      <c r="D1127" s="4" t="s">
        <v>6211</v>
      </c>
      <c r="E1127" s="4" t="s">
        <v>6206</v>
      </c>
      <c r="F1127" s="4" t="s">
        <v>6197</v>
      </c>
    </row>
    <row r="1128" customFormat="false" ht="15" hidden="false" customHeight="true" outlineLevel="0" collapsed="false">
      <c r="A1128" s="4" t="s">
        <v>1304</v>
      </c>
      <c r="B1128" s="13" t="n">
        <v>45100</v>
      </c>
      <c r="C1128" s="4" t="s">
        <v>6194</v>
      </c>
      <c r="D1128" s="4" t="s">
        <v>6207</v>
      </c>
      <c r="E1128" s="4" t="s">
        <v>6206</v>
      </c>
      <c r="F1128" s="4" t="s">
        <v>6216</v>
      </c>
    </row>
    <row r="1129" customFormat="false" ht="15" hidden="false" customHeight="true" outlineLevel="0" collapsed="false">
      <c r="A1129" s="4" t="s">
        <v>1305</v>
      </c>
      <c r="B1129" s="13" t="n">
        <v>45053</v>
      </c>
      <c r="C1129" s="4" t="s">
        <v>6210</v>
      </c>
      <c r="D1129" s="4" t="s">
        <v>6207</v>
      </c>
      <c r="E1129" s="4" t="s">
        <v>6205</v>
      </c>
      <c r="F1129" s="4"/>
    </row>
    <row r="1130" customFormat="false" ht="15" hidden="false" customHeight="true" outlineLevel="0" collapsed="false">
      <c r="A1130" s="4" t="s">
        <v>1306</v>
      </c>
      <c r="B1130" s="13" t="n">
        <v>45366</v>
      </c>
      <c r="C1130" s="4" t="s">
        <v>6201</v>
      </c>
      <c r="D1130" s="4" t="s">
        <v>6195</v>
      </c>
      <c r="E1130" s="4" t="s">
        <v>6202</v>
      </c>
      <c r="F1130" s="4"/>
    </row>
    <row r="1131" customFormat="false" ht="15" hidden="false" customHeight="true" outlineLevel="0" collapsed="false">
      <c r="A1131" s="4" t="s">
        <v>1307</v>
      </c>
      <c r="B1131" s="13" t="n">
        <v>45248</v>
      </c>
      <c r="C1131" s="4" t="s">
        <v>6194</v>
      </c>
      <c r="D1131" s="4" t="s">
        <v>6205</v>
      </c>
      <c r="E1131" s="4" t="s">
        <v>6202</v>
      </c>
      <c r="F1131" s="4"/>
    </row>
    <row r="1132" customFormat="false" ht="15" hidden="false" customHeight="true" outlineLevel="0" collapsed="false">
      <c r="A1132" s="4" t="s">
        <v>1308</v>
      </c>
      <c r="B1132" s="13" t="n">
        <v>45042</v>
      </c>
      <c r="C1132" s="4" t="s">
        <v>6215</v>
      </c>
      <c r="D1132" s="4" t="s">
        <v>6208</v>
      </c>
      <c r="E1132" s="4" t="s">
        <v>6205</v>
      </c>
      <c r="F1132" s="4"/>
    </row>
    <row r="1133" customFormat="false" ht="15" hidden="false" customHeight="true" outlineLevel="0" collapsed="false">
      <c r="A1133" s="4" t="s">
        <v>1309</v>
      </c>
      <c r="B1133" s="13" t="n">
        <v>45602</v>
      </c>
      <c r="C1133" s="4" t="s">
        <v>6215</v>
      </c>
      <c r="D1133" s="4" t="s">
        <v>6202</v>
      </c>
      <c r="E1133" s="4" t="s">
        <v>6202</v>
      </c>
      <c r="F1133" s="4"/>
    </row>
    <row r="1134" customFormat="false" ht="15" hidden="false" customHeight="true" outlineLevel="0" collapsed="false">
      <c r="A1134" s="4" t="s">
        <v>1310</v>
      </c>
      <c r="B1134" s="13" t="n">
        <v>45179</v>
      </c>
      <c r="C1134" s="4" t="s">
        <v>6209</v>
      </c>
      <c r="D1134" s="4" t="s">
        <v>6199</v>
      </c>
      <c r="E1134" s="4" t="s">
        <v>6203</v>
      </c>
      <c r="F1134" s="4"/>
    </row>
    <row r="1135" customFormat="false" ht="15" hidden="false" customHeight="true" outlineLevel="0" collapsed="false">
      <c r="A1135" s="4" t="s">
        <v>1311</v>
      </c>
      <c r="B1135" s="13" t="n">
        <v>45100</v>
      </c>
      <c r="C1135" s="4" t="s">
        <v>6201</v>
      </c>
      <c r="D1135" s="4" t="s">
        <v>6196</v>
      </c>
      <c r="E1135" s="4" t="s">
        <v>6196</v>
      </c>
      <c r="F1135" s="4" t="s">
        <v>6214</v>
      </c>
    </row>
    <row r="1136" customFormat="false" ht="15" hidden="false" customHeight="true" outlineLevel="0" collapsed="false">
      <c r="A1136" s="4" t="s">
        <v>1312</v>
      </c>
      <c r="B1136" s="13" t="n">
        <v>45550</v>
      </c>
      <c r="C1136" s="4" t="s">
        <v>6198</v>
      </c>
      <c r="D1136" s="4" t="s">
        <v>6196</v>
      </c>
      <c r="E1136" s="4" t="s">
        <v>6211</v>
      </c>
      <c r="F1136" s="4" t="s">
        <v>6216</v>
      </c>
    </row>
    <row r="1137" customFormat="false" ht="15" hidden="false" customHeight="true" outlineLevel="0" collapsed="false">
      <c r="A1137" s="4" t="s">
        <v>1313</v>
      </c>
      <c r="B1137" s="13" t="n">
        <v>45410</v>
      </c>
      <c r="C1137" s="4" t="s">
        <v>6213</v>
      </c>
      <c r="D1137" s="4" t="s">
        <v>6203</v>
      </c>
      <c r="E1137" s="4" t="s">
        <v>6199</v>
      </c>
      <c r="F1137" s="4"/>
    </row>
    <row r="1138" customFormat="false" ht="15" hidden="false" customHeight="true" outlineLevel="0" collapsed="false">
      <c r="A1138" s="4" t="s">
        <v>1314</v>
      </c>
      <c r="B1138" s="13" t="n">
        <v>45369</v>
      </c>
      <c r="C1138" s="4" t="s">
        <v>6198</v>
      </c>
      <c r="D1138" s="4" t="s">
        <v>6205</v>
      </c>
      <c r="E1138" s="4" t="s">
        <v>6203</v>
      </c>
      <c r="F1138" s="4" t="s">
        <v>6200</v>
      </c>
    </row>
    <row r="1139" customFormat="false" ht="15" hidden="false" customHeight="true" outlineLevel="0" collapsed="false">
      <c r="A1139" s="4" t="s">
        <v>1315</v>
      </c>
      <c r="B1139" s="13" t="n">
        <v>45162</v>
      </c>
      <c r="C1139" s="4" t="s">
        <v>6198</v>
      </c>
      <c r="D1139" s="4" t="s">
        <v>6206</v>
      </c>
      <c r="E1139" s="4" t="s">
        <v>6195</v>
      </c>
      <c r="F1139" s="4" t="s">
        <v>6204</v>
      </c>
    </row>
    <row r="1140" customFormat="false" ht="15" hidden="false" customHeight="true" outlineLevel="0" collapsed="false">
      <c r="A1140" s="4" t="s">
        <v>1316</v>
      </c>
      <c r="B1140" s="13" t="n">
        <v>45081</v>
      </c>
      <c r="C1140" s="4" t="s">
        <v>6209</v>
      </c>
      <c r="D1140" s="4" t="s">
        <v>6211</v>
      </c>
      <c r="E1140" s="4" t="s">
        <v>6203</v>
      </c>
      <c r="F1140" s="4"/>
    </row>
    <row r="1141" customFormat="false" ht="15" hidden="false" customHeight="true" outlineLevel="0" collapsed="false">
      <c r="A1141" s="4" t="s">
        <v>1317</v>
      </c>
      <c r="B1141" s="13" t="n">
        <v>45220</v>
      </c>
      <c r="C1141" s="4" t="s">
        <v>6201</v>
      </c>
      <c r="D1141" s="4" t="s">
        <v>6202</v>
      </c>
      <c r="E1141" s="4" t="s">
        <v>6208</v>
      </c>
      <c r="F1141" s="4"/>
    </row>
    <row r="1142" customFormat="false" ht="15" hidden="false" customHeight="true" outlineLevel="0" collapsed="false">
      <c r="A1142" s="4" t="s">
        <v>1318</v>
      </c>
      <c r="B1142" s="13" t="n">
        <v>45581</v>
      </c>
      <c r="C1142" s="4" t="s">
        <v>6198</v>
      </c>
      <c r="D1142" s="4" t="s">
        <v>6195</v>
      </c>
      <c r="E1142" s="4" t="s">
        <v>6206</v>
      </c>
      <c r="F1142" s="4" t="s">
        <v>6200</v>
      </c>
    </row>
    <row r="1143" customFormat="false" ht="15" hidden="false" customHeight="true" outlineLevel="0" collapsed="false">
      <c r="A1143" s="4" t="s">
        <v>1319</v>
      </c>
      <c r="B1143" s="13" t="n">
        <v>45413</v>
      </c>
      <c r="C1143" s="4" t="s">
        <v>6213</v>
      </c>
      <c r="D1143" s="4" t="s">
        <v>6203</v>
      </c>
      <c r="E1143" s="4" t="s">
        <v>6211</v>
      </c>
      <c r="F1143" s="4" t="s">
        <v>6216</v>
      </c>
    </row>
    <row r="1144" customFormat="false" ht="15" hidden="false" customHeight="true" outlineLevel="0" collapsed="false">
      <c r="A1144" s="4" t="s">
        <v>1320</v>
      </c>
      <c r="B1144" s="13" t="n">
        <v>45296</v>
      </c>
      <c r="C1144" s="4" t="s">
        <v>6201</v>
      </c>
      <c r="D1144" s="4" t="s">
        <v>6195</v>
      </c>
      <c r="E1144" s="4" t="s">
        <v>6199</v>
      </c>
      <c r="F1144" s="4"/>
    </row>
    <row r="1145" customFormat="false" ht="15" hidden="false" customHeight="true" outlineLevel="0" collapsed="false">
      <c r="A1145" s="4" t="s">
        <v>1321</v>
      </c>
      <c r="B1145" s="13" t="n">
        <v>45024</v>
      </c>
      <c r="C1145" s="4" t="s">
        <v>6210</v>
      </c>
      <c r="D1145" s="4" t="s">
        <v>6211</v>
      </c>
      <c r="E1145" s="4" t="s">
        <v>6211</v>
      </c>
      <c r="F1145" s="4"/>
    </row>
    <row r="1146" customFormat="false" ht="15" hidden="false" customHeight="true" outlineLevel="0" collapsed="false">
      <c r="A1146" s="4" t="s">
        <v>1322</v>
      </c>
      <c r="B1146" s="13" t="n">
        <v>45368</v>
      </c>
      <c r="C1146" s="4" t="s">
        <v>6210</v>
      </c>
      <c r="D1146" s="4" t="s">
        <v>6205</v>
      </c>
      <c r="E1146" s="4" t="s">
        <v>6196</v>
      </c>
      <c r="F1146" s="4"/>
    </row>
    <row r="1147" customFormat="false" ht="15" hidden="false" customHeight="true" outlineLevel="0" collapsed="false">
      <c r="A1147" s="4" t="s">
        <v>1323</v>
      </c>
      <c r="B1147" s="13" t="n">
        <v>45512</v>
      </c>
      <c r="C1147" s="4" t="s">
        <v>6215</v>
      </c>
      <c r="D1147" s="4" t="s">
        <v>6206</v>
      </c>
      <c r="E1147" s="4" t="s">
        <v>6196</v>
      </c>
      <c r="F1147" s="4"/>
    </row>
    <row r="1148" customFormat="false" ht="15" hidden="false" customHeight="true" outlineLevel="0" collapsed="false">
      <c r="A1148" s="4" t="s">
        <v>1324</v>
      </c>
      <c r="B1148" s="13" t="n">
        <v>45591</v>
      </c>
      <c r="C1148" s="4" t="s">
        <v>6194</v>
      </c>
      <c r="D1148" s="4" t="s">
        <v>6196</v>
      </c>
      <c r="E1148" s="4" t="s">
        <v>6195</v>
      </c>
      <c r="F1148" s="4" t="s">
        <v>6204</v>
      </c>
    </row>
    <row r="1149" customFormat="false" ht="15" hidden="false" customHeight="true" outlineLevel="0" collapsed="false">
      <c r="A1149" s="4" t="s">
        <v>1325</v>
      </c>
      <c r="B1149" s="13" t="n">
        <v>44997</v>
      </c>
      <c r="C1149" s="4" t="s">
        <v>6198</v>
      </c>
      <c r="D1149" s="4" t="s">
        <v>6211</v>
      </c>
      <c r="E1149" s="4" t="s">
        <v>6195</v>
      </c>
      <c r="F1149" s="4"/>
    </row>
    <row r="1150" customFormat="false" ht="15" hidden="false" customHeight="true" outlineLevel="0" collapsed="false">
      <c r="A1150" s="4" t="s">
        <v>1326</v>
      </c>
      <c r="B1150" s="13" t="n">
        <v>45072</v>
      </c>
      <c r="C1150" s="4" t="s">
        <v>6194</v>
      </c>
      <c r="D1150" s="4" t="s">
        <v>6205</v>
      </c>
      <c r="E1150" s="4" t="s">
        <v>6199</v>
      </c>
      <c r="F1150" s="4"/>
    </row>
    <row r="1151" customFormat="false" ht="15" hidden="false" customHeight="true" outlineLevel="0" collapsed="false">
      <c r="A1151" s="4" t="s">
        <v>1327</v>
      </c>
      <c r="B1151" s="13" t="n">
        <v>45577</v>
      </c>
      <c r="C1151" s="4" t="s">
        <v>6210</v>
      </c>
      <c r="D1151" s="4" t="s">
        <v>6208</v>
      </c>
      <c r="E1151" s="4" t="s">
        <v>6205</v>
      </c>
      <c r="F1151" s="4"/>
    </row>
    <row r="1152" customFormat="false" ht="15" hidden="false" customHeight="true" outlineLevel="0" collapsed="false">
      <c r="A1152" s="4" t="s">
        <v>1328</v>
      </c>
      <c r="B1152" s="13" t="n">
        <v>45045</v>
      </c>
      <c r="C1152" s="4" t="s">
        <v>6194</v>
      </c>
      <c r="D1152" s="4" t="s">
        <v>6211</v>
      </c>
      <c r="E1152" s="4" t="s">
        <v>6199</v>
      </c>
      <c r="F1152" s="4" t="s">
        <v>6197</v>
      </c>
    </row>
    <row r="1153" customFormat="false" ht="15" hidden="false" customHeight="true" outlineLevel="0" collapsed="false">
      <c r="A1153" s="4" t="s">
        <v>1329</v>
      </c>
      <c r="B1153" s="13" t="n">
        <v>45628</v>
      </c>
      <c r="C1153" s="4" t="s">
        <v>6213</v>
      </c>
      <c r="D1153" s="4" t="s">
        <v>6195</v>
      </c>
      <c r="E1153" s="4" t="s">
        <v>6206</v>
      </c>
      <c r="F1153" s="4" t="s">
        <v>6212</v>
      </c>
    </row>
    <row r="1154" customFormat="false" ht="15" hidden="false" customHeight="true" outlineLevel="0" collapsed="false">
      <c r="A1154" s="4" t="s">
        <v>1330</v>
      </c>
      <c r="B1154" s="13" t="n">
        <v>44978</v>
      </c>
      <c r="C1154" s="4" t="s">
        <v>6210</v>
      </c>
      <c r="D1154" s="4" t="s">
        <v>6208</v>
      </c>
      <c r="E1154" s="4" t="s">
        <v>6202</v>
      </c>
      <c r="F1154" s="4" t="s">
        <v>6214</v>
      </c>
    </row>
    <row r="1155" customFormat="false" ht="15" hidden="false" customHeight="true" outlineLevel="0" collapsed="false">
      <c r="A1155" s="4" t="s">
        <v>1331</v>
      </c>
      <c r="B1155" s="13" t="n">
        <v>45345</v>
      </c>
      <c r="C1155" s="4" t="s">
        <v>6194</v>
      </c>
      <c r="D1155" s="4" t="s">
        <v>6206</v>
      </c>
      <c r="E1155" s="4" t="s">
        <v>6206</v>
      </c>
      <c r="F1155" s="4" t="s">
        <v>6197</v>
      </c>
    </row>
    <row r="1156" customFormat="false" ht="15" hidden="false" customHeight="true" outlineLevel="0" collapsed="false">
      <c r="A1156" s="4" t="s">
        <v>1332</v>
      </c>
      <c r="B1156" s="13" t="n">
        <v>45398</v>
      </c>
      <c r="C1156" s="4" t="s">
        <v>6209</v>
      </c>
      <c r="D1156" s="4" t="s">
        <v>6195</v>
      </c>
      <c r="E1156" s="4" t="s">
        <v>6207</v>
      </c>
      <c r="F1156" s="4" t="s">
        <v>6212</v>
      </c>
    </row>
    <row r="1157" customFormat="false" ht="15" hidden="false" customHeight="true" outlineLevel="0" collapsed="false">
      <c r="A1157" s="4" t="s">
        <v>1333</v>
      </c>
      <c r="B1157" s="13" t="n">
        <v>44974</v>
      </c>
      <c r="C1157" s="4" t="s">
        <v>6213</v>
      </c>
      <c r="D1157" s="4" t="s">
        <v>6208</v>
      </c>
      <c r="E1157" s="4" t="s">
        <v>6195</v>
      </c>
      <c r="F1157" s="4" t="s">
        <v>6204</v>
      </c>
    </row>
    <row r="1158" customFormat="false" ht="15" hidden="false" customHeight="true" outlineLevel="0" collapsed="false">
      <c r="A1158" s="4" t="s">
        <v>1334</v>
      </c>
      <c r="B1158" s="13" t="n">
        <v>45470</v>
      </c>
      <c r="C1158" s="4" t="s">
        <v>6209</v>
      </c>
      <c r="D1158" s="4" t="s">
        <v>6207</v>
      </c>
      <c r="E1158" s="4" t="s">
        <v>6205</v>
      </c>
      <c r="F1158" s="4"/>
    </row>
    <row r="1159" customFormat="false" ht="15" hidden="false" customHeight="true" outlineLevel="0" collapsed="false">
      <c r="A1159" s="4" t="s">
        <v>1335</v>
      </c>
      <c r="B1159" s="13" t="n">
        <v>45610</v>
      </c>
      <c r="C1159" s="4" t="s">
        <v>6209</v>
      </c>
      <c r="D1159" s="4" t="s">
        <v>6199</v>
      </c>
      <c r="E1159" s="4" t="s">
        <v>6206</v>
      </c>
      <c r="F1159" s="4" t="s">
        <v>6212</v>
      </c>
    </row>
    <row r="1160" customFormat="false" ht="15" hidden="false" customHeight="true" outlineLevel="0" collapsed="false">
      <c r="A1160" s="4" t="s">
        <v>1336</v>
      </c>
      <c r="B1160" s="13" t="n">
        <v>45107</v>
      </c>
      <c r="C1160" s="4" t="s">
        <v>6215</v>
      </c>
      <c r="D1160" s="4" t="s">
        <v>6203</v>
      </c>
      <c r="E1160" s="4" t="s">
        <v>6199</v>
      </c>
      <c r="F1160" s="4" t="s">
        <v>6200</v>
      </c>
    </row>
    <row r="1161" customFormat="false" ht="15" hidden="false" customHeight="true" outlineLevel="0" collapsed="false">
      <c r="A1161" s="4" t="s">
        <v>1337</v>
      </c>
      <c r="B1161" s="13" t="n">
        <v>45083</v>
      </c>
      <c r="C1161" s="4" t="s">
        <v>6213</v>
      </c>
      <c r="D1161" s="4" t="s">
        <v>6205</v>
      </c>
      <c r="E1161" s="4" t="s">
        <v>6199</v>
      </c>
      <c r="F1161" s="4" t="s">
        <v>6216</v>
      </c>
    </row>
    <row r="1162" customFormat="false" ht="15" hidden="false" customHeight="true" outlineLevel="0" collapsed="false">
      <c r="A1162" s="4" t="s">
        <v>1338</v>
      </c>
      <c r="B1162" s="13" t="n">
        <v>45132</v>
      </c>
      <c r="C1162" s="4" t="s">
        <v>6194</v>
      </c>
      <c r="D1162" s="4" t="s">
        <v>6207</v>
      </c>
      <c r="E1162" s="4" t="s">
        <v>6196</v>
      </c>
      <c r="F1162" s="4" t="s">
        <v>6197</v>
      </c>
    </row>
    <row r="1163" customFormat="false" ht="15" hidden="false" customHeight="true" outlineLevel="0" collapsed="false">
      <c r="A1163" s="4" t="s">
        <v>1339</v>
      </c>
      <c r="B1163" s="13" t="n">
        <v>45025</v>
      </c>
      <c r="C1163" s="4" t="s">
        <v>6210</v>
      </c>
      <c r="D1163" s="4" t="s">
        <v>6207</v>
      </c>
      <c r="E1163" s="4" t="s">
        <v>6208</v>
      </c>
      <c r="F1163" s="4"/>
    </row>
    <row r="1164" customFormat="false" ht="15" hidden="false" customHeight="true" outlineLevel="0" collapsed="false">
      <c r="A1164" s="4" t="s">
        <v>1340</v>
      </c>
      <c r="B1164" s="13" t="n">
        <v>45317</v>
      </c>
      <c r="C1164" s="4" t="s">
        <v>6210</v>
      </c>
      <c r="D1164" s="4" t="s">
        <v>6207</v>
      </c>
      <c r="E1164" s="4" t="s">
        <v>6207</v>
      </c>
      <c r="F1164" s="4" t="s">
        <v>6212</v>
      </c>
    </row>
    <row r="1165" customFormat="false" ht="15" hidden="false" customHeight="true" outlineLevel="0" collapsed="false">
      <c r="A1165" s="4" t="s">
        <v>1341</v>
      </c>
      <c r="B1165" s="13" t="n">
        <v>45096</v>
      </c>
      <c r="C1165" s="4" t="s">
        <v>6201</v>
      </c>
      <c r="D1165" s="4" t="s">
        <v>6207</v>
      </c>
      <c r="E1165" s="4" t="s">
        <v>6203</v>
      </c>
      <c r="F1165" s="4" t="s">
        <v>6216</v>
      </c>
    </row>
    <row r="1166" customFormat="false" ht="15" hidden="false" customHeight="true" outlineLevel="0" collapsed="false">
      <c r="A1166" s="4" t="s">
        <v>1342</v>
      </c>
      <c r="B1166" s="13" t="n">
        <v>45361</v>
      </c>
      <c r="C1166" s="4" t="s">
        <v>6210</v>
      </c>
      <c r="D1166" s="4" t="s">
        <v>6207</v>
      </c>
      <c r="E1166" s="4" t="s">
        <v>6199</v>
      </c>
      <c r="F1166" s="4" t="s">
        <v>6204</v>
      </c>
    </row>
    <row r="1167" customFormat="false" ht="15" hidden="false" customHeight="true" outlineLevel="0" collapsed="false">
      <c r="A1167" s="4" t="s">
        <v>1343</v>
      </c>
      <c r="B1167" s="13" t="n">
        <v>45118</v>
      </c>
      <c r="C1167" s="4" t="s">
        <v>6215</v>
      </c>
      <c r="D1167" s="4" t="s">
        <v>6203</v>
      </c>
      <c r="E1167" s="4" t="s">
        <v>6196</v>
      </c>
      <c r="F1167" s="4"/>
    </row>
    <row r="1168" customFormat="false" ht="15" hidden="false" customHeight="true" outlineLevel="0" collapsed="false">
      <c r="A1168" s="4" t="s">
        <v>1344</v>
      </c>
      <c r="B1168" s="13" t="n">
        <v>45526</v>
      </c>
      <c r="C1168" s="4" t="s">
        <v>6201</v>
      </c>
      <c r="D1168" s="4" t="s">
        <v>6208</v>
      </c>
      <c r="E1168" s="4" t="s">
        <v>6195</v>
      </c>
      <c r="F1168" s="4" t="s">
        <v>6204</v>
      </c>
    </row>
    <row r="1169" customFormat="false" ht="15" hidden="false" customHeight="true" outlineLevel="0" collapsed="false">
      <c r="A1169" s="4" t="s">
        <v>1345</v>
      </c>
      <c r="B1169" s="13" t="n">
        <v>44949</v>
      </c>
      <c r="C1169" s="4" t="s">
        <v>6209</v>
      </c>
      <c r="D1169" s="4" t="s">
        <v>6208</v>
      </c>
      <c r="E1169" s="4" t="s">
        <v>6196</v>
      </c>
      <c r="F1169" s="4"/>
    </row>
    <row r="1170" customFormat="false" ht="15" hidden="false" customHeight="true" outlineLevel="0" collapsed="false">
      <c r="A1170" s="4" t="s">
        <v>1346</v>
      </c>
      <c r="B1170" s="13" t="n">
        <v>45390</v>
      </c>
      <c r="C1170" s="4" t="s">
        <v>6201</v>
      </c>
      <c r="D1170" s="4" t="s">
        <v>6207</v>
      </c>
      <c r="E1170" s="4" t="s">
        <v>6199</v>
      </c>
      <c r="F1170" s="4" t="s">
        <v>6204</v>
      </c>
    </row>
    <row r="1171" customFormat="false" ht="15" hidden="false" customHeight="true" outlineLevel="0" collapsed="false">
      <c r="A1171" s="4" t="s">
        <v>1347</v>
      </c>
      <c r="B1171" s="13" t="n">
        <v>45219</v>
      </c>
      <c r="C1171" s="4" t="s">
        <v>6215</v>
      </c>
      <c r="D1171" s="4" t="s">
        <v>6202</v>
      </c>
      <c r="E1171" s="4" t="s">
        <v>6203</v>
      </c>
      <c r="F1171" s="4" t="s">
        <v>6214</v>
      </c>
    </row>
    <row r="1172" customFormat="false" ht="15" hidden="false" customHeight="true" outlineLevel="0" collapsed="false">
      <c r="A1172" s="4" t="s">
        <v>1348</v>
      </c>
      <c r="B1172" s="13" t="n">
        <v>45060</v>
      </c>
      <c r="C1172" s="4" t="s">
        <v>6210</v>
      </c>
      <c r="D1172" s="4" t="s">
        <v>6208</v>
      </c>
      <c r="E1172" s="4" t="s">
        <v>6196</v>
      </c>
      <c r="F1172" s="4"/>
    </row>
    <row r="1173" customFormat="false" ht="15" hidden="false" customHeight="true" outlineLevel="0" collapsed="false">
      <c r="A1173" s="4" t="s">
        <v>1349</v>
      </c>
      <c r="B1173" s="13" t="n">
        <v>45517</v>
      </c>
      <c r="C1173" s="4" t="s">
        <v>6210</v>
      </c>
      <c r="D1173" s="4" t="s">
        <v>6206</v>
      </c>
      <c r="E1173" s="4" t="s">
        <v>6195</v>
      </c>
      <c r="F1173" s="4"/>
    </row>
    <row r="1174" customFormat="false" ht="15" hidden="false" customHeight="true" outlineLevel="0" collapsed="false">
      <c r="A1174" s="4" t="s">
        <v>1350</v>
      </c>
      <c r="B1174" s="13" t="n">
        <v>45344</v>
      </c>
      <c r="C1174" s="4" t="s">
        <v>6210</v>
      </c>
      <c r="D1174" s="4" t="s">
        <v>6203</v>
      </c>
      <c r="E1174" s="4" t="s">
        <v>6206</v>
      </c>
      <c r="F1174" s="4"/>
    </row>
    <row r="1175" customFormat="false" ht="15" hidden="false" customHeight="true" outlineLevel="0" collapsed="false">
      <c r="A1175" s="4" t="s">
        <v>1351</v>
      </c>
      <c r="B1175" s="13" t="n">
        <v>45124</v>
      </c>
      <c r="C1175" s="4" t="s">
        <v>6210</v>
      </c>
      <c r="D1175" s="4" t="s">
        <v>6205</v>
      </c>
      <c r="E1175" s="4" t="s">
        <v>6207</v>
      </c>
      <c r="F1175" s="4"/>
    </row>
    <row r="1176" customFormat="false" ht="15" hidden="false" customHeight="true" outlineLevel="0" collapsed="false">
      <c r="A1176" s="4" t="s">
        <v>1352</v>
      </c>
      <c r="B1176" s="13" t="n">
        <v>45162</v>
      </c>
      <c r="C1176" s="4" t="s">
        <v>6209</v>
      </c>
      <c r="D1176" s="4" t="s">
        <v>6211</v>
      </c>
      <c r="E1176" s="4" t="s">
        <v>6205</v>
      </c>
      <c r="F1176" s="4"/>
    </row>
    <row r="1177" customFormat="false" ht="15" hidden="false" customHeight="true" outlineLevel="0" collapsed="false">
      <c r="A1177" s="4" t="s">
        <v>1353</v>
      </c>
      <c r="B1177" s="13" t="n">
        <v>45260</v>
      </c>
      <c r="C1177" s="4" t="s">
        <v>6209</v>
      </c>
      <c r="D1177" s="4" t="s">
        <v>6211</v>
      </c>
      <c r="E1177" s="4" t="s">
        <v>6199</v>
      </c>
      <c r="F1177" s="4" t="s">
        <v>6212</v>
      </c>
    </row>
    <row r="1178" customFormat="false" ht="15" hidden="false" customHeight="true" outlineLevel="0" collapsed="false">
      <c r="A1178" s="4" t="s">
        <v>1354</v>
      </c>
      <c r="B1178" s="13" t="n">
        <v>45297</v>
      </c>
      <c r="C1178" s="4" t="s">
        <v>6201</v>
      </c>
      <c r="D1178" s="4" t="s">
        <v>6195</v>
      </c>
      <c r="E1178" s="4" t="s">
        <v>6196</v>
      </c>
      <c r="F1178" s="4" t="s">
        <v>6204</v>
      </c>
    </row>
    <row r="1179" customFormat="false" ht="15" hidden="false" customHeight="true" outlineLevel="0" collapsed="false">
      <c r="A1179" s="4" t="s">
        <v>1355</v>
      </c>
      <c r="B1179" s="13" t="n">
        <v>45376</v>
      </c>
      <c r="C1179" s="4" t="s">
        <v>6213</v>
      </c>
      <c r="D1179" s="4" t="s">
        <v>6208</v>
      </c>
      <c r="E1179" s="4" t="s">
        <v>6196</v>
      </c>
      <c r="F1179" s="4"/>
    </row>
    <row r="1180" customFormat="false" ht="15" hidden="false" customHeight="true" outlineLevel="0" collapsed="false">
      <c r="A1180" s="4" t="s">
        <v>1356</v>
      </c>
      <c r="B1180" s="13" t="n">
        <v>45417</v>
      </c>
      <c r="C1180" s="4" t="s">
        <v>6213</v>
      </c>
      <c r="D1180" s="4" t="s">
        <v>6206</v>
      </c>
      <c r="E1180" s="4" t="s">
        <v>6196</v>
      </c>
      <c r="F1180" s="4" t="s">
        <v>6212</v>
      </c>
    </row>
    <row r="1181" customFormat="false" ht="15" hidden="false" customHeight="true" outlineLevel="0" collapsed="false">
      <c r="A1181" s="4" t="s">
        <v>1357</v>
      </c>
      <c r="B1181" s="13" t="n">
        <v>45090</v>
      </c>
      <c r="C1181" s="4" t="s">
        <v>6215</v>
      </c>
      <c r="D1181" s="4" t="s">
        <v>6202</v>
      </c>
      <c r="E1181" s="4" t="s">
        <v>6211</v>
      </c>
      <c r="F1181" s="4" t="s">
        <v>6204</v>
      </c>
    </row>
    <row r="1182" customFormat="false" ht="15" hidden="false" customHeight="true" outlineLevel="0" collapsed="false">
      <c r="A1182" s="4" t="s">
        <v>1358</v>
      </c>
      <c r="B1182" s="13" t="n">
        <v>45641</v>
      </c>
      <c r="C1182" s="4" t="s">
        <v>6210</v>
      </c>
      <c r="D1182" s="4" t="s">
        <v>6196</v>
      </c>
      <c r="E1182" s="4" t="s">
        <v>6205</v>
      </c>
      <c r="F1182" s="4"/>
    </row>
    <row r="1183" customFormat="false" ht="15" hidden="false" customHeight="true" outlineLevel="0" collapsed="false">
      <c r="A1183" s="4" t="s">
        <v>1359</v>
      </c>
      <c r="B1183" s="13" t="n">
        <v>45448</v>
      </c>
      <c r="C1183" s="4" t="s">
        <v>6210</v>
      </c>
      <c r="D1183" s="4" t="s">
        <v>6206</v>
      </c>
      <c r="E1183" s="4" t="s">
        <v>6211</v>
      </c>
      <c r="F1183" s="4" t="s">
        <v>6216</v>
      </c>
    </row>
    <row r="1184" customFormat="false" ht="15" hidden="false" customHeight="true" outlineLevel="0" collapsed="false">
      <c r="A1184" s="4" t="s">
        <v>1360</v>
      </c>
      <c r="B1184" s="13" t="n">
        <v>45214</v>
      </c>
      <c r="C1184" s="4" t="s">
        <v>6198</v>
      </c>
      <c r="D1184" s="4" t="s">
        <v>6203</v>
      </c>
      <c r="E1184" s="4" t="s">
        <v>6195</v>
      </c>
      <c r="F1184" s="4" t="s">
        <v>6212</v>
      </c>
    </row>
    <row r="1185" customFormat="false" ht="15" hidden="false" customHeight="true" outlineLevel="0" collapsed="false">
      <c r="A1185" s="4" t="s">
        <v>1361</v>
      </c>
      <c r="B1185" s="13" t="n">
        <v>45492</v>
      </c>
      <c r="C1185" s="4" t="s">
        <v>6209</v>
      </c>
      <c r="D1185" s="4" t="s">
        <v>6207</v>
      </c>
      <c r="E1185" s="4" t="s">
        <v>6196</v>
      </c>
      <c r="F1185" s="4" t="s">
        <v>6204</v>
      </c>
    </row>
    <row r="1186" customFormat="false" ht="15" hidden="false" customHeight="true" outlineLevel="0" collapsed="false">
      <c r="A1186" s="4" t="s">
        <v>1362</v>
      </c>
      <c r="B1186" s="13" t="n">
        <v>45053</v>
      </c>
      <c r="C1186" s="4" t="s">
        <v>6209</v>
      </c>
      <c r="D1186" s="4" t="s">
        <v>6202</v>
      </c>
      <c r="E1186" s="4" t="s">
        <v>6196</v>
      </c>
      <c r="F1186" s="4" t="s">
        <v>6212</v>
      </c>
    </row>
    <row r="1187" customFormat="false" ht="15" hidden="false" customHeight="true" outlineLevel="0" collapsed="false">
      <c r="A1187" s="4" t="s">
        <v>1363</v>
      </c>
      <c r="B1187" s="13" t="n">
        <v>45374</v>
      </c>
      <c r="C1187" s="4" t="s">
        <v>6209</v>
      </c>
      <c r="D1187" s="4" t="s">
        <v>6205</v>
      </c>
      <c r="E1187" s="4" t="s">
        <v>6208</v>
      </c>
      <c r="F1187" s="4" t="s">
        <v>6200</v>
      </c>
    </row>
    <row r="1188" customFormat="false" ht="15" hidden="false" customHeight="true" outlineLevel="0" collapsed="false">
      <c r="A1188" s="4" t="s">
        <v>1364</v>
      </c>
      <c r="B1188" s="13" t="n">
        <v>45054</v>
      </c>
      <c r="C1188" s="4" t="s">
        <v>6198</v>
      </c>
      <c r="D1188" s="4" t="s">
        <v>6202</v>
      </c>
      <c r="E1188" s="4" t="s">
        <v>6207</v>
      </c>
      <c r="F1188" s="4" t="s">
        <v>6200</v>
      </c>
    </row>
    <row r="1189" customFormat="false" ht="15" hidden="false" customHeight="true" outlineLevel="0" collapsed="false">
      <c r="A1189" s="4" t="s">
        <v>1365</v>
      </c>
      <c r="B1189" s="13" t="n">
        <v>45292</v>
      </c>
      <c r="C1189" s="4" t="s">
        <v>6215</v>
      </c>
      <c r="D1189" s="4" t="s">
        <v>6207</v>
      </c>
      <c r="E1189" s="4" t="s">
        <v>6203</v>
      </c>
      <c r="F1189" s="4"/>
    </row>
    <row r="1190" customFormat="false" ht="15" hidden="false" customHeight="true" outlineLevel="0" collapsed="false">
      <c r="A1190" s="4" t="s">
        <v>1366</v>
      </c>
      <c r="B1190" s="13" t="n">
        <v>45370</v>
      </c>
      <c r="C1190" s="4" t="s">
        <v>6210</v>
      </c>
      <c r="D1190" s="4" t="s">
        <v>6206</v>
      </c>
      <c r="E1190" s="4" t="s">
        <v>6206</v>
      </c>
      <c r="F1190" s="4" t="s">
        <v>6204</v>
      </c>
    </row>
    <row r="1191" customFormat="false" ht="15" hidden="false" customHeight="true" outlineLevel="0" collapsed="false">
      <c r="A1191" s="4" t="s">
        <v>1367</v>
      </c>
      <c r="B1191" s="13" t="n">
        <v>45142</v>
      </c>
      <c r="C1191" s="4" t="s">
        <v>6194</v>
      </c>
      <c r="D1191" s="4" t="s">
        <v>6206</v>
      </c>
      <c r="E1191" s="4" t="s">
        <v>6202</v>
      </c>
      <c r="F1191" s="4" t="s">
        <v>6214</v>
      </c>
    </row>
    <row r="1192" customFormat="false" ht="15" hidden="false" customHeight="true" outlineLevel="0" collapsed="false">
      <c r="A1192" s="4" t="s">
        <v>1368</v>
      </c>
      <c r="B1192" s="13" t="n">
        <v>45087</v>
      </c>
      <c r="C1192" s="4" t="s">
        <v>6215</v>
      </c>
      <c r="D1192" s="4" t="s">
        <v>6205</v>
      </c>
      <c r="E1192" s="4" t="s">
        <v>6206</v>
      </c>
      <c r="F1192" s="4" t="s">
        <v>6197</v>
      </c>
    </row>
    <row r="1193" customFormat="false" ht="15" hidden="false" customHeight="true" outlineLevel="0" collapsed="false">
      <c r="A1193" s="4" t="s">
        <v>1369</v>
      </c>
      <c r="B1193" s="13" t="n">
        <v>45284</v>
      </c>
      <c r="C1193" s="4" t="s">
        <v>6210</v>
      </c>
      <c r="D1193" s="4" t="s">
        <v>6207</v>
      </c>
      <c r="E1193" s="4" t="s">
        <v>6206</v>
      </c>
      <c r="F1193" s="4" t="s">
        <v>6204</v>
      </c>
    </row>
    <row r="1194" customFormat="false" ht="15" hidden="false" customHeight="true" outlineLevel="0" collapsed="false">
      <c r="A1194" s="4" t="s">
        <v>1370</v>
      </c>
      <c r="B1194" s="13" t="n">
        <v>45405</v>
      </c>
      <c r="C1194" s="4" t="s">
        <v>6210</v>
      </c>
      <c r="D1194" s="4" t="s">
        <v>6207</v>
      </c>
      <c r="E1194" s="4" t="s">
        <v>6207</v>
      </c>
      <c r="F1194" s="4" t="s">
        <v>6212</v>
      </c>
    </row>
    <row r="1195" customFormat="false" ht="15" hidden="false" customHeight="true" outlineLevel="0" collapsed="false">
      <c r="A1195" s="4" t="s">
        <v>1371</v>
      </c>
      <c r="B1195" s="13" t="n">
        <v>45258</v>
      </c>
      <c r="C1195" s="4" t="s">
        <v>6210</v>
      </c>
      <c r="D1195" s="4" t="s">
        <v>6205</v>
      </c>
      <c r="E1195" s="4" t="s">
        <v>6206</v>
      </c>
      <c r="F1195" s="4" t="s">
        <v>6204</v>
      </c>
    </row>
    <row r="1196" customFormat="false" ht="15" hidden="false" customHeight="true" outlineLevel="0" collapsed="false">
      <c r="A1196" s="4" t="s">
        <v>1372</v>
      </c>
      <c r="B1196" s="13" t="n">
        <v>44945</v>
      </c>
      <c r="C1196" s="4" t="s">
        <v>6198</v>
      </c>
      <c r="D1196" s="4" t="s">
        <v>6203</v>
      </c>
      <c r="E1196" s="4" t="s">
        <v>6195</v>
      </c>
      <c r="F1196" s="4"/>
    </row>
    <row r="1197" customFormat="false" ht="15" hidden="false" customHeight="true" outlineLevel="0" collapsed="false">
      <c r="A1197" s="4" t="s">
        <v>1373</v>
      </c>
      <c r="B1197" s="13" t="n">
        <v>45380</v>
      </c>
      <c r="C1197" s="4" t="s">
        <v>6201</v>
      </c>
      <c r="D1197" s="4" t="s">
        <v>6199</v>
      </c>
      <c r="E1197" s="4" t="s">
        <v>6196</v>
      </c>
      <c r="F1197" s="4" t="s">
        <v>6214</v>
      </c>
    </row>
    <row r="1198" customFormat="false" ht="15" hidden="false" customHeight="true" outlineLevel="0" collapsed="false">
      <c r="A1198" s="4" t="s">
        <v>1374</v>
      </c>
      <c r="B1198" s="13" t="n">
        <v>45328</v>
      </c>
      <c r="C1198" s="4" t="s">
        <v>6213</v>
      </c>
      <c r="D1198" s="4" t="s">
        <v>6211</v>
      </c>
      <c r="E1198" s="4" t="s">
        <v>6199</v>
      </c>
      <c r="F1198" s="4" t="s">
        <v>6214</v>
      </c>
    </row>
    <row r="1199" customFormat="false" ht="15" hidden="false" customHeight="true" outlineLevel="0" collapsed="false">
      <c r="A1199" s="4" t="s">
        <v>1375</v>
      </c>
      <c r="B1199" s="13" t="n">
        <v>45037</v>
      </c>
      <c r="C1199" s="4" t="s">
        <v>6210</v>
      </c>
      <c r="D1199" s="4" t="s">
        <v>6195</v>
      </c>
      <c r="E1199" s="4" t="s">
        <v>6208</v>
      </c>
      <c r="F1199" s="4"/>
    </row>
    <row r="1200" customFormat="false" ht="15" hidden="false" customHeight="true" outlineLevel="0" collapsed="false">
      <c r="A1200" s="4" t="s">
        <v>1376</v>
      </c>
      <c r="B1200" s="13" t="n">
        <v>45117</v>
      </c>
      <c r="C1200" s="4" t="s">
        <v>6215</v>
      </c>
      <c r="D1200" s="4" t="s">
        <v>6195</v>
      </c>
      <c r="E1200" s="4" t="s">
        <v>6199</v>
      </c>
      <c r="F1200" s="4" t="s">
        <v>6200</v>
      </c>
    </row>
    <row r="1201" customFormat="false" ht="15" hidden="false" customHeight="true" outlineLevel="0" collapsed="false">
      <c r="A1201" s="4" t="s">
        <v>1377</v>
      </c>
      <c r="B1201" s="13" t="n">
        <v>44936</v>
      </c>
      <c r="C1201" s="4" t="s">
        <v>6201</v>
      </c>
      <c r="D1201" s="4" t="s">
        <v>6205</v>
      </c>
      <c r="E1201" s="4" t="s">
        <v>6195</v>
      </c>
      <c r="F1201" s="4" t="s">
        <v>6214</v>
      </c>
    </row>
    <row r="1202" customFormat="false" ht="15" hidden="false" customHeight="true" outlineLevel="0" collapsed="false">
      <c r="A1202" s="4" t="s">
        <v>1378</v>
      </c>
      <c r="B1202" s="13" t="n">
        <v>45191</v>
      </c>
      <c r="C1202" s="4" t="s">
        <v>6215</v>
      </c>
      <c r="D1202" s="4" t="s">
        <v>6206</v>
      </c>
      <c r="E1202" s="4" t="s">
        <v>6207</v>
      </c>
      <c r="F1202" s="4"/>
    </row>
    <row r="1203" customFormat="false" ht="15" hidden="false" customHeight="true" outlineLevel="0" collapsed="false">
      <c r="A1203" s="4" t="s">
        <v>1379</v>
      </c>
      <c r="B1203" s="13" t="n">
        <v>44942</v>
      </c>
      <c r="C1203" s="4" t="s">
        <v>6201</v>
      </c>
      <c r="D1203" s="4" t="s">
        <v>6211</v>
      </c>
      <c r="E1203" s="4" t="s">
        <v>6203</v>
      </c>
      <c r="F1203" s="4" t="s">
        <v>6204</v>
      </c>
    </row>
    <row r="1204" customFormat="false" ht="15" hidden="false" customHeight="true" outlineLevel="0" collapsed="false">
      <c r="A1204" s="4" t="s">
        <v>1380</v>
      </c>
      <c r="B1204" s="13" t="n">
        <v>45186</v>
      </c>
      <c r="C1204" s="4" t="s">
        <v>6213</v>
      </c>
      <c r="D1204" s="4" t="s">
        <v>6208</v>
      </c>
      <c r="E1204" s="4" t="s">
        <v>6206</v>
      </c>
      <c r="F1204" s="4" t="s">
        <v>6197</v>
      </c>
    </row>
    <row r="1205" customFormat="false" ht="15" hidden="false" customHeight="true" outlineLevel="0" collapsed="false">
      <c r="A1205" s="4" t="s">
        <v>1381</v>
      </c>
      <c r="B1205" s="13" t="n">
        <v>45340</v>
      </c>
      <c r="C1205" s="4" t="s">
        <v>6198</v>
      </c>
      <c r="D1205" s="4" t="s">
        <v>6205</v>
      </c>
      <c r="E1205" s="4" t="s">
        <v>6203</v>
      </c>
      <c r="F1205" s="4"/>
    </row>
    <row r="1206" customFormat="false" ht="15" hidden="false" customHeight="true" outlineLevel="0" collapsed="false">
      <c r="A1206" s="4" t="s">
        <v>1382</v>
      </c>
      <c r="B1206" s="13" t="n">
        <v>44967</v>
      </c>
      <c r="C1206" s="4" t="s">
        <v>6194</v>
      </c>
      <c r="D1206" s="4" t="s">
        <v>6211</v>
      </c>
      <c r="E1206" s="4" t="s">
        <v>6195</v>
      </c>
      <c r="F1206" s="4" t="s">
        <v>6197</v>
      </c>
    </row>
    <row r="1207" customFormat="false" ht="15" hidden="false" customHeight="true" outlineLevel="0" collapsed="false">
      <c r="A1207" s="4" t="s">
        <v>1383</v>
      </c>
      <c r="B1207" s="13" t="n">
        <v>45218</v>
      </c>
      <c r="C1207" s="4" t="s">
        <v>6198</v>
      </c>
      <c r="D1207" s="4" t="s">
        <v>6203</v>
      </c>
      <c r="E1207" s="4" t="s">
        <v>6207</v>
      </c>
      <c r="F1207" s="4"/>
    </row>
    <row r="1208" customFormat="false" ht="15" hidden="false" customHeight="true" outlineLevel="0" collapsed="false">
      <c r="A1208" s="4" t="s">
        <v>1384</v>
      </c>
      <c r="B1208" s="13" t="n">
        <v>45041</v>
      </c>
      <c r="C1208" s="4" t="s">
        <v>6213</v>
      </c>
      <c r="D1208" s="4" t="s">
        <v>6202</v>
      </c>
      <c r="E1208" s="4" t="s">
        <v>6205</v>
      </c>
      <c r="F1208" s="4" t="s">
        <v>6197</v>
      </c>
    </row>
    <row r="1209" customFormat="false" ht="15" hidden="false" customHeight="true" outlineLevel="0" collapsed="false">
      <c r="A1209" s="4" t="s">
        <v>1385</v>
      </c>
      <c r="B1209" s="13" t="n">
        <v>45629</v>
      </c>
      <c r="C1209" s="4" t="s">
        <v>6194</v>
      </c>
      <c r="D1209" s="4" t="s">
        <v>6203</v>
      </c>
      <c r="E1209" s="4" t="s">
        <v>6199</v>
      </c>
      <c r="F1209" s="4" t="s">
        <v>6204</v>
      </c>
    </row>
    <row r="1210" customFormat="false" ht="15" hidden="false" customHeight="true" outlineLevel="0" collapsed="false">
      <c r="A1210" s="4" t="s">
        <v>1386</v>
      </c>
      <c r="B1210" s="13" t="n">
        <v>45459</v>
      </c>
      <c r="C1210" s="4" t="s">
        <v>6201</v>
      </c>
      <c r="D1210" s="4" t="s">
        <v>6199</v>
      </c>
      <c r="E1210" s="4" t="s">
        <v>6206</v>
      </c>
      <c r="F1210" s="4"/>
    </row>
    <row r="1211" customFormat="false" ht="15" hidden="false" customHeight="true" outlineLevel="0" collapsed="false">
      <c r="A1211" s="4" t="s">
        <v>1387</v>
      </c>
      <c r="B1211" s="13" t="n">
        <v>45054</v>
      </c>
      <c r="C1211" s="4" t="s">
        <v>6210</v>
      </c>
      <c r="D1211" s="4" t="s">
        <v>6199</v>
      </c>
      <c r="E1211" s="4" t="s">
        <v>6196</v>
      </c>
      <c r="F1211" s="4"/>
    </row>
    <row r="1212" customFormat="false" ht="15" hidden="false" customHeight="true" outlineLevel="0" collapsed="false">
      <c r="A1212" s="4" t="s">
        <v>1388</v>
      </c>
      <c r="B1212" s="13" t="n">
        <v>45185</v>
      </c>
      <c r="C1212" s="4" t="s">
        <v>6210</v>
      </c>
      <c r="D1212" s="4" t="s">
        <v>6203</v>
      </c>
      <c r="E1212" s="4" t="s">
        <v>6205</v>
      </c>
      <c r="F1212" s="4" t="s">
        <v>6204</v>
      </c>
    </row>
    <row r="1213" customFormat="false" ht="15" hidden="false" customHeight="true" outlineLevel="0" collapsed="false">
      <c r="A1213" s="4" t="s">
        <v>1389</v>
      </c>
      <c r="B1213" s="13" t="n">
        <v>45306</v>
      </c>
      <c r="C1213" s="4" t="s">
        <v>6201</v>
      </c>
      <c r="D1213" s="4" t="s">
        <v>6203</v>
      </c>
      <c r="E1213" s="4" t="s">
        <v>6203</v>
      </c>
      <c r="F1213" s="4" t="s">
        <v>6197</v>
      </c>
    </row>
    <row r="1214" customFormat="false" ht="15" hidden="false" customHeight="true" outlineLevel="0" collapsed="false">
      <c r="A1214" s="4" t="s">
        <v>1390</v>
      </c>
      <c r="B1214" s="13" t="n">
        <v>45468</v>
      </c>
      <c r="C1214" s="4" t="s">
        <v>6198</v>
      </c>
      <c r="D1214" s="4" t="s">
        <v>6206</v>
      </c>
      <c r="E1214" s="4" t="s">
        <v>6208</v>
      </c>
      <c r="F1214" s="4" t="s">
        <v>6214</v>
      </c>
    </row>
    <row r="1215" customFormat="false" ht="15" hidden="false" customHeight="true" outlineLevel="0" collapsed="false">
      <c r="A1215" s="4" t="s">
        <v>1391</v>
      </c>
      <c r="B1215" s="13" t="n">
        <v>45464</v>
      </c>
      <c r="C1215" s="4" t="s">
        <v>6210</v>
      </c>
      <c r="D1215" s="4" t="s">
        <v>6199</v>
      </c>
      <c r="E1215" s="4" t="s">
        <v>6203</v>
      </c>
      <c r="F1215" s="4"/>
    </row>
    <row r="1216" customFormat="false" ht="15" hidden="false" customHeight="true" outlineLevel="0" collapsed="false">
      <c r="A1216" s="4" t="s">
        <v>1392</v>
      </c>
      <c r="B1216" s="13" t="n">
        <v>45108</v>
      </c>
      <c r="C1216" s="4" t="s">
        <v>6209</v>
      </c>
      <c r="D1216" s="4" t="s">
        <v>6211</v>
      </c>
      <c r="E1216" s="4" t="s">
        <v>6195</v>
      </c>
      <c r="F1216" s="4" t="s">
        <v>6214</v>
      </c>
    </row>
    <row r="1217" customFormat="false" ht="15" hidden="false" customHeight="true" outlineLevel="0" collapsed="false">
      <c r="A1217" s="4" t="s">
        <v>1393</v>
      </c>
      <c r="B1217" s="13" t="n">
        <v>45152</v>
      </c>
      <c r="C1217" s="4" t="s">
        <v>6215</v>
      </c>
      <c r="D1217" s="4" t="s">
        <v>6199</v>
      </c>
      <c r="E1217" s="4" t="s">
        <v>6208</v>
      </c>
      <c r="F1217" s="4"/>
    </row>
    <row r="1218" customFormat="false" ht="15" hidden="false" customHeight="true" outlineLevel="0" collapsed="false">
      <c r="A1218" s="4" t="s">
        <v>1394</v>
      </c>
      <c r="B1218" s="13" t="n">
        <v>45082</v>
      </c>
      <c r="C1218" s="4" t="s">
        <v>6213</v>
      </c>
      <c r="D1218" s="4" t="s">
        <v>6206</v>
      </c>
      <c r="E1218" s="4" t="s">
        <v>6211</v>
      </c>
      <c r="F1218" s="4"/>
    </row>
    <row r="1219" customFormat="false" ht="15" hidden="false" customHeight="true" outlineLevel="0" collapsed="false">
      <c r="A1219" s="4" t="s">
        <v>1395</v>
      </c>
      <c r="B1219" s="13" t="n">
        <v>45339</v>
      </c>
      <c r="C1219" s="4" t="s">
        <v>6198</v>
      </c>
      <c r="D1219" s="4" t="s">
        <v>6207</v>
      </c>
      <c r="E1219" s="4" t="s">
        <v>6199</v>
      </c>
      <c r="F1219" s="4"/>
    </row>
    <row r="1220" customFormat="false" ht="15" hidden="false" customHeight="true" outlineLevel="0" collapsed="false">
      <c r="A1220" s="4" t="s">
        <v>1396</v>
      </c>
      <c r="B1220" s="13" t="n">
        <v>45194</v>
      </c>
      <c r="C1220" s="4" t="s">
        <v>6210</v>
      </c>
      <c r="D1220" s="4" t="s">
        <v>6202</v>
      </c>
      <c r="E1220" s="4" t="s">
        <v>6196</v>
      </c>
      <c r="F1220" s="4" t="s">
        <v>6204</v>
      </c>
    </row>
    <row r="1221" customFormat="false" ht="15" hidden="false" customHeight="true" outlineLevel="0" collapsed="false">
      <c r="A1221" s="4" t="s">
        <v>1397</v>
      </c>
      <c r="B1221" s="13" t="n">
        <v>45216</v>
      </c>
      <c r="C1221" s="4" t="s">
        <v>6194</v>
      </c>
      <c r="D1221" s="4" t="s">
        <v>6196</v>
      </c>
      <c r="E1221" s="4" t="s">
        <v>6211</v>
      </c>
      <c r="F1221" s="4" t="s">
        <v>6200</v>
      </c>
    </row>
    <row r="1222" customFormat="false" ht="15" hidden="false" customHeight="true" outlineLevel="0" collapsed="false">
      <c r="A1222" s="4" t="s">
        <v>1398</v>
      </c>
      <c r="B1222" s="13" t="n">
        <v>45324</v>
      </c>
      <c r="C1222" s="4" t="s">
        <v>6198</v>
      </c>
      <c r="D1222" s="4" t="s">
        <v>6207</v>
      </c>
      <c r="E1222" s="4" t="s">
        <v>6207</v>
      </c>
      <c r="F1222" s="4"/>
    </row>
    <row r="1223" customFormat="false" ht="15" hidden="false" customHeight="true" outlineLevel="0" collapsed="false">
      <c r="A1223" s="4" t="s">
        <v>1399</v>
      </c>
      <c r="B1223" s="13" t="n">
        <v>45616</v>
      </c>
      <c r="C1223" s="4" t="s">
        <v>6201</v>
      </c>
      <c r="D1223" s="4" t="s">
        <v>6208</v>
      </c>
      <c r="E1223" s="4" t="s">
        <v>6195</v>
      </c>
      <c r="F1223" s="4" t="s">
        <v>6200</v>
      </c>
    </row>
    <row r="1224" customFormat="false" ht="15" hidden="false" customHeight="true" outlineLevel="0" collapsed="false">
      <c r="A1224" s="4" t="s">
        <v>1400</v>
      </c>
      <c r="B1224" s="13" t="n">
        <v>45105</v>
      </c>
      <c r="C1224" s="4" t="s">
        <v>6213</v>
      </c>
      <c r="D1224" s="4" t="s">
        <v>6206</v>
      </c>
      <c r="E1224" s="4" t="s">
        <v>6208</v>
      </c>
      <c r="F1224" s="4" t="s">
        <v>6216</v>
      </c>
    </row>
    <row r="1225" customFormat="false" ht="15" hidden="false" customHeight="true" outlineLevel="0" collapsed="false">
      <c r="A1225" s="4" t="s">
        <v>1401</v>
      </c>
      <c r="B1225" s="13" t="n">
        <v>45644</v>
      </c>
      <c r="C1225" s="4" t="s">
        <v>6201</v>
      </c>
      <c r="D1225" s="4" t="s">
        <v>6195</v>
      </c>
      <c r="E1225" s="4" t="s">
        <v>6207</v>
      </c>
      <c r="F1225" s="4" t="s">
        <v>6212</v>
      </c>
    </row>
    <row r="1226" customFormat="false" ht="15" hidden="false" customHeight="true" outlineLevel="0" collapsed="false">
      <c r="A1226" s="4" t="s">
        <v>1402</v>
      </c>
      <c r="B1226" s="13" t="n">
        <v>45094</v>
      </c>
      <c r="C1226" s="4" t="s">
        <v>6194</v>
      </c>
      <c r="D1226" s="4" t="s">
        <v>6205</v>
      </c>
      <c r="E1226" s="4" t="s">
        <v>6195</v>
      </c>
      <c r="F1226" s="4" t="s">
        <v>6214</v>
      </c>
    </row>
    <row r="1227" customFormat="false" ht="15" hidden="false" customHeight="true" outlineLevel="0" collapsed="false">
      <c r="A1227" s="4" t="s">
        <v>1403</v>
      </c>
      <c r="B1227" s="13" t="n">
        <v>45234</v>
      </c>
      <c r="C1227" s="4" t="s">
        <v>6215</v>
      </c>
      <c r="D1227" s="4" t="s">
        <v>6203</v>
      </c>
      <c r="E1227" s="4" t="s">
        <v>6206</v>
      </c>
      <c r="F1227" s="4" t="s">
        <v>6204</v>
      </c>
    </row>
    <row r="1228" customFormat="false" ht="15" hidden="false" customHeight="true" outlineLevel="0" collapsed="false">
      <c r="A1228" s="4" t="s">
        <v>1404</v>
      </c>
      <c r="B1228" s="13" t="n">
        <v>44988</v>
      </c>
      <c r="C1228" s="4" t="s">
        <v>6209</v>
      </c>
      <c r="D1228" s="4" t="s">
        <v>6207</v>
      </c>
      <c r="E1228" s="4" t="s">
        <v>6208</v>
      </c>
      <c r="F1228" s="4" t="s">
        <v>6216</v>
      </c>
    </row>
    <row r="1229" customFormat="false" ht="15" hidden="false" customHeight="true" outlineLevel="0" collapsed="false">
      <c r="A1229" s="4" t="s">
        <v>1405</v>
      </c>
      <c r="B1229" s="13" t="n">
        <v>45099</v>
      </c>
      <c r="C1229" s="4" t="s">
        <v>6213</v>
      </c>
      <c r="D1229" s="4" t="s">
        <v>6207</v>
      </c>
      <c r="E1229" s="4" t="s">
        <v>6199</v>
      </c>
      <c r="F1229" s="4" t="s">
        <v>6214</v>
      </c>
    </row>
    <row r="1230" customFormat="false" ht="15" hidden="false" customHeight="true" outlineLevel="0" collapsed="false">
      <c r="A1230" s="4" t="s">
        <v>1406</v>
      </c>
      <c r="B1230" s="13" t="n">
        <v>45530</v>
      </c>
      <c r="C1230" s="4" t="s">
        <v>6215</v>
      </c>
      <c r="D1230" s="4" t="s">
        <v>6195</v>
      </c>
      <c r="E1230" s="4" t="s">
        <v>6205</v>
      </c>
      <c r="F1230" s="4" t="s">
        <v>6212</v>
      </c>
    </row>
    <row r="1231" customFormat="false" ht="15" hidden="false" customHeight="true" outlineLevel="0" collapsed="false">
      <c r="A1231" s="4" t="s">
        <v>1407</v>
      </c>
      <c r="B1231" s="13" t="n">
        <v>45123</v>
      </c>
      <c r="C1231" s="4" t="s">
        <v>6213</v>
      </c>
      <c r="D1231" s="4" t="s">
        <v>6196</v>
      </c>
      <c r="E1231" s="4" t="s">
        <v>6196</v>
      </c>
      <c r="F1231" s="4" t="s">
        <v>6212</v>
      </c>
    </row>
    <row r="1232" customFormat="false" ht="15" hidden="false" customHeight="true" outlineLevel="0" collapsed="false">
      <c r="A1232" s="4" t="s">
        <v>1408</v>
      </c>
      <c r="B1232" s="13" t="n">
        <v>45475</v>
      </c>
      <c r="C1232" s="4" t="s">
        <v>6198</v>
      </c>
      <c r="D1232" s="4" t="s">
        <v>6211</v>
      </c>
      <c r="E1232" s="4" t="s">
        <v>6207</v>
      </c>
      <c r="F1232" s="4" t="s">
        <v>6212</v>
      </c>
    </row>
    <row r="1233" customFormat="false" ht="15" hidden="false" customHeight="true" outlineLevel="0" collapsed="false">
      <c r="A1233" s="4" t="s">
        <v>1409</v>
      </c>
      <c r="B1233" s="13" t="n">
        <v>45617</v>
      </c>
      <c r="C1233" s="4" t="s">
        <v>6213</v>
      </c>
      <c r="D1233" s="4" t="s">
        <v>6207</v>
      </c>
      <c r="E1233" s="4" t="s">
        <v>6199</v>
      </c>
      <c r="F1233" s="4" t="s">
        <v>6197</v>
      </c>
    </row>
    <row r="1234" customFormat="false" ht="15" hidden="false" customHeight="true" outlineLevel="0" collapsed="false">
      <c r="A1234" s="4" t="s">
        <v>1410</v>
      </c>
      <c r="B1234" s="13" t="n">
        <v>45080</v>
      </c>
      <c r="C1234" s="4" t="s">
        <v>6215</v>
      </c>
      <c r="D1234" s="4" t="s">
        <v>6206</v>
      </c>
      <c r="E1234" s="4" t="s">
        <v>6203</v>
      </c>
      <c r="F1234" s="4" t="s">
        <v>6216</v>
      </c>
    </row>
    <row r="1235" customFormat="false" ht="15" hidden="false" customHeight="true" outlineLevel="0" collapsed="false">
      <c r="A1235" s="4" t="s">
        <v>1411</v>
      </c>
      <c r="B1235" s="13" t="n">
        <v>45455</v>
      </c>
      <c r="C1235" s="4" t="s">
        <v>6215</v>
      </c>
      <c r="D1235" s="4" t="s">
        <v>6196</v>
      </c>
      <c r="E1235" s="4" t="s">
        <v>6202</v>
      </c>
      <c r="F1235" s="4"/>
    </row>
    <row r="1236" customFormat="false" ht="15" hidden="false" customHeight="true" outlineLevel="0" collapsed="false">
      <c r="A1236" s="4" t="s">
        <v>1412</v>
      </c>
      <c r="B1236" s="13" t="n">
        <v>45337</v>
      </c>
      <c r="C1236" s="4" t="s">
        <v>6198</v>
      </c>
      <c r="D1236" s="4" t="s">
        <v>6202</v>
      </c>
      <c r="E1236" s="4" t="s">
        <v>6202</v>
      </c>
      <c r="F1236" s="4"/>
    </row>
    <row r="1237" customFormat="false" ht="15" hidden="false" customHeight="true" outlineLevel="0" collapsed="false">
      <c r="A1237" s="4" t="s">
        <v>1413</v>
      </c>
      <c r="B1237" s="13" t="n">
        <v>45264</v>
      </c>
      <c r="C1237" s="4" t="s">
        <v>6198</v>
      </c>
      <c r="D1237" s="4" t="s">
        <v>6196</v>
      </c>
      <c r="E1237" s="4" t="s">
        <v>6199</v>
      </c>
      <c r="F1237" s="4" t="s">
        <v>6197</v>
      </c>
    </row>
    <row r="1238" customFormat="false" ht="15" hidden="false" customHeight="true" outlineLevel="0" collapsed="false">
      <c r="A1238" s="4" t="s">
        <v>1414</v>
      </c>
      <c r="B1238" s="13" t="n">
        <v>45230</v>
      </c>
      <c r="C1238" s="4" t="s">
        <v>6209</v>
      </c>
      <c r="D1238" s="4" t="s">
        <v>6195</v>
      </c>
      <c r="E1238" s="4" t="s">
        <v>6196</v>
      </c>
      <c r="F1238" s="4"/>
    </row>
    <row r="1239" customFormat="false" ht="15" hidden="false" customHeight="true" outlineLevel="0" collapsed="false">
      <c r="A1239" s="4" t="s">
        <v>1415</v>
      </c>
      <c r="B1239" s="13" t="n">
        <v>45184</v>
      </c>
      <c r="C1239" s="4" t="s">
        <v>6213</v>
      </c>
      <c r="D1239" s="4" t="s">
        <v>6206</v>
      </c>
      <c r="E1239" s="4" t="s">
        <v>6211</v>
      </c>
      <c r="F1239" s="4"/>
    </row>
    <row r="1240" customFormat="false" ht="15" hidden="false" customHeight="true" outlineLevel="0" collapsed="false">
      <c r="A1240" s="4" t="s">
        <v>1416</v>
      </c>
      <c r="B1240" s="13" t="n">
        <v>45116</v>
      </c>
      <c r="C1240" s="4" t="s">
        <v>6209</v>
      </c>
      <c r="D1240" s="4" t="s">
        <v>6206</v>
      </c>
      <c r="E1240" s="4" t="s">
        <v>6195</v>
      </c>
      <c r="F1240" s="4" t="s">
        <v>6212</v>
      </c>
    </row>
    <row r="1241" customFormat="false" ht="15" hidden="false" customHeight="true" outlineLevel="0" collapsed="false">
      <c r="A1241" s="4" t="s">
        <v>1417</v>
      </c>
      <c r="B1241" s="13" t="n">
        <v>45153</v>
      </c>
      <c r="C1241" s="4" t="s">
        <v>6210</v>
      </c>
      <c r="D1241" s="4" t="s">
        <v>6202</v>
      </c>
      <c r="E1241" s="4" t="s">
        <v>6207</v>
      </c>
      <c r="F1241" s="4" t="s">
        <v>6204</v>
      </c>
    </row>
    <row r="1242" customFormat="false" ht="15" hidden="false" customHeight="true" outlineLevel="0" collapsed="false">
      <c r="A1242" s="4" t="s">
        <v>1418</v>
      </c>
      <c r="B1242" s="13" t="n">
        <v>45502</v>
      </c>
      <c r="C1242" s="4" t="s">
        <v>6210</v>
      </c>
      <c r="D1242" s="4" t="s">
        <v>6202</v>
      </c>
      <c r="E1242" s="4" t="s">
        <v>6211</v>
      </c>
      <c r="F1242" s="4" t="s">
        <v>6212</v>
      </c>
    </row>
    <row r="1243" customFormat="false" ht="15" hidden="false" customHeight="true" outlineLevel="0" collapsed="false">
      <c r="A1243" s="4" t="s">
        <v>1419</v>
      </c>
      <c r="B1243" s="13" t="n">
        <v>45050</v>
      </c>
      <c r="C1243" s="4" t="s">
        <v>6210</v>
      </c>
      <c r="D1243" s="4" t="s">
        <v>6199</v>
      </c>
      <c r="E1243" s="4" t="s">
        <v>6203</v>
      </c>
      <c r="F1243" s="4" t="s">
        <v>6200</v>
      </c>
    </row>
    <row r="1244" customFormat="false" ht="15" hidden="false" customHeight="true" outlineLevel="0" collapsed="false">
      <c r="A1244" s="4" t="s">
        <v>1420</v>
      </c>
      <c r="B1244" s="13" t="n">
        <v>45076</v>
      </c>
      <c r="C1244" s="4" t="s">
        <v>6213</v>
      </c>
      <c r="D1244" s="4" t="s">
        <v>6205</v>
      </c>
      <c r="E1244" s="4" t="s">
        <v>6195</v>
      </c>
      <c r="F1244" s="4"/>
    </row>
    <row r="1245" customFormat="false" ht="15" hidden="false" customHeight="true" outlineLevel="0" collapsed="false">
      <c r="A1245" s="4" t="s">
        <v>1421</v>
      </c>
      <c r="B1245" s="13" t="n">
        <v>45459</v>
      </c>
      <c r="C1245" s="4" t="s">
        <v>6215</v>
      </c>
      <c r="D1245" s="4" t="s">
        <v>6195</v>
      </c>
      <c r="E1245" s="4" t="s">
        <v>6202</v>
      </c>
      <c r="F1245" s="4" t="s">
        <v>6204</v>
      </c>
    </row>
    <row r="1246" customFormat="false" ht="15" hidden="false" customHeight="true" outlineLevel="0" collapsed="false">
      <c r="A1246" s="4" t="s">
        <v>1422</v>
      </c>
      <c r="B1246" s="13" t="n">
        <v>45445</v>
      </c>
      <c r="C1246" s="4" t="s">
        <v>6215</v>
      </c>
      <c r="D1246" s="4" t="s">
        <v>6211</v>
      </c>
      <c r="E1246" s="4" t="s">
        <v>6211</v>
      </c>
      <c r="F1246" s="4" t="s">
        <v>6216</v>
      </c>
    </row>
    <row r="1247" customFormat="false" ht="15" hidden="false" customHeight="true" outlineLevel="0" collapsed="false">
      <c r="A1247" s="4" t="s">
        <v>1423</v>
      </c>
      <c r="B1247" s="13" t="n">
        <v>45288</v>
      </c>
      <c r="C1247" s="4" t="s">
        <v>6210</v>
      </c>
      <c r="D1247" s="4" t="s">
        <v>6207</v>
      </c>
      <c r="E1247" s="4" t="s">
        <v>6205</v>
      </c>
      <c r="F1247" s="4"/>
    </row>
    <row r="1248" customFormat="false" ht="15" hidden="false" customHeight="true" outlineLevel="0" collapsed="false">
      <c r="A1248" s="4" t="s">
        <v>1424</v>
      </c>
      <c r="B1248" s="13" t="n">
        <v>45073</v>
      </c>
      <c r="C1248" s="4" t="s">
        <v>6215</v>
      </c>
      <c r="D1248" s="4" t="s">
        <v>6203</v>
      </c>
      <c r="E1248" s="4" t="s">
        <v>6208</v>
      </c>
      <c r="F1248" s="4"/>
    </row>
    <row r="1249" customFormat="false" ht="15" hidden="false" customHeight="true" outlineLevel="0" collapsed="false">
      <c r="A1249" s="4" t="s">
        <v>1425</v>
      </c>
      <c r="B1249" s="13" t="n">
        <v>45463</v>
      </c>
      <c r="C1249" s="4" t="s">
        <v>6213</v>
      </c>
      <c r="D1249" s="4" t="s">
        <v>6203</v>
      </c>
      <c r="E1249" s="4" t="s">
        <v>6207</v>
      </c>
      <c r="F1249" s="4" t="s">
        <v>6216</v>
      </c>
    </row>
    <row r="1250" customFormat="false" ht="15" hidden="false" customHeight="true" outlineLevel="0" collapsed="false">
      <c r="A1250" s="4" t="s">
        <v>1426</v>
      </c>
      <c r="B1250" s="13" t="n">
        <v>45362</v>
      </c>
      <c r="C1250" s="4" t="s">
        <v>6210</v>
      </c>
      <c r="D1250" s="4" t="s">
        <v>6203</v>
      </c>
      <c r="E1250" s="4" t="s">
        <v>6208</v>
      </c>
      <c r="F1250" s="4"/>
    </row>
    <row r="1251" customFormat="false" ht="15" hidden="false" customHeight="true" outlineLevel="0" collapsed="false">
      <c r="A1251" s="4" t="s">
        <v>1427</v>
      </c>
      <c r="B1251" s="13" t="n">
        <v>45234</v>
      </c>
      <c r="C1251" s="4" t="s">
        <v>6201</v>
      </c>
      <c r="D1251" s="4" t="s">
        <v>6196</v>
      </c>
      <c r="E1251" s="4" t="s">
        <v>6199</v>
      </c>
      <c r="F1251" s="4" t="s">
        <v>6216</v>
      </c>
    </row>
    <row r="1252" customFormat="false" ht="15" hidden="false" customHeight="true" outlineLevel="0" collapsed="false">
      <c r="A1252" s="4" t="s">
        <v>1428</v>
      </c>
      <c r="B1252" s="13" t="n">
        <v>45279</v>
      </c>
      <c r="C1252" s="4" t="s">
        <v>6210</v>
      </c>
      <c r="D1252" s="4" t="s">
        <v>6199</v>
      </c>
      <c r="E1252" s="4" t="s">
        <v>6202</v>
      </c>
      <c r="F1252" s="4"/>
    </row>
    <row r="1253" customFormat="false" ht="15" hidden="false" customHeight="true" outlineLevel="0" collapsed="false">
      <c r="A1253" s="4" t="s">
        <v>1429</v>
      </c>
      <c r="B1253" s="13" t="n">
        <v>45437</v>
      </c>
      <c r="C1253" s="4" t="s">
        <v>6198</v>
      </c>
      <c r="D1253" s="4" t="s">
        <v>6202</v>
      </c>
      <c r="E1253" s="4" t="s">
        <v>6195</v>
      </c>
      <c r="F1253" s="4" t="s">
        <v>6204</v>
      </c>
    </row>
    <row r="1254" customFormat="false" ht="15" hidden="false" customHeight="true" outlineLevel="0" collapsed="false">
      <c r="A1254" s="4" t="s">
        <v>1430</v>
      </c>
      <c r="B1254" s="13" t="n">
        <v>45208</v>
      </c>
      <c r="C1254" s="4" t="s">
        <v>6209</v>
      </c>
      <c r="D1254" s="4" t="s">
        <v>6203</v>
      </c>
      <c r="E1254" s="4" t="s">
        <v>6211</v>
      </c>
      <c r="F1254" s="4"/>
    </row>
    <row r="1255" customFormat="false" ht="15" hidden="false" customHeight="true" outlineLevel="0" collapsed="false">
      <c r="A1255" s="4" t="s">
        <v>1431</v>
      </c>
      <c r="B1255" s="13" t="n">
        <v>45308</v>
      </c>
      <c r="C1255" s="4" t="s">
        <v>6210</v>
      </c>
      <c r="D1255" s="4" t="s">
        <v>6202</v>
      </c>
      <c r="E1255" s="4" t="s">
        <v>6208</v>
      </c>
      <c r="F1255" s="4" t="s">
        <v>6204</v>
      </c>
    </row>
    <row r="1256" customFormat="false" ht="15" hidden="false" customHeight="true" outlineLevel="0" collapsed="false">
      <c r="A1256" s="4" t="s">
        <v>1432</v>
      </c>
      <c r="B1256" s="13" t="n">
        <v>45521</v>
      </c>
      <c r="C1256" s="4" t="s">
        <v>6210</v>
      </c>
      <c r="D1256" s="4" t="s">
        <v>6195</v>
      </c>
      <c r="E1256" s="4" t="s">
        <v>6199</v>
      </c>
      <c r="F1256" s="4"/>
    </row>
    <row r="1257" customFormat="false" ht="15" hidden="false" customHeight="true" outlineLevel="0" collapsed="false">
      <c r="A1257" s="4" t="s">
        <v>1433</v>
      </c>
      <c r="B1257" s="13" t="n">
        <v>45216</v>
      </c>
      <c r="C1257" s="4" t="s">
        <v>6209</v>
      </c>
      <c r="D1257" s="4" t="s">
        <v>6199</v>
      </c>
      <c r="E1257" s="4" t="s">
        <v>6195</v>
      </c>
      <c r="F1257" s="4"/>
    </row>
    <row r="1258" customFormat="false" ht="15" hidden="false" customHeight="true" outlineLevel="0" collapsed="false">
      <c r="A1258" s="4" t="s">
        <v>1434</v>
      </c>
      <c r="B1258" s="13" t="n">
        <v>45568</v>
      </c>
      <c r="C1258" s="4" t="s">
        <v>6215</v>
      </c>
      <c r="D1258" s="4" t="s">
        <v>6205</v>
      </c>
      <c r="E1258" s="4" t="s">
        <v>6199</v>
      </c>
      <c r="F1258" s="4"/>
    </row>
    <row r="1259" customFormat="false" ht="15" hidden="false" customHeight="true" outlineLevel="0" collapsed="false">
      <c r="A1259" s="4" t="s">
        <v>1435</v>
      </c>
      <c r="B1259" s="13" t="n">
        <v>45180</v>
      </c>
      <c r="C1259" s="4" t="s">
        <v>6201</v>
      </c>
      <c r="D1259" s="4" t="s">
        <v>6206</v>
      </c>
      <c r="E1259" s="4" t="s">
        <v>6207</v>
      </c>
      <c r="F1259" s="4" t="s">
        <v>6216</v>
      </c>
    </row>
    <row r="1260" customFormat="false" ht="15" hidden="false" customHeight="true" outlineLevel="0" collapsed="false">
      <c r="A1260" s="4" t="s">
        <v>1436</v>
      </c>
      <c r="B1260" s="13" t="n">
        <v>45377</v>
      </c>
      <c r="C1260" s="4" t="s">
        <v>6201</v>
      </c>
      <c r="D1260" s="4" t="s">
        <v>6195</v>
      </c>
      <c r="E1260" s="4" t="s">
        <v>6202</v>
      </c>
      <c r="F1260" s="4"/>
    </row>
    <row r="1261" customFormat="false" ht="15" hidden="false" customHeight="true" outlineLevel="0" collapsed="false">
      <c r="A1261" s="4" t="s">
        <v>1437</v>
      </c>
      <c r="B1261" s="13" t="n">
        <v>45142</v>
      </c>
      <c r="C1261" s="4" t="s">
        <v>6209</v>
      </c>
      <c r="D1261" s="4" t="s">
        <v>6206</v>
      </c>
      <c r="E1261" s="4" t="s">
        <v>6208</v>
      </c>
      <c r="F1261" s="4" t="s">
        <v>6214</v>
      </c>
    </row>
    <row r="1262" customFormat="false" ht="15" hidden="false" customHeight="true" outlineLevel="0" collapsed="false">
      <c r="A1262" s="4" t="s">
        <v>1438</v>
      </c>
      <c r="B1262" s="13" t="n">
        <v>45178</v>
      </c>
      <c r="C1262" s="4" t="s">
        <v>6215</v>
      </c>
      <c r="D1262" s="4" t="s">
        <v>6202</v>
      </c>
      <c r="E1262" s="4" t="s">
        <v>6202</v>
      </c>
      <c r="F1262" s="4" t="s">
        <v>6197</v>
      </c>
    </row>
    <row r="1263" customFormat="false" ht="15" hidden="false" customHeight="true" outlineLevel="0" collapsed="false">
      <c r="A1263" s="4" t="s">
        <v>1439</v>
      </c>
      <c r="B1263" s="13" t="n">
        <v>45451</v>
      </c>
      <c r="C1263" s="4" t="s">
        <v>6209</v>
      </c>
      <c r="D1263" s="4" t="s">
        <v>6203</v>
      </c>
      <c r="E1263" s="4" t="s">
        <v>6195</v>
      </c>
      <c r="F1263" s="4"/>
    </row>
    <row r="1264" customFormat="false" ht="15" hidden="false" customHeight="true" outlineLevel="0" collapsed="false">
      <c r="A1264" s="4" t="s">
        <v>1440</v>
      </c>
      <c r="B1264" s="13" t="n">
        <v>45393</v>
      </c>
      <c r="C1264" s="4" t="s">
        <v>6201</v>
      </c>
      <c r="D1264" s="4" t="s">
        <v>6203</v>
      </c>
      <c r="E1264" s="4" t="s">
        <v>6211</v>
      </c>
      <c r="F1264" s="4" t="s">
        <v>6197</v>
      </c>
    </row>
    <row r="1265" customFormat="false" ht="15" hidden="false" customHeight="true" outlineLevel="0" collapsed="false">
      <c r="A1265" s="4" t="s">
        <v>1441</v>
      </c>
      <c r="B1265" s="13" t="n">
        <v>44979</v>
      </c>
      <c r="C1265" s="4" t="s">
        <v>6213</v>
      </c>
      <c r="D1265" s="4" t="s">
        <v>6207</v>
      </c>
      <c r="E1265" s="4" t="s">
        <v>6206</v>
      </c>
      <c r="F1265" s="4" t="s">
        <v>6197</v>
      </c>
    </row>
    <row r="1266" customFormat="false" ht="15" hidden="false" customHeight="true" outlineLevel="0" collapsed="false">
      <c r="A1266" s="4" t="s">
        <v>1442</v>
      </c>
      <c r="B1266" s="13" t="n">
        <v>45079</v>
      </c>
      <c r="C1266" s="4" t="s">
        <v>6213</v>
      </c>
      <c r="D1266" s="4" t="s">
        <v>6196</v>
      </c>
      <c r="E1266" s="4" t="s">
        <v>6203</v>
      </c>
      <c r="F1266" s="4" t="s">
        <v>6204</v>
      </c>
    </row>
    <row r="1267" customFormat="false" ht="15" hidden="false" customHeight="true" outlineLevel="0" collapsed="false">
      <c r="A1267" s="4" t="s">
        <v>1443</v>
      </c>
      <c r="B1267" s="13" t="n">
        <v>45403</v>
      </c>
      <c r="C1267" s="4" t="s">
        <v>6194</v>
      </c>
      <c r="D1267" s="4" t="s">
        <v>6202</v>
      </c>
      <c r="E1267" s="4" t="s">
        <v>6203</v>
      </c>
      <c r="F1267" s="4" t="s">
        <v>6214</v>
      </c>
    </row>
    <row r="1268" customFormat="false" ht="15" hidden="false" customHeight="true" outlineLevel="0" collapsed="false">
      <c r="A1268" s="4" t="s">
        <v>1444</v>
      </c>
      <c r="B1268" s="13" t="n">
        <v>45140</v>
      </c>
      <c r="C1268" s="4" t="s">
        <v>6194</v>
      </c>
      <c r="D1268" s="4" t="s">
        <v>6202</v>
      </c>
      <c r="E1268" s="4" t="s">
        <v>6208</v>
      </c>
      <c r="F1268" s="4" t="s">
        <v>6212</v>
      </c>
    </row>
    <row r="1269" customFormat="false" ht="15" hidden="false" customHeight="true" outlineLevel="0" collapsed="false">
      <c r="A1269" s="4" t="s">
        <v>1445</v>
      </c>
      <c r="B1269" s="13" t="n">
        <v>45616</v>
      </c>
      <c r="C1269" s="4" t="s">
        <v>6194</v>
      </c>
      <c r="D1269" s="4" t="s">
        <v>6202</v>
      </c>
      <c r="E1269" s="4" t="s">
        <v>6206</v>
      </c>
      <c r="F1269" s="4" t="s">
        <v>6204</v>
      </c>
    </row>
    <row r="1270" customFormat="false" ht="15" hidden="false" customHeight="true" outlineLevel="0" collapsed="false">
      <c r="A1270" s="4" t="s">
        <v>1446</v>
      </c>
      <c r="B1270" s="13" t="n">
        <v>45656</v>
      </c>
      <c r="C1270" s="4" t="s">
        <v>6209</v>
      </c>
      <c r="D1270" s="4" t="s">
        <v>6202</v>
      </c>
      <c r="E1270" s="4" t="s">
        <v>6208</v>
      </c>
      <c r="F1270" s="4" t="s">
        <v>6197</v>
      </c>
    </row>
    <row r="1271" customFormat="false" ht="15" hidden="false" customHeight="true" outlineLevel="0" collapsed="false">
      <c r="A1271" s="4" t="s">
        <v>1447</v>
      </c>
      <c r="B1271" s="13" t="n">
        <v>45053</v>
      </c>
      <c r="C1271" s="4" t="s">
        <v>6209</v>
      </c>
      <c r="D1271" s="4" t="s">
        <v>6195</v>
      </c>
      <c r="E1271" s="4" t="s">
        <v>6203</v>
      </c>
      <c r="F1271" s="4"/>
    </row>
    <row r="1272" customFormat="false" ht="15" hidden="false" customHeight="true" outlineLevel="0" collapsed="false">
      <c r="A1272" s="4" t="s">
        <v>1448</v>
      </c>
      <c r="B1272" s="13" t="n">
        <v>44953</v>
      </c>
      <c r="C1272" s="4" t="s">
        <v>6209</v>
      </c>
      <c r="D1272" s="4" t="s">
        <v>6202</v>
      </c>
      <c r="E1272" s="4" t="s">
        <v>6211</v>
      </c>
      <c r="F1272" s="4" t="s">
        <v>6204</v>
      </c>
    </row>
    <row r="1273" customFormat="false" ht="15" hidden="false" customHeight="true" outlineLevel="0" collapsed="false">
      <c r="A1273" s="4" t="s">
        <v>1449</v>
      </c>
      <c r="B1273" s="13" t="n">
        <v>45150</v>
      </c>
      <c r="C1273" s="4" t="s">
        <v>6210</v>
      </c>
      <c r="D1273" s="4" t="s">
        <v>6208</v>
      </c>
      <c r="E1273" s="4" t="s">
        <v>6199</v>
      </c>
      <c r="F1273" s="4" t="s">
        <v>6212</v>
      </c>
    </row>
    <row r="1274" customFormat="false" ht="15" hidden="false" customHeight="true" outlineLevel="0" collapsed="false">
      <c r="A1274" s="4" t="s">
        <v>1450</v>
      </c>
      <c r="B1274" s="13" t="n">
        <v>45543</v>
      </c>
      <c r="C1274" s="4" t="s">
        <v>6194</v>
      </c>
      <c r="D1274" s="4" t="s">
        <v>6195</v>
      </c>
      <c r="E1274" s="4" t="s">
        <v>6196</v>
      </c>
      <c r="F1274" s="4"/>
    </row>
    <row r="1275" customFormat="false" ht="15" hidden="false" customHeight="true" outlineLevel="0" collapsed="false">
      <c r="A1275" s="4" t="s">
        <v>1451</v>
      </c>
      <c r="B1275" s="13" t="n">
        <v>45507</v>
      </c>
      <c r="C1275" s="4" t="s">
        <v>6215</v>
      </c>
      <c r="D1275" s="4" t="s">
        <v>6208</v>
      </c>
      <c r="E1275" s="4" t="s">
        <v>6196</v>
      </c>
      <c r="F1275" s="4" t="s">
        <v>6197</v>
      </c>
    </row>
    <row r="1276" customFormat="false" ht="15" hidden="false" customHeight="true" outlineLevel="0" collapsed="false">
      <c r="A1276" s="4" t="s">
        <v>1452</v>
      </c>
      <c r="B1276" s="13" t="n">
        <v>45646</v>
      </c>
      <c r="C1276" s="4" t="s">
        <v>6201</v>
      </c>
      <c r="D1276" s="4" t="s">
        <v>6208</v>
      </c>
      <c r="E1276" s="4" t="s">
        <v>6202</v>
      </c>
      <c r="F1276" s="4" t="s">
        <v>6197</v>
      </c>
    </row>
    <row r="1277" customFormat="false" ht="15" hidden="false" customHeight="true" outlineLevel="0" collapsed="false">
      <c r="A1277" s="4" t="s">
        <v>1453</v>
      </c>
      <c r="B1277" s="13" t="n">
        <v>45063</v>
      </c>
      <c r="C1277" s="4" t="s">
        <v>6198</v>
      </c>
      <c r="D1277" s="4" t="s">
        <v>6199</v>
      </c>
      <c r="E1277" s="4" t="s">
        <v>6206</v>
      </c>
      <c r="F1277" s="4"/>
    </row>
    <row r="1278" customFormat="false" ht="15" hidden="false" customHeight="true" outlineLevel="0" collapsed="false">
      <c r="A1278" s="4" t="s">
        <v>1454</v>
      </c>
      <c r="B1278" s="13" t="n">
        <v>45356</v>
      </c>
      <c r="C1278" s="4" t="s">
        <v>6210</v>
      </c>
      <c r="D1278" s="4" t="s">
        <v>6196</v>
      </c>
      <c r="E1278" s="4" t="s">
        <v>6196</v>
      </c>
      <c r="F1278" s="4"/>
    </row>
    <row r="1279" customFormat="false" ht="15" hidden="false" customHeight="true" outlineLevel="0" collapsed="false">
      <c r="A1279" s="4" t="s">
        <v>1455</v>
      </c>
      <c r="B1279" s="13" t="n">
        <v>45422</v>
      </c>
      <c r="C1279" s="4" t="s">
        <v>6213</v>
      </c>
      <c r="D1279" s="4" t="s">
        <v>6195</v>
      </c>
      <c r="E1279" s="4" t="s">
        <v>6208</v>
      </c>
      <c r="F1279" s="4"/>
    </row>
    <row r="1280" customFormat="false" ht="15" hidden="false" customHeight="true" outlineLevel="0" collapsed="false">
      <c r="A1280" s="4" t="s">
        <v>1456</v>
      </c>
      <c r="B1280" s="13" t="n">
        <v>45252</v>
      </c>
      <c r="C1280" s="4" t="s">
        <v>6209</v>
      </c>
      <c r="D1280" s="4" t="s">
        <v>6199</v>
      </c>
      <c r="E1280" s="4" t="s">
        <v>6205</v>
      </c>
      <c r="F1280" s="4"/>
    </row>
    <row r="1281" customFormat="false" ht="15" hidden="false" customHeight="true" outlineLevel="0" collapsed="false">
      <c r="A1281" s="4" t="s">
        <v>1457</v>
      </c>
      <c r="B1281" s="13" t="n">
        <v>45228</v>
      </c>
      <c r="C1281" s="4" t="s">
        <v>6194</v>
      </c>
      <c r="D1281" s="4" t="s">
        <v>6203</v>
      </c>
      <c r="E1281" s="4" t="s">
        <v>6207</v>
      </c>
      <c r="F1281" s="4"/>
    </row>
    <row r="1282" customFormat="false" ht="15" hidden="false" customHeight="true" outlineLevel="0" collapsed="false">
      <c r="A1282" s="4" t="s">
        <v>1458</v>
      </c>
      <c r="B1282" s="13" t="n">
        <v>45356</v>
      </c>
      <c r="C1282" s="4" t="s">
        <v>6210</v>
      </c>
      <c r="D1282" s="4" t="s">
        <v>6206</v>
      </c>
      <c r="E1282" s="4" t="s">
        <v>6205</v>
      </c>
      <c r="F1282" s="4"/>
    </row>
    <row r="1283" customFormat="false" ht="15" hidden="false" customHeight="true" outlineLevel="0" collapsed="false">
      <c r="A1283" s="4" t="s">
        <v>1459</v>
      </c>
      <c r="B1283" s="13" t="n">
        <v>45560</v>
      </c>
      <c r="C1283" s="4" t="s">
        <v>6213</v>
      </c>
      <c r="D1283" s="4" t="s">
        <v>6208</v>
      </c>
      <c r="E1283" s="4" t="s">
        <v>6203</v>
      </c>
      <c r="F1283" s="4"/>
    </row>
    <row r="1284" customFormat="false" ht="15" hidden="false" customHeight="true" outlineLevel="0" collapsed="false">
      <c r="A1284" s="4" t="s">
        <v>1460</v>
      </c>
      <c r="B1284" s="13" t="n">
        <v>45186</v>
      </c>
      <c r="C1284" s="4" t="s">
        <v>6194</v>
      </c>
      <c r="D1284" s="4" t="s">
        <v>6195</v>
      </c>
      <c r="E1284" s="4" t="s">
        <v>6211</v>
      </c>
      <c r="F1284" s="4"/>
    </row>
    <row r="1285" customFormat="false" ht="15" hidden="false" customHeight="true" outlineLevel="0" collapsed="false">
      <c r="A1285" s="4" t="s">
        <v>1461</v>
      </c>
      <c r="B1285" s="13" t="n">
        <v>45053</v>
      </c>
      <c r="C1285" s="4" t="s">
        <v>6215</v>
      </c>
      <c r="D1285" s="4" t="s">
        <v>6202</v>
      </c>
      <c r="E1285" s="4" t="s">
        <v>6208</v>
      </c>
      <c r="F1285" s="4"/>
    </row>
    <row r="1286" customFormat="false" ht="15" hidden="false" customHeight="true" outlineLevel="0" collapsed="false">
      <c r="A1286" s="4" t="s">
        <v>1462</v>
      </c>
      <c r="B1286" s="13" t="n">
        <v>45156</v>
      </c>
      <c r="C1286" s="4" t="s">
        <v>6215</v>
      </c>
      <c r="D1286" s="4" t="s">
        <v>6196</v>
      </c>
      <c r="E1286" s="4" t="s">
        <v>6205</v>
      </c>
      <c r="F1286" s="4" t="s">
        <v>6214</v>
      </c>
    </row>
    <row r="1287" customFormat="false" ht="15" hidden="false" customHeight="true" outlineLevel="0" collapsed="false">
      <c r="A1287" s="4" t="s">
        <v>1463</v>
      </c>
      <c r="B1287" s="13" t="n">
        <v>45122</v>
      </c>
      <c r="C1287" s="4" t="s">
        <v>6210</v>
      </c>
      <c r="D1287" s="4" t="s">
        <v>6196</v>
      </c>
      <c r="E1287" s="4" t="s">
        <v>6208</v>
      </c>
      <c r="F1287" s="4" t="s">
        <v>6216</v>
      </c>
    </row>
    <row r="1288" customFormat="false" ht="15" hidden="false" customHeight="true" outlineLevel="0" collapsed="false">
      <c r="A1288" s="4" t="s">
        <v>1464</v>
      </c>
      <c r="B1288" s="13" t="n">
        <v>45376</v>
      </c>
      <c r="C1288" s="4" t="s">
        <v>6213</v>
      </c>
      <c r="D1288" s="4" t="s">
        <v>6208</v>
      </c>
      <c r="E1288" s="4" t="s">
        <v>6208</v>
      </c>
      <c r="F1288" s="4" t="s">
        <v>6212</v>
      </c>
    </row>
    <row r="1289" customFormat="false" ht="15" hidden="false" customHeight="true" outlineLevel="0" collapsed="false">
      <c r="A1289" s="4" t="s">
        <v>1465</v>
      </c>
      <c r="B1289" s="13" t="n">
        <v>45458</v>
      </c>
      <c r="C1289" s="4" t="s">
        <v>6194</v>
      </c>
      <c r="D1289" s="4" t="s">
        <v>6211</v>
      </c>
      <c r="E1289" s="4" t="s">
        <v>6205</v>
      </c>
      <c r="F1289" s="4" t="s">
        <v>6216</v>
      </c>
    </row>
    <row r="1290" customFormat="false" ht="15" hidden="false" customHeight="true" outlineLevel="0" collapsed="false">
      <c r="A1290" s="4" t="s">
        <v>1466</v>
      </c>
      <c r="B1290" s="13" t="n">
        <v>45299</v>
      </c>
      <c r="C1290" s="4" t="s">
        <v>6213</v>
      </c>
      <c r="D1290" s="4" t="s">
        <v>6211</v>
      </c>
      <c r="E1290" s="4" t="s">
        <v>6206</v>
      </c>
      <c r="F1290" s="4" t="s">
        <v>6197</v>
      </c>
    </row>
    <row r="1291" customFormat="false" ht="15" hidden="false" customHeight="true" outlineLevel="0" collapsed="false">
      <c r="A1291" s="4" t="s">
        <v>1467</v>
      </c>
      <c r="B1291" s="13" t="n">
        <v>45045</v>
      </c>
      <c r="C1291" s="4" t="s">
        <v>6209</v>
      </c>
      <c r="D1291" s="4" t="s">
        <v>6205</v>
      </c>
      <c r="E1291" s="4" t="s">
        <v>6206</v>
      </c>
      <c r="F1291" s="4" t="s">
        <v>6200</v>
      </c>
    </row>
    <row r="1292" customFormat="false" ht="15" hidden="false" customHeight="true" outlineLevel="0" collapsed="false">
      <c r="A1292" s="4" t="s">
        <v>1468</v>
      </c>
      <c r="B1292" s="13" t="n">
        <v>45128</v>
      </c>
      <c r="C1292" s="4" t="s">
        <v>6198</v>
      </c>
      <c r="D1292" s="4" t="s">
        <v>6206</v>
      </c>
      <c r="E1292" s="4" t="s">
        <v>6206</v>
      </c>
      <c r="F1292" s="4" t="s">
        <v>6204</v>
      </c>
    </row>
    <row r="1293" customFormat="false" ht="15" hidden="false" customHeight="true" outlineLevel="0" collapsed="false">
      <c r="A1293" s="4" t="s">
        <v>1469</v>
      </c>
      <c r="B1293" s="13" t="n">
        <v>45389</v>
      </c>
      <c r="C1293" s="4" t="s">
        <v>6198</v>
      </c>
      <c r="D1293" s="4" t="s">
        <v>6207</v>
      </c>
      <c r="E1293" s="4" t="s">
        <v>6205</v>
      </c>
      <c r="F1293" s="4" t="s">
        <v>6216</v>
      </c>
    </row>
    <row r="1294" customFormat="false" ht="15" hidden="false" customHeight="true" outlineLevel="0" collapsed="false">
      <c r="A1294" s="4" t="s">
        <v>1470</v>
      </c>
      <c r="B1294" s="13" t="n">
        <v>45605</v>
      </c>
      <c r="C1294" s="4" t="s">
        <v>6198</v>
      </c>
      <c r="D1294" s="4" t="s">
        <v>6195</v>
      </c>
      <c r="E1294" s="4" t="s">
        <v>6203</v>
      </c>
      <c r="F1294" s="4"/>
    </row>
    <row r="1295" customFormat="false" ht="15" hidden="false" customHeight="true" outlineLevel="0" collapsed="false">
      <c r="A1295" s="4" t="s">
        <v>1471</v>
      </c>
      <c r="B1295" s="13" t="n">
        <v>45497</v>
      </c>
      <c r="C1295" s="4" t="s">
        <v>6210</v>
      </c>
      <c r="D1295" s="4" t="s">
        <v>6207</v>
      </c>
      <c r="E1295" s="4" t="s">
        <v>6202</v>
      </c>
      <c r="F1295" s="4"/>
    </row>
    <row r="1296" customFormat="false" ht="15" hidden="false" customHeight="true" outlineLevel="0" collapsed="false">
      <c r="A1296" s="4" t="s">
        <v>1472</v>
      </c>
      <c r="B1296" s="13" t="n">
        <v>44973</v>
      </c>
      <c r="C1296" s="4" t="s">
        <v>6209</v>
      </c>
      <c r="D1296" s="4" t="s">
        <v>6199</v>
      </c>
      <c r="E1296" s="4" t="s">
        <v>6195</v>
      </c>
      <c r="F1296" s="4"/>
    </row>
    <row r="1297" customFormat="false" ht="15" hidden="false" customHeight="true" outlineLevel="0" collapsed="false">
      <c r="A1297" s="4" t="s">
        <v>1473</v>
      </c>
      <c r="B1297" s="13" t="n">
        <v>45474</v>
      </c>
      <c r="C1297" s="4" t="s">
        <v>6210</v>
      </c>
      <c r="D1297" s="4" t="s">
        <v>6196</v>
      </c>
      <c r="E1297" s="4" t="s">
        <v>6206</v>
      </c>
      <c r="F1297" s="4" t="s">
        <v>6212</v>
      </c>
    </row>
    <row r="1298" customFormat="false" ht="15" hidden="false" customHeight="true" outlineLevel="0" collapsed="false">
      <c r="A1298" s="4" t="s">
        <v>1474</v>
      </c>
      <c r="B1298" s="13" t="n">
        <v>45289</v>
      </c>
      <c r="C1298" s="4" t="s">
        <v>6194</v>
      </c>
      <c r="D1298" s="4" t="s">
        <v>6203</v>
      </c>
      <c r="E1298" s="4" t="s">
        <v>6195</v>
      </c>
      <c r="F1298" s="4" t="s">
        <v>6197</v>
      </c>
    </row>
    <row r="1299" customFormat="false" ht="15" hidden="false" customHeight="true" outlineLevel="0" collapsed="false">
      <c r="A1299" s="4" t="s">
        <v>1475</v>
      </c>
      <c r="B1299" s="13" t="n">
        <v>45612</v>
      </c>
      <c r="C1299" s="4" t="s">
        <v>6198</v>
      </c>
      <c r="D1299" s="4" t="s">
        <v>6202</v>
      </c>
      <c r="E1299" s="4" t="s">
        <v>6211</v>
      </c>
      <c r="F1299" s="4" t="s">
        <v>6214</v>
      </c>
    </row>
    <row r="1300" customFormat="false" ht="15" hidden="false" customHeight="true" outlineLevel="0" collapsed="false">
      <c r="A1300" s="4" t="s">
        <v>1476</v>
      </c>
      <c r="B1300" s="13" t="n">
        <v>45073</v>
      </c>
      <c r="C1300" s="4" t="s">
        <v>6215</v>
      </c>
      <c r="D1300" s="4" t="s">
        <v>6205</v>
      </c>
      <c r="E1300" s="4" t="s">
        <v>6196</v>
      </c>
      <c r="F1300" s="4" t="s">
        <v>6204</v>
      </c>
    </row>
    <row r="1301" customFormat="false" ht="15" hidden="false" customHeight="true" outlineLevel="0" collapsed="false">
      <c r="A1301" s="4" t="s">
        <v>1477</v>
      </c>
      <c r="B1301" s="13" t="n">
        <v>45477</v>
      </c>
      <c r="C1301" s="4" t="s">
        <v>6213</v>
      </c>
      <c r="D1301" s="4" t="s">
        <v>6195</v>
      </c>
      <c r="E1301" s="4" t="s">
        <v>6208</v>
      </c>
      <c r="F1301" s="4" t="s">
        <v>6200</v>
      </c>
    </row>
    <row r="1302" customFormat="false" ht="15" hidden="false" customHeight="true" outlineLevel="0" collapsed="false">
      <c r="A1302" s="4" t="s">
        <v>1478</v>
      </c>
      <c r="B1302" s="13" t="n">
        <v>45098</v>
      </c>
      <c r="C1302" s="4" t="s">
        <v>6213</v>
      </c>
      <c r="D1302" s="4" t="s">
        <v>6205</v>
      </c>
      <c r="E1302" s="4" t="s">
        <v>6207</v>
      </c>
      <c r="F1302" s="4" t="s">
        <v>6216</v>
      </c>
    </row>
    <row r="1303" customFormat="false" ht="15" hidden="false" customHeight="true" outlineLevel="0" collapsed="false">
      <c r="A1303" s="4" t="s">
        <v>1479</v>
      </c>
      <c r="B1303" s="13" t="n">
        <v>45538</v>
      </c>
      <c r="C1303" s="4" t="s">
        <v>6210</v>
      </c>
      <c r="D1303" s="4" t="s">
        <v>6206</v>
      </c>
      <c r="E1303" s="4" t="s">
        <v>6195</v>
      </c>
      <c r="F1303" s="4"/>
    </row>
    <row r="1304" customFormat="false" ht="15" hidden="false" customHeight="true" outlineLevel="0" collapsed="false">
      <c r="A1304" s="4" t="s">
        <v>1480</v>
      </c>
      <c r="B1304" s="13" t="n">
        <v>44976</v>
      </c>
      <c r="C1304" s="4" t="s">
        <v>6198</v>
      </c>
      <c r="D1304" s="4" t="s">
        <v>6202</v>
      </c>
      <c r="E1304" s="4" t="s">
        <v>6199</v>
      </c>
      <c r="F1304" s="4" t="s">
        <v>6214</v>
      </c>
    </row>
    <row r="1305" customFormat="false" ht="15" hidden="false" customHeight="true" outlineLevel="0" collapsed="false">
      <c r="A1305" s="4" t="s">
        <v>1481</v>
      </c>
      <c r="B1305" s="13" t="n">
        <v>45272</v>
      </c>
      <c r="C1305" s="4" t="s">
        <v>6209</v>
      </c>
      <c r="D1305" s="4" t="s">
        <v>6211</v>
      </c>
      <c r="E1305" s="4" t="s">
        <v>6203</v>
      </c>
      <c r="F1305" s="4"/>
    </row>
    <row r="1306" customFormat="false" ht="15" hidden="false" customHeight="true" outlineLevel="0" collapsed="false">
      <c r="A1306" s="4" t="s">
        <v>1482</v>
      </c>
      <c r="B1306" s="13" t="n">
        <v>45481</v>
      </c>
      <c r="C1306" s="4" t="s">
        <v>6210</v>
      </c>
      <c r="D1306" s="4" t="s">
        <v>6205</v>
      </c>
      <c r="E1306" s="4" t="s">
        <v>6202</v>
      </c>
      <c r="F1306" s="4"/>
    </row>
    <row r="1307" customFormat="false" ht="15" hidden="false" customHeight="true" outlineLevel="0" collapsed="false">
      <c r="A1307" s="4" t="s">
        <v>1483</v>
      </c>
      <c r="B1307" s="13" t="n">
        <v>44937</v>
      </c>
      <c r="C1307" s="4" t="s">
        <v>6209</v>
      </c>
      <c r="D1307" s="4" t="s">
        <v>6205</v>
      </c>
      <c r="E1307" s="4" t="s">
        <v>6195</v>
      </c>
      <c r="F1307" s="4" t="s">
        <v>6214</v>
      </c>
    </row>
    <row r="1308" customFormat="false" ht="15" hidden="false" customHeight="true" outlineLevel="0" collapsed="false">
      <c r="A1308" s="4" t="s">
        <v>1484</v>
      </c>
      <c r="B1308" s="13" t="n">
        <v>44942</v>
      </c>
      <c r="C1308" s="4" t="s">
        <v>6215</v>
      </c>
      <c r="D1308" s="4" t="s">
        <v>6196</v>
      </c>
      <c r="E1308" s="4" t="s">
        <v>6203</v>
      </c>
      <c r="F1308" s="4" t="s">
        <v>6204</v>
      </c>
    </row>
    <row r="1309" customFormat="false" ht="15" hidden="false" customHeight="true" outlineLevel="0" collapsed="false">
      <c r="A1309" s="4" t="s">
        <v>1485</v>
      </c>
      <c r="B1309" s="13" t="n">
        <v>45375</v>
      </c>
      <c r="C1309" s="4" t="s">
        <v>6210</v>
      </c>
      <c r="D1309" s="4" t="s">
        <v>6211</v>
      </c>
      <c r="E1309" s="4" t="s">
        <v>6208</v>
      </c>
      <c r="F1309" s="4"/>
    </row>
    <row r="1310" customFormat="false" ht="15" hidden="false" customHeight="true" outlineLevel="0" collapsed="false">
      <c r="A1310" s="4" t="s">
        <v>1486</v>
      </c>
      <c r="B1310" s="13" t="n">
        <v>45653</v>
      </c>
      <c r="C1310" s="4" t="s">
        <v>6194</v>
      </c>
      <c r="D1310" s="4" t="s">
        <v>6202</v>
      </c>
      <c r="E1310" s="4" t="s">
        <v>6207</v>
      </c>
      <c r="F1310" s="4"/>
    </row>
    <row r="1311" customFormat="false" ht="15" hidden="false" customHeight="true" outlineLevel="0" collapsed="false">
      <c r="A1311" s="4" t="s">
        <v>1487</v>
      </c>
      <c r="B1311" s="13" t="n">
        <v>45595</v>
      </c>
      <c r="C1311" s="4" t="s">
        <v>6215</v>
      </c>
      <c r="D1311" s="4" t="s">
        <v>6203</v>
      </c>
      <c r="E1311" s="4" t="s">
        <v>6196</v>
      </c>
      <c r="F1311" s="4" t="s">
        <v>6200</v>
      </c>
    </row>
    <row r="1312" customFormat="false" ht="15" hidden="false" customHeight="true" outlineLevel="0" collapsed="false">
      <c r="A1312" s="4" t="s">
        <v>1488</v>
      </c>
      <c r="B1312" s="13" t="n">
        <v>45462</v>
      </c>
      <c r="C1312" s="4" t="s">
        <v>6213</v>
      </c>
      <c r="D1312" s="4" t="s">
        <v>6203</v>
      </c>
      <c r="E1312" s="4" t="s">
        <v>6208</v>
      </c>
      <c r="F1312" s="4" t="s">
        <v>6204</v>
      </c>
    </row>
    <row r="1313" customFormat="false" ht="15" hidden="false" customHeight="true" outlineLevel="0" collapsed="false">
      <c r="A1313" s="4" t="s">
        <v>1489</v>
      </c>
      <c r="B1313" s="13" t="n">
        <v>45114</v>
      </c>
      <c r="C1313" s="4" t="s">
        <v>6198</v>
      </c>
      <c r="D1313" s="4" t="s">
        <v>6211</v>
      </c>
      <c r="E1313" s="4" t="s">
        <v>6205</v>
      </c>
      <c r="F1313" s="4"/>
    </row>
    <row r="1314" customFormat="false" ht="15" hidden="false" customHeight="true" outlineLevel="0" collapsed="false">
      <c r="A1314" s="4" t="s">
        <v>1490</v>
      </c>
      <c r="B1314" s="13" t="n">
        <v>45095</v>
      </c>
      <c r="C1314" s="4" t="s">
        <v>6213</v>
      </c>
      <c r="D1314" s="4" t="s">
        <v>6203</v>
      </c>
      <c r="E1314" s="4" t="s">
        <v>6195</v>
      </c>
      <c r="F1314" s="4" t="s">
        <v>6212</v>
      </c>
    </row>
    <row r="1315" customFormat="false" ht="15" hidden="false" customHeight="true" outlineLevel="0" collapsed="false">
      <c r="A1315" s="4" t="s">
        <v>1491</v>
      </c>
      <c r="B1315" s="13" t="n">
        <v>45408</v>
      </c>
      <c r="C1315" s="4" t="s">
        <v>6194</v>
      </c>
      <c r="D1315" s="4" t="s">
        <v>6199</v>
      </c>
      <c r="E1315" s="4" t="s">
        <v>6206</v>
      </c>
      <c r="F1315" s="4" t="s">
        <v>6200</v>
      </c>
    </row>
    <row r="1316" customFormat="false" ht="15" hidden="false" customHeight="true" outlineLevel="0" collapsed="false">
      <c r="A1316" s="4" t="s">
        <v>1492</v>
      </c>
      <c r="B1316" s="13" t="n">
        <v>44934</v>
      </c>
      <c r="C1316" s="4" t="s">
        <v>6201</v>
      </c>
      <c r="D1316" s="4" t="s">
        <v>6203</v>
      </c>
      <c r="E1316" s="4" t="s">
        <v>6199</v>
      </c>
      <c r="F1316" s="4"/>
    </row>
    <row r="1317" customFormat="false" ht="15" hidden="false" customHeight="true" outlineLevel="0" collapsed="false">
      <c r="A1317" s="4" t="s">
        <v>1493</v>
      </c>
      <c r="B1317" s="13" t="n">
        <v>45489</v>
      </c>
      <c r="C1317" s="4" t="s">
        <v>6209</v>
      </c>
      <c r="D1317" s="4" t="s">
        <v>6207</v>
      </c>
      <c r="E1317" s="4" t="s">
        <v>6195</v>
      </c>
      <c r="F1317" s="4" t="s">
        <v>6214</v>
      </c>
    </row>
    <row r="1318" customFormat="false" ht="15" hidden="false" customHeight="true" outlineLevel="0" collapsed="false">
      <c r="A1318" s="4" t="s">
        <v>1494</v>
      </c>
      <c r="B1318" s="13" t="n">
        <v>45514</v>
      </c>
      <c r="C1318" s="4" t="s">
        <v>6215</v>
      </c>
      <c r="D1318" s="4" t="s">
        <v>6208</v>
      </c>
      <c r="E1318" s="4" t="s">
        <v>6206</v>
      </c>
      <c r="F1318" s="4"/>
    </row>
    <row r="1319" customFormat="false" ht="15" hidden="false" customHeight="true" outlineLevel="0" collapsed="false">
      <c r="A1319" s="4" t="s">
        <v>1495</v>
      </c>
      <c r="B1319" s="13" t="n">
        <v>45043</v>
      </c>
      <c r="C1319" s="4" t="s">
        <v>6194</v>
      </c>
      <c r="D1319" s="4" t="s">
        <v>6195</v>
      </c>
      <c r="E1319" s="4" t="s">
        <v>6203</v>
      </c>
      <c r="F1319" s="4" t="s">
        <v>6216</v>
      </c>
    </row>
    <row r="1320" customFormat="false" ht="15" hidden="false" customHeight="true" outlineLevel="0" collapsed="false">
      <c r="A1320" s="4" t="s">
        <v>1496</v>
      </c>
      <c r="B1320" s="13" t="n">
        <v>45248</v>
      </c>
      <c r="C1320" s="4" t="s">
        <v>6215</v>
      </c>
      <c r="D1320" s="4" t="s">
        <v>6199</v>
      </c>
      <c r="E1320" s="4" t="s">
        <v>6208</v>
      </c>
      <c r="F1320" s="4" t="s">
        <v>6197</v>
      </c>
    </row>
    <row r="1321" customFormat="false" ht="15" hidden="false" customHeight="true" outlineLevel="0" collapsed="false">
      <c r="A1321" s="4" t="s">
        <v>1497</v>
      </c>
      <c r="B1321" s="13" t="n">
        <v>45238</v>
      </c>
      <c r="C1321" s="4" t="s">
        <v>6210</v>
      </c>
      <c r="D1321" s="4" t="s">
        <v>6195</v>
      </c>
      <c r="E1321" s="4" t="s">
        <v>6208</v>
      </c>
      <c r="F1321" s="4" t="s">
        <v>6200</v>
      </c>
    </row>
    <row r="1322" customFormat="false" ht="15" hidden="false" customHeight="true" outlineLevel="0" collapsed="false">
      <c r="A1322" s="4" t="s">
        <v>1498</v>
      </c>
      <c r="B1322" s="13" t="n">
        <v>45023</v>
      </c>
      <c r="C1322" s="4" t="s">
        <v>6198</v>
      </c>
      <c r="D1322" s="4" t="s">
        <v>6203</v>
      </c>
      <c r="E1322" s="4" t="s">
        <v>6206</v>
      </c>
      <c r="F1322" s="4"/>
    </row>
    <row r="1323" customFormat="false" ht="15" hidden="false" customHeight="true" outlineLevel="0" collapsed="false">
      <c r="A1323" s="4" t="s">
        <v>1499</v>
      </c>
      <c r="B1323" s="13" t="n">
        <v>45558</v>
      </c>
      <c r="C1323" s="4" t="s">
        <v>6194</v>
      </c>
      <c r="D1323" s="4" t="s">
        <v>6205</v>
      </c>
      <c r="E1323" s="4" t="s">
        <v>6205</v>
      </c>
      <c r="F1323" s="4" t="s">
        <v>6204</v>
      </c>
    </row>
    <row r="1324" customFormat="false" ht="15" hidden="false" customHeight="true" outlineLevel="0" collapsed="false">
      <c r="A1324" s="4" t="s">
        <v>1500</v>
      </c>
      <c r="B1324" s="13" t="n">
        <v>45074</v>
      </c>
      <c r="C1324" s="4" t="s">
        <v>6215</v>
      </c>
      <c r="D1324" s="4" t="s">
        <v>6203</v>
      </c>
      <c r="E1324" s="4" t="s">
        <v>6205</v>
      </c>
      <c r="F1324" s="4"/>
    </row>
    <row r="1325" customFormat="false" ht="15" hidden="false" customHeight="true" outlineLevel="0" collapsed="false">
      <c r="A1325" s="4" t="s">
        <v>1501</v>
      </c>
      <c r="B1325" s="13" t="n">
        <v>45315</v>
      </c>
      <c r="C1325" s="4" t="s">
        <v>6215</v>
      </c>
      <c r="D1325" s="4" t="s">
        <v>6211</v>
      </c>
      <c r="E1325" s="4" t="s">
        <v>6211</v>
      </c>
      <c r="F1325" s="4"/>
    </row>
    <row r="1326" customFormat="false" ht="15" hidden="false" customHeight="true" outlineLevel="0" collapsed="false">
      <c r="A1326" s="4" t="s">
        <v>1502</v>
      </c>
      <c r="B1326" s="13" t="n">
        <v>45484</v>
      </c>
      <c r="C1326" s="4" t="s">
        <v>6209</v>
      </c>
      <c r="D1326" s="4" t="s">
        <v>6207</v>
      </c>
      <c r="E1326" s="4" t="s">
        <v>6195</v>
      </c>
      <c r="F1326" s="4" t="s">
        <v>6212</v>
      </c>
    </row>
    <row r="1327" customFormat="false" ht="15" hidden="false" customHeight="true" outlineLevel="0" collapsed="false">
      <c r="A1327" s="4" t="s">
        <v>1503</v>
      </c>
      <c r="B1327" s="13" t="n">
        <v>45090</v>
      </c>
      <c r="C1327" s="4" t="s">
        <v>6194</v>
      </c>
      <c r="D1327" s="4" t="s">
        <v>6199</v>
      </c>
      <c r="E1327" s="4" t="s">
        <v>6195</v>
      </c>
      <c r="F1327" s="4" t="s">
        <v>6214</v>
      </c>
    </row>
    <row r="1328" customFormat="false" ht="15" hidden="false" customHeight="true" outlineLevel="0" collapsed="false">
      <c r="A1328" s="4" t="s">
        <v>1504</v>
      </c>
      <c r="B1328" s="13" t="n">
        <v>45317</v>
      </c>
      <c r="C1328" s="4" t="s">
        <v>6213</v>
      </c>
      <c r="D1328" s="4" t="s">
        <v>6196</v>
      </c>
      <c r="E1328" s="4" t="s">
        <v>6203</v>
      </c>
      <c r="F1328" s="4" t="s">
        <v>6197</v>
      </c>
    </row>
    <row r="1329" customFormat="false" ht="15" hidden="false" customHeight="true" outlineLevel="0" collapsed="false">
      <c r="A1329" s="4" t="s">
        <v>1505</v>
      </c>
      <c r="B1329" s="13" t="n">
        <v>45063</v>
      </c>
      <c r="C1329" s="4" t="s">
        <v>6215</v>
      </c>
      <c r="D1329" s="4" t="s">
        <v>6203</v>
      </c>
      <c r="E1329" s="4" t="s">
        <v>6196</v>
      </c>
      <c r="F1329" s="4"/>
    </row>
    <row r="1330" customFormat="false" ht="15" hidden="false" customHeight="true" outlineLevel="0" collapsed="false">
      <c r="A1330" s="4" t="s">
        <v>1506</v>
      </c>
      <c r="B1330" s="13" t="n">
        <v>45610</v>
      </c>
      <c r="C1330" s="4" t="s">
        <v>6201</v>
      </c>
      <c r="D1330" s="4" t="s">
        <v>6208</v>
      </c>
      <c r="E1330" s="4" t="s">
        <v>6206</v>
      </c>
      <c r="F1330" s="4" t="s">
        <v>6212</v>
      </c>
    </row>
    <row r="1331" customFormat="false" ht="15" hidden="false" customHeight="true" outlineLevel="0" collapsed="false">
      <c r="A1331" s="4" t="s">
        <v>1507</v>
      </c>
      <c r="B1331" s="13" t="n">
        <v>45322</v>
      </c>
      <c r="C1331" s="4" t="s">
        <v>6213</v>
      </c>
      <c r="D1331" s="4" t="s">
        <v>6203</v>
      </c>
      <c r="E1331" s="4" t="s">
        <v>6196</v>
      </c>
      <c r="F1331" s="4" t="s">
        <v>6216</v>
      </c>
    </row>
    <row r="1332" customFormat="false" ht="15" hidden="false" customHeight="true" outlineLevel="0" collapsed="false">
      <c r="A1332" s="4" t="s">
        <v>1508</v>
      </c>
      <c r="B1332" s="13" t="n">
        <v>45218</v>
      </c>
      <c r="C1332" s="4" t="s">
        <v>6215</v>
      </c>
      <c r="D1332" s="4" t="s">
        <v>6205</v>
      </c>
      <c r="E1332" s="4" t="s">
        <v>6203</v>
      </c>
      <c r="F1332" s="4" t="s">
        <v>6214</v>
      </c>
    </row>
    <row r="1333" customFormat="false" ht="15" hidden="false" customHeight="true" outlineLevel="0" collapsed="false">
      <c r="A1333" s="4" t="s">
        <v>1509</v>
      </c>
      <c r="B1333" s="13" t="n">
        <v>45147</v>
      </c>
      <c r="C1333" s="4" t="s">
        <v>6198</v>
      </c>
      <c r="D1333" s="4" t="s">
        <v>6205</v>
      </c>
      <c r="E1333" s="4" t="s">
        <v>6203</v>
      </c>
      <c r="F1333" s="4"/>
    </row>
    <row r="1334" customFormat="false" ht="15" hidden="false" customHeight="true" outlineLevel="0" collapsed="false">
      <c r="A1334" s="4" t="s">
        <v>1510</v>
      </c>
      <c r="B1334" s="13" t="n">
        <v>45624</v>
      </c>
      <c r="C1334" s="4" t="s">
        <v>6215</v>
      </c>
      <c r="D1334" s="4" t="s">
        <v>6203</v>
      </c>
      <c r="E1334" s="4" t="s">
        <v>6196</v>
      </c>
      <c r="F1334" s="4"/>
    </row>
    <row r="1335" customFormat="false" ht="15" hidden="false" customHeight="true" outlineLevel="0" collapsed="false">
      <c r="A1335" s="4" t="s">
        <v>1511</v>
      </c>
      <c r="B1335" s="13" t="n">
        <v>45354</v>
      </c>
      <c r="C1335" s="4" t="s">
        <v>6198</v>
      </c>
      <c r="D1335" s="4" t="s">
        <v>6203</v>
      </c>
      <c r="E1335" s="4" t="s">
        <v>6195</v>
      </c>
      <c r="F1335" s="4" t="s">
        <v>6214</v>
      </c>
    </row>
    <row r="1336" customFormat="false" ht="15" hidden="false" customHeight="true" outlineLevel="0" collapsed="false">
      <c r="A1336" s="4" t="s">
        <v>1512</v>
      </c>
      <c r="B1336" s="13" t="n">
        <v>45070</v>
      </c>
      <c r="C1336" s="4" t="s">
        <v>6215</v>
      </c>
      <c r="D1336" s="4" t="s">
        <v>6211</v>
      </c>
      <c r="E1336" s="4" t="s">
        <v>6205</v>
      </c>
      <c r="F1336" s="4" t="s">
        <v>6204</v>
      </c>
    </row>
    <row r="1337" customFormat="false" ht="15" hidden="false" customHeight="true" outlineLevel="0" collapsed="false">
      <c r="A1337" s="4" t="s">
        <v>1513</v>
      </c>
      <c r="B1337" s="13" t="n">
        <v>45121</v>
      </c>
      <c r="C1337" s="4" t="s">
        <v>6209</v>
      </c>
      <c r="D1337" s="4" t="s">
        <v>6199</v>
      </c>
      <c r="E1337" s="4" t="s">
        <v>6196</v>
      </c>
      <c r="F1337" s="4" t="s">
        <v>6214</v>
      </c>
    </row>
    <row r="1338" customFormat="false" ht="15" hidden="false" customHeight="true" outlineLevel="0" collapsed="false">
      <c r="A1338" s="4" t="s">
        <v>1514</v>
      </c>
      <c r="B1338" s="13" t="n">
        <v>45042</v>
      </c>
      <c r="C1338" s="4" t="s">
        <v>6213</v>
      </c>
      <c r="D1338" s="4" t="s">
        <v>6206</v>
      </c>
      <c r="E1338" s="4" t="s">
        <v>6199</v>
      </c>
      <c r="F1338" s="4"/>
    </row>
    <row r="1339" customFormat="false" ht="15" hidden="false" customHeight="true" outlineLevel="0" collapsed="false">
      <c r="A1339" s="4" t="s">
        <v>1515</v>
      </c>
      <c r="B1339" s="13" t="n">
        <v>45533</v>
      </c>
      <c r="C1339" s="4" t="s">
        <v>6210</v>
      </c>
      <c r="D1339" s="4" t="s">
        <v>6195</v>
      </c>
      <c r="E1339" s="4" t="s">
        <v>6206</v>
      </c>
      <c r="F1339" s="4" t="s">
        <v>6212</v>
      </c>
    </row>
    <row r="1340" customFormat="false" ht="15" hidden="false" customHeight="true" outlineLevel="0" collapsed="false">
      <c r="A1340" s="4" t="s">
        <v>1516</v>
      </c>
      <c r="B1340" s="13" t="n">
        <v>45408</v>
      </c>
      <c r="C1340" s="4" t="s">
        <v>6210</v>
      </c>
      <c r="D1340" s="4" t="s">
        <v>6207</v>
      </c>
      <c r="E1340" s="4" t="s">
        <v>6195</v>
      </c>
      <c r="F1340" s="4" t="s">
        <v>6200</v>
      </c>
    </row>
    <row r="1341" customFormat="false" ht="15" hidden="false" customHeight="true" outlineLevel="0" collapsed="false">
      <c r="A1341" s="4" t="s">
        <v>1517</v>
      </c>
      <c r="B1341" s="13" t="n">
        <v>45493</v>
      </c>
      <c r="C1341" s="4" t="s">
        <v>6210</v>
      </c>
      <c r="D1341" s="4" t="s">
        <v>6196</v>
      </c>
      <c r="E1341" s="4" t="s">
        <v>6202</v>
      </c>
      <c r="F1341" s="4" t="s">
        <v>6216</v>
      </c>
    </row>
    <row r="1342" customFormat="false" ht="15" hidden="false" customHeight="true" outlineLevel="0" collapsed="false">
      <c r="A1342" s="4" t="s">
        <v>1518</v>
      </c>
      <c r="B1342" s="13" t="n">
        <v>45354</v>
      </c>
      <c r="C1342" s="4" t="s">
        <v>6194</v>
      </c>
      <c r="D1342" s="4" t="s">
        <v>6203</v>
      </c>
      <c r="E1342" s="4" t="s">
        <v>6211</v>
      </c>
      <c r="F1342" s="4"/>
    </row>
    <row r="1343" customFormat="false" ht="15" hidden="false" customHeight="true" outlineLevel="0" collapsed="false">
      <c r="A1343" s="4" t="s">
        <v>1519</v>
      </c>
      <c r="B1343" s="13" t="n">
        <v>45567</v>
      </c>
      <c r="C1343" s="4" t="s">
        <v>6198</v>
      </c>
      <c r="D1343" s="4" t="s">
        <v>6202</v>
      </c>
      <c r="E1343" s="4" t="s">
        <v>6206</v>
      </c>
      <c r="F1343" s="4" t="s">
        <v>6214</v>
      </c>
    </row>
    <row r="1344" customFormat="false" ht="15" hidden="false" customHeight="true" outlineLevel="0" collapsed="false">
      <c r="A1344" s="4" t="s">
        <v>1520</v>
      </c>
      <c r="B1344" s="13" t="n">
        <v>45125</v>
      </c>
      <c r="C1344" s="4" t="s">
        <v>6209</v>
      </c>
      <c r="D1344" s="4" t="s">
        <v>6211</v>
      </c>
      <c r="E1344" s="4" t="s">
        <v>6206</v>
      </c>
      <c r="F1344" s="4"/>
    </row>
    <row r="1345" customFormat="false" ht="15" hidden="false" customHeight="true" outlineLevel="0" collapsed="false">
      <c r="A1345" s="4" t="s">
        <v>1521</v>
      </c>
      <c r="B1345" s="13" t="n">
        <v>45158</v>
      </c>
      <c r="C1345" s="4" t="s">
        <v>6198</v>
      </c>
      <c r="D1345" s="4" t="s">
        <v>6196</v>
      </c>
      <c r="E1345" s="4" t="s">
        <v>6199</v>
      </c>
      <c r="F1345" s="4"/>
    </row>
    <row r="1346" customFormat="false" ht="15" hidden="false" customHeight="true" outlineLevel="0" collapsed="false">
      <c r="A1346" s="4" t="s">
        <v>1522</v>
      </c>
      <c r="B1346" s="13" t="n">
        <v>45315</v>
      </c>
      <c r="C1346" s="4" t="s">
        <v>6198</v>
      </c>
      <c r="D1346" s="4" t="s">
        <v>6208</v>
      </c>
      <c r="E1346" s="4" t="s">
        <v>6207</v>
      </c>
      <c r="F1346" s="4" t="s">
        <v>6214</v>
      </c>
    </row>
    <row r="1347" customFormat="false" ht="15" hidden="false" customHeight="true" outlineLevel="0" collapsed="false">
      <c r="A1347" s="4" t="s">
        <v>1523</v>
      </c>
      <c r="B1347" s="13" t="n">
        <v>45194</v>
      </c>
      <c r="C1347" s="4" t="s">
        <v>6198</v>
      </c>
      <c r="D1347" s="4" t="s">
        <v>6206</v>
      </c>
      <c r="E1347" s="4" t="s">
        <v>6196</v>
      </c>
      <c r="F1347" s="4" t="s">
        <v>6212</v>
      </c>
    </row>
    <row r="1348" customFormat="false" ht="15" hidden="false" customHeight="true" outlineLevel="0" collapsed="false">
      <c r="A1348" s="4" t="s">
        <v>1524</v>
      </c>
      <c r="B1348" s="13" t="n">
        <v>45537</v>
      </c>
      <c r="C1348" s="4" t="s">
        <v>6210</v>
      </c>
      <c r="D1348" s="4" t="s">
        <v>6196</v>
      </c>
      <c r="E1348" s="4" t="s">
        <v>6208</v>
      </c>
      <c r="F1348" s="4" t="s">
        <v>6212</v>
      </c>
    </row>
    <row r="1349" customFormat="false" ht="15" hidden="false" customHeight="true" outlineLevel="0" collapsed="false">
      <c r="A1349" s="4" t="s">
        <v>1525</v>
      </c>
      <c r="B1349" s="13" t="n">
        <v>45323</v>
      </c>
      <c r="C1349" s="4" t="s">
        <v>6213</v>
      </c>
      <c r="D1349" s="4" t="s">
        <v>6207</v>
      </c>
      <c r="E1349" s="4" t="s">
        <v>6206</v>
      </c>
      <c r="F1349" s="4"/>
    </row>
    <row r="1350" customFormat="false" ht="15" hidden="false" customHeight="true" outlineLevel="0" collapsed="false">
      <c r="A1350" s="4" t="s">
        <v>1526</v>
      </c>
      <c r="B1350" s="13" t="n">
        <v>45021</v>
      </c>
      <c r="C1350" s="4" t="s">
        <v>6210</v>
      </c>
      <c r="D1350" s="4" t="s">
        <v>6202</v>
      </c>
      <c r="E1350" s="4" t="s">
        <v>6211</v>
      </c>
      <c r="F1350" s="4" t="s">
        <v>6212</v>
      </c>
    </row>
    <row r="1351" customFormat="false" ht="15" hidden="false" customHeight="true" outlineLevel="0" collapsed="false">
      <c r="A1351" s="4" t="s">
        <v>1527</v>
      </c>
      <c r="B1351" s="13" t="n">
        <v>45075</v>
      </c>
      <c r="C1351" s="4" t="s">
        <v>6201</v>
      </c>
      <c r="D1351" s="4" t="s">
        <v>6196</v>
      </c>
      <c r="E1351" s="4" t="s">
        <v>6211</v>
      </c>
      <c r="F1351" s="4"/>
    </row>
    <row r="1352" customFormat="false" ht="15" hidden="false" customHeight="true" outlineLevel="0" collapsed="false">
      <c r="A1352" s="4" t="s">
        <v>1528</v>
      </c>
      <c r="B1352" s="13" t="n">
        <v>45103</v>
      </c>
      <c r="C1352" s="4" t="s">
        <v>6210</v>
      </c>
      <c r="D1352" s="4" t="s">
        <v>6199</v>
      </c>
      <c r="E1352" s="4" t="s">
        <v>6195</v>
      </c>
      <c r="F1352" s="4"/>
    </row>
    <row r="1353" customFormat="false" ht="15" hidden="false" customHeight="true" outlineLevel="0" collapsed="false">
      <c r="A1353" s="4" t="s">
        <v>1529</v>
      </c>
      <c r="B1353" s="13" t="n">
        <v>45375</v>
      </c>
      <c r="C1353" s="4" t="s">
        <v>6201</v>
      </c>
      <c r="D1353" s="4" t="s">
        <v>6207</v>
      </c>
      <c r="E1353" s="4" t="s">
        <v>6202</v>
      </c>
      <c r="F1353" s="4" t="s">
        <v>6200</v>
      </c>
    </row>
    <row r="1354" customFormat="false" ht="15" hidden="false" customHeight="true" outlineLevel="0" collapsed="false">
      <c r="A1354" s="4" t="s">
        <v>1530</v>
      </c>
      <c r="B1354" s="13" t="n">
        <v>45052</v>
      </c>
      <c r="C1354" s="4" t="s">
        <v>6209</v>
      </c>
      <c r="D1354" s="4" t="s">
        <v>6206</v>
      </c>
      <c r="E1354" s="4" t="s">
        <v>6206</v>
      </c>
      <c r="F1354" s="4" t="s">
        <v>6200</v>
      </c>
    </row>
    <row r="1355" customFormat="false" ht="15" hidden="false" customHeight="true" outlineLevel="0" collapsed="false">
      <c r="A1355" s="4" t="s">
        <v>1531</v>
      </c>
      <c r="B1355" s="13" t="n">
        <v>45045</v>
      </c>
      <c r="C1355" s="4" t="s">
        <v>6209</v>
      </c>
      <c r="D1355" s="4" t="s">
        <v>6203</v>
      </c>
      <c r="E1355" s="4" t="s">
        <v>6207</v>
      </c>
      <c r="F1355" s="4"/>
    </row>
    <row r="1356" customFormat="false" ht="15" hidden="false" customHeight="true" outlineLevel="0" collapsed="false">
      <c r="A1356" s="4" t="s">
        <v>1532</v>
      </c>
      <c r="B1356" s="13" t="n">
        <v>45003</v>
      </c>
      <c r="C1356" s="4" t="s">
        <v>6210</v>
      </c>
      <c r="D1356" s="4" t="s">
        <v>6207</v>
      </c>
      <c r="E1356" s="4" t="s">
        <v>6196</v>
      </c>
      <c r="F1356" s="4"/>
    </row>
    <row r="1357" customFormat="false" ht="15" hidden="false" customHeight="true" outlineLevel="0" collapsed="false">
      <c r="A1357" s="4" t="s">
        <v>1533</v>
      </c>
      <c r="B1357" s="13" t="n">
        <v>45282</v>
      </c>
      <c r="C1357" s="4" t="s">
        <v>6201</v>
      </c>
      <c r="D1357" s="4" t="s">
        <v>6203</v>
      </c>
      <c r="E1357" s="4" t="s">
        <v>6195</v>
      </c>
      <c r="F1357" s="4"/>
    </row>
    <row r="1358" customFormat="false" ht="15" hidden="false" customHeight="true" outlineLevel="0" collapsed="false">
      <c r="A1358" s="4" t="s">
        <v>1534</v>
      </c>
      <c r="B1358" s="13" t="n">
        <v>45486</v>
      </c>
      <c r="C1358" s="4" t="s">
        <v>6210</v>
      </c>
      <c r="D1358" s="4" t="s">
        <v>6199</v>
      </c>
      <c r="E1358" s="4" t="s">
        <v>6202</v>
      </c>
      <c r="F1358" s="4" t="s">
        <v>6200</v>
      </c>
    </row>
    <row r="1359" customFormat="false" ht="15" hidden="false" customHeight="true" outlineLevel="0" collapsed="false">
      <c r="A1359" s="4" t="s">
        <v>1535</v>
      </c>
      <c r="B1359" s="13" t="n">
        <v>45568</v>
      </c>
      <c r="C1359" s="4" t="s">
        <v>6198</v>
      </c>
      <c r="D1359" s="4" t="s">
        <v>6203</v>
      </c>
      <c r="E1359" s="4" t="s">
        <v>6208</v>
      </c>
      <c r="F1359" s="4"/>
    </row>
    <row r="1360" customFormat="false" ht="15" hidden="false" customHeight="true" outlineLevel="0" collapsed="false">
      <c r="A1360" s="4" t="s">
        <v>1536</v>
      </c>
      <c r="B1360" s="13" t="n">
        <v>45045</v>
      </c>
      <c r="C1360" s="4" t="s">
        <v>6198</v>
      </c>
      <c r="D1360" s="4" t="s">
        <v>6196</v>
      </c>
      <c r="E1360" s="4" t="s">
        <v>6205</v>
      </c>
      <c r="F1360" s="4"/>
    </row>
    <row r="1361" customFormat="false" ht="15" hidden="false" customHeight="true" outlineLevel="0" collapsed="false">
      <c r="A1361" s="4" t="s">
        <v>1537</v>
      </c>
      <c r="B1361" s="13" t="n">
        <v>45335</v>
      </c>
      <c r="C1361" s="4" t="s">
        <v>6213</v>
      </c>
      <c r="D1361" s="4" t="s">
        <v>6208</v>
      </c>
      <c r="E1361" s="4" t="s">
        <v>6206</v>
      </c>
      <c r="F1361" s="4" t="s">
        <v>6216</v>
      </c>
    </row>
    <row r="1362" customFormat="false" ht="15" hidden="false" customHeight="true" outlineLevel="0" collapsed="false">
      <c r="A1362" s="4" t="s">
        <v>1538</v>
      </c>
      <c r="B1362" s="13" t="n">
        <v>45001</v>
      </c>
      <c r="C1362" s="4" t="s">
        <v>6213</v>
      </c>
      <c r="D1362" s="4" t="s">
        <v>6199</v>
      </c>
      <c r="E1362" s="4" t="s">
        <v>6199</v>
      </c>
      <c r="F1362" s="4"/>
    </row>
    <row r="1363" customFormat="false" ht="15" hidden="false" customHeight="true" outlineLevel="0" collapsed="false">
      <c r="A1363" s="4" t="s">
        <v>1539</v>
      </c>
      <c r="B1363" s="13" t="n">
        <v>45373</v>
      </c>
      <c r="C1363" s="4" t="s">
        <v>6215</v>
      </c>
      <c r="D1363" s="4" t="s">
        <v>6199</v>
      </c>
      <c r="E1363" s="4" t="s">
        <v>6208</v>
      </c>
      <c r="F1363" s="4"/>
    </row>
    <row r="1364" customFormat="false" ht="15" hidden="false" customHeight="true" outlineLevel="0" collapsed="false">
      <c r="A1364" s="4" t="s">
        <v>1540</v>
      </c>
      <c r="B1364" s="13" t="n">
        <v>45311</v>
      </c>
      <c r="C1364" s="4" t="s">
        <v>6215</v>
      </c>
      <c r="D1364" s="4" t="s">
        <v>6207</v>
      </c>
      <c r="E1364" s="4" t="s">
        <v>6206</v>
      </c>
      <c r="F1364" s="4"/>
    </row>
    <row r="1365" customFormat="false" ht="15" hidden="false" customHeight="true" outlineLevel="0" collapsed="false">
      <c r="A1365" s="4" t="s">
        <v>1541</v>
      </c>
      <c r="B1365" s="13" t="n">
        <v>45235</v>
      </c>
      <c r="C1365" s="4" t="s">
        <v>6213</v>
      </c>
      <c r="D1365" s="4" t="s">
        <v>6196</v>
      </c>
      <c r="E1365" s="4" t="s">
        <v>6196</v>
      </c>
      <c r="F1365" s="4" t="s">
        <v>6214</v>
      </c>
    </row>
    <row r="1366" customFormat="false" ht="15" hidden="false" customHeight="true" outlineLevel="0" collapsed="false">
      <c r="A1366" s="4" t="s">
        <v>1542</v>
      </c>
      <c r="B1366" s="13" t="n">
        <v>45328</v>
      </c>
      <c r="C1366" s="4" t="s">
        <v>6201</v>
      </c>
      <c r="D1366" s="4" t="s">
        <v>6208</v>
      </c>
      <c r="E1366" s="4" t="s">
        <v>6205</v>
      </c>
      <c r="F1366" s="4" t="s">
        <v>6204</v>
      </c>
    </row>
    <row r="1367" customFormat="false" ht="15" hidden="false" customHeight="true" outlineLevel="0" collapsed="false">
      <c r="A1367" s="4" t="s">
        <v>1543</v>
      </c>
      <c r="B1367" s="13" t="n">
        <v>45577</v>
      </c>
      <c r="C1367" s="4" t="s">
        <v>6209</v>
      </c>
      <c r="D1367" s="4" t="s">
        <v>6205</v>
      </c>
      <c r="E1367" s="4" t="s">
        <v>6205</v>
      </c>
      <c r="F1367" s="4"/>
    </row>
    <row r="1368" customFormat="false" ht="15" hidden="false" customHeight="true" outlineLevel="0" collapsed="false">
      <c r="A1368" s="4" t="s">
        <v>1544</v>
      </c>
      <c r="B1368" s="13" t="n">
        <v>44974</v>
      </c>
      <c r="C1368" s="4" t="s">
        <v>6210</v>
      </c>
      <c r="D1368" s="4" t="s">
        <v>6211</v>
      </c>
      <c r="E1368" s="4" t="s">
        <v>6196</v>
      </c>
      <c r="F1368" s="4"/>
    </row>
    <row r="1369" customFormat="false" ht="15" hidden="false" customHeight="true" outlineLevel="0" collapsed="false">
      <c r="A1369" s="4" t="s">
        <v>1545</v>
      </c>
      <c r="B1369" s="13" t="n">
        <v>45564</v>
      </c>
      <c r="C1369" s="4" t="s">
        <v>6194</v>
      </c>
      <c r="D1369" s="4" t="s">
        <v>6202</v>
      </c>
      <c r="E1369" s="4" t="s">
        <v>6207</v>
      </c>
      <c r="F1369" s="4" t="s">
        <v>6212</v>
      </c>
    </row>
    <row r="1370" customFormat="false" ht="15" hidden="false" customHeight="true" outlineLevel="0" collapsed="false">
      <c r="A1370" s="4" t="s">
        <v>1546</v>
      </c>
      <c r="B1370" s="13" t="n">
        <v>45546</v>
      </c>
      <c r="C1370" s="4" t="s">
        <v>6194</v>
      </c>
      <c r="D1370" s="4" t="s">
        <v>6202</v>
      </c>
      <c r="E1370" s="4" t="s">
        <v>6206</v>
      </c>
      <c r="F1370" s="4"/>
    </row>
    <row r="1371" customFormat="false" ht="15" hidden="false" customHeight="true" outlineLevel="0" collapsed="false">
      <c r="A1371" s="4" t="s">
        <v>1547</v>
      </c>
      <c r="B1371" s="13" t="n">
        <v>45498</v>
      </c>
      <c r="C1371" s="4" t="s">
        <v>6215</v>
      </c>
      <c r="D1371" s="4" t="s">
        <v>6205</v>
      </c>
      <c r="E1371" s="4" t="s">
        <v>6211</v>
      </c>
      <c r="F1371" s="4" t="s">
        <v>6200</v>
      </c>
    </row>
    <row r="1372" customFormat="false" ht="15" hidden="false" customHeight="true" outlineLevel="0" collapsed="false">
      <c r="A1372" s="4" t="s">
        <v>1548</v>
      </c>
      <c r="B1372" s="13" t="n">
        <v>45400</v>
      </c>
      <c r="C1372" s="4" t="s">
        <v>6210</v>
      </c>
      <c r="D1372" s="4" t="s">
        <v>6207</v>
      </c>
      <c r="E1372" s="4" t="s">
        <v>6207</v>
      </c>
      <c r="F1372" s="4" t="s">
        <v>6214</v>
      </c>
    </row>
    <row r="1373" customFormat="false" ht="15" hidden="false" customHeight="true" outlineLevel="0" collapsed="false">
      <c r="A1373" s="4" t="s">
        <v>1549</v>
      </c>
      <c r="B1373" s="13" t="n">
        <v>45228</v>
      </c>
      <c r="C1373" s="4" t="s">
        <v>6210</v>
      </c>
      <c r="D1373" s="4" t="s">
        <v>6206</v>
      </c>
      <c r="E1373" s="4" t="s">
        <v>6207</v>
      </c>
      <c r="F1373" s="4" t="s">
        <v>6204</v>
      </c>
    </row>
    <row r="1374" customFormat="false" ht="15" hidden="false" customHeight="true" outlineLevel="0" collapsed="false">
      <c r="A1374" s="4" t="s">
        <v>1550</v>
      </c>
      <c r="B1374" s="13" t="n">
        <v>45313</v>
      </c>
      <c r="C1374" s="4" t="s">
        <v>6194</v>
      </c>
      <c r="D1374" s="4" t="s">
        <v>6208</v>
      </c>
      <c r="E1374" s="4" t="s">
        <v>6199</v>
      </c>
      <c r="F1374" s="4"/>
    </row>
    <row r="1375" customFormat="false" ht="15" hidden="false" customHeight="true" outlineLevel="0" collapsed="false">
      <c r="A1375" s="4" t="s">
        <v>1551</v>
      </c>
      <c r="B1375" s="13" t="n">
        <v>45547</v>
      </c>
      <c r="C1375" s="4" t="s">
        <v>6210</v>
      </c>
      <c r="D1375" s="4" t="s">
        <v>6206</v>
      </c>
      <c r="E1375" s="4" t="s">
        <v>6206</v>
      </c>
      <c r="F1375" s="4"/>
    </row>
    <row r="1376" customFormat="false" ht="15" hidden="false" customHeight="true" outlineLevel="0" collapsed="false">
      <c r="A1376" s="4" t="s">
        <v>1552</v>
      </c>
      <c r="B1376" s="13" t="n">
        <v>45245</v>
      </c>
      <c r="C1376" s="4" t="s">
        <v>6210</v>
      </c>
      <c r="D1376" s="4" t="s">
        <v>6203</v>
      </c>
      <c r="E1376" s="4" t="s">
        <v>6202</v>
      </c>
      <c r="F1376" s="4" t="s">
        <v>6216</v>
      </c>
    </row>
    <row r="1377" customFormat="false" ht="15" hidden="false" customHeight="true" outlineLevel="0" collapsed="false">
      <c r="A1377" s="4" t="s">
        <v>1553</v>
      </c>
      <c r="B1377" s="13" t="n">
        <v>45372</v>
      </c>
      <c r="C1377" s="4" t="s">
        <v>6194</v>
      </c>
      <c r="D1377" s="4" t="s">
        <v>6199</v>
      </c>
      <c r="E1377" s="4" t="s">
        <v>6208</v>
      </c>
      <c r="F1377" s="4"/>
    </row>
    <row r="1378" customFormat="false" ht="15" hidden="false" customHeight="true" outlineLevel="0" collapsed="false">
      <c r="A1378" s="4" t="s">
        <v>1554</v>
      </c>
      <c r="B1378" s="13" t="n">
        <v>45292</v>
      </c>
      <c r="C1378" s="4" t="s">
        <v>6213</v>
      </c>
      <c r="D1378" s="4" t="s">
        <v>6203</v>
      </c>
      <c r="E1378" s="4" t="s">
        <v>6199</v>
      </c>
      <c r="F1378" s="4" t="s">
        <v>6212</v>
      </c>
    </row>
    <row r="1379" customFormat="false" ht="15" hidden="false" customHeight="true" outlineLevel="0" collapsed="false">
      <c r="A1379" s="4" t="s">
        <v>1555</v>
      </c>
      <c r="B1379" s="13" t="n">
        <v>45007</v>
      </c>
      <c r="C1379" s="4" t="s">
        <v>6215</v>
      </c>
      <c r="D1379" s="4" t="s">
        <v>6203</v>
      </c>
      <c r="E1379" s="4" t="s">
        <v>6196</v>
      </c>
      <c r="F1379" s="4" t="s">
        <v>6197</v>
      </c>
    </row>
    <row r="1380" customFormat="false" ht="15" hidden="false" customHeight="true" outlineLevel="0" collapsed="false">
      <c r="A1380" s="4" t="s">
        <v>1556</v>
      </c>
      <c r="B1380" s="13" t="n">
        <v>45594</v>
      </c>
      <c r="C1380" s="4" t="s">
        <v>6213</v>
      </c>
      <c r="D1380" s="4" t="s">
        <v>6203</v>
      </c>
      <c r="E1380" s="4" t="s">
        <v>6208</v>
      </c>
      <c r="F1380" s="4" t="s">
        <v>6197</v>
      </c>
    </row>
    <row r="1381" customFormat="false" ht="15" hidden="false" customHeight="true" outlineLevel="0" collapsed="false">
      <c r="A1381" s="4" t="s">
        <v>1557</v>
      </c>
      <c r="B1381" s="13" t="n">
        <v>45005</v>
      </c>
      <c r="C1381" s="4" t="s">
        <v>6213</v>
      </c>
      <c r="D1381" s="4" t="s">
        <v>6202</v>
      </c>
      <c r="E1381" s="4" t="s">
        <v>6206</v>
      </c>
      <c r="F1381" s="4" t="s">
        <v>6197</v>
      </c>
    </row>
    <row r="1382" customFormat="false" ht="15" hidden="false" customHeight="true" outlineLevel="0" collapsed="false">
      <c r="A1382" s="4" t="s">
        <v>1558</v>
      </c>
      <c r="B1382" s="13" t="n">
        <v>45183</v>
      </c>
      <c r="C1382" s="4" t="s">
        <v>6215</v>
      </c>
      <c r="D1382" s="4" t="s">
        <v>6195</v>
      </c>
      <c r="E1382" s="4" t="s">
        <v>6208</v>
      </c>
      <c r="F1382" s="4" t="s">
        <v>6200</v>
      </c>
    </row>
    <row r="1383" customFormat="false" ht="15" hidden="false" customHeight="true" outlineLevel="0" collapsed="false">
      <c r="A1383" s="4" t="s">
        <v>1559</v>
      </c>
      <c r="B1383" s="13" t="n">
        <v>45188</v>
      </c>
      <c r="C1383" s="4" t="s">
        <v>6215</v>
      </c>
      <c r="D1383" s="4" t="s">
        <v>6202</v>
      </c>
      <c r="E1383" s="4" t="s">
        <v>6202</v>
      </c>
      <c r="F1383" s="4" t="s">
        <v>6212</v>
      </c>
    </row>
    <row r="1384" customFormat="false" ht="15" hidden="false" customHeight="true" outlineLevel="0" collapsed="false">
      <c r="A1384" s="4" t="s">
        <v>1560</v>
      </c>
      <c r="B1384" s="13" t="n">
        <v>45327</v>
      </c>
      <c r="C1384" s="4" t="s">
        <v>6209</v>
      </c>
      <c r="D1384" s="4" t="s">
        <v>6205</v>
      </c>
      <c r="E1384" s="4" t="s">
        <v>6196</v>
      </c>
      <c r="F1384" s="4" t="s">
        <v>6216</v>
      </c>
    </row>
    <row r="1385" customFormat="false" ht="15" hidden="false" customHeight="true" outlineLevel="0" collapsed="false">
      <c r="A1385" s="4" t="s">
        <v>1561</v>
      </c>
      <c r="B1385" s="13" t="n">
        <v>45173</v>
      </c>
      <c r="C1385" s="4" t="s">
        <v>6201</v>
      </c>
      <c r="D1385" s="4" t="s">
        <v>6207</v>
      </c>
      <c r="E1385" s="4" t="s">
        <v>6211</v>
      </c>
      <c r="F1385" s="4"/>
    </row>
    <row r="1386" customFormat="false" ht="15" hidden="false" customHeight="true" outlineLevel="0" collapsed="false">
      <c r="A1386" s="4" t="s">
        <v>1562</v>
      </c>
      <c r="B1386" s="13" t="n">
        <v>45178</v>
      </c>
      <c r="C1386" s="4" t="s">
        <v>6215</v>
      </c>
      <c r="D1386" s="4" t="s">
        <v>6205</v>
      </c>
      <c r="E1386" s="4" t="s">
        <v>6195</v>
      </c>
      <c r="F1386" s="4" t="s">
        <v>6197</v>
      </c>
    </row>
    <row r="1387" customFormat="false" ht="15" hidden="false" customHeight="true" outlineLevel="0" collapsed="false">
      <c r="A1387" s="4" t="s">
        <v>1563</v>
      </c>
      <c r="B1387" s="13" t="n">
        <v>45285</v>
      </c>
      <c r="C1387" s="4" t="s">
        <v>6213</v>
      </c>
      <c r="D1387" s="4" t="s">
        <v>6207</v>
      </c>
      <c r="E1387" s="4" t="s">
        <v>6202</v>
      </c>
      <c r="F1387" s="4" t="s">
        <v>6200</v>
      </c>
    </row>
    <row r="1388" customFormat="false" ht="15" hidden="false" customHeight="true" outlineLevel="0" collapsed="false">
      <c r="A1388" s="4" t="s">
        <v>1564</v>
      </c>
      <c r="B1388" s="13" t="n">
        <v>45506</v>
      </c>
      <c r="C1388" s="4" t="s">
        <v>6209</v>
      </c>
      <c r="D1388" s="4" t="s">
        <v>6207</v>
      </c>
      <c r="E1388" s="4" t="s">
        <v>6199</v>
      </c>
      <c r="F1388" s="4" t="s">
        <v>6212</v>
      </c>
    </row>
    <row r="1389" customFormat="false" ht="15" hidden="false" customHeight="true" outlineLevel="0" collapsed="false">
      <c r="A1389" s="4" t="s">
        <v>1565</v>
      </c>
      <c r="B1389" s="13" t="n">
        <v>45394</v>
      </c>
      <c r="C1389" s="4" t="s">
        <v>6201</v>
      </c>
      <c r="D1389" s="4" t="s">
        <v>6202</v>
      </c>
      <c r="E1389" s="4" t="s">
        <v>6208</v>
      </c>
      <c r="F1389" s="4"/>
    </row>
    <row r="1390" customFormat="false" ht="15" hidden="false" customHeight="true" outlineLevel="0" collapsed="false">
      <c r="A1390" s="4" t="s">
        <v>1566</v>
      </c>
      <c r="B1390" s="13" t="n">
        <v>45549</v>
      </c>
      <c r="C1390" s="4" t="s">
        <v>6194</v>
      </c>
      <c r="D1390" s="4" t="s">
        <v>6205</v>
      </c>
      <c r="E1390" s="4" t="s">
        <v>6205</v>
      </c>
      <c r="F1390" s="4" t="s">
        <v>6216</v>
      </c>
    </row>
    <row r="1391" customFormat="false" ht="15" hidden="false" customHeight="true" outlineLevel="0" collapsed="false">
      <c r="A1391" s="4" t="s">
        <v>1567</v>
      </c>
      <c r="B1391" s="13" t="n">
        <v>45576</v>
      </c>
      <c r="C1391" s="4" t="s">
        <v>6210</v>
      </c>
      <c r="D1391" s="4" t="s">
        <v>6199</v>
      </c>
      <c r="E1391" s="4" t="s">
        <v>6199</v>
      </c>
      <c r="F1391" s="4"/>
    </row>
    <row r="1392" customFormat="false" ht="15" hidden="false" customHeight="true" outlineLevel="0" collapsed="false">
      <c r="A1392" s="4" t="s">
        <v>1568</v>
      </c>
      <c r="B1392" s="13" t="n">
        <v>45166</v>
      </c>
      <c r="C1392" s="4" t="s">
        <v>6194</v>
      </c>
      <c r="D1392" s="4" t="s">
        <v>6205</v>
      </c>
      <c r="E1392" s="4" t="s">
        <v>6211</v>
      </c>
      <c r="F1392" s="4"/>
    </row>
    <row r="1393" customFormat="false" ht="15" hidden="false" customHeight="true" outlineLevel="0" collapsed="false">
      <c r="A1393" s="4" t="s">
        <v>1569</v>
      </c>
      <c r="B1393" s="13" t="n">
        <v>44948</v>
      </c>
      <c r="C1393" s="4" t="s">
        <v>6194</v>
      </c>
      <c r="D1393" s="4" t="s">
        <v>6195</v>
      </c>
      <c r="E1393" s="4" t="s">
        <v>6206</v>
      </c>
      <c r="F1393" s="4" t="s">
        <v>6200</v>
      </c>
    </row>
    <row r="1394" customFormat="false" ht="15" hidden="false" customHeight="true" outlineLevel="0" collapsed="false">
      <c r="A1394" s="4" t="s">
        <v>1570</v>
      </c>
      <c r="B1394" s="13" t="n">
        <v>45449</v>
      </c>
      <c r="C1394" s="4" t="s">
        <v>6201</v>
      </c>
      <c r="D1394" s="4" t="s">
        <v>6211</v>
      </c>
      <c r="E1394" s="4" t="s">
        <v>6199</v>
      </c>
      <c r="F1394" s="4"/>
    </row>
    <row r="1395" customFormat="false" ht="15" hidden="false" customHeight="true" outlineLevel="0" collapsed="false">
      <c r="A1395" s="4" t="s">
        <v>1571</v>
      </c>
      <c r="B1395" s="13" t="n">
        <v>45583</v>
      </c>
      <c r="C1395" s="4" t="s">
        <v>6210</v>
      </c>
      <c r="D1395" s="4" t="s">
        <v>6199</v>
      </c>
      <c r="E1395" s="4" t="s">
        <v>6196</v>
      </c>
      <c r="F1395" s="4" t="s">
        <v>6197</v>
      </c>
    </row>
    <row r="1396" customFormat="false" ht="15" hidden="false" customHeight="true" outlineLevel="0" collapsed="false">
      <c r="A1396" s="4" t="s">
        <v>1572</v>
      </c>
      <c r="B1396" s="13" t="n">
        <v>45491</v>
      </c>
      <c r="C1396" s="4" t="s">
        <v>6201</v>
      </c>
      <c r="D1396" s="4" t="s">
        <v>6207</v>
      </c>
      <c r="E1396" s="4" t="s">
        <v>6202</v>
      </c>
      <c r="F1396" s="4" t="s">
        <v>6204</v>
      </c>
    </row>
    <row r="1397" customFormat="false" ht="15" hidden="false" customHeight="true" outlineLevel="0" collapsed="false">
      <c r="A1397" s="4" t="s">
        <v>1573</v>
      </c>
      <c r="B1397" s="13" t="n">
        <v>45433</v>
      </c>
      <c r="C1397" s="4" t="s">
        <v>6201</v>
      </c>
      <c r="D1397" s="4" t="s">
        <v>6207</v>
      </c>
      <c r="E1397" s="4" t="s">
        <v>6196</v>
      </c>
      <c r="F1397" s="4"/>
    </row>
    <row r="1398" customFormat="false" ht="15" hidden="false" customHeight="true" outlineLevel="0" collapsed="false">
      <c r="A1398" s="4" t="s">
        <v>1574</v>
      </c>
      <c r="B1398" s="13" t="n">
        <v>45336</v>
      </c>
      <c r="C1398" s="4" t="s">
        <v>6209</v>
      </c>
      <c r="D1398" s="4" t="s">
        <v>6206</v>
      </c>
      <c r="E1398" s="4" t="s">
        <v>6199</v>
      </c>
      <c r="F1398" s="4" t="s">
        <v>6204</v>
      </c>
    </row>
    <row r="1399" customFormat="false" ht="15" hidden="false" customHeight="true" outlineLevel="0" collapsed="false">
      <c r="A1399" s="4" t="s">
        <v>1575</v>
      </c>
      <c r="B1399" s="13" t="n">
        <v>45506</v>
      </c>
      <c r="C1399" s="4" t="s">
        <v>6209</v>
      </c>
      <c r="D1399" s="4" t="s">
        <v>6206</v>
      </c>
      <c r="E1399" s="4" t="s">
        <v>6199</v>
      </c>
      <c r="F1399" s="4" t="s">
        <v>6197</v>
      </c>
    </row>
    <row r="1400" customFormat="false" ht="15" hidden="false" customHeight="true" outlineLevel="0" collapsed="false">
      <c r="A1400" s="4" t="s">
        <v>1576</v>
      </c>
      <c r="B1400" s="13" t="n">
        <v>45011</v>
      </c>
      <c r="C1400" s="4" t="s">
        <v>6213</v>
      </c>
      <c r="D1400" s="4" t="s">
        <v>6208</v>
      </c>
      <c r="E1400" s="4" t="s">
        <v>6202</v>
      </c>
      <c r="F1400" s="4" t="s">
        <v>6214</v>
      </c>
    </row>
    <row r="1401" customFormat="false" ht="15" hidden="false" customHeight="true" outlineLevel="0" collapsed="false">
      <c r="A1401" s="4" t="s">
        <v>1577</v>
      </c>
      <c r="B1401" s="13" t="n">
        <v>45339</v>
      </c>
      <c r="C1401" s="4" t="s">
        <v>6194</v>
      </c>
      <c r="D1401" s="4" t="s">
        <v>6195</v>
      </c>
      <c r="E1401" s="4" t="s">
        <v>6206</v>
      </c>
      <c r="F1401" s="4"/>
    </row>
    <row r="1402" customFormat="false" ht="15" hidden="false" customHeight="true" outlineLevel="0" collapsed="false">
      <c r="A1402" s="4" t="s">
        <v>1578</v>
      </c>
      <c r="B1402" s="13" t="n">
        <v>45452</v>
      </c>
      <c r="C1402" s="4" t="s">
        <v>6215</v>
      </c>
      <c r="D1402" s="4" t="s">
        <v>6196</v>
      </c>
      <c r="E1402" s="4" t="s">
        <v>6205</v>
      </c>
      <c r="F1402" s="4" t="s">
        <v>6204</v>
      </c>
    </row>
    <row r="1403" customFormat="false" ht="15" hidden="false" customHeight="true" outlineLevel="0" collapsed="false">
      <c r="A1403" s="4" t="s">
        <v>1579</v>
      </c>
      <c r="B1403" s="13" t="n">
        <v>44996</v>
      </c>
      <c r="C1403" s="4" t="s">
        <v>6198</v>
      </c>
      <c r="D1403" s="4" t="s">
        <v>6211</v>
      </c>
      <c r="E1403" s="4" t="s">
        <v>6196</v>
      </c>
      <c r="F1403" s="4" t="s">
        <v>6200</v>
      </c>
    </row>
    <row r="1404" customFormat="false" ht="15" hidden="false" customHeight="true" outlineLevel="0" collapsed="false">
      <c r="A1404" s="4" t="s">
        <v>1580</v>
      </c>
      <c r="B1404" s="13" t="n">
        <v>45307</v>
      </c>
      <c r="C1404" s="4" t="s">
        <v>6213</v>
      </c>
      <c r="D1404" s="4" t="s">
        <v>6205</v>
      </c>
      <c r="E1404" s="4" t="s">
        <v>6203</v>
      </c>
      <c r="F1404" s="4" t="s">
        <v>6200</v>
      </c>
    </row>
    <row r="1405" customFormat="false" ht="15" hidden="false" customHeight="true" outlineLevel="0" collapsed="false">
      <c r="A1405" s="4" t="s">
        <v>1581</v>
      </c>
      <c r="B1405" s="13" t="n">
        <v>45211</v>
      </c>
      <c r="C1405" s="4" t="s">
        <v>6209</v>
      </c>
      <c r="D1405" s="4" t="s">
        <v>6203</v>
      </c>
      <c r="E1405" s="4" t="s">
        <v>6195</v>
      </c>
      <c r="F1405" s="4" t="s">
        <v>6216</v>
      </c>
    </row>
    <row r="1406" customFormat="false" ht="15" hidden="false" customHeight="true" outlineLevel="0" collapsed="false">
      <c r="A1406" s="4" t="s">
        <v>1582</v>
      </c>
      <c r="B1406" s="13" t="n">
        <v>45544</v>
      </c>
      <c r="C1406" s="4" t="s">
        <v>6210</v>
      </c>
      <c r="D1406" s="4" t="s">
        <v>6202</v>
      </c>
      <c r="E1406" s="4" t="s">
        <v>6196</v>
      </c>
      <c r="F1406" s="4"/>
    </row>
    <row r="1407" customFormat="false" ht="15" hidden="false" customHeight="true" outlineLevel="0" collapsed="false">
      <c r="A1407" s="4" t="s">
        <v>1583</v>
      </c>
      <c r="B1407" s="13" t="n">
        <v>44964</v>
      </c>
      <c r="C1407" s="4" t="s">
        <v>6209</v>
      </c>
      <c r="D1407" s="4" t="s">
        <v>6205</v>
      </c>
      <c r="E1407" s="4" t="s">
        <v>6202</v>
      </c>
      <c r="F1407" s="4" t="s">
        <v>6197</v>
      </c>
    </row>
    <row r="1408" customFormat="false" ht="15" hidden="false" customHeight="true" outlineLevel="0" collapsed="false">
      <c r="A1408" s="4" t="s">
        <v>1584</v>
      </c>
      <c r="B1408" s="13" t="n">
        <v>45367</v>
      </c>
      <c r="C1408" s="4" t="s">
        <v>6209</v>
      </c>
      <c r="D1408" s="4" t="s">
        <v>6199</v>
      </c>
      <c r="E1408" s="4" t="s">
        <v>6211</v>
      </c>
      <c r="F1408" s="4" t="s">
        <v>6216</v>
      </c>
    </row>
    <row r="1409" customFormat="false" ht="15" hidden="false" customHeight="true" outlineLevel="0" collapsed="false">
      <c r="A1409" s="4" t="s">
        <v>1585</v>
      </c>
      <c r="B1409" s="13" t="n">
        <v>45029</v>
      </c>
      <c r="C1409" s="4" t="s">
        <v>6213</v>
      </c>
      <c r="D1409" s="4" t="s">
        <v>6195</v>
      </c>
      <c r="E1409" s="4" t="s">
        <v>6208</v>
      </c>
      <c r="F1409" s="4"/>
    </row>
    <row r="1410" customFormat="false" ht="15" hidden="false" customHeight="true" outlineLevel="0" collapsed="false">
      <c r="A1410" s="4" t="s">
        <v>1586</v>
      </c>
      <c r="B1410" s="13" t="n">
        <v>45514</v>
      </c>
      <c r="C1410" s="4" t="s">
        <v>6209</v>
      </c>
      <c r="D1410" s="4" t="s">
        <v>6195</v>
      </c>
      <c r="E1410" s="4" t="s">
        <v>6202</v>
      </c>
      <c r="F1410" s="4" t="s">
        <v>6197</v>
      </c>
    </row>
    <row r="1411" customFormat="false" ht="15" hidden="false" customHeight="true" outlineLevel="0" collapsed="false">
      <c r="A1411" s="4" t="s">
        <v>1587</v>
      </c>
      <c r="B1411" s="13" t="n">
        <v>45003</v>
      </c>
      <c r="C1411" s="4" t="s">
        <v>6194</v>
      </c>
      <c r="D1411" s="4" t="s">
        <v>6208</v>
      </c>
      <c r="E1411" s="4" t="s">
        <v>6205</v>
      </c>
      <c r="F1411" s="4" t="s">
        <v>6216</v>
      </c>
    </row>
    <row r="1412" customFormat="false" ht="15" hidden="false" customHeight="true" outlineLevel="0" collapsed="false">
      <c r="A1412" s="4" t="s">
        <v>1588</v>
      </c>
      <c r="B1412" s="13" t="n">
        <v>45637</v>
      </c>
      <c r="C1412" s="4" t="s">
        <v>6213</v>
      </c>
      <c r="D1412" s="4" t="s">
        <v>6206</v>
      </c>
      <c r="E1412" s="4" t="s">
        <v>6206</v>
      </c>
      <c r="F1412" s="4"/>
    </row>
    <row r="1413" customFormat="false" ht="15" hidden="false" customHeight="true" outlineLevel="0" collapsed="false">
      <c r="A1413" s="4" t="s">
        <v>1589</v>
      </c>
      <c r="B1413" s="13" t="n">
        <v>45527</v>
      </c>
      <c r="C1413" s="4" t="s">
        <v>6194</v>
      </c>
      <c r="D1413" s="4" t="s">
        <v>6207</v>
      </c>
      <c r="E1413" s="4" t="s">
        <v>6199</v>
      </c>
      <c r="F1413" s="4" t="s">
        <v>6212</v>
      </c>
    </row>
    <row r="1414" customFormat="false" ht="15" hidden="false" customHeight="true" outlineLevel="0" collapsed="false">
      <c r="A1414" s="4" t="s">
        <v>1590</v>
      </c>
      <c r="B1414" s="13" t="n">
        <v>45177</v>
      </c>
      <c r="C1414" s="4" t="s">
        <v>6209</v>
      </c>
      <c r="D1414" s="4" t="s">
        <v>6196</v>
      </c>
      <c r="E1414" s="4" t="s">
        <v>6203</v>
      </c>
      <c r="F1414" s="4" t="s">
        <v>6212</v>
      </c>
    </row>
    <row r="1415" customFormat="false" ht="15" hidden="false" customHeight="true" outlineLevel="0" collapsed="false">
      <c r="A1415" s="4" t="s">
        <v>1591</v>
      </c>
      <c r="B1415" s="13" t="n">
        <v>45598</v>
      </c>
      <c r="C1415" s="4" t="s">
        <v>6194</v>
      </c>
      <c r="D1415" s="4" t="s">
        <v>6203</v>
      </c>
      <c r="E1415" s="4" t="s">
        <v>6199</v>
      </c>
      <c r="F1415" s="4"/>
    </row>
    <row r="1416" customFormat="false" ht="15" hidden="false" customHeight="true" outlineLevel="0" collapsed="false">
      <c r="A1416" s="4" t="s">
        <v>1592</v>
      </c>
      <c r="B1416" s="13" t="n">
        <v>45511</v>
      </c>
      <c r="C1416" s="4" t="s">
        <v>6210</v>
      </c>
      <c r="D1416" s="4" t="s">
        <v>6202</v>
      </c>
      <c r="E1416" s="4" t="s">
        <v>6205</v>
      </c>
      <c r="F1416" s="4" t="s">
        <v>6216</v>
      </c>
    </row>
    <row r="1417" customFormat="false" ht="15" hidden="false" customHeight="true" outlineLevel="0" collapsed="false">
      <c r="A1417" s="4" t="s">
        <v>1593</v>
      </c>
      <c r="B1417" s="13" t="n">
        <v>45192</v>
      </c>
      <c r="C1417" s="4" t="s">
        <v>6215</v>
      </c>
      <c r="D1417" s="4" t="s">
        <v>6199</v>
      </c>
      <c r="E1417" s="4" t="s">
        <v>6207</v>
      </c>
      <c r="F1417" s="4" t="s">
        <v>6216</v>
      </c>
    </row>
    <row r="1418" customFormat="false" ht="15" hidden="false" customHeight="true" outlineLevel="0" collapsed="false">
      <c r="A1418" s="4" t="s">
        <v>1594</v>
      </c>
      <c r="B1418" s="13" t="n">
        <v>45203</v>
      </c>
      <c r="C1418" s="4" t="s">
        <v>6209</v>
      </c>
      <c r="D1418" s="4" t="s">
        <v>6195</v>
      </c>
      <c r="E1418" s="4" t="s">
        <v>6195</v>
      </c>
      <c r="F1418" s="4" t="s">
        <v>6197</v>
      </c>
    </row>
    <row r="1419" customFormat="false" ht="15" hidden="false" customHeight="true" outlineLevel="0" collapsed="false">
      <c r="A1419" s="4" t="s">
        <v>1595</v>
      </c>
      <c r="B1419" s="13" t="n">
        <v>45631</v>
      </c>
      <c r="C1419" s="4" t="s">
        <v>6215</v>
      </c>
      <c r="D1419" s="4" t="s">
        <v>6196</v>
      </c>
      <c r="E1419" s="4" t="s">
        <v>6196</v>
      </c>
      <c r="F1419" s="4"/>
    </row>
    <row r="1420" customFormat="false" ht="15" hidden="false" customHeight="true" outlineLevel="0" collapsed="false">
      <c r="A1420" s="4" t="s">
        <v>1596</v>
      </c>
      <c r="B1420" s="13" t="n">
        <v>45137</v>
      </c>
      <c r="C1420" s="4" t="s">
        <v>6213</v>
      </c>
      <c r="D1420" s="4" t="s">
        <v>6206</v>
      </c>
      <c r="E1420" s="4" t="s">
        <v>6206</v>
      </c>
      <c r="F1420" s="4" t="s">
        <v>6212</v>
      </c>
    </row>
    <row r="1421" customFormat="false" ht="15" hidden="false" customHeight="true" outlineLevel="0" collapsed="false">
      <c r="A1421" s="4" t="s">
        <v>1597</v>
      </c>
      <c r="B1421" s="13" t="n">
        <v>45271</v>
      </c>
      <c r="C1421" s="4" t="s">
        <v>6209</v>
      </c>
      <c r="D1421" s="4" t="s">
        <v>6207</v>
      </c>
      <c r="E1421" s="4" t="s">
        <v>6206</v>
      </c>
      <c r="F1421" s="4" t="s">
        <v>6214</v>
      </c>
    </row>
    <row r="1422" customFormat="false" ht="15" hidden="false" customHeight="true" outlineLevel="0" collapsed="false">
      <c r="A1422" s="4" t="s">
        <v>1598</v>
      </c>
      <c r="B1422" s="13" t="n">
        <v>45104</v>
      </c>
      <c r="C1422" s="4" t="s">
        <v>6213</v>
      </c>
      <c r="D1422" s="4" t="s">
        <v>6205</v>
      </c>
      <c r="E1422" s="4" t="s">
        <v>6203</v>
      </c>
      <c r="F1422" s="4" t="s">
        <v>6212</v>
      </c>
    </row>
    <row r="1423" customFormat="false" ht="15" hidden="false" customHeight="true" outlineLevel="0" collapsed="false">
      <c r="A1423" s="4" t="s">
        <v>1599</v>
      </c>
      <c r="B1423" s="13" t="n">
        <v>45437</v>
      </c>
      <c r="C1423" s="4" t="s">
        <v>6209</v>
      </c>
      <c r="D1423" s="4" t="s">
        <v>6211</v>
      </c>
      <c r="E1423" s="4" t="s">
        <v>6207</v>
      </c>
      <c r="F1423" s="4"/>
    </row>
    <row r="1424" customFormat="false" ht="15" hidden="false" customHeight="true" outlineLevel="0" collapsed="false">
      <c r="A1424" s="4" t="s">
        <v>1600</v>
      </c>
      <c r="B1424" s="13" t="n">
        <v>45338</v>
      </c>
      <c r="C1424" s="4" t="s">
        <v>6210</v>
      </c>
      <c r="D1424" s="4" t="s">
        <v>6196</v>
      </c>
      <c r="E1424" s="4" t="s">
        <v>6202</v>
      </c>
      <c r="F1424" s="4"/>
    </row>
    <row r="1425" customFormat="false" ht="15" hidden="false" customHeight="true" outlineLevel="0" collapsed="false">
      <c r="A1425" s="4" t="s">
        <v>1601</v>
      </c>
      <c r="B1425" s="13" t="n">
        <v>45201</v>
      </c>
      <c r="C1425" s="4" t="s">
        <v>6215</v>
      </c>
      <c r="D1425" s="4" t="s">
        <v>6202</v>
      </c>
      <c r="E1425" s="4" t="s">
        <v>6208</v>
      </c>
      <c r="F1425" s="4" t="s">
        <v>6214</v>
      </c>
    </row>
    <row r="1426" customFormat="false" ht="15" hidden="false" customHeight="true" outlineLevel="0" collapsed="false">
      <c r="A1426" s="4" t="s">
        <v>1602</v>
      </c>
      <c r="B1426" s="13" t="n">
        <v>45093</v>
      </c>
      <c r="C1426" s="4" t="s">
        <v>6209</v>
      </c>
      <c r="D1426" s="4" t="s">
        <v>6205</v>
      </c>
      <c r="E1426" s="4" t="s">
        <v>6208</v>
      </c>
      <c r="F1426" s="4" t="s">
        <v>6214</v>
      </c>
    </row>
    <row r="1427" customFormat="false" ht="15" hidden="false" customHeight="true" outlineLevel="0" collapsed="false">
      <c r="A1427" s="4" t="s">
        <v>1603</v>
      </c>
      <c r="B1427" s="13" t="n">
        <v>45378</v>
      </c>
      <c r="C1427" s="4" t="s">
        <v>6215</v>
      </c>
      <c r="D1427" s="4" t="s">
        <v>6207</v>
      </c>
      <c r="E1427" s="4" t="s">
        <v>6205</v>
      </c>
      <c r="F1427" s="4" t="s">
        <v>6214</v>
      </c>
    </row>
    <row r="1428" customFormat="false" ht="15" hidden="false" customHeight="true" outlineLevel="0" collapsed="false">
      <c r="A1428" s="4" t="s">
        <v>1604</v>
      </c>
      <c r="B1428" s="13" t="n">
        <v>45018</v>
      </c>
      <c r="C1428" s="4" t="s">
        <v>6198</v>
      </c>
      <c r="D1428" s="4" t="s">
        <v>6211</v>
      </c>
      <c r="E1428" s="4" t="s">
        <v>6205</v>
      </c>
      <c r="F1428" s="4"/>
    </row>
    <row r="1429" customFormat="false" ht="15" hidden="false" customHeight="true" outlineLevel="0" collapsed="false">
      <c r="A1429" s="4" t="s">
        <v>1605</v>
      </c>
      <c r="B1429" s="13" t="n">
        <v>45246</v>
      </c>
      <c r="C1429" s="4" t="s">
        <v>6198</v>
      </c>
      <c r="D1429" s="4" t="s">
        <v>6211</v>
      </c>
      <c r="E1429" s="4" t="s">
        <v>6207</v>
      </c>
      <c r="F1429" s="4"/>
    </row>
    <row r="1430" customFormat="false" ht="15" hidden="false" customHeight="true" outlineLevel="0" collapsed="false">
      <c r="A1430" s="4" t="s">
        <v>1606</v>
      </c>
      <c r="B1430" s="13" t="n">
        <v>45255</v>
      </c>
      <c r="C1430" s="4" t="s">
        <v>6198</v>
      </c>
      <c r="D1430" s="4" t="s">
        <v>6205</v>
      </c>
      <c r="E1430" s="4" t="s">
        <v>6208</v>
      </c>
      <c r="F1430" s="4" t="s">
        <v>6216</v>
      </c>
    </row>
    <row r="1431" customFormat="false" ht="15" hidden="false" customHeight="true" outlineLevel="0" collapsed="false">
      <c r="A1431" s="4" t="s">
        <v>1607</v>
      </c>
      <c r="B1431" s="13" t="n">
        <v>44997</v>
      </c>
      <c r="C1431" s="4" t="s">
        <v>6198</v>
      </c>
      <c r="D1431" s="4" t="s">
        <v>6196</v>
      </c>
      <c r="E1431" s="4" t="s">
        <v>6195</v>
      </c>
      <c r="F1431" s="4" t="s">
        <v>6197</v>
      </c>
    </row>
    <row r="1432" customFormat="false" ht="15" hidden="false" customHeight="true" outlineLevel="0" collapsed="false">
      <c r="A1432" s="4" t="s">
        <v>1608</v>
      </c>
      <c r="B1432" s="13" t="n">
        <v>45204</v>
      </c>
      <c r="C1432" s="4" t="s">
        <v>6201</v>
      </c>
      <c r="D1432" s="4" t="s">
        <v>6199</v>
      </c>
      <c r="E1432" s="4" t="s">
        <v>6211</v>
      </c>
      <c r="F1432" s="4" t="s">
        <v>6212</v>
      </c>
    </row>
    <row r="1433" customFormat="false" ht="15" hidden="false" customHeight="true" outlineLevel="0" collapsed="false">
      <c r="A1433" s="4" t="s">
        <v>1609</v>
      </c>
      <c r="B1433" s="13" t="n">
        <v>45610</v>
      </c>
      <c r="C1433" s="4" t="s">
        <v>6215</v>
      </c>
      <c r="D1433" s="4" t="s">
        <v>6203</v>
      </c>
      <c r="E1433" s="4" t="s">
        <v>6199</v>
      </c>
      <c r="F1433" s="4" t="s">
        <v>6216</v>
      </c>
    </row>
    <row r="1434" customFormat="false" ht="15" hidden="false" customHeight="true" outlineLevel="0" collapsed="false">
      <c r="A1434" s="4" t="s">
        <v>1610</v>
      </c>
      <c r="B1434" s="13" t="n">
        <v>45484</v>
      </c>
      <c r="C1434" s="4" t="s">
        <v>6210</v>
      </c>
      <c r="D1434" s="4" t="s">
        <v>6195</v>
      </c>
      <c r="E1434" s="4" t="s">
        <v>6199</v>
      </c>
      <c r="F1434" s="4"/>
    </row>
    <row r="1435" customFormat="false" ht="15" hidden="false" customHeight="true" outlineLevel="0" collapsed="false">
      <c r="A1435" s="4" t="s">
        <v>1611</v>
      </c>
      <c r="B1435" s="13" t="n">
        <v>45421</v>
      </c>
      <c r="C1435" s="4" t="s">
        <v>6215</v>
      </c>
      <c r="D1435" s="4" t="s">
        <v>6211</v>
      </c>
      <c r="E1435" s="4" t="s">
        <v>6211</v>
      </c>
      <c r="F1435" s="4" t="s">
        <v>6216</v>
      </c>
    </row>
    <row r="1436" customFormat="false" ht="15" hidden="false" customHeight="true" outlineLevel="0" collapsed="false">
      <c r="A1436" s="4" t="s">
        <v>1612</v>
      </c>
      <c r="B1436" s="13" t="n">
        <v>45022</v>
      </c>
      <c r="C1436" s="4" t="s">
        <v>6201</v>
      </c>
      <c r="D1436" s="4" t="s">
        <v>6207</v>
      </c>
      <c r="E1436" s="4" t="s">
        <v>6196</v>
      </c>
      <c r="F1436" s="4"/>
    </row>
    <row r="1437" customFormat="false" ht="15" hidden="false" customHeight="true" outlineLevel="0" collapsed="false">
      <c r="A1437" s="4" t="s">
        <v>1613</v>
      </c>
      <c r="B1437" s="13" t="n">
        <v>45101</v>
      </c>
      <c r="C1437" s="4" t="s">
        <v>6201</v>
      </c>
      <c r="D1437" s="4" t="s">
        <v>6206</v>
      </c>
      <c r="E1437" s="4" t="s">
        <v>6199</v>
      </c>
      <c r="F1437" s="4" t="s">
        <v>6197</v>
      </c>
    </row>
    <row r="1438" customFormat="false" ht="15" hidden="false" customHeight="true" outlineLevel="0" collapsed="false">
      <c r="A1438" s="4" t="s">
        <v>1614</v>
      </c>
      <c r="B1438" s="13" t="n">
        <v>45400</v>
      </c>
      <c r="C1438" s="4" t="s">
        <v>6209</v>
      </c>
      <c r="D1438" s="4" t="s">
        <v>6199</v>
      </c>
      <c r="E1438" s="4" t="s">
        <v>6199</v>
      </c>
      <c r="F1438" s="4" t="s">
        <v>6200</v>
      </c>
    </row>
    <row r="1439" customFormat="false" ht="15" hidden="false" customHeight="true" outlineLevel="0" collapsed="false">
      <c r="A1439" s="4" t="s">
        <v>1615</v>
      </c>
      <c r="B1439" s="13" t="n">
        <v>45279</v>
      </c>
      <c r="C1439" s="4" t="s">
        <v>6213</v>
      </c>
      <c r="D1439" s="4" t="s">
        <v>6205</v>
      </c>
      <c r="E1439" s="4" t="s">
        <v>6203</v>
      </c>
      <c r="F1439" s="4" t="s">
        <v>6212</v>
      </c>
    </row>
    <row r="1440" customFormat="false" ht="15" hidden="false" customHeight="true" outlineLevel="0" collapsed="false">
      <c r="A1440" s="4" t="s">
        <v>1616</v>
      </c>
      <c r="B1440" s="13" t="n">
        <v>45038</v>
      </c>
      <c r="C1440" s="4" t="s">
        <v>6215</v>
      </c>
      <c r="D1440" s="4" t="s">
        <v>6203</v>
      </c>
      <c r="E1440" s="4" t="s">
        <v>6203</v>
      </c>
      <c r="F1440" s="4" t="s">
        <v>6204</v>
      </c>
    </row>
    <row r="1441" customFormat="false" ht="15" hidden="false" customHeight="true" outlineLevel="0" collapsed="false">
      <c r="A1441" s="4" t="s">
        <v>1617</v>
      </c>
      <c r="B1441" s="13" t="n">
        <v>45417</v>
      </c>
      <c r="C1441" s="4" t="s">
        <v>6198</v>
      </c>
      <c r="D1441" s="4" t="s">
        <v>6199</v>
      </c>
      <c r="E1441" s="4" t="s">
        <v>6195</v>
      </c>
      <c r="F1441" s="4"/>
    </row>
    <row r="1442" customFormat="false" ht="15" hidden="false" customHeight="true" outlineLevel="0" collapsed="false">
      <c r="A1442" s="4" t="s">
        <v>1618</v>
      </c>
      <c r="B1442" s="13" t="n">
        <v>45328</v>
      </c>
      <c r="C1442" s="4" t="s">
        <v>6201</v>
      </c>
      <c r="D1442" s="4" t="s">
        <v>6211</v>
      </c>
      <c r="E1442" s="4" t="s">
        <v>6207</v>
      </c>
      <c r="F1442" s="4" t="s">
        <v>6197</v>
      </c>
    </row>
    <row r="1443" customFormat="false" ht="15" hidden="false" customHeight="true" outlineLevel="0" collapsed="false">
      <c r="A1443" s="4" t="s">
        <v>1619</v>
      </c>
      <c r="B1443" s="13" t="n">
        <v>45490</v>
      </c>
      <c r="C1443" s="4" t="s">
        <v>6201</v>
      </c>
      <c r="D1443" s="4" t="s">
        <v>6208</v>
      </c>
      <c r="E1443" s="4" t="s">
        <v>6196</v>
      </c>
      <c r="F1443" s="4"/>
    </row>
    <row r="1444" customFormat="false" ht="15" hidden="false" customHeight="true" outlineLevel="0" collapsed="false">
      <c r="A1444" s="4" t="s">
        <v>1620</v>
      </c>
      <c r="B1444" s="13" t="n">
        <v>44950</v>
      </c>
      <c r="C1444" s="4" t="s">
        <v>6198</v>
      </c>
      <c r="D1444" s="4" t="s">
        <v>6211</v>
      </c>
      <c r="E1444" s="4" t="s">
        <v>6195</v>
      </c>
      <c r="F1444" s="4"/>
    </row>
    <row r="1445" customFormat="false" ht="15" hidden="false" customHeight="true" outlineLevel="0" collapsed="false">
      <c r="A1445" s="4" t="s">
        <v>1621</v>
      </c>
      <c r="B1445" s="13" t="n">
        <v>45560</v>
      </c>
      <c r="C1445" s="4" t="s">
        <v>6194</v>
      </c>
      <c r="D1445" s="4" t="s">
        <v>6205</v>
      </c>
      <c r="E1445" s="4" t="s">
        <v>6196</v>
      </c>
      <c r="F1445" s="4" t="s">
        <v>6204</v>
      </c>
    </row>
    <row r="1446" customFormat="false" ht="15" hidden="false" customHeight="true" outlineLevel="0" collapsed="false">
      <c r="A1446" s="4" t="s">
        <v>1622</v>
      </c>
      <c r="B1446" s="13" t="n">
        <v>45301</v>
      </c>
      <c r="C1446" s="4" t="s">
        <v>6209</v>
      </c>
      <c r="D1446" s="4" t="s">
        <v>6208</v>
      </c>
      <c r="E1446" s="4" t="s">
        <v>6202</v>
      </c>
      <c r="F1446" s="4" t="s">
        <v>6214</v>
      </c>
    </row>
    <row r="1447" customFormat="false" ht="15" hidden="false" customHeight="true" outlineLevel="0" collapsed="false">
      <c r="A1447" s="4" t="s">
        <v>1623</v>
      </c>
      <c r="B1447" s="13" t="n">
        <v>45605</v>
      </c>
      <c r="C1447" s="4" t="s">
        <v>6194</v>
      </c>
      <c r="D1447" s="4" t="s">
        <v>6195</v>
      </c>
      <c r="E1447" s="4" t="s">
        <v>6206</v>
      </c>
      <c r="F1447" s="4" t="s">
        <v>6197</v>
      </c>
    </row>
    <row r="1448" customFormat="false" ht="15" hidden="false" customHeight="true" outlineLevel="0" collapsed="false">
      <c r="A1448" s="4" t="s">
        <v>1624</v>
      </c>
      <c r="B1448" s="13" t="n">
        <v>44938</v>
      </c>
      <c r="C1448" s="4" t="s">
        <v>6210</v>
      </c>
      <c r="D1448" s="4" t="s">
        <v>6211</v>
      </c>
      <c r="E1448" s="4" t="s">
        <v>6196</v>
      </c>
      <c r="F1448" s="4" t="s">
        <v>6216</v>
      </c>
    </row>
    <row r="1449" customFormat="false" ht="15" hidden="false" customHeight="true" outlineLevel="0" collapsed="false">
      <c r="A1449" s="4" t="s">
        <v>1625</v>
      </c>
      <c r="B1449" s="13" t="n">
        <v>45158</v>
      </c>
      <c r="C1449" s="4" t="s">
        <v>6215</v>
      </c>
      <c r="D1449" s="4" t="s">
        <v>6211</v>
      </c>
      <c r="E1449" s="4" t="s">
        <v>6199</v>
      </c>
      <c r="F1449" s="4" t="s">
        <v>6197</v>
      </c>
    </row>
    <row r="1450" customFormat="false" ht="15" hidden="false" customHeight="true" outlineLevel="0" collapsed="false">
      <c r="A1450" s="4" t="s">
        <v>1626</v>
      </c>
      <c r="B1450" s="13" t="n">
        <v>45039</v>
      </c>
      <c r="C1450" s="4" t="s">
        <v>6201</v>
      </c>
      <c r="D1450" s="4" t="s">
        <v>6203</v>
      </c>
      <c r="E1450" s="4" t="s">
        <v>6211</v>
      </c>
      <c r="F1450" s="4"/>
    </row>
    <row r="1451" customFormat="false" ht="15" hidden="false" customHeight="true" outlineLevel="0" collapsed="false">
      <c r="A1451" s="4" t="s">
        <v>1627</v>
      </c>
      <c r="B1451" s="13" t="n">
        <v>45627</v>
      </c>
      <c r="C1451" s="4" t="s">
        <v>6201</v>
      </c>
      <c r="D1451" s="4" t="s">
        <v>6203</v>
      </c>
      <c r="E1451" s="4" t="s">
        <v>6206</v>
      </c>
      <c r="F1451" s="4"/>
    </row>
    <row r="1452" customFormat="false" ht="15" hidden="false" customHeight="true" outlineLevel="0" collapsed="false">
      <c r="A1452" s="4" t="s">
        <v>1628</v>
      </c>
      <c r="B1452" s="13" t="n">
        <v>44959</v>
      </c>
      <c r="C1452" s="4" t="s">
        <v>6210</v>
      </c>
      <c r="D1452" s="4" t="s">
        <v>6207</v>
      </c>
      <c r="E1452" s="4" t="s">
        <v>6205</v>
      </c>
      <c r="F1452" s="4" t="s">
        <v>6197</v>
      </c>
    </row>
    <row r="1453" customFormat="false" ht="15" hidden="false" customHeight="true" outlineLevel="0" collapsed="false">
      <c r="A1453" s="4" t="s">
        <v>1629</v>
      </c>
      <c r="B1453" s="13" t="n">
        <v>45246</v>
      </c>
      <c r="C1453" s="4" t="s">
        <v>6215</v>
      </c>
      <c r="D1453" s="4" t="s">
        <v>6199</v>
      </c>
      <c r="E1453" s="4" t="s">
        <v>6206</v>
      </c>
      <c r="F1453" s="4"/>
    </row>
    <row r="1454" customFormat="false" ht="15" hidden="false" customHeight="true" outlineLevel="0" collapsed="false">
      <c r="A1454" s="4" t="s">
        <v>1630</v>
      </c>
      <c r="B1454" s="13" t="n">
        <v>44953</v>
      </c>
      <c r="C1454" s="4" t="s">
        <v>6215</v>
      </c>
      <c r="D1454" s="4" t="s">
        <v>6196</v>
      </c>
      <c r="E1454" s="4" t="s">
        <v>6199</v>
      </c>
      <c r="F1454" s="4" t="s">
        <v>6200</v>
      </c>
    </row>
    <row r="1455" customFormat="false" ht="15" hidden="false" customHeight="true" outlineLevel="0" collapsed="false">
      <c r="A1455" s="4" t="s">
        <v>1631</v>
      </c>
      <c r="B1455" s="13" t="n">
        <v>45092</v>
      </c>
      <c r="C1455" s="4" t="s">
        <v>6194</v>
      </c>
      <c r="D1455" s="4" t="s">
        <v>6196</v>
      </c>
      <c r="E1455" s="4" t="s">
        <v>6196</v>
      </c>
      <c r="F1455" s="4" t="s">
        <v>6200</v>
      </c>
    </row>
    <row r="1456" customFormat="false" ht="15" hidden="false" customHeight="true" outlineLevel="0" collapsed="false">
      <c r="A1456" s="4" t="s">
        <v>1632</v>
      </c>
      <c r="B1456" s="13" t="n">
        <v>45273</v>
      </c>
      <c r="C1456" s="4" t="s">
        <v>6215</v>
      </c>
      <c r="D1456" s="4" t="s">
        <v>6199</v>
      </c>
      <c r="E1456" s="4" t="s">
        <v>6195</v>
      </c>
      <c r="F1456" s="4"/>
    </row>
    <row r="1457" customFormat="false" ht="15" hidden="false" customHeight="true" outlineLevel="0" collapsed="false">
      <c r="A1457" s="4" t="s">
        <v>1633</v>
      </c>
      <c r="B1457" s="13" t="n">
        <v>45128</v>
      </c>
      <c r="C1457" s="4" t="s">
        <v>6215</v>
      </c>
      <c r="D1457" s="4" t="s">
        <v>6207</v>
      </c>
      <c r="E1457" s="4" t="s">
        <v>6199</v>
      </c>
      <c r="F1457" s="4" t="s">
        <v>6204</v>
      </c>
    </row>
    <row r="1458" customFormat="false" ht="15" hidden="false" customHeight="true" outlineLevel="0" collapsed="false">
      <c r="A1458" s="4" t="s">
        <v>1634</v>
      </c>
      <c r="B1458" s="13" t="n">
        <v>45615</v>
      </c>
      <c r="C1458" s="4" t="s">
        <v>6194</v>
      </c>
      <c r="D1458" s="4" t="s">
        <v>6207</v>
      </c>
      <c r="E1458" s="4" t="s">
        <v>6199</v>
      </c>
      <c r="F1458" s="4"/>
    </row>
    <row r="1459" customFormat="false" ht="15" hidden="false" customHeight="true" outlineLevel="0" collapsed="false">
      <c r="A1459" s="4" t="s">
        <v>1635</v>
      </c>
      <c r="B1459" s="13" t="n">
        <v>45182</v>
      </c>
      <c r="C1459" s="4" t="s">
        <v>6215</v>
      </c>
      <c r="D1459" s="4" t="s">
        <v>6202</v>
      </c>
      <c r="E1459" s="4" t="s">
        <v>6195</v>
      </c>
      <c r="F1459" s="4" t="s">
        <v>6197</v>
      </c>
    </row>
    <row r="1460" customFormat="false" ht="15" hidden="false" customHeight="true" outlineLevel="0" collapsed="false">
      <c r="A1460" s="4" t="s">
        <v>1636</v>
      </c>
      <c r="B1460" s="13" t="n">
        <v>44974</v>
      </c>
      <c r="C1460" s="4" t="s">
        <v>6194</v>
      </c>
      <c r="D1460" s="4" t="s">
        <v>6202</v>
      </c>
      <c r="E1460" s="4" t="s">
        <v>6203</v>
      </c>
      <c r="F1460" s="4"/>
    </row>
    <row r="1461" customFormat="false" ht="15" hidden="false" customHeight="true" outlineLevel="0" collapsed="false">
      <c r="A1461" s="4" t="s">
        <v>1637</v>
      </c>
      <c r="B1461" s="13" t="n">
        <v>45520</v>
      </c>
      <c r="C1461" s="4" t="s">
        <v>6201</v>
      </c>
      <c r="D1461" s="4" t="s">
        <v>6207</v>
      </c>
      <c r="E1461" s="4" t="s">
        <v>6202</v>
      </c>
      <c r="F1461" s="4"/>
    </row>
    <row r="1462" customFormat="false" ht="15" hidden="false" customHeight="true" outlineLevel="0" collapsed="false">
      <c r="A1462" s="4" t="s">
        <v>1638</v>
      </c>
      <c r="B1462" s="13" t="n">
        <v>45559</v>
      </c>
      <c r="C1462" s="4" t="s">
        <v>6209</v>
      </c>
      <c r="D1462" s="4" t="s">
        <v>6199</v>
      </c>
      <c r="E1462" s="4" t="s">
        <v>6206</v>
      </c>
      <c r="F1462" s="4" t="s">
        <v>6200</v>
      </c>
    </row>
    <row r="1463" customFormat="false" ht="15" hidden="false" customHeight="true" outlineLevel="0" collapsed="false">
      <c r="A1463" s="4" t="s">
        <v>1639</v>
      </c>
      <c r="B1463" s="13" t="n">
        <v>45652</v>
      </c>
      <c r="C1463" s="4" t="s">
        <v>6201</v>
      </c>
      <c r="D1463" s="4" t="s">
        <v>6206</v>
      </c>
      <c r="E1463" s="4" t="s">
        <v>6206</v>
      </c>
      <c r="F1463" s="4" t="s">
        <v>6216</v>
      </c>
    </row>
    <row r="1464" customFormat="false" ht="15" hidden="false" customHeight="true" outlineLevel="0" collapsed="false">
      <c r="A1464" s="4" t="s">
        <v>1640</v>
      </c>
      <c r="B1464" s="13" t="n">
        <v>45187</v>
      </c>
      <c r="C1464" s="4" t="s">
        <v>6213</v>
      </c>
      <c r="D1464" s="4" t="s">
        <v>6203</v>
      </c>
      <c r="E1464" s="4" t="s">
        <v>6206</v>
      </c>
      <c r="F1464" s="4" t="s">
        <v>6197</v>
      </c>
    </row>
    <row r="1465" customFormat="false" ht="15" hidden="false" customHeight="true" outlineLevel="0" collapsed="false">
      <c r="A1465" s="4" t="s">
        <v>1641</v>
      </c>
      <c r="B1465" s="13" t="n">
        <v>45536</v>
      </c>
      <c r="C1465" s="4" t="s">
        <v>6213</v>
      </c>
      <c r="D1465" s="4" t="s">
        <v>6196</v>
      </c>
      <c r="E1465" s="4" t="s">
        <v>6195</v>
      </c>
      <c r="F1465" s="4" t="s">
        <v>6197</v>
      </c>
    </row>
    <row r="1466" customFormat="false" ht="15" hidden="false" customHeight="true" outlineLevel="0" collapsed="false">
      <c r="A1466" s="4" t="s">
        <v>1642</v>
      </c>
      <c r="B1466" s="13" t="n">
        <v>45275</v>
      </c>
      <c r="C1466" s="4" t="s">
        <v>6213</v>
      </c>
      <c r="D1466" s="4" t="s">
        <v>6196</v>
      </c>
      <c r="E1466" s="4" t="s">
        <v>6196</v>
      </c>
      <c r="F1466" s="4" t="s">
        <v>6212</v>
      </c>
    </row>
    <row r="1467" customFormat="false" ht="15" hidden="false" customHeight="true" outlineLevel="0" collapsed="false">
      <c r="A1467" s="4" t="s">
        <v>1643</v>
      </c>
      <c r="B1467" s="13" t="n">
        <v>45006</v>
      </c>
      <c r="C1467" s="4" t="s">
        <v>6210</v>
      </c>
      <c r="D1467" s="4" t="s">
        <v>6208</v>
      </c>
      <c r="E1467" s="4" t="s">
        <v>6205</v>
      </c>
      <c r="F1467" s="4" t="s">
        <v>6204</v>
      </c>
    </row>
    <row r="1468" customFormat="false" ht="15" hidden="false" customHeight="true" outlineLevel="0" collapsed="false">
      <c r="A1468" s="4" t="s">
        <v>1644</v>
      </c>
      <c r="B1468" s="13" t="n">
        <v>45541</v>
      </c>
      <c r="C1468" s="4" t="s">
        <v>6215</v>
      </c>
      <c r="D1468" s="4" t="s">
        <v>6206</v>
      </c>
      <c r="E1468" s="4" t="s">
        <v>6206</v>
      </c>
      <c r="F1468" s="4"/>
    </row>
    <row r="1469" customFormat="false" ht="15" hidden="false" customHeight="true" outlineLevel="0" collapsed="false">
      <c r="A1469" s="4" t="s">
        <v>1645</v>
      </c>
      <c r="B1469" s="13" t="n">
        <v>45173</v>
      </c>
      <c r="C1469" s="4" t="s">
        <v>6215</v>
      </c>
      <c r="D1469" s="4" t="s">
        <v>6196</v>
      </c>
      <c r="E1469" s="4" t="s">
        <v>6199</v>
      </c>
      <c r="F1469" s="4" t="s">
        <v>6204</v>
      </c>
    </row>
    <row r="1470" customFormat="false" ht="15" hidden="false" customHeight="true" outlineLevel="0" collapsed="false">
      <c r="A1470" s="4" t="s">
        <v>1646</v>
      </c>
      <c r="B1470" s="13" t="n">
        <v>45391</v>
      </c>
      <c r="C1470" s="4" t="s">
        <v>6201</v>
      </c>
      <c r="D1470" s="4" t="s">
        <v>6208</v>
      </c>
      <c r="E1470" s="4" t="s">
        <v>6208</v>
      </c>
      <c r="F1470" s="4"/>
    </row>
    <row r="1471" customFormat="false" ht="15" hidden="false" customHeight="true" outlineLevel="0" collapsed="false">
      <c r="A1471" s="4" t="s">
        <v>1647</v>
      </c>
      <c r="B1471" s="13" t="n">
        <v>45483</v>
      </c>
      <c r="C1471" s="4" t="s">
        <v>6210</v>
      </c>
      <c r="D1471" s="4" t="s">
        <v>6207</v>
      </c>
      <c r="E1471" s="4" t="s">
        <v>6207</v>
      </c>
      <c r="F1471" s="4" t="s">
        <v>6200</v>
      </c>
    </row>
    <row r="1472" customFormat="false" ht="15" hidden="false" customHeight="true" outlineLevel="0" collapsed="false">
      <c r="A1472" s="4" t="s">
        <v>1648</v>
      </c>
      <c r="B1472" s="13" t="n">
        <v>45422</v>
      </c>
      <c r="C1472" s="4" t="s">
        <v>6194</v>
      </c>
      <c r="D1472" s="4" t="s">
        <v>6195</v>
      </c>
      <c r="E1472" s="4" t="s">
        <v>6211</v>
      </c>
      <c r="F1472" s="4"/>
    </row>
    <row r="1473" customFormat="false" ht="15" hidden="false" customHeight="true" outlineLevel="0" collapsed="false">
      <c r="A1473" s="4" t="s">
        <v>1649</v>
      </c>
      <c r="B1473" s="13" t="n">
        <v>45327</v>
      </c>
      <c r="C1473" s="4" t="s">
        <v>6201</v>
      </c>
      <c r="D1473" s="4" t="s">
        <v>6205</v>
      </c>
      <c r="E1473" s="4" t="s">
        <v>6205</v>
      </c>
      <c r="F1473" s="4" t="s">
        <v>6197</v>
      </c>
    </row>
    <row r="1474" customFormat="false" ht="15" hidden="false" customHeight="true" outlineLevel="0" collapsed="false">
      <c r="A1474" s="4" t="s">
        <v>1650</v>
      </c>
      <c r="B1474" s="13" t="n">
        <v>45195</v>
      </c>
      <c r="C1474" s="4" t="s">
        <v>6201</v>
      </c>
      <c r="D1474" s="4" t="s">
        <v>6202</v>
      </c>
      <c r="E1474" s="4" t="s">
        <v>6206</v>
      </c>
      <c r="F1474" s="4"/>
    </row>
    <row r="1475" customFormat="false" ht="15" hidden="false" customHeight="true" outlineLevel="0" collapsed="false">
      <c r="A1475" s="4" t="s">
        <v>1651</v>
      </c>
      <c r="B1475" s="13" t="n">
        <v>45317</v>
      </c>
      <c r="C1475" s="4" t="s">
        <v>6198</v>
      </c>
      <c r="D1475" s="4" t="s">
        <v>6199</v>
      </c>
      <c r="E1475" s="4" t="s">
        <v>6195</v>
      </c>
      <c r="F1475" s="4" t="s">
        <v>6204</v>
      </c>
    </row>
    <row r="1476" customFormat="false" ht="15" hidden="false" customHeight="true" outlineLevel="0" collapsed="false">
      <c r="A1476" s="4" t="s">
        <v>1652</v>
      </c>
      <c r="B1476" s="13" t="n">
        <v>45612</v>
      </c>
      <c r="C1476" s="4" t="s">
        <v>6209</v>
      </c>
      <c r="D1476" s="4" t="s">
        <v>6207</v>
      </c>
      <c r="E1476" s="4" t="s">
        <v>6196</v>
      </c>
      <c r="F1476" s="4" t="s">
        <v>6200</v>
      </c>
    </row>
    <row r="1477" customFormat="false" ht="15" hidden="false" customHeight="true" outlineLevel="0" collapsed="false">
      <c r="A1477" s="4" t="s">
        <v>1653</v>
      </c>
      <c r="B1477" s="13" t="n">
        <v>45343</v>
      </c>
      <c r="C1477" s="4" t="s">
        <v>6210</v>
      </c>
      <c r="D1477" s="4" t="s">
        <v>6195</v>
      </c>
      <c r="E1477" s="4" t="s">
        <v>6205</v>
      </c>
      <c r="F1477" s="4"/>
    </row>
    <row r="1478" customFormat="false" ht="15" hidden="false" customHeight="true" outlineLevel="0" collapsed="false">
      <c r="A1478" s="4" t="s">
        <v>1654</v>
      </c>
      <c r="B1478" s="13" t="n">
        <v>45335</v>
      </c>
      <c r="C1478" s="4" t="s">
        <v>6215</v>
      </c>
      <c r="D1478" s="4" t="s">
        <v>6207</v>
      </c>
      <c r="E1478" s="4" t="s">
        <v>6195</v>
      </c>
      <c r="F1478" s="4"/>
    </row>
    <row r="1479" customFormat="false" ht="15" hidden="false" customHeight="true" outlineLevel="0" collapsed="false">
      <c r="A1479" s="4" t="s">
        <v>1655</v>
      </c>
      <c r="B1479" s="13" t="n">
        <v>45372</v>
      </c>
      <c r="C1479" s="4" t="s">
        <v>6215</v>
      </c>
      <c r="D1479" s="4" t="s">
        <v>6196</v>
      </c>
      <c r="E1479" s="4" t="s">
        <v>6207</v>
      </c>
      <c r="F1479" s="4" t="s">
        <v>6212</v>
      </c>
    </row>
    <row r="1480" customFormat="false" ht="15" hidden="false" customHeight="true" outlineLevel="0" collapsed="false">
      <c r="A1480" s="4" t="s">
        <v>1656</v>
      </c>
      <c r="B1480" s="13" t="n">
        <v>45185</v>
      </c>
      <c r="C1480" s="4" t="s">
        <v>6209</v>
      </c>
      <c r="D1480" s="4" t="s">
        <v>6206</v>
      </c>
      <c r="E1480" s="4" t="s">
        <v>6195</v>
      </c>
      <c r="F1480" s="4" t="s">
        <v>6214</v>
      </c>
    </row>
    <row r="1481" customFormat="false" ht="15" hidden="false" customHeight="true" outlineLevel="0" collapsed="false">
      <c r="A1481" s="4" t="s">
        <v>1657</v>
      </c>
      <c r="B1481" s="13" t="n">
        <v>45308</v>
      </c>
      <c r="C1481" s="4" t="s">
        <v>6201</v>
      </c>
      <c r="D1481" s="4" t="s">
        <v>6208</v>
      </c>
      <c r="E1481" s="4" t="s">
        <v>6195</v>
      </c>
      <c r="F1481" s="4" t="s">
        <v>6214</v>
      </c>
    </row>
    <row r="1482" customFormat="false" ht="15" hidden="false" customHeight="true" outlineLevel="0" collapsed="false">
      <c r="A1482" s="4" t="s">
        <v>1658</v>
      </c>
      <c r="B1482" s="13" t="n">
        <v>45004</v>
      </c>
      <c r="C1482" s="4" t="s">
        <v>6201</v>
      </c>
      <c r="D1482" s="4" t="s">
        <v>6206</v>
      </c>
      <c r="E1482" s="4" t="s">
        <v>6208</v>
      </c>
      <c r="F1482" s="4"/>
    </row>
    <row r="1483" customFormat="false" ht="15" hidden="false" customHeight="true" outlineLevel="0" collapsed="false">
      <c r="A1483" s="4" t="s">
        <v>1659</v>
      </c>
      <c r="B1483" s="13" t="n">
        <v>45362</v>
      </c>
      <c r="C1483" s="4" t="s">
        <v>6210</v>
      </c>
      <c r="D1483" s="4" t="s">
        <v>6205</v>
      </c>
      <c r="E1483" s="4" t="s">
        <v>6196</v>
      </c>
      <c r="F1483" s="4"/>
    </row>
    <row r="1484" customFormat="false" ht="15" hidden="false" customHeight="true" outlineLevel="0" collapsed="false">
      <c r="A1484" s="4" t="s">
        <v>1660</v>
      </c>
      <c r="B1484" s="13" t="n">
        <v>45054</v>
      </c>
      <c r="C1484" s="4" t="s">
        <v>6215</v>
      </c>
      <c r="D1484" s="4" t="s">
        <v>6206</v>
      </c>
      <c r="E1484" s="4" t="s">
        <v>6207</v>
      </c>
      <c r="F1484" s="4"/>
    </row>
    <row r="1485" customFormat="false" ht="15" hidden="false" customHeight="true" outlineLevel="0" collapsed="false">
      <c r="A1485" s="4" t="s">
        <v>1661</v>
      </c>
      <c r="B1485" s="13" t="n">
        <v>45553</v>
      </c>
      <c r="C1485" s="4" t="s">
        <v>6213</v>
      </c>
      <c r="D1485" s="4" t="s">
        <v>6211</v>
      </c>
      <c r="E1485" s="4" t="s">
        <v>6208</v>
      </c>
      <c r="F1485" s="4" t="s">
        <v>6200</v>
      </c>
    </row>
    <row r="1486" customFormat="false" ht="15" hidden="false" customHeight="true" outlineLevel="0" collapsed="false">
      <c r="A1486" s="4" t="s">
        <v>1662</v>
      </c>
      <c r="B1486" s="13" t="n">
        <v>45352</v>
      </c>
      <c r="C1486" s="4" t="s">
        <v>6209</v>
      </c>
      <c r="D1486" s="4" t="s">
        <v>6208</v>
      </c>
      <c r="E1486" s="4" t="s">
        <v>6207</v>
      </c>
      <c r="F1486" s="4" t="s">
        <v>6197</v>
      </c>
    </row>
    <row r="1487" customFormat="false" ht="15" hidden="false" customHeight="true" outlineLevel="0" collapsed="false">
      <c r="A1487" s="4" t="s">
        <v>1663</v>
      </c>
      <c r="B1487" s="13" t="n">
        <v>45353</v>
      </c>
      <c r="C1487" s="4" t="s">
        <v>6198</v>
      </c>
      <c r="D1487" s="4" t="s">
        <v>6211</v>
      </c>
      <c r="E1487" s="4" t="s">
        <v>6207</v>
      </c>
      <c r="F1487" s="4"/>
    </row>
    <row r="1488" customFormat="false" ht="15" hidden="false" customHeight="true" outlineLevel="0" collapsed="false">
      <c r="A1488" s="4" t="s">
        <v>1664</v>
      </c>
      <c r="B1488" s="13" t="n">
        <v>44993</v>
      </c>
      <c r="C1488" s="4" t="s">
        <v>6194</v>
      </c>
      <c r="D1488" s="4" t="s">
        <v>6195</v>
      </c>
      <c r="E1488" s="4" t="s">
        <v>6205</v>
      </c>
      <c r="F1488" s="4" t="s">
        <v>6197</v>
      </c>
    </row>
    <row r="1489" customFormat="false" ht="15" hidden="false" customHeight="true" outlineLevel="0" collapsed="false">
      <c r="A1489" s="4" t="s">
        <v>1665</v>
      </c>
      <c r="B1489" s="13" t="n">
        <v>45402</v>
      </c>
      <c r="C1489" s="4" t="s">
        <v>6201</v>
      </c>
      <c r="D1489" s="4" t="s">
        <v>6206</v>
      </c>
      <c r="E1489" s="4" t="s">
        <v>6196</v>
      </c>
      <c r="F1489" s="4"/>
    </row>
    <row r="1490" customFormat="false" ht="15" hidden="false" customHeight="true" outlineLevel="0" collapsed="false">
      <c r="A1490" s="4" t="s">
        <v>1666</v>
      </c>
      <c r="B1490" s="13" t="n">
        <v>45102</v>
      </c>
      <c r="C1490" s="4" t="s">
        <v>6210</v>
      </c>
      <c r="D1490" s="4" t="s">
        <v>6203</v>
      </c>
      <c r="E1490" s="4" t="s">
        <v>6206</v>
      </c>
      <c r="F1490" s="4" t="s">
        <v>6214</v>
      </c>
    </row>
    <row r="1491" customFormat="false" ht="15" hidden="false" customHeight="true" outlineLevel="0" collapsed="false">
      <c r="A1491" s="4" t="s">
        <v>1667</v>
      </c>
      <c r="B1491" s="13" t="n">
        <v>45229</v>
      </c>
      <c r="C1491" s="4" t="s">
        <v>6194</v>
      </c>
      <c r="D1491" s="4" t="s">
        <v>6203</v>
      </c>
      <c r="E1491" s="4" t="s">
        <v>6208</v>
      </c>
      <c r="F1491" s="4" t="s">
        <v>6214</v>
      </c>
    </row>
    <row r="1492" customFormat="false" ht="15" hidden="false" customHeight="true" outlineLevel="0" collapsed="false">
      <c r="A1492" s="4" t="s">
        <v>1668</v>
      </c>
      <c r="B1492" s="13" t="n">
        <v>45588</v>
      </c>
      <c r="C1492" s="4" t="s">
        <v>6210</v>
      </c>
      <c r="D1492" s="4" t="s">
        <v>6195</v>
      </c>
      <c r="E1492" s="4" t="s">
        <v>6207</v>
      </c>
      <c r="F1492" s="4" t="s">
        <v>6204</v>
      </c>
    </row>
    <row r="1493" customFormat="false" ht="15" hidden="false" customHeight="true" outlineLevel="0" collapsed="false">
      <c r="A1493" s="4" t="s">
        <v>1669</v>
      </c>
      <c r="B1493" s="13" t="n">
        <v>45148</v>
      </c>
      <c r="C1493" s="4" t="s">
        <v>6198</v>
      </c>
      <c r="D1493" s="4" t="s">
        <v>6206</v>
      </c>
      <c r="E1493" s="4" t="s">
        <v>6202</v>
      </c>
      <c r="F1493" s="4" t="s">
        <v>6212</v>
      </c>
    </row>
    <row r="1494" customFormat="false" ht="15" hidden="false" customHeight="true" outlineLevel="0" collapsed="false">
      <c r="A1494" s="4" t="s">
        <v>1670</v>
      </c>
      <c r="B1494" s="13" t="n">
        <v>44936</v>
      </c>
      <c r="C1494" s="4" t="s">
        <v>6198</v>
      </c>
      <c r="D1494" s="4" t="s">
        <v>6195</v>
      </c>
      <c r="E1494" s="4" t="s">
        <v>6208</v>
      </c>
      <c r="F1494" s="4" t="s">
        <v>6216</v>
      </c>
    </row>
    <row r="1495" customFormat="false" ht="15" hidden="false" customHeight="true" outlineLevel="0" collapsed="false">
      <c r="A1495" s="4" t="s">
        <v>1671</v>
      </c>
      <c r="B1495" s="13" t="n">
        <v>45240</v>
      </c>
      <c r="C1495" s="4" t="s">
        <v>6194</v>
      </c>
      <c r="D1495" s="4" t="s">
        <v>6206</v>
      </c>
      <c r="E1495" s="4" t="s">
        <v>6196</v>
      </c>
      <c r="F1495" s="4"/>
    </row>
    <row r="1496" customFormat="false" ht="15" hidden="false" customHeight="true" outlineLevel="0" collapsed="false">
      <c r="A1496" s="4" t="s">
        <v>1672</v>
      </c>
      <c r="B1496" s="13" t="n">
        <v>45576</v>
      </c>
      <c r="C1496" s="4" t="s">
        <v>6201</v>
      </c>
      <c r="D1496" s="4" t="s">
        <v>6196</v>
      </c>
      <c r="E1496" s="4" t="s">
        <v>6202</v>
      </c>
      <c r="F1496" s="4" t="s">
        <v>6216</v>
      </c>
    </row>
    <row r="1497" customFormat="false" ht="15" hidden="false" customHeight="true" outlineLevel="0" collapsed="false">
      <c r="A1497" s="4" t="s">
        <v>1673</v>
      </c>
      <c r="B1497" s="13" t="n">
        <v>45460</v>
      </c>
      <c r="C1497" s="4" t="s">
        <v>6194</v>
      </c>
      <c r="D1497" s="4" t="s">
        <v>6205</v>
      </c>
      <c r="E1497" s="4" t="s">
        <v>6205</v>
      </c>
      <c r="F1497" s="4" t="s">
        <v>6216</v>
      </c>
    </row>
    <row r="1498" customFormat="false" ht="15" hidden="false" customHeight="true" outlineLevel="0" collapsed="false">
      <c r="A1498" s="4" t="s">
        <v>1674</v>
      </c>
      <c r="B1498" s="13" t="n">
        <v>45580</v>
      </c>
      <c r="C1498" s="4" t="s">
        <v>6215</v>
      </c>
      <c r="D1498" s="4" t="s">
        <v>6205</v>
      </c>
      <c r="E1498" s="4" t="s">
        <v>6205</v>
      </c>
      <c r="F1498" s="4" t="s">
        <v>6204</v>
      </c>
    </row>
    <row r="1499" customFormat="false" ht="15" hidden="false" customHeight="true" outlineLevel="0" collapsed="false">
      <c r="A1499" s="4" t="s">
        <v>1675</v>
      </c>
      <c r="B1499" s="13" t="n">
        <v>45576</v>
      </c>
      <c r="C1499" s="4" t="s">
        <v>6213</v>
      </c>
      <c r="D1499" s="4" t="s">
        <v>6196</v>
      </c>
      <c r="E1499" s="4" t="s">
        <v>6208</v>
      </c>
      <c r="F1499" s="4" t="s">
        <v>6204</v>
      </c>
    </row>
    <row r="1500" customFormat="false" ht="15" hidden="false" customHeight="true" outlineLevel="0" collapsed="false">
      <c r="A1500" s="4" t="s">
        <v>1676</v>
      </c>
      <c r="B1500" s="13" t="n">
        <v>45555</v>
      </c>
      <c r="C1500" s="4" t="s">
        <v>6213</v>
      </c>
      <c r="D1500" s="4" t="s">
        <v>6205</v>
      </c>
      <c r="E1500" s="4" t="s">
        <v>6203</v>
      </c>
      <c r="F1500" s="4" t="s">
        <v>6212</v>
      </c>
    </row>
    <row r="1501" customFormat="false" ht="15" hidden="false" customHeight="true" outlineLevel="0" collapsed="false">
      <c r="A1501" s="4" t="s">
        <v>1677</v>
      </c>
      <c r="B1501" s="13" t="n">
        <v>45172</v>
      </c>
      <c r="C1501" s="4" t="s">
        <v>6201</v>
      </c>
      <c r="D1501" s="4" t="s">
        <v>6195</v>
      </c>
      <c r="E1501" s="4" t="s">
        <v>6199</v>
      </c>
      <c r="F1501" s="4" t="s">
        <v>6212</v>
      </c>
    </row>
    <row r="1502" customFormat="false" ht="15" hidden="false" customHeight="true" outlineLevel="0" collapsed="false">
      <c r="A1502" s="4" t="s">
        <v>1678</v>
      </c>
      <c r="B1502" s="13" t="n">
        <v>44957</v>
      </c>
      <c r="C1502" s="4" t="s">
        <v>6215</v>
      </c>
      <c r="D1502" s="4" t="s">
        <v>6205</v>
      </c>
      <c r="E1502" s="4" t="s">
        <v>6205</v>
      </c>
      <c r="F1502" s="4" t="s">
        <v>6214</v>
      </c>
    </row>
    <row r="1503" customFormat="false" ht="15" hidden="false" customHeight="true" outlineLevel="0" collapsed="false">
      <c r="A1503" s="4" t="s">
        <v>1679</v>
      </c>
      <c r="B1503" s="13" t="n">
        <v>45093</v>
      </c>
      <c r="C1503" s="4" t="s">
        <v>6201</v>
      </c>
      <c r="D1503" s="4" t="s">
        <v>6208</v>
      </c>
      <c r="E1503" s="4" t="s">
        <v>6205</v>
      </c>
      <c r="F1503" s="4" t="s">
        <v>6212</v>
      </c>
    </row>
    <row r="1504" customFormat="false" ht="15" hidden="false" customHeight="true" outlineLevel="0" collapsed="false">
      <c r="A1504" s="4" t="s">
        <v>1680</v>
      </c>
      <c r="B1504" s="13" t="n">
        <v>44983</v>
      </c>
      <c r="C1504" s="4" t="s">
        <v>6198</v>
      </c>
      <c r="D1504" s="4" t="s">
        <v>6206</v>
      </c>
      <c r="E1504" s="4" t="s">
        <v>6202</v>
      </c>
      <c r="F1504" s="4" t="s">
        <v>6216</v>
      </c>
    </row>
    <row r="1505" customFormat="false" ht="15" hidden="false" customHeight="true" outlineLevel="0" collapsed="false">
      <c r="A1505" s="4" t="s">
        <v>1681</v>
      </c>
      <c r="B1505" s="13" t="n">
        <v>45434</v>
      </c>
      <c r="C1505" s="4" t="s">
        <v>6201</v>
      </c>
      <c r="D1505" s="4" t="s">
        <v>6202</v>
      </c>
      <c r="E1505" s="4" t="s">
        <v>6202</v>
      </c>
      <c r="F1505" s="4"/>
    </row>
    <row r="1506" customFormat="false" ht="15" hidden="false" customHeight="true" outlineLevel="0" collapsed="false">
      <c r="A1506" s="4" t="s">
        <v>1682</v>
      </c>
      <c r="B1506" s="13" t="n">
        <v>45014</v>
      </c>
      <c r="C1506" s="4" t="s">
        <v>6213</v>
      </c>
      <c r="D1506" s="4" t="s">
        <v>6199</v>
      </c>
      <c r="E1506" s="4" t="s">
        <v>6211</v>
      </c>
      <c r="F1506" s="4" t="s">
        <v>6197</v>
      </c>
    </row>
    <row r="1507" customFormat="false" ht="15" hidden="false" customHeight="true" outlineLevel="0" collapsed="false">
      <c r="A1507" s="4" t="s">
        <v>1683</v>
      </c>
      <c r="B1507" s="13" t="n">
        <v>45406</v>
      </c>
      <c r="C1507" s="4" t="s">
        <v>6198</v>
      </c>
      <c r="D1507" s="4" t="s">
        <v>6205</v>
      </c>
      <c r="E1507" s="4" t="s">
        <v>6205</v>
      </c>
      <c r="F1507" s="4" t="s">
        <v>6212</v>
      </c>
    </row>
    <row r="1508" customFormat="false" ht="15" hidden="false" customHeight="true" outlineLevel="0" collapsed="false">
      <c r="A1508" s="4" t="s">
        <v>1684</v>
      </c>
      <c r="B1508" s="13" t="n">
        <v>45430</v>
      </c>
      <c r="C1508" s="4" t="s">
        <v>6201</v>
      </c>
      <c r="D1508" s="4" t="s">
        <v>6196</v>
      </c>
      <c r="E1508" s="4" t="s">
        <v>6196</v>
      </c>
      <c r="F1508" s="4" t="s">
        <v>6204</v>
      </c>
    </row>
    <row r="1509" customFormat="false" ht="15" hidden="false" customHeight="true" outlineLevel="0" collapsed="false">
      <c r="A1509" s="4" t="s">
        <v>1685</v>
      </c>
      <c r="B1509" s="13" t="n">
        <v>45041</v>
      </c>
      <c r="C1509" s="4" t="s">
        <v>6215</v>
      </c>
      <c r="D1509" s="4" t="s">
        <v>6205</v>
      </c>
      <c r="E1509" s="4" t="s">
        <v>6208</v>
      </c>
      <c r="F1509" s="4"/>
    </row>
    <row r="1510" customFormat="false" ht="15" hidden="false" customHeight="true" outlineLevel="0" collapsed="false">
      <c r="A1510" s="4" t="s">
        <v>1686</v>
      </c>
      <c r="B1510" s="13" t="n">
        <v>45634</v>
      </c>
      <c r="C1510" s="4" t="s">
        <v>6215</v>
      </c>
      <c r="D1510" s="4" t="s">
        <v>6208</v>
      </c>
      <c r="E1510" s="4" t="s">
        <v>6196</v>
      </c>
      <c r="F1510" s="4" t="s">
        <v>6214</v>
      </c>
    </row>
    <row r="1511" customFormat="false" ht="15" hidden="false" customHeight="true" outlineLevel="0" collapsed="false">
      <c r="A1511" s="4" t="s">
        <v>1687</v>
      </c>
      <c r="B1511" s="13" t="n">
        <v>45014</v>
      </c>
      <c r="C1511" s="4" t="s">
        <v>6194</v>
      </c>
      <c r="D1511" s="4" t="s">
        <v>6208</v>
      </c>
      <c r="E1511" s="4" t="s">
        <v>6207</v>
      </c>
      <c r="F1511" s="4"/>
    </row>
    <row r="1512" customFormat="false" ht="15" hidden="false" customHeight="true" outlineLevel="0" collapsed="false">
      <c r="A1512" s="4" t="s">
        <v>1688</v>
      </c>
      <c r="B1512" s="13" t="n">
        <v>45330</v>
      </c>
      <c r="C1512" s="4" t="s">
        <v>6210</v>
      </c>
      <c r="D1512" s="4" t="s">
        <v>6195</v>
      </c>
      <c r="E1512" s="4" t="s">
        <v>6196</v>
      </c>
      <c r="F1512" s="4" t="s">
        <v>6200</v>
      </c>
    </row>
    <row r="1513" customFormat="false" ht="15" hidden="false" customHeight="true" outlineLevel="0" collapsed="false">
      <c r="A1513" s="4" t="s">
        <v>1689</v>
      </c>
      <c r="B1513" s="13" t="n">
        <v>45512</v>
      </c>
      <c r="C1513" s="4" t="s">
        <v>6209</v>
      </c>
      <c r="D1513" s="4" t="s">
        <v>6206</v>
      </c>
      <c r="E1513" s="4" t="s">
        <v>6195</v>
      </c>
      <c r="F1513" s="4" t="s">
        <v>6214</v>
      </c>
    </row>
    <row r="1514" customFormat="false" ht="15" hidden="false" customHeight="true" outlineLevel="0" collapsed="false">
      <c r="A1514" s="4" t="s">
        <v>1690</v>
      </c>
      <c r="B1514" s="13" t="n">
        <v>45467</v>
      </c>
      <c r="C1514" s="4" t="s">
        <v>6215</v>
      </c>
      <c r="D1514" s="4" t="s">
        <v>6202</v>
      </c>
      <c r="E1514" s="4" t="s">
        <v>6211</v>
      </c>
      <c r="F1514" s="4" t="s">
        <v>6212</v>
      </c>
    </row>
    <row r="1515" customFormat="false" ht="15" hidden="false" customHeight="true" outlineLevel="0" collapsed="false">
      <c r="A1515" s="4" t="s">
        <v>1691</v>
      </c>
      <c r="B1515" s="13" t="n">
        <v>45198</v>
      </c>
      <c r="C1515" s="4" t="s">
        <v>6201</v>
      </c>
      <c r="D1515" s="4" t="s">
        <v>6202</v>
      </c>
      <c r="E1515" s="4" t="s">
        <v>6206</v>
      </c>
      <c r="F1515" s="4" t="s">
        <v>6200</v>
      </c>
    </row>
    <row r="1516" customFormat="false" ht="15" hidden="false" customHeight="true" outlineLevel="0" collapsed="false">
      <c r="A1516" s="4" t="s">
        <v>1692</v>
      </c>
      <c r="B1516" s="13" t="n">
        <v>45088</v>
      </c>
      <c r="C1516" s="4" t="s">
        <v>6215</v>
      </c>
      <c r="D1516" s="4" t="s">
        <v>6203</v>
      </c>
      <c r="E1516" s="4" t="s">
        <v>6203</v>
      </c>
      <c r="F1516" s="4"/>
    </row>
    <row r="1517" customFormat="false" ht="15" hidden="false" customHeight="true" outlineLevel="0" collapsed="false">
      <c r="A1517" s="4" t="s">
        <v>1693</v>
      </c>
      <c r="B1517" s="13" t="n">
        <v>45303</v>
      </c>
      <c r="C1517" s="4" t="s">
        <v>6215</v>
      </c>
      <c r="D1517" s="4" t="s">
        <v>6208</v>
      </c>
      <c r="E1517" s="4" t="s">
        <v>6195</v>
      </c>
      <c r="F1517" s="4"/>
    </row>
    <row r="1518" customFormat="false" ht="15" hidden="false" customHeight="true" outlineLevel="0" collapsed="false">
      <c r="A1518" s="4" t="s">
        <v>1694</v>
      </c>
      <c r="B1518" s="13" t="n">
        <v>45561</v>
      </c>
      <c r="C1518" s="4" t="s">
        <v>6213</v>
      </c>
      <c r="D1518" s="4" t="s">
        <v>6208</v>
      </c>
      <c r="E1518" s="4" t="s">
        <v>6208</v>
      </c>
      <c r="F1518" s="4" t="s">
        <v>6200</v>
      </c>
    </row>
    <row r="1519" customFormat="false" ht="15" hidden="false" customHeight="true" outlineLevel="0" collapsed="false">
      <c r="A1519" s="4" t="s">
        <v>1695</v>
      </c>
      <c r="B1519" s="13" t="n">
        <v>45609</v>
      </c>
      <c r="C1519" s="4" t="s">
        <v>6215</v>
      </c>
      <c r="D1519" s="4" t="s">
        <v>6208</v>
      </c>
      <c r="E1519" s="4" t="s">
        <v>6199</v>
      </c>
      <c r="F1519" s="4" t="s">
        <v>6200</v>
      </c>
    </row>
    <row r="1520" customFormat="false" ht="15" hidden="false" customHeight="true" outlineLevel="0" collapsed="false">
      <c r="A1520" s="4" t="s">
        <v>1696</v>
      </c>
      <c r="B1520" s="13" t="n">
        <v>45175</v>
      </c>
      <c r="C1520" s="4" t="s">
        <v>6198</v>
      </c>
      <c r="D1520" s="4" t="s">
        <v>6195</v>
      </c>
      <c r="E1520" s="4" t="s">
        <v>6203</v>
      </c>
      <c r="F1520" s="4" t="s">
        <v>6214</v>
      </c>
    </row>
    <row r="1521" customFormat="false" ht="15" hidden="false" customHeight="true" outlineLevel="0" collapsed="false">
      <c r="A1521" s="4" t="s">
        <v>1697</v>
      </c>
      <c r="B1521" s="13" t="n">
        <v>45543</v>
      </c>
      <c r="C1521" s="4" t="s">
        <v>6210</v>
      </c>
      <c r="D1521" s="4" t="s">
        <v>6205</v>
      </c>
      <c r="E1521" s="4" t="s">
        <v>6202</v>
      </c>
      <c r="F1521" s="4" t="s">
        <v>6200</v>
      </c>
    </row>
    <row r="1522" customFormat="false" ht="15" hidden="false" customHeight="true" outlineLevel="0" collapsed="false">
      <c r="A1522" s="4" t="s">
        <v>1698</v>
      </c>
      <c r="B1522" s="13" t="n">
        <v>45100</v>
      </c>
      <c r="C1522" s="4" t="s">
        <v>6201</v>
      </c>
      <c r="D1522" s="4" t="s">
        <v>6195</v>
      </c>
      <c r="E1522" s="4" t="s">
        <v>6208</v>
      </c>
      <c r="F1522" s="4" t="s">
        <v>6204</v>
      </c>
    </row>
    <row r="1523" customFormat="false" ht="15" hidden="false" customHeight="true" outlineLevel="0" collapsed="false">
      <c r="A1523" s="4" t="s">
        <v>1699</v>
      </c>
      <c r="B1523" s="13" t="n">
        <v>45351</v>
      </c>
      <c r="C1523" s="4" t="s">
        <v>6210</v>
      </c>
      <c r="D1523" s="4" t="s">
        <v>6196</v>
      </c>
      <c r="E1523" s="4" t="s">
        <v>6211</v>
      </c>
      <c r="F1523" s="4" t="s">
        <v>6200</v>
      </c>
    </row>
    <row r="1524" customFormat="false" ht="15" hidden="false" customHeight="true" outlineLevel="0" collapsed="false">
      <c r="A1524" s="4" t="s">
        <v>1700</v>
      </c>
      <c r="B1524" s="13" t="n">
        <v>45410</v>
      </c>
      <c r="C1524" s="4" t="s">
        <v>6201</v>
      </c>
      <c r="D1524" s="4" t="s">
        <v>6211</v>
      </c>
      <c r="E1524" s="4" t="s">
        <v>6211</v>
      </c>
      <c r="F1524" s="4"/>
    </row>
    <row r="1525" customFormat="false" ht="15" hidden="false" customHeight="true" outlineLevel="0" collapsed="false">
      <c r="A1525" s="4" t="s">
        <v>1701</v>
      </c>
      <c r="B1525" s="13" t="n">
        <v>45144</v>
      </c>
      <c r="C1525" s="4" t="s">
        <v>6201</v>
      </c>
      <c r="D1525" s="4" t="s">
        <v>6206</v>
      </c>
      <c r="E1525" s="4" t="s">
        <v>6199</v>
      </c>
      <c r="F1525" s="4"/>
    </row>
    <row r="1526" customFormat="false" ht="15" hidden="false" customHeight="true" outlineLevel="0" collapsed="false">
      <c r="A1526" s="4" t="s">
        <v>1702</v>
      </c>
      <c r="B1526" s="13" t="n">
        <v>45355</v>
      </c>
      <c r="C1526" s="4" t="s">
        <v>6198</v>
      </c>
      <c r="D1526" s="4" t="s">
        <v>6195</v>
      </c>
      <c r="E1526" s="4" t="s">
        <v>6207</v>
      </c>
      <c r="F1526" s="4" t="s">
        <v>6200</v>
      </c>
    </row>
    <row r="1527" customFormat="false" ht="15" hidden="false" customHeight="true" outlineLevel="0" collapsed="false">
      <c r="A1527" s="4" t="s">
        <v>1703</v>
      </c>
      <c r="B1527" s="13" t="n">
        <v>45053</v>
      </c>
      <c r="C1527" s="4" t="s">
        <v>6209</v>
      </c>
      <c r="D1527" s="4" t="s">
        <v>6195</v>
      </c>
      <c r="E1527" s="4" t="s">
        <v>6206</v>
      </c>
      <c r="F1527" s="4" t="s">
        <v>6214</v>
      </c>
    </row>
    <row r="1528" customFormat="false" ht="15" hidden="false" customHeight="true" outlineLevel="0" collapsed="false">
      <c r="A1528" s="4" t="s">
        <v>1704</v>
      </c>
      <c r="B1528" s="13" t="n">
        <v>45034</v>
      </c>
      <c r="C1528" s="4" t="s">
        <v>6201</v>
      </c>
      <c r="D1528" s="4" t="s">
        <v>6211</v>
      </c>
      <c r="E1528" s="4" t="s">
        <v>6205</v>
      </c>
      <c r="F1528" s="4"/>
    </row>
    <row r="1529" customFormat="false" ht="15" hidden="false" customHeight="true" outlineLevel="0" collapsed="false">
      <c r="A1529" s="4" t="s">
        <v>1705</v>
      </c>
      <c r="B1529" s="13" t="n">
        <v>45419</v>
      </c>
      <c r="C1529" s="4" t="s">
        <v>6210</v>
      </c>
      <c r="D1529" s="4" t="s">
        <v>6205</v>
      </c>
      <c r="E1529" s="4" t="s">
        <v>6196</v>
      </c>
      <c r="F1529" s="4"/>
    </row>
    <row r="1530" customFormat="false" ht="15" hidden="false" customHeight="true" outlineLevel="0" collapsed="false">
      <c r="A1530" s="4" t="s">
        <v>1706</v>
      </c>
      <c r="B1530" s="13" t="n">
        <v>45043</v>
      </c>
      <c r="C1530" s="4" t="s">
        <v>6213</v>
      </c>
      <c r="D1530" s="4" t="s">
        <v>6207</v>
      </c>
      <c r="E1530" s="4" t="s">
        <v>6206</v>
      </c>
      <c r="F1530" s="4"/>
    </row>
    <row r="1531" customFormat="false" ht="15" hidden="false" customHeight="true" outlineLevel="0" collapsed="false">
      <c r="A1531" s="4" t="s">
        <v>1707</v>
      </c>
      <c r="B1531" s="13" t="n">
        <v>45321</v>
      </c>
      <c r="C1531" s="4" t="s">
        <v>6215</v>
      </c>
      <c r="D1531" s="4" t="s">
        <v>6205</v>
      </c>
      <c r="E1531" s="4" t="s">
        <v>6211</v>
      </c>
      <c r="F1531" s="4" t="s">
        <v>6200</v>
      </c>
    </row>
    <row r="1532" customFormat="false" ht="15" hidden="false" customHeight="true" outlineLevel="0" collapsed="false">
      <c r="A1532" s="4" t="s">
        <v>1708</v>
      </c>
      <c r="B1532" s="13" t="n">
        <v>45219</v>
      </c>
      <c r="C1532" s="4" t="s">
        <v>6201</v>
      </c>
      <c r="D1532" s="4" t="s">
        <v>6202</v>
      </c>
      <c r="E1532" s="4" t="s">
        <v>6196</v>
      </c>
      <c r="F1532" s="4" t="s">
        <v>6214</v>
      </c>
    </row>
    <row r="1533" customFormat="false" ht="15" hidden="false" customHeight="true" outlineLevel="0" collapsed="false">
      <c r="A1533" s="4" t="s">
        <v>1709</v>
      </c>
      <c r="B1533" s="13" t="n">
        <v>45278</v>
      </c>
      <c r="C1533" s="4" t="s">
        <v>6209</v>
      </c>
      <c r="D1533" s="4" t="s">
        <v>6211</v>
      </c>
      <c r="E1533" s="4" t="s">
        <v>6195</v>
      </c>
      <c r="F1533" s="4" t="s">
        <v>6200</v>
      </c>
    </row>
    <row r="1534" customFormat="false" ht="15" hidden="false" customHeight="true" outlineLevel="0" collapsed="false">
      <c r="A1534" s="4" t="s">
        <v>1710</v>
      </c>
      <c r="B1534" s="13" t="n">
        <v>45160</v>
      </c>
      <c r="C1534" s="4" t="s">
        <v>6194</v>
      </c>
      <c r="D1534" s="4" t="s">
        <v>6195</v>
      </c>
      <c r="E1534" s="4" t="s">
        <v>6211</v>
      </c>
      <c r="F1534" s="4" t="s">
        <v>6214</v>
      </c>
    </row>
    <row r="1535" customFormat="false" ht="15" hidden="false" customHeight="true" outlineLevel="0" collapsed="false">
      <c r="A1535" s="4" t="s">
        <v>1711</v>
      </c>
      <c r="B1535" s="13" t="n">
        <v>45101</v>
      </c>
      <c r="C1535" s="4" t="s">
        <v>6215</v>
      </c>
      <c r="D1535" s="4" t="s">
        <v>6206</v>
      </c>
      <c r="E1535" s="4" t="s">
        <v>6208</v>
      </c>
      <c r="F1535" s="4" t="s">
        <v>6216</v>
      </c>
    </row>
    <row r="1536" customFormat="false" ht="15" hidden="false" customHeight="true" outlineLevel="0" collapsed="false">
      <c r="A1536" s="4" t="s">
        <v>1712</v>
      </c>
      <c r="B1536" s="13" t="n">
        <v>45654</v>
      </c>
      <c r="C1536" s="4" t="s">
        <v>6215</v>
      </c>
      <c r="D1536" s="4" t="s">
        <v>6208</v>
      </c>
      <c r="E1536" s="4" t="s">
        <v>6206</v>
      </c>
      <c r="F1536" s="4"/>
    </row>
    <row r="1537" customFormat="false" ht="15" hidden="false" customHeight="true" outlineLevel="0" collapsed="false">
      <c r="A1537" s="4" t="s">
        <v>1713</v>
      </c>
      <c r="B1537" s="13" t="n">
        <v>45047</v>
      </c>
      <c r="C1537" s="4" t="s">
        <v>6201</v>
      </c>
      <c r="D1537" s="4" t="s">
        <v>6211</v>
      </c>
      <c r="E1537" s="4" t="s">
        <v>6207</v>
      </c>
      <c r="F1537" s="4" t="s">
        <v>6200</v>
      </c>
    </row>
    <row r="1538" customFormat="false" ht="15" hidden="false" customHeight="true" outlineLevel="0" collapsed="false">
      <c r="A1538" s="4" t="s">
        <v>1714</v>
      </c>
      <c r="B1538" s="13" t="n">
        <v>45416</v>
      </c>
      <c r="C1538" s="4" t="s">
        <v>6213</v>
      </c>
      <c r="D1538" s="4" t="s">
        <v>6205</v>
      </c>
      <c r="E1538" s="4" t="s">
        <v>6208</v>
      </c>
      <c r="F1538" s="4"/>
    </row>
    <row r="1539" customFormat="false" ht="15" hidden="false" customHeight="true" outlineLevel="0" collapsed="false">
      <c r="A1539" s="4" t="s">
        <v>1715</v>
      </c>
      <c r="B1539" s="13" t="n">
        <v>44969</v>
      </c>
      <c r="C1539" s="4" t="s">
        <v>6201</v>
      </c>
      <c r="D1539" s="4" t="s">
        <v>6211</v>
      </c>
      <c r="E1539" s="4" t="s">
        <v>6206</v>
      </c>
      <c r="F1539" s="4"/>
    </row>
    <row r="1540" customFormat="false" ht="15" hidden="false" customHeight="true" outlineLevel="0" collapsed="false">
      <c r="A1540" s="4" t="s">
        <v>1716</v>
      </c>
      <c r="B1540" s="13" t="n">
        <v>45586</v>
      </c>
      <c r="C1540" s="4" t="s">
        <v>6209</v>
      </c>
      <c r="D1540" s="4" t="s">
        <v>6202</v>
      </c>
      <c r="E1540" s="4" t="s">
        <v>6211</v>
      </c>
      <c r="F1540" s="4"/>
    </row>
    <row r="1541" customFormat="false" ht="15" hidden="false" customHeight="true" outlineLevel="0" collapsed="false">
      <c r="A1541" s="4" t="s">
        <v>1717</v>
      </c>
      <c r="B1541" s="13" t="n">
        <v>45128</v>
      </c>
      <c r="C1541" s="4" t="s">
        <v>6198</v>
      </c>
      <c r="D1541" s="4" t="s">
        <v>6205</v>
      </c>
      <c r="E1541" s="4" t="s">
        <v>6196</v>
      </c>
      <c r="F1541" s="4" t="s">
        <v>6200</v>
      </c>
    </row>
    <row r="1542" customFormat="false" ht="15" hidden="false" customHeight="true" outlineLevel="0" collapsed="false">
      <c r="A1542" s="4" t="s">
        <v>1718</v>
      </c>
      <c r="B1542" s="13" t="n">
        <v>45142</v>
      </c>
      <c r="C1542" s="4" t="s">
        <v>6201</v>
      </c>
      <c r="D1542" s="4" t="s">
        <v>6202</v>
      </c>
      <c r="E1542" s="4" t="s">
        <v>6208</v>
      </c>
      <c r="F1542" s="4" t="s">
        <v>6204</v>
      </c>
    </row>
    <row r="1543" customFormat="false" ht="15" hidden="false" customHeight="true" outlineLevel="0" collapsed="false">
      <c r="A1543" s="4" t="s">
        <v>1719</v>
      </c>
      <c r="B1543" s="13" t="n">
        <v>44970</v>
      </c>
      <c r="C1543" s="4" t="s">
        <v>6209</v>
      </c>
      <c r="D1543" s="4" t="s">
        <v>6203</v>
      </c>
      <c r="E1543" s="4" t="s">
        <v>6205</v>
      </c>
      <c r="F1543" s="4"/>
    </row>
    <row r="1544" customFormat="false" ht="15" hidden="false" customHeight="true" outlineLevel="0" collapsed="false">
      <c r="A1544" s="4" t="s">
        <v>1720</v>
      </c>
      <c r="B1544" s="13" t="n">
        <v>45023</v>
      </c>
      <c r="C1544" s="4" t="s">
        <v>6213</v>
      </c>
      <c r="D1544" s="4" t="s">
        <v>6202</v>
      </c>
      <c r="E1544" s="4" t="s">
        <v>6207</v>
      </c>
      <c r="F1544" s="4" t="s">
        <v>6214</v>
      </c>
    </row>
    <row r="1545" customFormat="false" ht="15" hidden="false" customHeight="true" outlineLevel="0" collapsed="false">
      <c r="A1545" s="4" t="s">
        <v>1721</v>
      </c>
      <c r="B1545" s="13" t="n">
        <v>44954</v>
      </c>
      <c r="C1545" s="4" t="s">
        <v>6194</v>
      </c>
      <c r="D1545" s="4" t="s">
        <v>6211</v>
      </c>
      <c r="E1545" s="4" t="s">
        <v>6208</v>
      </c>
      <c r="F1545" s="4"/>
    </row>
    <row r="1546" customFormat="false" ht="15" hidden="false" customHeight="true" outlineLevel="0" collapsed="false">
      <c r="A1546" s="4" t="s">
        <v>1722</v>
      </c>
      <c r="B1546" s="13" t="n">
        <v>45302</v>
      </c>
      <c r="C1546" s="4" t="s">
        <v>6215</v>
      </c>
      <c r="D1546" s="4" t="s">
        <v>6195</v>
      </c>
      <c r="E1546" s="4" t="s">
        <v>6208</v>
      </c>
      <c r="F1546" s="4" t="s">
        <v>6214</v>
      </c>
    </row>
    <row r="1547" customFormat="false" ht="15" hidden="false" customHeight="true" outlineLevel="0" collapsed="false">
      <c r="A1547" s="4" t="s">
        <v>1723</v>
      </c>
      <c r="B1547" s="13" t="n">
        <v>45474</v>
      </c>
      <c r="C1547" s="4" t="s">
        <v>6198</v>
      </c>
      <c r="D1547" s="4" t="s">
        <v>6205</v>
      </c>
      <c r="E1547" s="4" t="s">
        <v>6208</v>
      </c>
      <c r="F1547" s="4" t="s">
        <v>6216</v>
      </c>
    </row>
    <row r="1548" customFormat="false" ht="15" hidden="false" customHeight="true" outlineLevel="0" collapsed="false">
      <c r="A1548" s="4" t="s">
        <v>1724</v>
      </c>
      <c r="B1548" s="13" t="n">
        <v>45497</v>
      </c>
      <c r="C1548" s="4" t="s">
        <v>6213</v>
      </c>
      <c r="D1548" s="4" t="s">
        <v>6207</v>
      </c>
      <c r="E1548" s="4" t="s">
        <v>6207</v>
      </c>
      <c r="F1548" s="4" t="s">
        <v>6200</v>
      </c>
    </row>
    <row r="1549" customFormat="false" ht="15" hidden="false" customHeight="true" outlineLevel="0" collapsed="false">
      <c r="A1549" s="4" t="s">
        <v>1725</v>
      </c>
      <c r="B1549" s="13" t="n">
        <v>45378</v>
      </c>
      <c r="C1549" s="4" t="s">
        <v>6213</v>
      </c>
      <c r="D1549" s="4" t="s">
        <v>6195</v>
      </c>
      <c r="E1549" s="4" t="s">
        <v>6211</v>
      </c>
      <c r="F1549" s="4" t="s">
        <v>6197</v>
      </c>
    </row>
    <row r="1550" customFormat="false" ht="15" hidden="false" customHeight="true" outlineLevel="0" collapsed="false">
      <c r="A1550" s="4" t="s">
        <v>1726</v>
      </c>
      <c r="B1550" s="13" t="n">
        <v>45325</v>
      </c>
      <c r="C1550" s="4" t="s">
        <v>6198</v>
      </c>
      <c r="D1550" s="4" t="s">
        <v>6208</v>
      </c>
      <c r="E1550" s="4" t="s">
        <v>6208</v>
      </c>
      <c r="F1550" s="4" t="s">
        <v>6216</v>
      </c>
    </row>
    <row r="1551" customFormat="false" ht="15" hidden="false" customHeight="true" outlineLevel="0" collapsed="false">
      <c r="A1551" s="4" t="s">
        <v>1727</v>
      </c>
      <c r="B1551" s="13" t="n">
        <v>45331</v>
      </c>
      <c r="C1551" s="4" t="s">
        <v>6210</v>
      </c>
      <c r="D1551" s="4" t="s">
        <v>6207</v>
      </c>
      <c r="E1551" s="4" t="s">
        <v>6207</v>
      </c>
      <c r="F1551" s="4" t="s">
        <v>6216</v>
      </c>
    </row>
    <row r="1552" customFormat="false" ht="15" hidden="false" customHeight="true" outlineLevel="0" collapsed="false">
      <c r="A1552" s="4" t="s">
        <v>1728</v>
      </c>
      <c r="B1552" s="13" t="n">
        <v>45149</v>
      </c>
      <c r="C1552" s="4" t="s">
        <v>6209</v>
      </c>
      <c r="D1552" s="4" t="s">
        <v>6205</v>
      </c>
      <c r="E1552" s="4" t="s">
        <v>6202</v>
      </c>
      <c r="F1552" s="4" t="s">
        <v>6200</v>
      </c>
    </row>
    <row r="1553" customFormat="false" ht="15" hidden="false" customHeight="true" outlineLevel="0" collapsed="false">
      <c r="A1553" s="4" t="s">
        <v>1729</v>
      </c>
      <c r="B1553" s="13" t="n">
        <v>45545</v>
      </c>
      <c r="C1553" s="4" t="s">
        <v>6213</v>
      </c>
      <c r="D1553" s="4" t="s">
        <v>6196</v>
      </c>
      <c r="E1553" s="4" t="s">
        <v>6199</v>
      </c>
      <c r="F1553" s="4" t="s">
        <v>6216</v>
      </c>
    </row>
    <row r="1554" customFormat="false" ht="15" hidden="false" customHeight="true" outlineLevel="0" collapsed="false">
      <c r="A1554" s="4" t="s">
        <v>1730</v>
      </c>
      <c r="B1554" s="13" t="n">
        <v>45203</v>
      </c>
      <c r="C1554" s="4" t="s">
        <v>6209</v>
      </c>
      <c r="D1554" s="4" t="s">
        <v>6202</v>
      </c>
      <c r="E1554" s="4" t="s">
        <v>6207</v>
      </c>
      <c r="F1554" s="4" t="s">
        <v>6197</v>
      </c>
    </row>
    <row r="1555" customFormat="false" ht="15" hidden="false" customHeight="true" outlineLevel="0" collapsed="false">
      <c r="A1555" s="4" t="s">
        <v>1731</v>
      </c>
      <c r="B1555" s="13" t="n">
        <v>45239</v>
      </c>
      <c r="C1555" s="4" t="s">
        <v>6194</v>
      </c>
      <c r="D1555" s="4" t="s">
        <v>6196</v>
      </c>
      <c r="E1555" s="4" t="s">
        <v>6202</v>
      </c>
      <c r="F1555" s="4" t="s">
        <v>6214</v>
      </c>
    </row>
    <row r="1556" customFormat="false" ht="15" hidden="false" customHeight="true" outlineLevel="0" collapsed="false">
      <c r="A1556" s="4" t="s">
        <v>1732</v>
      </c>
      <c r="B1556" s="13" t="n">
        <v>45622</v>
      </c>
      <c r="C1556" s="4" t="s">
        <v>6213</v>
      </c>
      <c r="D1556" s="4" t="s">
        <v>6207</v>
      </c>
      <c r="E1556" s="4" t="s">
        <v>6206</v>
      </c>
      <c r="F1556" s="4" t="s">
        <v>6216</v>
      </c>
    </row>
    <row r="1557" customFormat="false" ht="15" hidden="false" customHeight="true" outlineLevel="0" collapsed="false">
      <c r="A1557" s="4" t="s">
        <v>1733</v>
      </c>
      <c r="B1557" s="13" t="n">
        <v>45197</v>
      </c>
      <c r="C1557" s="4" t="s">
        <v>6209</v>
      </c>
      <c r="D1557" s="4" t="s">
        <v>6195</v>
      </c>
      <c r="E1557" s="4" t="s">
        <v>6202</v>
      </c>
      <c r="F1557" s="4"/>
    </row>
    <row r="1558" customFormat="false" ht="15" hidden="false" customHeight="true" outlineLevel="0" collapsed="false">
      <c r="A1558" s="4" t="s">
        <v>1734</v>
      </c>
      <c r="B1558" s="13" t="n">
        <v>45442</v>
      </c>
      <c r="C1558" s="4" t="s">
        <v>6215</v>
      </c>
      <c r="D1558" s="4" t="s">
        <v>6195</v>
      </c>
      <c r="E1558" s="4" t="s">
        <v>6202</v>
      </c>
      <c r="F1558" s="4" t="s">
        <v>6197</v>
      </c>
    </row>
    <row r="1559" customFormat="false" ht="15" hidden="false" customHeight="true" outlineLevel="0" collapsed="false">
      <c r="A1559" s="4" t="s">
        <v>1735</v>
      </c>
      <c r="B1559" s="13" t="n">
        <v>45423</v>
      </c>
      <c r="C1559" s="4" t="s">
        <v>6213</v>
      </c>
      <c r="D1559" s="4" t="s">
        <v>6202</v>
      </c>
      <c r="E1559" s="4" t="s">
        <v>6207</v>
      </c>
      <c r="F1559" s="4" t="s">
        <v>6204</v>
      </c>
    </row>
    <row r="1560" customFormat="false" ht="15" hidden="false" customHeight="true" outlineLevel="0" collapsed="false">
      <c r="A1560" s="4" t="s">
        <v>1736</v>
      </c>
      <c r="B1560" s="13" t="n">
        <v>45198</v>
      </c>
      <c r="C1560" s="4" t="s">
        <v>6194</v>
      </c>
      <c r="D1560" s="4" t="s">
        <v>6202</v>
      </c>
      <c r="E1560" s="4" t="s">
        <v>6202</v>
      </c>
      <c r="F1560" s="4" t="s">
        <v>6214</v>
      </c>
    </row>
    <row r="1561" customFormat="false" ht="15" hidden="false" customHeight="true" outlineLevel="0" collapsed="false">
      <c r="A1561" s="4" t="s">
        <v>1737</v>
      </c>
      <c r="B1561" s="13" t="n">
        <v>44974</v>
      </c>
      <c r="C1561" s="4" t="s">
        <v>6209</v>
      </c>
      <c r="D1561" s="4" t="s">
        <v>6203</v>
      </c>
      <c r="E1561" s="4" t="s">
        <v>6206</v>
      </c>
      <c r="F1561" s="4" t="s">
        <v>6204</v>
      </c>
    </row>
    <row r="1562" customFormat="false" ht="15" hidden="false" customHeight="true" outlineLevel="0" collapsed="false">
      <c r="A1562" s="4" t="s">
        <v>1738</v>
      </c>
      <c r="B1562" s="13" t="n">
        <v>45140</v>
      </c>
      <c r="C1562" s="4" t="s">
        <v>6213</v>
      </c>
      <c r="D1562" s="4" t="s">
        <v>6196</v>
      </c>
      <c r="E1562" s="4" t="s">
        <v>6195</v>
      </c>
      <c r="F1562" s="4" t="s">
        <v>6204</v>
      </c>
    </row>
    <row r="1563" customFormat="false" ht="15" hidden="false" customHeight="true" outlineLevel="0" collapsed="false">
      <c r="A1563" s="4" t="s">
        <v>1739</v>
      </c>
      <c r="B1563" s="13" t="n">
        <v>45403</v>
      </c>
      <c r="C1563" s="4" t="s">
        <v>6194</v>
      </c>
      <c r="D1563" s="4" t="s">
        <v>6211</v>
      </c>
      <c r="E1563" s="4" t="s">
        <v>6199</v>
      </c>
      <c r="F1563" s="4"/>
    </row>
    <row r="1564" customFormat="false" ht="15" hidden="false" customHeight="true" outlineLevel="0" collapsed="false">
      <c r="A1564" s="4" t="s">
        <v>1740</v>
      </c>
      <c r="B1564" s="13" t="n">
        <v>45613</v>
      </c>
      <c r="C1564" s="4" t="s">
        <v>6215</v>
      </c>
      <c r="D1564" s="4" t="s">
        <v>6195</v>
      </c>
      <c r="E1564" s="4" t="s">
        <v>6203</v>
      </c>
      <c r="F1564" s="4" t="s">
        <v>6197</v>
      </c>
    </row>
    <row r="1565" customFormat="false" ht="15" hidden="false" customHeight="true" outlineLevel="0" collapsed="false">
      <c r="A1565" s="4" t="s">
        <v>1741</v>
      </c>
      <c r="B1565" s="13" t="n">
        <v>45479</v>
      </c>
      <c r="C1565" s="4" t="s">
        <v>6201</v>
      </c>
      <c r="D1565" s="4" t="s">
        <v>6208</v>
      </c>
      <c r="E1565" s="4" t="s">
        <v>6195</v>
      </c>
      <c r="F1565" s="4" t="s">
        <v>6200</v>
      </c>
    </row>
    <row r="1566" customFormat="false" ht="15" hidden="false" customHeight="true" outlineLevel="0" collapsed="false">
      <c r="A1566" s="4" t="s">
        <v>1742</v>
      </c>
      <c r="B1566" s="13" t="n">
        <v>44957</v>
      </c>
      <c r="C1566" s="4" t="s">
        <v>6213</v>
      </c>
      <c r="D1566" s="4" t="s">
        <v>6196</v>
      </c>
      <c r="E1566" s="4" t="s">
        <v>6203</v>
      </c>
      <c r="F1566" s="4" t="s">
        <v>6214</v>
      </c>
    </row>
    <row r="1567" customFormat="false" ht="15" hidden="false" customHeight="true" outlineLevel="0" collapsed="false">
      <c r="A1567" s="4" t="s">
        <v>1743</v>
      </c>
      <c r="B1567" s="13" t="n">
        <v>45605</v>
      </c>
      <c r="C1567" s="4" t="s">
        <v>6198</v>
      </c>
      <c r="D1567" s="4" t="s">
        <v>6195</v>
      </c>
      <c r="E1567" s="4" t="s">
        <v>6195</v>
      </c>
      <c r="F1567" s="4" t="s">
        <v>6214</v>
      </c>
    </row>
    <row r="1568" customFormat="false" ht="15" hidden="false" customHeight="true" outlineLevel="0" collapsed="false">
      <c r="A1568" s="4" t="s">
        <v>1744</v>
      </c>
      <c r="B1568" s="13" t="n">
        <v>45029</v>
      </c>
      <c r="C1568" s="4" t="s">
        <v>6194</v>
      </c>
      <c r="D1568" s="4" t="s">
        <v>6211</v>
      </c>
      <c r="E1568" s="4" t="s">
        <v>6208</v>
      </c>
      <c r="F1568" s="4" t="s">
        <v>6204</v>
      </c>
    </row>
    <row r="1569" customFormat="false" ht="15" hidden="false" customHeight="true" outlineLevel="0" collapsed="false">
      <c r="A1569" s="4" t="s">
        <v>1745</v>
      </c>
      <c r="B1569" s="13" t="n">
        <v>44954</v>
      </c>
      <c r="C1569" s="4" t="s">
        <v>6194</v>
      </c>
      <c r="D1569" s="4" t="s">
        <v>6208</v>
      </c>
      <c r="E1569" s="4" t="s">
        <v>6199</v>
      </c>
      <c r="F1569" s="4"/>
    </row>
    <row r="1570" customFormat="false" ht="15" hidden="false" customHeight="true" outlineLevel="0" collapsed="false">
      <c r="A1570" s="4" t="s">
        <v>1746</v>
      </c>
      <c r="B1570" s="13" t="n">
        <v>45398</v>
      </c>
      <c r="C1570" s="4" t="s">
        <v>6209</v>
      </c>
      <c r="D1570" s="4" t="s">
        <v>6199</v>
      </c>
      <c r="E1570" s="4" t="s">
        <v>6196</v>
      </c>
      <c r="F1570" s="4" t="s">
        <v>6200</v>
      </c>
    </row>
    <row r="1571" customFormat="false" ht="15" hidden="false" customHeight="true" outlineLevel="0" collapsed="false">
      <c r="A1571" s="4" t="s">
        <v>1747</v>
      </c>
      <c r="B1571" s="13" t="n">
        <v>45136</v>
      </c>
      <c r="C1571" s="4" t="s">
        <v>6213</v>
      </c>
      <c r="D1571" s="4" t="s">
        <v>6207</v>
      </c>
      <c r="E1571" s="4" t="s">
        <v>6205</v>
      </c>
      <c r="F1571" s="4" t="s">
        <v>6204</v>
      </c>
    </row>
    <row r="1572" customFormat="false" ht="15" hidden="false" customHeight="true" outlineLevel="0" collapsed="false">
      <c r="A1572" s="4" t="s">
        <v>1748</v>
      </c>
      <c r="B1572" s="13" t="n">
        <v>44949</v>
      </c>
      <c r="C1572" s="4" t="s">
        <v>6210</v>
      </c>
      <c r="D1572" s="4" t="s">
        <v>6205</v>
      </c>
      <c r="E1572" s="4" t="s">
        <v>6208</v>
      </c>
      <c r="F1572" s="4"/>
    </row>
    <row r="1573" customFormat="false" ht="15" hidden="false" customHeight="true" outlineLevel="0" collapsed="false">
      <c r="A1573" s="4" t="s">
        <v>1749</v>
      </c>
      <c r="B1573" s="13" t="n">
        <v>45046</v>
      </c>
      <c r="C1573" s="4" t="s">
        <v>6201</v>
      </c>
      <c r="D1573" s="4" t="s">
        <v>6202</v>
      </c>
      <c r="E1573" s="4" t="s">
        <v>6206</v>
      </c>
      <c r="F1573" s="4" t="s">
        <v>6214</v>
      </c>
    </row>
    <row r="1574" customFormat="false" ht="15" hidden="false" customHeight="true" outlineLevel="0" collapsed="false">
      <c r="A1574" s="4" t="s">
        <v>1750</v>
      </c>
      <c r="B1574" s="13" t="n">
        <v>45592</v>
      </c>
      <c r="C1574" s="4" t="s">
        <v>6198</v>
      </c>
      <c r="D1574" s="4" t="s">
        <v>6196</v>
      </c>
      <c r="E1574" s="4" t="s">
        <v>6211</v>
      </c>
      <c r="F1574" s="4"/>
    </row>
    <row r="1575" customFormat="false" ht="15" hidden="false" customHeight="true" outlineLevel="0" collapsed="false">
      <c r="A1575" s="4" t="s">
        <v>1751</v>
      </c>
      <c r="B1575" s="13" t="n">
        <v>44929</v>
      </c>
      <c r="C1575" s="4" t="s">
        <v>6215</v>
      </c>
      <c r="D1575" s="4" t="s">
        <v>6207</v>
      </c>
      <c r="E1575" s="4" t="s">
        <v>6196</v>
      </c>
      <c r="F1575" s="4" t="s">
        <v>6216</v>
      </c>
    </row>
    <row r="1576" customFormat="false" ht="15" hidden="false" customHeight="true" outlineLevel="0" collapsed="false">
      <c r="A1576" s="4" t="s">
        <v>1752</v>
      </c>
      <c r="B1576" s="13" t="n">
        <v>45391</v>
      </c>
      <c r="C1576" s="4" t="s">
        <v>6210</v>
      </c>
      <c r="D1576" s="4" t="s">
        <v>6199</v>
      </c>
      <c r="E1576" s="4" t="s">
        <v>6208</v>
      </c>
      <c r="F1576" s="4" t="s">
        <v>6200</v>
      </c>
    </row>
    <row r="1577" customFormat="false" ht="15" hidden="false" customHeight="true" outlineLevel="0" collapsed="false">
      <c r="A1577" s="4" t="s">
        <v>1753</v>
      </c>
      <c r="B1577" s="13" t="n">
        <v>45605</v>
      </c>
      <c r="C1577" s="4" t="s">
        <v>6215</v>
      </c>
      <c r="D1577" s="4" t="s">
        <v>6199</v>
      </c>
      <c r="E1577" s="4" t="s">
        <v>6205</v>
      </c>
      <c r="F1577" s="4" t="s">
        <v>6212</v>
      </c>
    </row>
    <row r="1578" customFormat="false" ht="15" hidden="false" customHeight="true" outlineLevel="0" collapsed="false">
      <c r="A1578" s="4" t="s">
        <v>1754</v>
      </c>
      <c r="B1578" s="13" t="n">
        <v>45303</v>
      </c>
      <c r="C1578" s="4" t="s">
        <v>6201</v>
      </c>
      <c r="D1578" s="4" t="s">
        <v>6211</v>
      </c>
      <c r="E1578" s="4" t="s">
        <v>6202</v>
      </c>
      <c r="F1578" s="4"/>
    </row>
    <row r="1579" customFormat="false" ht="15" hidden="false" customHeight="true" outlineLevel="0" collapsed="false">
      <c r="A1579" s="4" t="s">
        <v>1755</v>
      </c>
      <c r="B1579" s="13" t="n">
        <v>44992</v>
      </c>
      <c r="C1579" s="4" t="s">
        <v>6198</v>
      </c>
      <c r="D1579" s="4" t="s">
        <v>6195</v>
      </c>
      <c r="E1579" s="4" t="s">
        <v>6203</v>
      </c>
      <c r="F1579" s="4"/>
    </row>
    <row r="1580" customFormat="false" ht="15" hidden="false" customHeight="true" outlineLevel="0" collapsed="false">
      <c r="A1580" s="4" t="s">
        <v>1756</v>
      </c>
      <c r="B1580" s="13" t="n">
        <v>45335</v>
      </c>
      <c r="C1580" s="4" t="s">
        <v>6209</v>
      </c>
      <c r="D1580" s="4" t="s">
        <v>6199</v>
      </c>
      <c r="E1580" s="4" t="s">
        <v>6211</v>
      </c>
      <c r="F1580" s="4" t="s">
        <v>6214</v>
      </c>
    </row>
    <row r="1581" customFormat="false" ht="15" hidden="false" customHeight="true" outlineLevel="0" collapsed="false">
      <c r="A1581" s="4" t="s">
        <v>1757</v>
      </c>
      <c r="B1581" s="13" t="n">
        <v>45641</v>
      </c>
      <c r="C1581" s="4" t="s">
        <v>6215</v>
      </c>
      <c r="D1581" s="4" t="s">
        <v>6199</v>
      </c>
      <c r="E1581" s="4" t="s">
        <v>6202</v>
      </c>
      <c r="F1581" s="4" t="s">
        <v>6216</v>
      </c>
    </row>
    <row r="1582" customFormat="false" ht="15" hidden="false" customHeight="true" outlineLevel="0" collapsed="false">
      <c r="A1582" s="4" t="s">
        <v>1758</v>
      </c>
      <c r="B1582" s="13" t="n">
        <v>45266</v>
      </c>
      <c r="C1582" s="4" t="s">
        <v>6210</v>
      </c>
      <c r="D1582" s="4" t="s">
        <v>6202</v>
      </c>
      <c r="E1582" s="4" t="s">
        <v>6206</v>
      </c>
      <c r="F1582" s="4" t="s">
        <v>6200</v>
      </c>
    </row>
    <row r="1583" customFormat="false" ht="15" hidden="false" customHeight="true" outlineLevel="0" collapsed="false">
      <c r="A1583" s="4" t="s">
        <v>1759</v>
      </c>
      <c r="B1583" s="13" t="n">
        <v>45046</v>
      </c>
      <c r="C1583" s="4" t="s">
        <v>6210</v>
      </c>
      <c r="D1583" s="4" t="s">
        <v>6207</v>
      </c>
      <c r="E1583" s="4" t="s">
        <v>6206</v>
      </c>
      <c r="F1583" s="4" t="s">
        <v>6204</v>
      </c>
    </row>
    <row r="1584" customFormat="false" ht="15" hidden="false" customHeight="true" outlineLevel="0" collapsed="false">
      <c r="A1584" s="4" t="s">
        <v>1760</v>
      </c>
      <c r="B1584" s="13" t="n">
        <v>45082</v>
      </c>
      <c r="C1584" s="4" t="s">
        <v>6198</v>
      </c>
      <c r="D1584" s="4" t="s">
        <v>6208</v>
      </c>
      <c r="E1584" s="4" t="s">
        <v>6199</v>
      </c>
      <c r="F1584" s="4" t="s">
        <v>6197</v>
      </c>
    </row>
    <row r="1585" customFormat="false" ht="15" hidden="false" customHeight="true" outlineLevel="0" collapsed="false">
      <c r="A1585" s="4" t="s">
        <v>1761</v>
      </c>
      <c r="B1585" s="13" t="n">
        <v>45244</v>
      </c>
      <c r="C1585" s="4" t="s">
        <v>6198</v>
      </c>
      <c r="D1585" s="4" t="s">
        <v>6195</v>
      </c>
      <c r="E1585" s="4" t="s">
        <v>6206</v>
      </c>
      <c r="F1585" s="4" t="s">
        <v>6214</v>
      </c>
    </row>
    <row r="1586" customFormat="false" ht="15" hidden="false" customHeight="true" outlineLevel="0" collapsed="false">
      <c r="A1586" s="4" t="s">
        <v>1762</v>
      </c>
      <c r="B1586" s="13" t="n">
        <v>45466</v>
      </c>
      <c r="C1586" s="4" t="s">
        <v>6210</v>
      </c>
      <c r="D1586" s="4" t="s">
        <v>6195</v>
      </c>
      <c r="E1586" s="4" t="s">
        <v>6211</v>
      </c>
      <c r="F1586" s="4" t="s">
        <v>6216</v>
      </c>
    </row>
    <row r="1587" customFormat="false" ht="15" hidden="false" customHeight="true" outlineLevel="0" collapsed="false">
      <c r="A1587" s="4" t="s">
        <v>1763</v>
      </c>
      <c r="B1587" s="13" t="n">
        <v>45162</v>
      </c>
      <c r="C1587" s="4" t="s">
        <v>6213</v>
      </c>
      <c r="D1587" s="4" t="s">
        <v>6199</v>
      </c>
      <c r="E1587" s="4" t="s">
        <v>6205</v>
      </c>
      <c r="F1587" s="4" t="s">
        <v>6214</v>
      </c>
    </row>
    <row r="1588" customFormat="false" ht="15" hidden="false" customHeight="true" outlineLevel="0" collapsed="false">
      <c r="A1588" s="4" t="s">
        <v>1764</v>
      </c>
      <c r="B1588" s="13" t="n">
        <v>44972</v>
      </c>
      <c r="C1588" s="4" t="s">
        <v>6209</v>
      </c>
      <c r="D1588" s="4" t="s">
        <v>6203</v>
      </c>
      <c r="E1588" s="4" t="s">
        <v>6203</v>
      </c>
      <c r="F1588" s="4"/>
    </row>
    <row r="1589" customFormat="false" ht="15" hidden="false" customHeight="true" outlineLevel="0" collapsed="false">
      <c r="A1589" s="4" t="s">
        <v>1765</v>
      </c>
      <c r="B1589" s="13" t="n">
        <v>45604</v>
      </c>
      <c r="C1589" s="4" t="s">
        <v>6198</v>
      </c>
      <c r="D1589" s="4" t="s">
        <v>6196</v>
      </c>
      <c r="E1589" s="4" t="s">
        <v>6211</v>
      </c>
      <c r="F1589" s="4" t="s">
        <v>6200</v>
      </c>
    </row>
    <row r="1590" customFormat="false" ht="15" hidden="false" customHeight="true" outlineLevel="0" collapsed="false">
      <c r="A1590" s="4" t="s">
        <v>1766</v>
      </c>
      <c r="B1590" s="13" t="n">
        <v>45299</v>
      </c>
      <c r="C1590" s="4" t="s">
        <v>6215</v>
      </c>
      <c r="D1590" s="4" t="s">
        <v>6199</v>
      </c>
      <c r="E1590" s="4" t="s">
        <v>6208</v>
      </c>
      <c r="F1590" s="4"/>
    </row>
    <row r="1591" customFormat="false" ht="15" hidden="false" customHeight="true" outlineLevel="0" collapsed="false">
      <c r="A1591" s="4" t="s">
        <v>1767</v>
      </c>
      <c r="B1591" s="13" t="n">
        <v>45026</v>
      </c>
      <c r="C1591" s="4" t="s">
        <v>6201</v>
      </c>
      <c r="D1591" s="4" t="s">
        <v>6199</v>
      </c>
      <c r="E1591" s="4" t="s">
        <v>6199</v>
      </c>
      <c r="F1591" s="4"/>
    </row>
    <row r="1592" customFormat="false" ht="15" hidden="false" customHeight="true" outlineLevel="0" collapsed="false">
      <c r="A1592" s="4" t="s">
        <v>1768</v>
      </c>
      <c r="B1592" s="13" t="n">
        <v>45303</v>
      </c>
      <c r="C1592" s="4" t="s">
        <v>6194</v>
      </c>
      <c r="D1592" s="4" t="s">
        <v>6206</v>
      </c>
      <c r="E1592" s="4" t="s">
        <v>6211</v>
      </c>
      <c r="F1592" s="4" t="s">
        <v>6197</v>
      </c>
    </row>
    <row r="1593" customFormat="false" ht="15" hidden="false" customHeight="true" outlineLevel="0" collapsed="false">
      <c r="A1593" s="4" t="s">
        <v>1769</v>
      </c>
      <c r="B1593" s="13" t="n">
        <v>45191</v>
      </c>
      <c r="C1593" s="4" t="s">
        <v>6201</v>
      </c>
      <c r="D1593" s="4" t="s">
        <v>6195</v>
      </c>
      <c r="E1593" s="4" t="s">
        <v>6205</v>
      </c>
      <c r="F1593" s="4"/>
    </row>
    <row r="1594" customFormat="false" ht="15" hidden="false" customHeight="true" outlineLevel="0" collapsed="false">
      <c r="A1594" s="4" t="s">
        <v>1770</v>
      </c>
      <c r="B1594" s="13" t="n">
        <v>45164</v>
      </c>
      <c r="C1594" s="4" t="s">
        <v>6201</v>
      </c>
      <c r="D1594" s="4" t="s">
        <v>6196</v>
      </c>
      <c r="E1594" s="4" t="s">
        <v>6205</v>
      </c>
      <c r="F1594" s="4" t="s">
        <v>6197</v>
      </c>
    </row>
    <row r="1595" customFormat="false" ht="15" hidden="false" customHeight="true" outlineLevel="0" collapsed="false">
      <c r="A1595" s="4" t="s">
        <v>1771</v>
      </c>
      <c r="B1595" s="13" t="n">
        <v>45044</v>
      </c>
      <c r="C1595" s="4" t="s">
        <v>6210</v>
      </c>
      <c r="D1595" s="4" t="s">
        <v>6195</v>
      </c>
      <c r="E1595" s="4" t="s">
        <v>6206</v>
      </c>
      <c r="F1595" s="4" t="s">
        <v>6216</v>
      </c>
    </row>
    <row r="1596" customFormat="false" ht="15" hidden="false" customHeight="true" outlineLevel="0" collapsed="false">
      <c r="A1596" s="4" t="s">
        <v>1772</v>
      </c>
      <c r="B1596" s="13" t="n">
        <v>44959</v>
      </c>
      <c r="C1596" s="4" t="s">
        <v>6209</v>
      </c>
      <c r="D1596" s="4" t="s">
        <v>6196</v>
      </c>
      <c r="E1596" s="4" t="s">
        <v>6195</v>
      </c>
      <c r="F1596" s="4"/>
    </row>
    <row r="1597" customFormat="false" ht="15" hidden="false" customHeight="true" outlineLevel="0" collapsed="false">
      <c r="A1597" s="4" t="s">
        <v>1773</v>
      </c>
      <c r="B1597" s="13" t="n">
        <v>45558</v>
      </c>
      <c r="C1597" s="4" t="s">
        <v>6210</v>
      </c>
      <c r="D1597" s="4" t="s">
        <v>6208</v>
      </c>
      <c r="E1597" s="4" t="s">
        <v>6205</v>
      </c>
      <c r="F1597" s="4"/>
    </row>
    <row r="1598" customFormat="false" ht="15" hidden="false" customHeight="true" outlineLevel="0" collapsed="false">
      <c r="A1598" s="4" t="s">
        <v>1774</v>
      </c>
      <c r="B1598" s="13" t="n">
        <v>45246</v>
      </c>
      <c r="C1598" s="4" t="s">
        <v>6198</v>
      </c>
      <c r="D1598" s="4" t="s">
        <v>6205</v>
      </c>
      <c r="E1598" s="4" t="s">
        <v>6199</v>
      </c>
      <c r="F1598" s="4"/>
    </row>
    <row r="1599" customFormat="false" ht="15" hidden="false" customHeight="true" outlineLevel="0" collapsed="false">
      <c r="A1599" s="4" t="s">
        <v>1775</v>
      </c>
      <c r="B1599" s="13" t="n">
        <v>45098</v>
      </c>
      <c r="C1599" s="4" t="s">
        <v>6215</v>
      </c>
      <c r="D1599" s="4" t="s">
        <v>6206</v>
      </c>
      <c r="E1599" s="4" t="s">
        <v>6203</v>
      </c>
      <c r="F1599" s="4" t="s">
        <v>6212</v>
      </c>
    </row>
    <row r="1600" customFormat="false" ht="15" hidden="false" customHeight="true" outlineLevel="0" collapsed="false">
      <c r="A1600" s="4" t="s">
        <v>1776</v>
      </c>
      <c r="B1600" s="13" t="n">
        <v>45041</v>
      </c>
      <c r="C1600" s="4" t="s">
        <v>6209</v>
      </c>
      <c r="D1600" s="4" t="s">
        <v>6208</v>
      </c>
      <c r="E1600" s="4" t="s">
        <v>6208</v>
      </c>
      <c r="F1600" s="4" t="s">
        <v>6204</v>
      </c>
    </row>
    <row r="1601" customFormat="false" ht="15" hidden="false" customHeight="true" outlineLevel="0" collapsed="false">
      <c r="A1601" s="4" t="s">
        <v>1777</v>
      </c>
      <c r="B1601" s="13" t="n">
        <v>45244</v>
      </c>
      <c r="C1601" s="4" t="s">
        <v>6209</v>
      </c>
      <c r="D1601" s="4" t="s">
        <v>6195</v>
      </c>
      <c r="E1601" s="4" t="s">
        <v>6203</v>
      </c>
      <c r="F1601" s="4" t="s">
        <v>6212</v>
      </c>
    </row>
    <row r="1602" customFormat="false" ht="15" hidden="false" customHeight="true" outlineLevel="0" collapsed="false">
      <c r="A1602" s="4" t="s">
        <v>1778</v>
      </c>
      <c r="B1602" s="13" t="n">
        <v>45138</v>
      </c>
      <c r="C1602" s="4" t="s">
        <v>6201</v>
      </c>
      <c r="D1602" s="4" t="s">
        <v>6211</v>
      </c>
      <c r="E1602" s="4" t="s">
        <v>6196</v>
      </c>
      <c r="F1602" s="4" t="s">
        <v>6200</v>
      </c>
    </row>
    <row r="1603" customFormat="false" ht="15" hidden="false" customHeight="true" outlineLevel="0" collapsed="false">
      <c r="A1603" s="4" t="s">
        <v>1779</v>
      </c>
      <c r="B1603" s="13" t="n">
        <v>45092</v>
      </c>
      <c r="C1603" s="4" t="s">
        <v>6201</v>
      </c>
      <c r="D1603" s="4" t="s">
        <v>6195</v>
      </c>
      <c r="E1603" s="4" t="s">
        <v>6195</v>
      </c>
      <c r="F1603" s="4" t="s">
        <v>6197</v>
      </c>
    </row>
    <row r="1604" customFormat="false" ht="15" hidden="false" customHeight="true" outlineLevel="0" collapsed="false">
      <c r="A1604" s="4" t="s">
        <v>1780</v>
      </c>
      <c r="B1604" s="13" t="n">
        <v>45571</v>
      </c>
      <c r="C1604" s="4" t="s">
        <v>6215</v>
      </c>
      <c r="D1604" s="4" t="s">
        <v>6196</v>
      </c>
      <c r="E1604" s="4" t="s">
        <v>6206</v>
      </c>
      <c r="F1604" s="4"/>
    </row>
    <row r="1605" customFormat="false" ht="15" hidden="false" customHeight="true" outlineLevel="0" collapsed="false">
      <c r="A1605" s="4" t="s">
        <v>1781</v>
      </c>
      <c r="B1605" s="13" t="n">
        <v>45459</v>
      </c>
      <c r="C1605" s="4" t="s">
        <v>6201</v>
      </c>
      <c r="D1605" s="4" t="s">
        <v>6196</v>
      </c>
      <c r="E1605" s="4" t="s">
        <v>6203</v>
      </c>
      <c r="F1605" s="4" t="s">
        <v>6214</v>
      </c>
    </row>
    <row r="1606" customFormat="false" ht="15" hidden="false" customHeight="true" outlineLevel="0" collapsed="false">
      <c r="A1606" s="4" t="s">
        <v>1782</v>
      </c>
      <c r="B1606" s="13" t="n">
        <v>45399</v>
      </c>
      <c r="C1606" s="4" t="s">
        <v>6201</v>
      </c>
      <c r="D1606" s="4" t="s">
        <v>6196</v>
      </c>
      <c r="E1606" s="4" t="s">
        <v>6207</v>
      </c>
      <c r="F1606" s="4" t="s">
        <v>6200</v>
      </c>
    </row>
    <row r="1607" customFormat="false" ht="15" hidden="false" customHeight="true" outlineLevel="0" collapsed="false">
      <c r="A1607" s="4" t="s">
        <v>1783</v>
      </c>
      <c r="B1607" s="13" t="n">
        <v>45505</v>
      </c>
      <c r="C1607" s="4" t="s">
        <v>6213</v>
      </c>
      <c r="D1607" s="4" t="s">
        <v>6211</v>
      </c>
      <c r="E1607" s="4" t="s">
        <v>6207</v>
      </c>
      <c r="F1607" s="4" t="s">
        <v>6200</v>
      </c>
    </row>
    <row r="1608" customFormat="false" ht="15" hidden="false" customHeight="true" outlineLevel="0" collapsed="false">
      <c r="A1608" s="4" t="s">
        <v>1784</v>
      </c>
      <c r="B1608" s="13" t="n">
        <v>45450</v>
      </c>
      <c r="C1608" s="4" t="s">
        <v>6201</v>
      </c>
      <c r="D1608" s="4" t="s">
        <v>6207</v>
      </c>
      <c r="E1608" s="4" t="s">
        <v>6196</v>
      </c>
      <c r="F1608" s="4" t="s">
        <v>6212</v>
      </c>
    </row>
    <row r="1609" customFormat="false" ht="15" hidden="false" customHeight="true" outlineLevel="0" collapsed="false">
      <c r="A1609" s="4" t="s">
        <v>1785</v>
      </c>
      <c r="B1609" s="13" t="n">
        <v>45657</v>
      </c>
      <c r="C1609" s="4" t="s">
        <v>6194</v>
      </c>
      <c r="D1609" s="4" t="s">
        <v>6199</v>
      </c>
      <c r="E1609" s="4" t="s">
        <v>6203</v>
      </c>
      <c r="F1609" s="4" t="s">
        <v>6204</v>
      </c>
    </row>
    <row r="1610" customFormat="false" ht="15" hidden="false" customHeight="true" outlineLevel="0" collapsed="false">
      <c r="A1610" s="4" t="s">
        <v>1786</v>
      </c>
      <c r="B1610" s="13" t="n">
        <v>45435</v>
      </c>
      <c r="C1610" s="4" t="s">
        <v>6213</v>
      </c>
      <c r="D1610" s="4" t="s">
        <v>6195</v>
      </c>
      <c r="E1610" s="4" t="s">
        <v>6207</v>
      </c>
      <c r="F1610" s="4" t="s">
        <v>6200</v>
      </c>
    </row>
    <row r="1611" customFormat="false" ht="15" hidden="false" customHeight="true" outlineLevel="0" collapsed="false">
      <c r="A1611" s="4" t="s">
        <v>1787</v>
      </c>
      <c r="B1611" s="13" t="n">
        <v>45395</v>
      </c>
      <c r="C1611" s="4" t="s">
        <v>6194</v>
      </c>
      <c r="D1611" s="4" t="s">
        <v>6196</v>
      </c>
      <c r="E1611" s="4" t="s">
        <v>6195</v>
      </c>
      <c r="F1611" s="4" t="s">
        <v>6197</v>
      </c>
    </row>
    <row r="1612" customFormat="false" ht="15" hidden="false" customHeight="true" outlineLevel="0" collapsed="false">
      <c r="A1612" s="4" t="s">
        <v>1788</v>
      </c>
      <c r="B1612" s="13" t="n">
        <v>45611</v>
      </c>
      <c r="C1612" s="4" t="s">
        <v>6215</v>
      </c>
      <c r="D1612" s="4" t="s">
        <v>6202</v>
      </c>
      <c r="E1612" s="4" t="s">
        <v>6207</v>
      </c>
      <c r="F1612" s="4" t="s">
        <v>6200</v>
      </c>
    </row>
    <row r="1613" customFormat="false" ht="15" hidden="false" customHeight="true" outlineLevel="0" collapsed="false">
      <c r="A1613" s="4" t="s">
        <v>1789</v>
      </c>
      <c r="B1613" s="13" t="n">
        <v>45188</v>
      </c>
      <c r="C1613" s="4" t="s">
        <v>6198</v>
      </c>
      <c r="D1613" s="4" t="s">
        <v>6202</v>
      </c>
      <c r="E1613" s="4" t="s">
        <v>6206</v>
      </c>
      <c r="F1613" s="4" t="s">
        <v>6212</v>
      </c>
    </row>
    <row r="1614" customFormat="false" ht="15" hidden="false" customHeight="true" outlineLevel="0" collapsed="false">
      <c r="A1614" s="4" t="s">
        <v>1790</v>
      </c>
      <c r="B1614" s="13" t="n">
        <v>45031</v>
      </c>
      <c r="C1614" s="4" t="s">
        <v>6215</v>
      </c>
      <c r="D1614" s="4" t="s">
        <v>6206</v>
      </c>
      <c r="E1614" s="4" t="s">
        <v>6199</v>
      </c>
      <c r="F1614" s="4"/>
    </row>
    <row r="1615" customFormat="false" ht="15" hidden="false" customHeight="true" outlineLevel="0" collapsed="false">
      <c r="A1615" s="4" t="s">
        <v>1791</v>
      </c>
      <c r="B1615" s="13" t="n">
        <v>44960</v>
      </c>
      <c r="C1615" s="4" t="s">
        <v>6209</v>
      </c>
      <c r="D1615" s="4" t="s">
        <v>6211</v>
      </c>
      <c r="E1615" s="4" t="s">
        <v>6206</v>
      </c>
      <c r="F1615" s="4" t="s">
        <v>6200</v>
      </c>
    </row>
    <row r="1616" customFormat="false" ht="15" hidden="false" customHeight="true" outlineLevel="0" collapsed="false">
      <c r="A1616" s="4" t="s">
        <v>1792</v>
      </c>
      <c r="B1616" s="13" t="n">
        <v>45059</v>
      </c>
      <c r="C1616" s="4" t="s">
        <v>6210</v>
      </c>
      <c r="D1616" s="4" t="s">
        <v>6196</v>
      </c>
      <c r="E1616" s="4" t="s">
        <v>6199</v>
      </c>
      <c r="F1616" s="4"/>
    </row>
    <row r="1617" customFormat="false" ht="15" hidden="false" customHeight="true" outlineLevel="0" collapsed="false">
      <c r="A1617" s="4" t="s">
        <v>1793</v>
      </c>
      <c r="B1617" s="13" t="n">
        <v>45157</v>
      </c>
      <c r="C1617" s="4" t="s">
        <v>6215</v>
      </c>
      <c r="D1617" s="4" t="s">
        <v>6202</v>
      </c>
      <c r="E1617" s="4" t="s">
        <v>6205</v>
      </c>
      <c r="F1617" s="4" t="s">
        <v>6204</v>
      </c>
    </row>
    <row r="1618" customFormat="false" ht="15" hidden="false" customHeight="true" outlineLevel="0" collapsed="false">
      <c r="A1618" s="4" t="s">
        <v>1794</v>
      </c>
      <c r="B1618" s="13" t="n">
        <v>45623</v>
      </c>
      <c r="C1618" s="4" t="s">
        <v>6198</v>
      </c>
      <c r="D1618" s="4" t="s">
        <v>6199</v>
      </c>
      <c r="E1618" s="4" t="s">
        <v>6205</v>
      </c>
      <c r="F1618" s="4"/>
    </row>
    <row r="1619" customFormat="false" ht="15" hidden="false" customHeight="true" outlineLevel="0" collapsed="false">
      <c r="A1619" s="4" t="s">
        <v>1795</v>
      </c>
      <c r="B1619" s="13" t="n">
        <v>45430</v>
      </c>
      <c r="C1619" s="4" t="s">
        <v>6201</v>
      </c>
      <c r="D1619" s="4" t="s">
        <v>6205</v>
      </c>
      <c r="E1619" s="4" t="s">
        <v>6203</v>
      </c>
      <c r="F1619" s="4" t="s">
        <v>6200</v>
      </c>
    </row>
    <row r="1620" customFormat="false" ht="15" hidden="false" customHeight="true" outlineLevel="0" collapsed="false">
      <c r="A1620" s="4" t="s">
        <v>1796</v>
      </c>
      <c r="B1620" s="13" t="n">
        <v>44948</v>
      </c>
      <c r="C1620" s="4" t="s">
        <v>6215</v>
      </c>
      <c r="D1620" s="4" t="s">
        <v>6206</v>
      </c>
      <c r="E1620" s="4" t="s">
        <v>6205</v>
      </c>
      <c r="F1620" s="4" t="s">
        <v>6204</v>
      </c>
    </row>
    <row r="1621" customFormat="false" ht="15" hidden="false" customHeight="true" outlineLevel="0" collapsed="false">
      <c r="A1621" s="4" t="s">
        <v>1797</v>
      </c>
      <c r="B1621" s="13" t="n">
        <v>45591</v>
      </c>
      <c r="C1621" s="4" t="s">
        <v>6201</v>
      </c>
      <c r="D1621" s="4" t="s">
        <v>6208</v>
      </c>
      <c r="E1621" s="4" t="s">
        <v>6199</v>
      </c>
      <c r="F1621" s="4" t="s">
        <v>6216</v>
      </c>
    </row>
    <row r="1622" customFormat="false" ht="15" hidden="false" customHeight="true" outlineLevel="0" collapsed="false">
      <c r="A1622" s="4" t="s">
        <v>1798</v>
      </c>
      <c r="B1622" s="13" t="n">
        <v>45013</v>
      </c>
      <c r="C1622" s="4" t="s">
        <v>6213</v>
      </c>
      <c r="D1622" s="4" t="s">
        <v>6206</v>
      </c>
      <c r="E1622" s="4" t="s">
        <v>6205</v>
      </c>
      <c r="F1622" s="4" t="s">
        <v>6197</v>
      </c>
    </row>
    <row r="1623" customFormat="false" ht="15" hidden="false" customHeight="true" outlineLevel="0" collapsed="false">
      <c r="A1623" s="4" t="s">
        <v>1799</v>
      </c>
      <c r="B1623" s="13" t="n">
        <v>45501</v>
      </c>
      <c r="C1623" s="4" t="s">
        <v>6215</v>
      </c>
      <c r="D1623" s="4" t="s">
        <v>6206</v>
      </c>
      <c r="E1623" s="4" t="s">
        <v>6195</v>
      </c>
      <c r="F1623" s="4" t="s">
        <v>6216</v>
      </c>
    </row>
    <row r="1624" customFormat="false" ht="15" hidden="false" customHeight="true" outlineLevel="0" collapsed="false">
      <c r="A1624" s="4" t="s">
        <v>1800</v>
      </c>
      <c r="B1624" s="13" t="n">
        <v>45121</v>
      </c>
      <c r="C1624" s="4" t="s">
        <v>6198</v>
      </c>
      <c r="D1624" s="4" t="s">
        <v>6208</v>
      </c>
      <c r="E1624" s="4" t="s">
        <v>6199</v>
      </c>
      <c r="F1624" s="4" t="s">
        <v>6212</v>
      </c>
    </row>
    <row r="1625" customFormat="false" ht="15" hidden="false" customHeight="true" outlineLevel="0" collapsed="false">
      <c r="A1625" s="4" t="s">
        <v>1801</v>
      </c>
      <c r="B1625" s="13" t="n">
        <v>44952</v>
      </c>
      <c r="C1625" s="4" t="s">
        <v>6201</v>
      </c>
      <c r="D1625" s="4" t="s">
        <v>6206</v>
      </c>
      <c r="E1625" s="4" t="s">
        <v>6199</v>
      </c>
      <c r="F1625" s="4" t="s">
        <v>6216</v>
      </c>
    </row>
    <row r="1626" customFormat="false" ht="15" hidden="false" customHeight="true" outlineLevel="0" collapsed="false">
      <c r="A1626" s="4" t="s">
        <v>1802</v>
      </c>
      <c r="B1626" s="13" t="n">
        <v>45512</v>
      </c>
      <c r="C1626" s="4" t="s">
        <v>6201</v>
      </c>
      <c r="D1626" s="4" t="s">
        <v>6203</v>
      </c>
      <c r="E1626" s="4" t="s">
        <v>6207</v>
      </c>
      <c r="F1626" s="4" t="s">
        <v>6197</v>
      </c>
    </row>
    <row r="1627" customFormat="false" ht="15" hidden="false" customHeight="true" outlineLevel="0" collapsed="false">
      <c r="A1627" s="4" t="s">
        <v>1803</v>
      </c>
      <c r="B1627" s="13" t="n">
        <v>45032</v>
      </c>
      <c r="C1627" s="4" t="s">
        <v>6215</v>
      </c>
      <c r="D1627" s="4" t="s">
        <v>6196</v>
      </c>
      <c r="E1627" s="4" t="s">
        <v>6202</v>
      </c>
      <c r="F1627" s="4"/>
    </row>
    <row r="1628" customFormat="false" ht="15" hidden="false" customHeight="true" outlineLevel="0" collapsed="false">
      <c r="A1628" s="4" t="s">
        <v>1804</v>
      </c>
      <c r="B1628" s="13" t="n">
        <v>45322</v>
      </c>
      <c r="C1628" s="4" t="s">
        <v>6201</v>
      </c>
      <c r="D1628" s="4" t="s">
        <v>6202</v>
      </c>
      <c r="E1628" s="4" t="s">
        <v>6202</v>
      </c>
      <c r="F1628" s="4"/>
    </row>
    <row r="1629" customFormat="false" ht="15" hidden="false" customHeight="true" outlineLevel="0" collapsed="false">
      <c r="A1629" s="4" t="s">
        <v>1805</v>
      </c>
      <c r="B1629" s="13" t="n">
        <v>45511</v>
      </c>
      <c r="C1629" s="4" t="s">
        <v>6194</v>
      </c>
      <c r="D1629" s="4" t="s">
        <v>6208</v>
      </c>
      <c r="E1629" s="4" t="s">
        <v>6196</v>
      </c>
      <c r="F1629" s="4" t="s">
        <v>6197</v>
      </c>
    </row>
    <row r="1630" customFormat="false" ht="15" hidden="false" customHeight="true" outlineLevel="0" collapsed="false">
      <c r="A1630" s="4" t="s">
        <v>1806</v>
      </c>
      <c r="B1630" s="13" t="n">
        <v>45255</v>
      </c>
      <c r="C1630" s="4" t="s">
        <v>6201</v>
      </c>
      <c r="D1630" s="4" t="s">
        <v>6199</v>
      </c>
      <c r="E1630" s="4" t="s">
        <v>6203</v>
      </c>
      <c r="F1630" s="4" t="s">
        <v>6212</v>
      </c>
    </row>
    <row r="1631" customFormat="false" ht="15" hidden="false" customHeight="true" outlineLevel="0" collapsed="false">
      <c r="A1631" s="4" t="s">
        <v>1807</v>
      </c>
      <c r="B1631" s="13" t="n">
        <v>45020</v>
      </c>
      <c r="C1631" s="4" t="s">
        <v>6201</v>
      </c>
      <c r="D1631" s="4" t="s">
        <v>6199</v>
      </c>
      <c r="E1631" s="4" t="s">
        <v>6206</v>
      </c>
      <c r="F1631" s="4" t="s">
        <v>6197</v>
      </c>
    </row>
    <row r="1632" customFormat="false" ht="15" hidden="false" customHeight="true" outlineLevel="0" collapsed="false">
      <c r="A1632" s="4" t="s">
        <v>1808</v>
      </c>
      <c r="B1632" s="13" t="n">
        <v>44945</v>
      </c>
      <c r="C1632" s="4" t="s">
        <v>6210</v>
      </c>
      <c r="D1632" s="4" t="s">
        <v>6206</v>
      </c>
      <c r="E1632" s="4" t="s">
        <v>6205</v>
      </c>
      <c r="F1632" s="4" t="s">
        <v>6212</v>
      </c>
    </row>
    <row r="1633" customFormat="false" ht="15" hidden="false" customHeight="true" outlineLevel="0" collapsed="false">
      <c r="A1633" s="4" t="s">
        <v>1809</v>
      </c>
      <c r="B1633" s="13" t="n">
        <v>45274</v>
      </c>
      <c r="C1633" s="4" t="s">
        <v>6198</v>
      </c>
      <c r="D1633" s="4" t="s">
        <v>6202</v>
      </c>
      <c r="E1633" s="4" t="s">
        <v>6205</v>
      </c>
      <c r="F1633" s="4" t="s">
        <v>6214</v>
      </c>
    </row>
    <row r="1634" customFormat="false" ht="15" hidden="false" customHeight="true" outlineLevel="0" collapsed="false">
      <c r="A1634" s="4" t="s">
        <v>1810</v>
      </c>
      <c r="B1634" s="13" t="n">
        <v>45575</v>
      </c>
      <c r="C1634" s="4" t="s">
        <v>6201</v>
      </c>
      <c r="D1634" s="4" t="s">
        <v>6203</v>
      </c>
      <c r="E1634" s="4" t="s">
        <v>6199</v>
      </c>
      <c r="F1634" s="4" t="s">
        <v>6204</v>
      </c>
    </row>
    <row r="1635" customFormat="false" ht="15" hidden="false" customHeight="true" outlineLevel="0" collapsed="false">
      <c r="A1635" s="4" t="s">
        <v>1811</v>
      </c>
      <c r="B1635" s="13" t="n">
        <v>45664</v>
      </c>
      <c r="C1635" s="4" t="s">
        <v>6209</v>
      </c>
      <c r="D1635" s="4" t="s">
        <v>6199</v>
      </c>
      <c r="E1635" s="4" t="s">
        <v>6199</v>
      </c>
      <c r="F1635" s="4" t="s">
        <v>6197</v>
      </c>
    </row>
    <row r="1636" customFormat="false" ht="15" hidden="false" customHeight="true" outlineLevel="0" collapsed="false">
      <c r="A1636" s="4" t="s">
        <v>1812</v>
      </c>
      <c r="B1636" s="13" t="n">
        <v>45286</v>
      </c>
      <c r="C1636" s="4" t="s">
        <v>6194</v>
      </c>
      <c r="D1636" s="4" t="s">
        <v>6195</v>
      </c>
      <c r="E1636" s="4" t="s">
        <v>6196</v>
      </c>
      <c r="F1636" s="4"/>
    </row>
    <row r="1637" customFormat="false" ht="15" hidden="false" customHeight="true" outlineLevel="0" collapsed="false">
      <c r="A1637" s="4" t="s">
        <v>1813</v>
      </c>
      <c r="B1637" s="13" t="n">
        <v>45297</v>
      </c>
      <c r="C1637" s="4" t="s">
        <v>6213</v>
      </c>
      <c r="D1637" s="4" t="s">
        <v>6207</v>
      </c>
      <c r="E1637" s="4" t="s">
        <v>6195</v>
      </c>
      <c r="F1637" s="4"/>
    </row>
    <row r="1638" customFormat="false" ht="15" hidden="false" customHeight="true" outlineLevel="0" collapsed="false">
      <c r="A1638" s="4" t="s">
        <v>1814</v>
      </c>
      <c r="B1638" s="13" t="n">
        <v>45097</v>
      </c>
      <c r="C1638" s="4" t="s">
        <v>6210</v>
      </c>
      <c r="D1638" s="4" t="s">
        <v>6211</v>
      </c>
      <c r="E1638" s="4" t="s">
        <v>6205</v>
      </c>
      <c r="F1638" s="4" t="s">
        <v>6212</v>
      </c>
    </row>
    <row r="1639" customFormat="false" ht="15" hidden="false" customHeight="true" outlineLevel="0" collapsed="false">
      <c r="A1639" s="4" t="s">
        <v>1815</v>
      </c>
      <c r="B1639" s="13" t="n">
        <v>45607</v>
      </c>
      <c r="C1639" s="4" t="s">
        <v>6215</v>
      </c>
      <c r="D1639" s="4" t="s">
        <v>6199</v>
      </c>
      <c r="E1639" s="4" t="s">
        <v>6195</v>
      </c>
      <c r="F1639" s="4" t="s">
        <v>6216</v>
      </c>
    </row>
    <row r="1640" customFormat="false" ht="15" hidden="false" customHeight="true" outlineLevel="0" collapsed="false">
      <c r="A1640" s="4" t="s">
        <v>1816</v>
      </c>
      <c r="B1640" s="13" t="n">
        <v>45395</v>
      </c>
      <c r="C1640" s="4" t="s">
        <v>6209</v>
      </c>
      <c r="D1640" s="4" t="s">
        <v>6208</v>
      </c>
      <c r="E1640" s="4" t="s">
        <v>6199</v>
      </c>
      <c r="F1640" s="4"/>
    </row>
    <row r="1641" customFormat="false" ht="15" hidden="false" customHeight="true" outlineLevel="0" collapsed="false">
      <c r="A1641" s="4" t="s">
        <v>1817</v>
      </c>
      <c r="B1641" s="13" t="n">
        <v>45015</v>
      </c>
      <c r="C1641" s="4" t="s">
        <v>6194</v>
      </c>
      <c r="D1641" s="4" t="s">
        <v>6211</v>
      </c>
      <c r="E1641" s="4" t="s">
        <v>6208</v>
      </c>
      <c r="F1641" s="4" t="s">
        <v>6212</v>
      </c>
    </row>
    <row r="1642" customFormat="false" ht="15" hidden="false" customHeight="true" outlineLevel="0" collapsed="false">
      <c r="A1642" s="4" t="s">
        <v>1818</v>
      </c>
      <c r="B1642" s="13" t="n">
        <v>45174</v>
      </c>
      <c r="C1642" s="4" t="s">
        <v>6213</v>
      </c>
      <c r="D1642" s="4" t="s">
        <v>6211</v>
      </c>
      <c r="E1642" s="4" t="s">
        <v>6211</v>
      </c>
      <c r="F1642" s="4" t="s">
        <v>6216</v>
      </c>
    </row>
    <row r="1643" customFormat="false" ht="15" hidden="false" customHeight="true" outlineLevel="0" collapsed="false">
      <c r="A1643" s="4" t="s">
        <v>1819</v>
      </c>
      <c r="B1643" s="13" t="n">
        <v>45197</v>
      </c>
      <c r="C1643" s="4" t="s">
        <v>6198</v>
      </c>
      <c r="D1643" s="4" t="s">
        <v>6206</v>
      </c>
      <c r="E1643" s="4" t="s">
        <v>6199</v>
      </c>
      <c r="F1643" s="4" t="s">
        <v>6214</v>
      </c>
    </row>
    <row r="1644" customFormat="false" ht="15" hidden="false" customHeight="true" outlineLevel="0" collapsed="false">
      <c r="A1644" s="4" t="s">
        <v>1820</v>
      </c>
      <c r="B1644" s="13" t="n">
        <v>45448</v>
      </c>
      <c r="C1644" s="4" t="s">
        <v>6201</v>
      </c>
      <c r="D1644" s="4" t="s">
        <v>6202</v>
      </c>
      <c r="E1644" s="4" t="s">
        <v>6208</v>
      </c>
      <c r="F1644" s="4"/>
    </row>
    <row r="1645" customFormat="false" ht="15" hidden="false" customHeight="true" outlineLevel="0" collapsed="false">
      <c r="A1645" s="4" t="s">
        <v>1821</v>
      </c>
      <c r="B1645" s="13" t="n">
        <v>45122</v>
      </c>
      <c r="C1645" s="4" t="s">
        <v>6213</v>
      </c>
      <c r="D1645" s="4" t="s">
        <v>6195</v>
      </c>
      <c r="E1645" s="4" t="s">
        <v>6206</v>
      </c>
      <c r="F1645" s="4" t="s">
        <v>6200</v>
      </c>
    </row>
    <row r="1646" customFormat="false" ht="15" hidden="false" customHeight="true" outlineLevel="0" collapsed="false">
      <c r="A1646" s="4" t="s">
        <v>1822</v>
      </c>
      <c r="B1646" s="13" t="n">
        <v>45582</v>
      </c>
      <c r="C1646" s="4" t="s">
        <v>6210</v>
      </c>
      <c r="D1646" s="4" t="s">
        <v>6196</v>
      </c>
      <c r="E1646" s="4" t="s">
        <v>6206</v>
      </c>
      <c r="F1646" s="4" t="s">
        <v>6216</v>
      </c>
    </row>
    <row r="1647" customFormat="false" ht="15" hidden="false" customHeight="true" outlineLevel="0" collapsed="false">
      <c r="A1647" s="4" t="s">
        <v>1823</v>
      </c>
      <c r="B1647" s="13" t="n">
        <v>45602</v>
      </c>
      <c r="C1647" s="4" t="s">
        <v>6215</v>
      </c>
      <c r="D1647" s="4" t="s">
        <v>6196</v>
      </c>
      <c r="E1647" s="4" t="s">
        <v>6203</v>
      </c>
      <c r="F1647" s="4"/>
    </row>
    <row r="1648" customFormat="false" ht="15" hidden="false" customHeight="true" outlineLevel="0" collapsed="false">
      <c r="A1648" s="4" t="s">
        <v>1824</v>
      </c>
      <c r="B1648" s="13" t="n">
        <v>44959</v>
      </c>
      <c r="C1648" s="4" t="s">
        <v>6209</v>
      </c>
      <c r="D1648" s="4" t="s">
        <v>6195</v>
      </c>
      <c r="E1648" s="4" t="s">
        <v>6196</v>
      </c>
      <c r="F1648" s="4"/>
    </row>
    <row r="1649" customFormat="false" ht="15" hidden="false" customHeight="true" outlineLevel="0" collapsed="false">
      <c r="A1649" s="4" t="s">
        <v>1825</v>
      </c>
      <c r="B1649" s="13" t="n">
        <v>45383</v>
      </c>
      <c r="C1649" s="4" t="s">
        <v>6198</v>
      </c>
      <c r="D1649" s="4" t="s">
        <v>6208</v>
      </c>
      <c r="E1649" s="4" t="s">
        <v>6202</v>
      </c>
      <c r="F1649" s="4"/>
    </row>
    <row r="1650" customFormat="false" ht="15" hidden="false" customHeight="true" outlineLevel="0" collapsed="false">
      <c r="A1650" s="4" t="s">
        <v>1826</v>
      </c>
      <c r="B1650" s="13" t="n">
        <v>45029</v>
      </c>
      <c r="C1650" s="4" t="s">
        <v>6213</v>
      </c>
      <c r="D1650" s="4" t="s">
        <v>6202</v>
      </c>
      <c r="E1650" s="4" t="s">
        <v>6211</v>
      </c>
      <c r="F1650" s="4" t="s">
        <v>6197</v>
      </c>
    </row>
    <row r="1651" customFormat="false" ht="15" hidden="false" customHeight="true" outlineLevel="0" collapsed="false">
      <c r="A1651" s="4" t="s">
        <v>1827</v>
      </c>
      <c r="B1651" s="13" t="n">
        <v>45418</v>
      </c>
      <c r="C1651" s="4" t="s">
        <v>6215</v>
      </c>
      <c r="D1651" s="4" t="s">
        <v>6195</v>
      </c>
      <c r="E1651" s="4" t="s">
        <v>6205</v>
      </c>
      <c r="F1651" s="4" t="s">
        <v>6204</v>
      </c>
    </row>
    <row r="1652" customFormat="false" ht="15" hidden="false" customHeight="true" outlineLevel="0" collapsed="false">
      <c r="A1652" s="4" t="s">
        <v>1828</v>
      </c>
      <c r="B1652" s="13" t="n">
        <v>45022</v>
      </c>
      <c r="C1652" s="4" t="s">
        <v>6194</v>
      </c>
      <c r="D1652" s="4" t="s">
        <v>6207</v>
      </c>
      <c r="E1652" s="4" t="s">
        <v>6199</v>
      </c>
      <c r="F1652" s="4"/>
    </row>
    <row r="1653" customFormat="false" ht="15" hidden="false" customHeight="true" outlineLevel="0" collapsed="false">
      <c r="A1653" s="4" t="s">
        <v>1829</v>
      </c>
      <c r="B1653" s="13" t="n">
        <v>45265</v>
      </c>
      <c r="C1653" s="4" t="s">
        <v>6201</v>
      </c>
      <c r="D1653" s="4" t="s">
        <v>6203</v>
      </c>
      <c r="E1653" s="4" t="s">
        <v>6208</v>
      </c>
      <c r="F1653" s="4" t="s">
        <v>6214</v>
      </c>
    </row>
    <row r="1654" customFormat="false" ht="15" hidden="false" customHeight="true" outlineLevel="0" collapsed="false">
      <c r="A1654" s="4" t="s">
        <v>1830</v>
      </c>
      <c r="B1654" s="13" t="n">
        <v>45638</v>
      </c>
      <c r="C1654" s="4" t="s">
        <v>6213</v>
      </c>
      <c r="D1654" s="4" t="s">
        <v>6207</v>
      </c>
      <c r="E1654" s="4" t="s">
        <v>6202</v>
      </c>
      <c r="F1654" s="4" t="s">
        <v>6200</v>
      </c>
    </row>
    <row r="1655" customFormat="false" ht="15" hidden="false" customHeight="true" outlineLevel="0" collapsed="false">
      <c r="A1655" s="4" t="s">
        <v>1831</v>
      </c>
      <c r="B1655" s="13" t="n">
        <v>45454</v>
      </c>
      <c r="C1655" s="4" t="s">
        <v>6209</v>
      </c>
      <c r="D1655" s="4" t="s">
        <v>6195</v>
      </c>
      <c r="E1655" s="4" t="s">
        <v>6205</v>
      </c>
      <c r="F1655" s="4" t="s">
        <v>6212</v>
      </c>
    </row>
    <row r="1656" customFormat="false" ht="15" hidden="false" customHeight="true" outlineLevel="0" collapsed="false">
      <c r="A1656" s="4" t="s">
        <v>1832</v>
      </c>
      <c r="B1656" s="13" t="n">
        <v>45485</v>
      </c>
      <c r="C1656" s="4" t="s">
        <v>6194</v>
      </c>
      <c r="D1656" s="4" t="s">
        <v>6196</v>
      </c>
      <c r="E1656" s="4" t="s">
        <v>6199</v>
      </c>
      <c r="F1656" s="4" t="s">
        <v>6204</v>
      </c>
    </row>
    <row r="1657" customFormat="false" ht="15" hidden="false" customHeight="true" outlineLevel="0" collapsed="false">
      <c r="A1657" s="4" t="s">
        <v>1833</v>
      </c>
      <c r="B1657" s="13" t="n">
        <v>45514</v>
      </c>
      <c r="C1657" s="4" t="s">
        <v>6210</v>
      </c>
      <c r="D1657" s="4" t="s">
        <v>6196</v>
      </c>
      <c r="E1657" s="4" t="s">
        <v>6207</v>
      </c>
      <c r="F1657" s="4" t="s">
        <v>6204</v>
      </c>
    </row>
    <row r="1658" customFormat="false" ht="15" hidden="false" customHeight="true" outlineLevel="0" collapsed="false">
      <c r="A1658" s="4" t="s">
        <v>1834</v>
      </c>
      <c r="B1658" s="13" t="n">
        <v>45087</v>
      </c>
      <c r="C1658" s="4" t="s">
        <v>6213</v>
      </c>
      <c r="D1658" s="4" t="s">
        <v>6195</v>
      </c>
      <c r="E1658" s="4" t="s">
        <v>6196</v>
      </c>
      <c r="F1658" s="4" t="s">
        <v>6214</v>
      </c>
    </row>
    <row r="1659" customFormat="false" ht="15" hidden="false" customHeight="true" outlineLevel="0" collapsed="false">
      <c r="A1659" s="4" t="s">
        <v>1835</v>
      </c>
      <c r="B1659" s="13" t="n">
        <v>45489</v>
      </c>
      <c r="C1659" s="4" t="s">
        <v>6198</v>
      </c>
      <c r="D1659" s="4" t="s">
        <v>6199</v>
      </c>
      <c r="E1659" s="4" t="s">
        <v>6195</v>
      </c>
      <c r="F1659" s="4" t="s">
        <v>6200</v>
      </c>
    </row>
    <row r="1660" customFormat="false" ht="15" hidden="false" customHeight="true" outlineLevel="0" collapsed="false">
      <c r="A1660" s="4" t="s">
        <v>1836</v>
      </c>
      <c r="B1660" s="13" t="n">
        <v>45025</v>
      </c>
      <c r="C1660" s="4" t="s">
        <v>6209</v>
      </c>
      <c r="D1660" s="4" t="s">
        <v>6205</v>
      </c>
      <c r="E1660" s="4" t="s">
        <v>6202</v>
      </c>
      <c r="F1660" s="4" t="s">
        <v>6197</v>
      </c>
    </row>
    <row r="1661" customFormat="false" ht="15" hidden="false" customHeight="true" outlineLevel="0" collapsed="false">
      <c r="A1661" s="4" t="s">
        <v>1837</v>
      </c>
      <c r="B1661" s="13" t="n">
        <v>45610</v>
      </c>
      <c r="C1661" s="4" t="s">
        <v>6209</v>
      </c>
      <c r="D1661" s="4" t="s">
        <v>6202</v>
      </c>
      <c r="E1661" s="4" t="s">
        <v>6206</v>
      </c>
      <c r="F1661" s="4" t="s">
        <v>6214</v>
      </c>
    </row>
    <row r="1662" customFormat="false" ht="15" hidden="false" customHeight="true" outlineLevel="0" collapsed="false">
      <c r="A1662" s="4" t="s">
        <v>1838</v>
      </c>
      <c r="B1662" s="13" t="n">
        <v>45045</v>
      </c>
      <c r="C1662" s="4" t="s">
        <v>6209</v>
      </c>
      <c r="D1662" s="4" t="s">
        <v>6205</v>
      </c>
      <c r="E1662" s="4" t="s">
        <v>6206</v>
      </c>
      <c r="F1662" s="4" t="s">
        <v>6204</v>
      </c>
    </row>
    <row r="1663" customFormat="false" ht="15" hidden="false" customHeight="true" outlineLevel="0" collapsed="false">
      <c r="A1663" s="4" t="s">
        <v>1839</v>
      </c>
      <c r="B1663" s="13" t="n">
        <v>45430</v>
      </c>
      <c r="C1663" s="4" t="s">
        <v>6194</v>
      </c>
      <c r="D1663" s="4" t="s">
        <v>6195</v>
      </c>
      <c r="E1663" s="4" t="s">
        <v>6211</v>
      </c>
      <c r="F1663" s="4" t="s">
        <v>6212</v>
      </c>
    </row>
    <row r="1664" customFormat="false" ht="15" hidden="false" customHeight="true" outlineLevel="0" collapsed="false">
      <c r="A1664" s="4" t="s">
        <v>1840</v>
      </c>
      <c r="B1664" s="13" t="n">
        <v>45651</v>
      </c>
      <c r="C1664" s="4" t="s">
        <v>6213</v>
      </c>
      <c r="D1664" s="4" t="s">
        <v>6195</v>
      </c>
      <c r="E1664" s="4" t="s">
        <v>6196</v>
      </c>
      <c r="F1664" s="4" t="s">
        <v>6212</v>
      </c>
    </row>
    <row r="1665" customFormat="false" ht="15" hidden="false" customHeight="true" outlineLevel="0" collapsed="false">
      <c r="A1665" s="4" t="s">
        <v>1841</v>
      </c>
      <c r="B1665" s="13" t="n">
        <v>45340</v>
      </c>
      <c r="C1665" s="4" t="s">
        <v>6198</v>
      </c>
      <c r="D1665" s="4" t="s">
        <v>6202</v>
      </c>
      <c r="E1665" s="4" t="s">
        <v>6207</v>
      </c>
      <c r="F1665" s="4"/>
    </row>
    <row r="1666" customFormat="false" ht="15" hidden="false" customHeight="true" outlineLevel="0" collapsed="false">
      <c r="A1666" s="4" t="s">
        <v>1842</v>
      </c>
      <c r="B1666" s="13" t="n">
        <v>44941</v>
      </c>
      <c r="C1666" s="4" t="s">
        <v>6198</v>
      </c>
      <c r="D1666" s="4" t="s">
        <v>6203</v>
      </c>
      <c r="E1666" s="4" t="s">
        <v>6206</v>
      </c>
      <c r="F1666" s="4" t="s">
        <v>6197</v>
      </c>
    </row>
    <row r="1667" customFormat="false" ht="15" hidden="false" customHeight="true" outlineLevel="0" collapsed="false">
      <c r="A1667" s="4" t="s">
        <v>1843</v>
      </c>
      <c r="B1667" s="13" t="n">
        <v>45396</v>
      </c>
      <c r="C1667" s="4" t="s">
        <v>6210</v>
      </c>
      <c r="D1667" s="4" t="s">
        <v>6208</v>
      </c>
      <c r="E1667" s="4" t="s">
        <v>6206</v>
      </c>
      <c r="F1667" s="4" t="s">
        <v>6212</v>
      </c>
    </row>
    <row r="1668" customFormat="false" ht="15" hidden="false" customHeight="true" outlineLevel="0" collapsed="false">
      <c r="A1668" s="4" t="s">
        <v>1844</v>
      </c>
      <c r="B1668" s="13" t="n">
        <v>45174</v>
      </c>
      <c r="C1668" s="4" t="s">
        <v>6194</v>
      </c>
      <c r="D1668" s="4" t="s">
        <v>6206</v>
      </c>
      <c r="E1668" s="4" t="s">
        <v>6196</v>
      </c>
      <c r="F1668" s="4" t="s">
        <v>6204</v>
      </c>
    </row>
    <row r="1669" customFormat="false" ht="15" hidden="false" customHeight="true" outlineLevel="0" collapsed="false">
      <c r="A1669" s="4" t="s">
        <v>1845</v>
      </c>
      <c r="B1669" s="13" t="n">
        <v>45302</v>
      </c>
      <c r="C1669" s="4" t="s">
        <v>6213</v>
      </c>
      <c r="D1669" s="4" t="s">
        <v>6196</v>
      </c>
      <c r="E1669" s="4" t="s">
        <v>6196</v>
      </c>
      <c r="F1669" s="4"/>
    </row>
    <row r="1670" customFormat="false" ht="15" hidden="false" customHeight="true" outlineLevel="0" collapsed="false">
      <c r="A1670" s="4" t="s">
        <v>1846</v>
      </c>
      <c r="B1670" s="13" t="n">
        <v>45549</v>
      </c>
      <c r="C1670" s="4" t="s">
        <v>6198</v>
      </c>
      <c r="D1670" s="4" t="s">
        <v>6205</v>
      </c>
      <c r="E1670" s="4" t="s">
        <v>6211</v>
      </c>
      <c r="F1670" s="4"/>
    </row>
    <row r="1671" customFormat="false" ht="15" hidden="false" customHeight="true" outlineLevel="0" collapsed="false">
      <c r="A1671" s="4" t="s">
        <v>1847</v>
      </c>
      <c r="B1671" s="13" t="n">
        <v>45358</v>
      </c>
      <c r="C1671" s="4" t="s">
        <v>6210</v>
      </c>
      <c r="D1671" s="4" t="s">
        <v>6203</v>
      </c>
      <c r="E1671" s="4" t="s">
        <v>6211</v>
      </c>
      <c r="F1671" s="4" t="s">
        <v>6197</v>
      </c>
    </row>
    <row r="1672" customFormat="false" ht="15" hidden="false" customHeight="true" outlineLevel="0" collapsed="false">
      <c r="A1672" s="4" t="s">
        <v>1848</v>
      </c>
      <c r="B1672" s="13" t="n">
        <v>45395</v>
      </c>
      <c r="C1672" s="4" t="s">
        <v>6213</v>
      </c>
      <c r="D1672" s="4" t="s">
        <v>6206</v>
      </c>
      <c r="E1672" s="4" t="s">
        <v>6211</v>
      </c>
      <c r="F1672" s="4"/>
    </row>
    <row r="1673" customFormat="false" ht="15" hidden="false" customHeight="true" outlineLevel="0" collapsed="false">
      <c r="A1673" s="4" t="s">
        <v>1849</v>
      </c>
      <c r="B1673" s="13" t="n">
        <v>45441</v>
      </c>
      <c r="C1673" s="4" t="s">
        <v>6198</v>
      </c>
      <c r="D1673" s="4" t="s">
        <v>6206</v>
      </c>
      <c r="E1673" s="4" t="s">
        <v>6203</v>
      </c>
      <c r="F1673" s="4" t="s">
        <v>6200</v>
      </c>
    </row>
    <row r="1674" customFormat="false" ht="15" hidden="false" customHeight="true" outlineLevel="0" collapsed="false">
      <c r="A1674" s="4" t="s">
        <v>1850</v>
      </c>
      <c r="B1674" s="13" t="n">
        <v>44989</v>
      </c>
      <c r="C1674" s="4" t="s">
        <v>6194</v>
      </c>
      <c r="D1674" s="4" t="s">
        <v>6195</v>
      </c>
      <c r="E1674" s="4" t="s">
        <v>6199</v>
      </c>
      <c r="F1674" s="4" t="s">
        <v>6214</v>
      </c>
    </row>
    <row r="1675" customFormat="false" ht="15" hidden="false" customHeight="true" outlineLevel="0" collapsed="false">
      <c r="A1675" s="4" t="s">
        <v>1851</v>
      </c>
      <c r="B1675" s="13" t="n">
        <v>45395</v>
      </c>
      <c r="C1675" s="4" t="s">
        <v>6201</v>
      </c>
      <c r="D1675" s="4" t="s">
        <v>6207</v>
      </c>
      <c r="E1675" s="4" t="s">
        <v>6208</v>
      </c>
      <c r="F1675" s="4" t="s">
        <v>6204</v>
      </c>
    </row>
    <row r="1676" customFormat="false" ht="15" hidden="false" customHeight="true" outlineLevel="0" collapsed="false">
      <c r="A1676" s="4" t="s">
        <v>1852</v>
      </c>
      <c r="B1676" s="13" t="n">
        <v>45565</v>
      </c>
      <c r="C1676" s="4" t="s">
        <v>6209</v>
      </c>
      <c r="D1676" s="4" t="s">
        <v>6195</v>
      </c>
      <c r="E1676" s="4" t="s">
        <v>6203</v>
      </c>
      <c r="F1676" s="4" t="s">
        <v>6216</v>
      </c>
    </row>
    <row r="1677" customFormat="false" ht="15" hidden="false" customHeight="true" outlineLevel="0" collapsed="false">
      <c r="A1677" s="4" t="s">
        <v>1853</v>
      </c>
      <c r="B1677" s="13" t="n">
        <v>45302</v>
      </c>
      <c r="C1677" s="4" t="s">
        <v>6213</v>
      </c>
      <c r="D1677" s="4" t="s">
        <v>6207</v>
      </c>
      <c r="E1677" s="4" t="s">
        <v>6202</v>
      </c>
      <c r="F1677" s="4" t="s">
        <v>6200</v>
      </c>
    </row>
    <row r="1678" customFormat="false" ht="15" hidden="false" customHeight="true" outlineLevel="0" collapsed="false">
      <c r="A1678" s="4" t="s">
        <v>1854</v>
      </c>
      <c r="B1678" s="13" t="n">
        <v>45114</v>
      </c>
      <c r="C1678" s="4" t="s">
        <v>6198</v>
      </c>
      <c r="D1678" s="4" t="s">
        <v>6205</v>
      </c>
      <c r="E1678" s="4" t="s">
        <v>6199</v>
      </c>
      <c r="F1678" s="4" t="s">
        <v>6214</v>
      </c>
    </row>
    <row r="1679" customFormat="false" ht="15" hidden="false" customHeight="true" outlineLevel="0" collapsed="false">
      <c r="A1679" s="4" t="s">
        <v>1855</v>
      </c>
      <c r="B1679" s="13" t="n">
        <v>45192</v>
      </c>
      <c r="C1679" s="4" t="s">
        <v>6209</v>
      </c>
      <c r="D1679" s="4" t="s">
        <v>6195</v>
      </c>
      <c r="E1679" s="4" t="s">
        <v>6202</v>
      </c>
      <c r="F1679" s="4" t="s">
        <v>6204</v>
      </c>
    </row>
    <row r="1680" customFormat="false" ht="15" hidden="false" customHeight="true" outlineLevel="0" collapsed="false">
      <c r="A1680" s="4" t="s">
        <v>1856</v>
      </c>
      <c r="B1680" s="13" t="n">
        <v>45479</v>
      </c>
      <c r="C1680" s="4" t="s">
        <v>6215</v>
      </c>
      <c r="D1680" s="4" t="s">
        <v>6203</v>
      </c>
      <c r="E1680" s="4" t="s">
        <v>6207</v>
      </c>
      <c r="F1680" s="4" t="s">
        <v>6204</v>
      </c>
    </row>
    <row r="1681" customFormat="false" ht="15" hidden="false" customHeight="true" outlineLevel="0" collapsed="false">
      <c r="A1681" s="4" t="s">
        <v>1857</v>
      </c>
      <c r="B1681" s="13" t="n">
        <v>44990</v>
      </c>
      <c r="C1681" s="4" t="s">
        <v>6210</v>
      </c>
      <c r="D1681" s="4" t="s">
        <v>6199</v>
      </c>
      <c r="E1681" s="4" t="s">
        <v>6195</v>
      </c>
      <c r="F1681" s="4" t="s">
        <v>6214</v>
      </c>
    </row>
    <row r="1682" customFormat="false" ht="15" hidden="false" customHeight="true" outlineLevel="0" collapsed="false">
      <c r="A1682" s="4" t="s">
        <v>1858</v>
      </c>
      <c r="B1682" s="13" t="n">
        <v>45657</v>
      </c>
      <c r="C1682" s="4" t="s">
        <v>6201</v>
      </c>
      <c r="D1682" s="4" t="s">
        <v>6202</v>
      </c>
      <c r="E1682" s="4" t="s">
        <v>6199</v>
      </c>
      <c r="F1682" s="4" t="s">
        <v>6200</v>
      </c>
    </row>
    <row r="1683" customFormat="false" ht="15" hidden="false" customHeight="true" outlineLevel="0" collapsed="false">
      <c r="A1683" s="4" t="s">
        <v>1859</v>
      </c>
      <c r="B1683" s="13" t="n">
        <v>45089</v>
      </c>
      <c r="C1683" s="4" t="s">
        <v>6213</v>
      </c>
      <c r="D1683" s="4" t="s">
        <v>6211</v>
      </c>
      <c r="E1683" s="4" t="s">
        <v>6199</v>
      </c>
      <c r="F1683" s="4" t="s">
        <v>6212</v>
      </c>
    </row>
    <row r="1684" customFormat="false" ht="15" hidden="false" customHeight="true" outlineLevel="0" collapsed="false">
      <c r="A1684" s="4" t="s">
        <v>1860</v>
      </c>
      <c r="B1684" s="13" t="n">
        <v>45527</v>
      </c>
      <c r="C1684" s="4" t="s">
        <v>6210</v>
      </c>
      <c r="D1684" s="4" t="s">
        <v>6211</v>
      </c>
      <c r="E1684" s="4" t="s">
        <v>6199</v>
      </c>
      <c r="F1684" s="4" t="s">
        <v>6212</v>
      </c>
    </row>
    <row r="1685" customFormat="false" ht="15" hidden="false" customHeight="true" outlineLevel="0" collapsed="false">
      <c r="A1685" s="4" t="s">
        <v>1861</v>
      </c>
      <c r="B1685" s="13" t="n">
        <v>45569</v>
      </c>
      <c r="C1685" s="4" t="s">
        <v>6194</v>
      </c>
      <c r="D1685" s="4" t="s">
        <v>6206</v>
      </c>
      <c r="E1685" s="4" t="s">
        <v>6199</v>
      </c>
      <c r="F1685" s="4" t="s">
        <v>6197</v>
      </c>
    </row>
    <row r="1686" customFormat="false" ht="15" hidden="false" customHeight="true" outlineLevel="0" collapsed="false">
      <c r="A1686" s="4" t="s">
        <v>1862</v>
      </c>
      <c r="B1686" s="13" t="n">
        <v>45400</v>
      </c>
      <c r="C1686" s="4" t="s">
        <v>6215</v>
      </c>
      <c r="D1686" s="4" t="s">
        <v>6195</v>
      </c>
      <c r="E1686" s="4" t="s">
        <v>6211</v>
      </c>
      <c r="F1686" s="4"/>
    </row>
    <row r="1687" customFormat="false" ht="15" hidden="false" customHeight="true" outlineLevel="0" collapsed="false">
      <c r="A1687" s="4" t="s">
        <v>1863</v>
      </c>
      <c r="B1687" s="13" t="n">
        <v>45269</v>
      </c>
      <c r="C1687" s="4" t="s">
        <v>6198</v>
      </c>
      <c r="D1687" s="4" t="s">
        <v>6207</v>
      </c>
      <c r="E1687" s="4" t="s">
        <v>6199</v>
      </c>
      <c r="F1687" s="4" t="s">
        <v>6216</v>
      </c>
    </row>
    <row r="1688" customFormat="false" ht="15" hidden="false" customHeight="true" outlineLevel="0" collapsed="false">
      <c r="A1688" s="4" t="s">
        <v>1864</v>
      </c>
      <c r="B1688" s="13" t="n">
        <v>45611</v>
      </c>
      <c r="C1688" s="4" t="s">
        <v>6213</v>
      </c>
      <c r="D1688" s="4" t="s">
        <v>6203</v>
      </c>
      <c r="E1688" s="4" t="s">
        <v>6196</v>
      </c>
      <c r="F1688" s="4" t="s">
        <v>6214</v>
      </c>
    </row>
    <row r="1689" customFormat="false" ht="15" hidden="false" customHeight="true" outlineLevel="0" collapsed="false">
      <c r="A1689" s="4" t="s">
        <v>1865</v>
      </c>
      <c r="B1689" s="13" t="n">
        <v>45247</v>
      </c>
      <c r="C1689" s="4" t="s">
        <v>6198</v>
      </c>
      <c r="D1689" s="4" t="s">
        <v>6206</v>
      </c>
      <c r="E1689" s="4" t="s">
        <v>6203</v>
      </c>
      <c r="F1689" s="4"/>
    </row>
    <row r="1690" customFormat="false" ht="15" hidden="false" customHeight="true" outlineLevel="0" collapsed="false">
      <c r="A1690" s="4" t="s">
        <v>1866</v>
      </c>
      <c r="B1690" s="13" t="n">
        <v>45183</v>
      </c>
      <c r="C1690" s="4" t="s">
        <v>6213</v>
      </c>
      <c r="D1690" s="4" t="s">
        <v>6206</v>
      </c>
      <c r="E1690" s="4" t="s">
        <v>6195</v>
      </c>
      <c r="F1690" s="4" t="s">
        <v>6204</v>
      </c>
    </row>
    <row r="1691" customFormat="false" ht="15" hidden="false" customHeight="true" outlineLevel="0" collapsed="false">
      <c r="A1691" s="4" t="s">
        <v>1867</v>
      </c>
      <c r="B1691" s="13" t="n">
        <v>45348</v>
      </c>
      <c r="C1691" s="4" t="s">
        <v>6194</v>
      </c>
      <c r="D1691" s="4" t="s">
        <v>6195</v>
      </c>
      <c r="E1691" s="4" t="s">
        <v>6199</v>
      </c>
      <c r="F1691" s="4" t="s">
        <v>6200</v>
      </c>
    </row>
    <row r="1692" customFormat="false" ht="15" hidden="false" customHeight="true" outlineLevel="0" collapsed="false">
      <c r="A1692" s="4" t="s">
        <v>1868</v>
      </c>
      <c r="B1692" s="13" t="n">
        <v>45588</v>
      </c>
      <c r="C1692" s="4" t="s">
        <v>6198</v>
      </c>
      <c r="D1692" s="4" t="s">
        <v>6199</v>
      </c>
      <c r="E1692" s="4" t="s">
        <v>6205</v>
      </c>
      <c r="F1692" s="4" t="s">
        <v>6212</v>
      </c>
    </row>
    <row r="1693" customFormat="false" ht="15" hidden="false" customHeight="true" outlineLevel="0" collapsed="false">
      <c r="A1693" s="4" t="s">
        <v>1869</v>
      </c>
      <c r="B1693" s="13" t="n">
        <v>45404</v>
      </c>
      <c r="C1693" s="4" t="s">
        <v>6210</v>
      </c>
      <c r="D1693" s="4" t="s">
        <v>6207</v>
      </c>
      <c r="E1693" s="4" t="s">
        <v>6199</v>
      </c>
      <c r="F1693" s="4" t="s">
        <v>6212</v>
      </c>
    </row>
    <row r="1694" customFormat="false" ht="15" hidden="false" customHeight="true" outlineLevel="0" collapsed="false">
      <c r="A1694" s="4" t="s">
        <v>1870</v>
      </c>
      <c r="B1694" s="13" t="n">
        <v>45180</v>
      </c>
      <c r="C1694" s="4" t="s">
        <v>6213</v>
      </c>
      <c r="D1694" s="4" t="s">
        <v>6208</v>
      </c>
      <c r="E1694" s="4" t="s">
        <v>6196</v>
      </c>
      <c r="F1694" s="4"/>
    </row>
    <row r="1695" customFormat="false" ht="15" hidden="false" customHeight="true" outlineLevel="0" collapsed="false">
      <c r="A1695" s="4" t="s">
        <v>1871</v>
      </c>
      <c r="B1695" s="13" t="n">
        <v>45369</v>
      </c>
      <c r="C1695" s="4" t="s">
        <v>6210</v>
      </c>
      <c r="D1695" s="4" t="s">
        <v>6205</v>
      </c>
      <c r="E1695" s="4" t="s">
        <v>6195</v>
      </c>
      <c r="F1695" s="4" t="s">
        <v>6200</v>
      </c>
    </row>
    <row r="1696" customFormat="false" ht="15" hidden="false" customHeight="true" outlineLevel="0" collapsed="false">
      <c r="A1696" s="4" t="s">
        <v>1872</v>
      </c>
      <c r="B1696" s="13" t="n">
        <v>45412</v>
      </c>
      <c r="C1696" s="4" t="s">
        <v>6209</v>
      </c>
      <c r="D1696" s="4" t="s">
        <v>6196</v>
      </c>
      <c r="E1696" s="4" t="s">
        <v>6195</v>
      </c>
      <c r="F1696" s="4" t="s">
        <v>6216</v>
      </c>
    </row>
    <row r="1697" customFormat="false" ht="15" hidden="false" customHeight="true" outlineLevel="0" collapsed="false">
      <c r="A1697" s="4" t="s">
        <v>1873</v>
      </c>
      <c r="B1697" s="13" t="n">
        <v>44978</v>
      </c>
      <c r="C1697" s="4" t="s">
        <v>6213</v>
      </c>
      <c r="D1697" s="4" t="s">
        <v>6206</v>
      </c>
      <c r="E1697" s="4" t="s">
        <v>6207</v>
      </c>
      <c r="F1697" s="4" t="s">
        <v>6204</v>
      </c>
    </row>
    <row r="1698" customFormat="false" ht="15" hidden="false" customHeight="true" outlineLevel="0" collapsed="false">
      <c r="A1698" s="4" t="s">
        <v>1874</v>
      </c>
      <c r="B1698" s="13" t="n">
        <v>44997</v>
      </c>
      <c r="C1698" s="4" t="s">
        <v>6215</v>
      </c>
      <c r="D1698" s="4" t="s">
        <v>6195</v>
      </c>
      <c r="E1698" s="4" t="s">
        <v>6206</v>
      </c>
      <c r="F1698" s="4" t="s">
        <v>6197</v>
      </c>
    </row>
    <row r="1699" customFormat="false" ht="15" hidden="false" customHeight="true" outlineLevel="0" collapsed="false">
      <c r="A1699" s="4" t="s">
        <v>1875</v>
      </c>
      <c r="B1699" s="13" t="n">
        <v>45082</v>
      </c>
      <c r="C1699" s="4" t="s">
        <v>6209</v>
      </c>
      <c r="D1699" s="4" t="s">
        <v>6206</v>
      </c>
      <c r="E1699" s="4" t="s">
        <v>6199</v>
      </c>
      <c r="F1699" s="4" t="s">
        <v>6200</v>
      </c>
    </row>
    <row r="1700" customFormat="false" ht="15" hidden="false" customHeight="true" outlineLevel="0" collapsed="false">
      <c r="A1700" s="4" t="s">
        <v>1876</v>
      </c>
      <c r="B1700" s="13" t="n">
        <v>44958</v>
      </c>
      <c r="C1700" s="4" t="s">
        <v>6215</v>
      </c>
      <c r="D1700" s="4" t="s">
        <v>6206</v>
      </c>
      <c r="E1700" s="4" t="s">
        <v>6205</v>
      </c>
      <c r="F1700" s="4" t="s">
        <v>6212</v>
      </c>
    </row>
    <row r="1701" customFormat="false" ht="15" hidden="false" customHeight="true" outlineLevel="0" collapsed="false">
      <c r="A1701" s="4" t="s">
        <v>1877</v>
      </c>
      <c r="B1701" s="13" t="n">
        <v>45603</v>
      </c>
      <c r="C1701" s="4" t="s">
        <v>6210</v>
      </c>
      <c r="D1701" s="4" t="s">
        <v>6207</v>
      </c>
      <c r="E1701" s="4" t="s">
        <v>6207</v>
      </c>
      <c r="F1701" s="4" t="s">
        <v>6212</v>
      </c>
    </row>
    <row r="1702" customFormat="false" ht="15" hidden="false" customHeight="true" outlineLevel="0" collapsed="false">
      <c r="A1702" s="4" t="s">
        <v>1878</v>
      </c>
      <c r="B1702" s="13" t="n">
        <v>45032</v>
      </c>
      <c r="C1702" s="4" t="s">
        <v>6209</v>
      </c>
      <c r="D1702" s="4" t="s">
        <v>6208</v>
      </c>
      <c r="E1702" s="4" t="s">
        <v>6195</v>
      </c>
      <c r="F1702" s="4"/>
    </row>
    <row r="1703" customFormat="false" ht="15" hidden="false" customHeight="true" outlineLevel="0" collapsed="false">
      <c r="A1703" s="4" t="s">
        <v>1879</v>
      </c>
      <c r="B1703" s="13" t="n">
        <v>45454</v>
      </c>
      <c r="C1703" s="4" t="s">
        <v>6194</v>
      </c>
      <c r="D1703" s="4" t="s">
        <v>6199</v>
      </c>
      <c r="E1703" s="4" t="s">
        <v>6195</v>
      </c>
      <c r="F1703" s="4" t="s">
        <v>6216</v>
      </c>
    </row>
    <row r="1704" customFormat="false" ht="15" hidden="false" customHeight="true" outlineLevel="0" collapsed="false">
      <c r="A1704" s="4" t="s">
        <v>1880</v>
      </c>
      <c r="B1704" s="13" t="n">
        <v>45164</v>
      </c>
      <c r="C1704" s="4" t="s">
        <v>6213</v>
      </c>
      <c r="D1704" s="4" t="s">
        <v>6207</v>
      </c>
      <c r="E1704" s="4" t="s">
        <v>6199</v>
      </c>
      <c r="F1704" s="4"/>
    </row>
    <row r="1705" customFormat="false" ht="15" hidden="false" customHeight="true" outlineLevel="0" collapsed="false">
      <c r="A1705" s="4" t="s">
        <v>1881</v>
      </c>
      <c r="B1705" s="13" t="n">
        <v>45609</v>
      </c>
      <c r="C1705" s="4" t="s">
        <v>6198</v>
      </c>
      <c r="D1705" s="4" t="s">
        <v>6202</v>
      </c>
      <c r="E1705" s="4" t="s">
        <v>6206</v>
      </c>
      <c r="F1705" s="4" t="s">
        <v>6197</v>
      </c>
    </row>
    <row r="1706" customFormat="false" ht="15" hidden="false" customHeight="true" outlineLevel="0" collapsed="false">
      <c r="A1706" s="4" t="s">
        <v>1882</v>
      </c>
      <c r="B1706" s="13" t="n">
        <v>45348</v>
      </c>
      <c r="C1706" s="4" t="s">
        <v>6209</v>
      </c>
      <c r="D1706" s="4" t="s">
        <v>6196</v>
      </c>
      <c r="E1706" s="4" t="s">
        <v>6199</v>
      </c>
      <c r="F1706" s="4"/>
    </row>
    <row r="1707" customFormat="false" ht="15" hidden="false" customHeight="true" outlineLevel="0" collapsed="false">
      <c r="A1707" s="4" t="s">
        <v>1883</v>
      </c>
      <c r="B1707" s="13" t="n">
        <v>45388</v>
      </c>
      <c r="C1707" s="4" t="s">
        <v>6210</v>
      </c>
      <c r="D1707" s="4" t="s">
        <v>6205</v>
      </c>
      <c r="E1707" s="4" t="s">
        <v>6205</v>
      </c>
      <c r="F1707" s="4" t="s">
        <v>6212</v>
      </c>
    </row>
    <row r="1708" customFormat="false" ht="15" hidden="false" customHeight="true" outlineLevel="0" collapsed="false">
      <c r="A1708" s="4" t="s">
        <v>1884</v>
      </c>
      <c r="B1708" s="13" t="n">
        <v>45038</v>
      </c>
      <c r="C1708" s="4" t="s">
        <v>6201</v>
      </c>
      <c r="D1708" s="4" t="s">
        <v>6207</v>
      </c>
      <c r="E1708" s="4" t="s">
        <v>6211</v>
      </c>
      <c r="F1708" s="4" t="s">
        <v>6204</v>
      </c>
    </row>
    <row r="1709" customFormat="false" ht="15" hidden="false" customHeight="true" outlineLevel="0" collapsed="false">
      <c r="A1709" s="4" t="s">
        <v>1885</v>
      </c>
      <c r="B1709" s="13" t="n">
        <v>44995</v>
      </c>
      <c r="C1709" s="4" t="s">
        <v>6201</v>
      </c>
      <c r="D1709" s="4" t="s">
        <v>6207</v>
      </c>
      <c r="E1709" s="4" t="s">
        <v>6195</v>
      </c>
      <c r="F1709" s="4" t="s">
        <v>6212</v>
      </c>
    </row>
    <row r="1710" customFormat="false" ht="15" hidden="false" customHeight="true" outlineLevel="0" collapsed="false">
      <c r="A1710" s="4" t="s">
        <v>1886</v>
      </c>
      <c r="B1710" s="13" t="n">
        <v>45647</v>
      </c>
      <c r="C1710" s="4" t="s">
        <v>6209</v>
      </c>
      <c r="D1710" s="4" t="s">
        <v>6208</v>
      </c>
      <c r="E1710" s="4" t="s">
        <v>6203</v>
      </c>
      <c r="F1710" s="4" t="s">
        <v>6197</v>
      </c>
    </row>
    <row r="1711" customFormat="false" ht="15" hidden="false" customHeight="true" outlineLevel="0" collapsed="false">
      <c r="A1711" s="4" t="s">
        <v>1887</v>
      </c>
      <c r="B1711" s="13" t="n">
        <v>45095</v>
      </c>
      <c r="C1711" s="4" t="s">
        <v>6194</v>
      </c>
      <c r="D1711" s="4" t="s">
        <v>6196</v>
      </c>
      <c r="E1711" s="4" t="s">
        <v>6211</v>
      </c>
      <c r="F1711" s="4" t="s">
        <v>6197</v>
      </c>
    </row>
    <row r="1712" customFormat="false" ht="15" hidden="false" customHeight="true" outlineLevel="0" collapsed="false">
      <c r="A1712" s="4" t="s">
        <v>1888</v>
      </c>
      <c r="B1712" s="13" t="n">
        <v>44955</v>
      </c>
      <c r="C1712" s="4" t="s">
        <v>6215</v>
      </c>
      <c r="D1712" s="4" t="s">
        <v>6206</v>
      </c>
      <c r="E1712" s="4" t="s">
        <v>6203</v>
      </c>
      <c r="F1712" s="4" t="s">
        <v>6200</v>
      </c>
    </row>
    <row r="1713" customFormat="false" ht="15" hidden="false" customHeight="true" outlineLevel="0" collapsed="false">
      <c r="A1713" s="4" t="s">
        <v>1889</v>
      </c>
      <c r="B1713" s="13" t="n">
        <v>45204</v>
      </c>
      <c r="C1713" s="4" t="s">
        <v>6210</v>
      </c>
      <c r="D1713" s="4" t="s">
        <v>6206</v>
      </c>
      <c r="E1713" s="4" t="s">
        <v>6205</v>
      </c>
      <c r="F1713" s="4" t="s">
        <v>6216</v>
      </c>
    </row>
    <row r="1714" customFormat="false" ht="15" hidden="false" customHeight="true" outlineLevel="0" collapsed="false">
      <c r="A1714" s="4" t="s">
        <v>1890</v>
      </c>
      <c r="B1714" s="13" t="n">
        <v>45538</v>
      </c>
      <c r="C1714" s="4" t="s">
        <v>6210</v>
      </c>
      <c r="D1714" s="4" t="s">
        <v>6208</v>
      </c>
      <c r="E1714" s="4" t="s">
        <v>6211</v>
      </c>
      <c r="F1714" s="4"/>
    </row>
    <row r="1715" customFormat="false" ht="15" hidden="false" customHeight="true" outlineLevel="0" collapsed="false">
      <c r="A1715" s="4" t="s">
        <v>1891</v>
      </c>
      <c r="B1715" s="13" t="n">
        <v>45525</v>
      </c>
      <c r="C1715" s="4" t="s">
        <v>6215</v>
      </c>
      <c r="D1715" s="4" t="s">
        <v>6202</v>
      </c>
      <c r="E1715" s="4" t="s">
        <v>6205</v>
      </c>
      <c r="F1715" s="4"/>
    </row>
    <row r="1716" customFormat="false" ht="15" hidden="false" customHeight="true" outlineLevel="0" collapsed="false">
      <c r="A1716" s="4" t="s">
        <v>1892</v>
      </c>
      <c r="B1716" s="13" t="n">
        <v>45324</v>
      </c>
      <c r="C1716" s="4" t="s">
        <v>6209</v>
      </c>
      <c r="D1716" s="4" t="s">
        <v>6207</v>
      </c>
      <c r="E1716" s="4" t="s">
        <v>6207</v>
      </c>
      <c r="F1716" s="4" t="s">
        <v>6214</v>
      </c>
    </row>
    <row r="1717" customFormat="false" ht="15" hidden="false" customHeight="true" outlineLevel="0" collapsed="false">
      <c r="A1717" s="4" t="s">
        <v>1893</v>
      </c>
      <c r="B1717" s="13" t="n">
        <v>45357</v>
      </c>
      <c r="C1717" s="4" t="s">
        <v>6198</v>
      </c>
      <c r="D1717" s="4" t="s">
        <v>6196</v>
      </c>
      <c r="E1717" s="4" t="s">
        <v>6199</v>
      </c>
      <c r="F1717" s="4"/>
    </row>
    <row r="1718" customFormat="false" ht="15" hidden="false" customHeight="true" outlineLevel="0" collapsed="false">
      <c r="A1718" s="4" t="s">
        <v>1894</v>
      </c>
      <c r="B1718" s="13" t="n">
        <v>45495</v>
      </c>
      <c r="C1718" s="4" t="s">
        <v>6210</v>
      </c>
      <c r="D1718" s="4" t="s">
        <v>6199</v>
      </c>
      <c r="E1718" s="4" t="s">
        <v>6211</v>
      </c>
      <c r="F1718" s="4" t="s">
        <v>6214</v>
      </c>
    </row>
    <row r="1719" customFormat="false" ht="15" hidden="false" customHeight="true" outlineLevel="0" collapsed="false">
      <c r="A1719" s="4" t="s">
        <v>1895</v>
      </c>
      <c r="B1719" s="13" t="n">
        <v>45035</v>
      </c>
      <c r="C1719" s="4" t="s">
        <v>6210</v>
      </c>
      <c r="D1719" s="4" t="s">
        <v>6208</v>
      </c>
      <c r="E1719" s="4" t="s">
        <v>6196</v>
      </c>
      <c r="F1719" s="4"/>
    </row>
    <row r="1720" customFormat="false" ht="15" hidden="false" customHeight="true" outlineLevel="0" collapsed="false">
      <c r="A1720" s="4" t="s">
        <v>1896</v>
      </c>
      <c r="B1720" s="13" t="n">
        <v>45658</v>
      </c>
      <c r="C1720" s="4" t="s">
        <v>6213</v>
      </c>
      <c r="D1720" s="4" t="s">
        <v>6199</v>
      </c>
      <c r="E1720" s="4" t="s">
        <v>6206</v>
      </c>
      <c r="F1720" s="4" t="s">
        <v>6212</v>
      </c>
    </row>
    <row r="1721" customFormat="false" ht="15" hidden="false" customHeight="true" outlineLevel="0" collapsed="false">
      <c r="A1721" s="4" t="s">
        <v>1897</v>
      </c>
      <c r="B1721" s="13" t="n">
        <v>44939</v>
      </c>
      <c r="C1721" s="4" t="s">
        <v>6213</v>
      </c>
      <c r="D1721" s="4" t="s">
        <v>6196</v>
      </c>
      <c r="E1721" s="4" t="s">
        <v>6199</v>
      </c>
      <c r="F1721" s="4"/>
    </row>
    <row r="1722" customFormat="false" ht="15" hidden="false" customHeight="true" outlineLevel="0" collapsed="false">
      <c r="A1722" s="4" t="s">
        <v>1898</v>
      </c>
      <c r="B1722" s="13" t="n">
        <v>45338</v>
      </c>
      <c r="C1722" s="4" t="s">
        <v>6198</v>
      </c>
      <c r="D1722" s="4" t="s">
        <v>6205</v>
      </c>
      <c r="E1722" s="4" t="s">
        <v>6203</v>
      </c>
      <c r="F1722" s="4" t="s">
        <v>6204</v>
      </c>
    </row>
    <row r="1723" customFormat="false" ht="15" hidden="false" customHeight="true" outlineLevel="0" collapsed="false">
      <c r="A1723" s="4" t="s">
        <v>1899</v>
      </c>
      <c r="B1723" s="13" t="n">
        <v>45559</v>
      </c>
      <c r="C1723" s="4" t="s">
        <v>6201</v>
      </c>
      <c r="D1723" s="4" t="s">
        <v>6199</v>
      </c>
      <c r="E1723" s="4" t="s">
        <v>6206</v>
      </c>
      <c r="F1723" s="4" t="s">
        <v>6204</v>
      </c>
    </row>
    <row r="1724" customFormat="false" ht="15" hidden="false" customHeight="true" outlineLevel="0" collapsed="false">
      <c r="A1724" s="4" t="s">
        <v>1900</v>
      </c>
      <c r="B1724" s="13" t="n">
        <v>44934</v>
      </c>
      <c r="C1724" s="4" t="s">
        <v>6198</v>
      </c>
      <c r="D1724" s="4" t="s">
        <v>6202</v>
      </c>
      <c r="E1724" s="4" t="s">
        <v>6207</v>
      </c>
      <c r="F1724" s="4" t="s">
        <v>6212</v>
      </c>
    </row>
    <row r="1725" customFormat="false" ht="15" hidden="false" customHeight="true" outlineLevel="0" collapsed="false">
      <c r="A1725" s="4" t="s">
        <v>1901</v>
      </c>
      <c r="B1725" s="13" t="n">
        <v>45062</v>
      </c>
      <c r="C1725" s="4" t="s">
        <v>6209</v>
      </c>
      <c r="D1725" s="4" t="s">
        <v>6202</v>
      </c>
      <c r="E1725" s="4" t="s">
        <v>6211</v>
      </c>
      <c r="F1725" s="4" t="s">
        <v>6212</v>
      </c>
    </row>
    <row r="1726" customFormat="false" ht="15" hidden="false" customHeight="true" outlineLevel="0" collapsed="false">
      <c r="A1726" s="4" t="s">
        <v>1902</v>
      </c>
      <c r="B1726" s="13" t="n">
        <v>45183</v>
      </c>
      <c r="C1726" s="4" t="s">
        <v>6209</v>
      </c>
      <c r="D1726" s="4" t="s">
        <v>6205</v>
      </c>
      <c r="E1726" s="4" t="s">
        <v>6199</v>
      </c>
      <c r="F1726" s="4"/>
    </row>
    <row r="1727" customFormat="false" ht="15" hidden="false" customHeight="true" outlineLevel="0" collapsed="false">
      <c r="A1727" s="4" t="s">
        <v>1903</v>
      </c>
      <c r="B1727" s="13" t="n">
        <v>45600</v>
      </c>
      <c r="C1727" s="4" t="s">
        <v>6201</v>
      </c>
      <c r="D1727" s="4" t="s">
        <v>6199</v>
      </c>
      <c r="E1727" s="4" t="s">
        <v>6206</v>
      </c>
      <c r="F1727" s="4" t="s">
        <v>6216</v>
      </c>
    </row>
    <row r="1728" customFormat="false" ht="15" hidden="false" customHeight="true" outlineLevel="0" collapsed="false">
      <c r="A1728" s="4" t="s">
        <v>1904</v>
      </c>
      <c r="B1728" s="13" t="n">
        <v>45547</v>
      </c>
      <c r="C1728" s="4" t="s">
        <v>6194</v>
      </c>
      <c r="D1728" s="4" t="s">
        <v>6205</v>
      </c>
      <c r="E1728" s="4" t="s">
        <v>6211</v>
      </c>
      <c r="F1728" s="4" t="s">
        <v>6216</v>
      </c>
    </row>
    <row r="1729" customFormat="false" ht="15" hidden="false" customHeight="true" outlineLevel="0" collapsed="false">
      <c r="A1729" s="4" t="s">
        <v>1905</v>
      </c>
      <c r="B1729" s="13" t="n">
        <v>45273</v>
      </c>
      <c r="C1729" s="4" t="s">
        <v>6209</v>
      </c>
      <c r="D1729" s="4" t="s">
        <v>6202</v>
      </c>
      <c r="E1729" s="4" t="s">
        <v>6211</v>
      </c>
      <c r="F1729" s="4" t="s">
        <v>6204</v>
      </c>
    </row>
    <row r="1730" customFormat="false" ht="15" hidden="false" customHeight="true" outlineLevel="0" collapsed="false">
      <c r="A1730" s="4" t="s">
        <v>1906</v>
      </c>
      <c r="B1730" s="13" t="n">
        <v>44966</v>
      </c>
      <c r="C1730" s="4" t="s">
        <v>6198</v>
      </c>
      <c r="D1730" s="4" t="s">
        <v>6207</v>
      </c>
      <c r="E1730" s="4" t="s">
        <v>6202</v>
      </c>
      <c r="F1730" s="4"/>
    </row>
    <row r="1731" customFormat="false" ht="15" hidden="false" customHeight="true" outlineLevel="0" collapsed="false">
      <c r="A1731" s="4" t="s">
        <v>1907</v>
      </c>
      <c r="B1731" s="13" t="n">
        <v>45301</v>
      </c>
      <c r="C1731" s="4" t="s">
        <v>6213</v>
      </c>
      <c r="D1731" s="4" t="s">
        <v>6207</v>
      </c>
      <c r="E1731" s="4" t="s">
        <v>6199</v>
      </c>
      <c r="F1731" s="4"/>
    </row>
    <row r="1732" customFormat="false" ht="15" hidden="false" customHeight="true" outlineLevel="0" collapsed="false">
      <c r="A1732" s="4" t="s">
        <v>1908</v>
      </c>
      <c r="B1732" s="13" t="n">
        <v>45236</v>
      </c>
      <c r="C1732" s="4" t="s">
        <v>6194</v>
      </c>
      <c r="D1732" s="4" t="s">
        <v>6196</v>
      </c>
      <c r="E1732" s="4" t="s">
        <v>6207</v>
      </c>
      <c r="F1732" s="4"/>
    </row>
    <row r="1733" customFormat="false" ht="15" hidden="false" customHeight="true" outlineLevel="0" collapsed="false">
      <c r="A1733" s="4" t="s">
        <v>1909</v>
      </c>
      <c r="B1733" s="13" t="n">
        <v>45193</v>
      </c>
      <c r="C1733" s="4" t="s">
        <v>6209</v>
      </c>
      <c r="D1733" s="4" t="s">
        <v>6205</v>
      </c>
      <c r="E1733" s="4" t="s">
        <v>6202</v>
      </c>
      <c r="F1733" s="4"/>
    </row>
    <row r="1734" customFormat="false" ht="15" hidden="false" customHeight="true" outlineLevel="0" collapsed="false">
      <c r="A1734" s="4" t="s">
        <v>1910</v>
      </c>
      <c r="B1734" s="13" t="n">
        <v>44952</v>
      </c>
      <c r="C1734" s="4" t="s">
        <v>6210</v>
      </c>
      <c r="D1734" s="4" t="s">
        <v>6208</v>
      </c>
      <c r="E1734" s="4" t="s">
        <v>6211</v>
      </c>
      <c r="F1734" s="4" t="s">
        <v>6212</v>
      </c>
    </row>
    <row r="1735" customFormat="false" ht="15" hidden="false" customHeight="true" outlineLevel="0" collapsed="false">
      <c r="A1735" s="4" t="s">
        <v>1911</v>
      </c>
      <c r="B1735" s="13" t="n">
        <v>45567</v>
      </c>
      <c r="C1735" s="4" t="s">
        <v>6201</v>
      </c>
      <c r="D1735" s="4" t="s">
        <v>6202</v>
      </c>
      <c r="E1735" s="4" t="s">
        <v>6208</v>
      </c>
      <c r="F1735" s="4" t="s">
        <v>6214</v>
      </c>
    </row>
    <row r="1736" customFormat="false" ht="15" hidden="false" customHeight="true" outlineLevel="0" collapsed="false">
      <c r="A1736" s="4" t="s">
        <v>1912</v>
      </c>
      <c r="B1736" s="13" t="n">
        <v>45620</v>
      </c>
      <c r="C1736" s="4" t="s">
        <v>6213</v>
      </c>
      <c r="D1736" s="4" t="s">
        <v>6208</v>
      </c>
      <c r="E1736" s="4" t="s">
        <v>6206</v>
      </c>
      <c r="F1736" s="4" t="s">
        <v>6204</v>
      </c>
    </row>
    <row r="1737" customFormat="false" ht="15" hidden="false" customHeight="true" outlineLevel="0" collapsed="false">
      <c r="A1737" s="4" t="s">
        <v>1913</v>
      </c>
      <c r="B1737" s="13" t="n">
        <v>45329</v>
      </c>
      <c r="C1737" s="4" t="s">
        <v>6194</v>
      </c>
      <c r="D1737" s="4" t="s">
        <v>6211</v>
      </c>
      <c r="E1737" s="4" t="s">
        <v>6207</v>
      </c>
      <c r="F1737" s="4"/>
    </row>
    <row r="1738" customFormat="false" ht="15" hidden="false" customHeight="true" outlineLevel="0" collapsed="false">
      <c r="A1738" s="4" t="s">
        <v>1914</v>
      </c>
      <c r="B1738" s="13" t="n">
        <v>45448</v>
      </c>
      <c r="C1738" s="4" t="s">
        <v>6215</v>
      </c>
      <c r="D1738" s="4" t="s">
        <v>6195</v>
      </c>
      <c r="E1738" s="4" t="s">
        <v>6203</v>
      </c>
      <c r="F1738" s="4" t="s">
        <v>6216</v>
      </c>
    </row>
    <row r="1739" customFormat="false" ht="15" hidden="false" customHeight="true" outlineLevel="0" collapsed="false">
      <c r="A1739" s="4" t="s">
        <v>1915</v>
      </c>
      <c r="B1739" s="13" t="n">
        <v>45445</v>
      </c>
      <c r="C1739" s="4" t="s">
        <v>6209</v>
      </c>
      <c r="D1739" s="4" t="s">
        <v>6205</v>
      </c>
      <c r="E1739" s="4" t="s">
        <v>6206</v>
      </c>
      <c r="F1739" s="4" t="s">
        <v>6212</v>
      </c>
    </row>
    <row r="1740" customFormat="false" ht="15" hidden="false" customHeight="true" outlineLevel="0" collapsed="false">
      <c r="A1740" s="4" t="s">
        <v>1916</v>
      </c>
      <c r="B1740" s="13" t="n">
        <v>45519</v>
      </c>
      <c r="C1740" s="4" t="s">
        <v>6215</v>
      </c>
      <c r="D1740" s="4" t="s">
        <v>6211</v>
      </c>
      <c r="E1740" s="4" t="s">
        <v>6202</v>
      </c>
      <c r="F1740" s="4" t="s">
        <v>6200</v>
      </c>
    </row>
    <row r="1741" customFormat="false" ht="15" hidden="false" customHeight="true" outlineLevel="0" collapsed="false">
      <c r="A1741" s="4" t="s">
        <v>1917</v>
      </c>
      <c r="B1741" s="13" t="n">
        <v>45474</v>
      </c>
      <c r="C1741" s="4" t="s">
        <v>6194</v>
      </c>
      <c r="D1741" s="4" t="s">
        <v>6208</v>
      </c>
      <c r="E1741" s="4" t="s">
        <v>6206</v>
      </c>
      <c r="F1741" s="4" t="s">
        <v>6216</v>
      </c>
    </row>
    <row r="1742" customFormat="false" ht="15" hidden="false" customHeight="true" outlineLevel="0" collapsed="false">
      <c r="A1742" s="4" t="s">
        <v>1918</v>
      </c>
      <c r="B1742" s="13" t="n">
        <v>45461</v>
      </c>
      <c r="C1742" s="4" t="s">
        <v>6213</v>
      </c>
      <c r="D1742" s="4" t="s">
        <v>6206</v>
      </c>
      <c r="E1742" s="4" t="s">
        <v>6203</v>
      </c>
      <c r="F1742" s="4"/>
    </row>
    <row r="1743" customFormat="false" ht="15" hidden="false" customHeight="true" outlineLevel="0" collapsed="false">
      <c r="A1743" s="4" t="s">
        <v>1919</v>
      </c>
      <c r="B1743" s="13" t="n">
        <v>45644</v>
      </c>
      <c r="C1743" s="4" t="s">
        <v>6215</v>
      </c>
      <c r="D1743" s="4" t="s">
        <v>6208</v>
      </c>
      <c r="E1743" s="4" t="s">
        <v>6196</v>
      </c>
      <c r="F1743" s="4"/>
    </row>
    <row r="1744" customFormat="false" ht="15" hidden="false" customHeight="true" outlineLevel="0" collapsed="false">
      <c r="A1744" s="4" t="s">
        <v>1920</v>
      </c>
      <c r="B1744" s="13" t="n">
        <v>45072</v>
      </c>
      <c r="C1744" s="4" t="s">
        <v>6213</v>
      </c>
      <c r="D1744" s="4" t="s">
        <v>6196</v>
      </c>
      <c r="E1744" s="4" t="s">
        <v>6196</v>
      </c>
      <c r="F1744" s="4" t="s">
        <v>6200</v>
      </c>
    </row>
    <row r="1745" customFormat="false" ht="15" hidden="false" customHeight="true" outlineLevel="0" collapsed="false">
      <c r="A1745" s="4" t="s">
        <v>1921</v>
      </c>
      <c r="B1745" s="13" t="n">
        <v>45532</v>
      </c>
      <c r="C1745" s="4" t="s">
        <v>6201</v>
      </c>
      <c r="D1745" s="4" t="s">
        <v>6196</v>
      </c>
      <c r="E1745" s="4" t="s">
        <v>6195</v>
      </c>
      <c r="F1745" s="4" t="s">
        <v>6212</v>
      </c>
    </row>
    <row r="1746" customFormat="false" ht="15" hidden="false" customHeight="true" outlineLevel="0" collapsed="false">
      <c r="A1746" s="4" t="s">
        <v>1922</v>
      </c>
      <c r="B1746" s="13" t="n">
        <v>44940</v>
      </c>
      <c r="C1746" s="4" t="s">
        <v>6210</v>
      </c>
      <c r="D1746" s="4" t="s">
        <v>6205</v>
      </c>
      <c r="E1746" s="4" t="s">
        <v>6196</v>
      </c>
      <c r="F1746" s="4"/>
    </row>
    <row r="1747" customFormat="false" ht="15" hidden="false" customHeight="true" outlineLevel="0" collapsed="false">
      <c r="A1747" s="4" t="s">
        <v>1923</v>
      </c>
      <c r="B1747" s="13" t="n">
        <v>45493</v>
      </c>
      <c r="C1747" s="4" t="s">
        <v>6194</v>
      </c>
      <c r="D1747" s="4" t="s">
        <v>6208</v>
      </c>
      <c r="E1747" s="4" t="s">
        <v>6205</v>
      </c>
      <c r="F1747" s="4"/>
    </row>
    <row r="1748" customFormat="false" ht="15" hidden="false" customHeight="true" outlineLevel="0" collapsed="false">
      <c r="A1748" s="4" t="s">
        <v>1924</v>
      </c>
      <c r="B1748" s="13" t="n">
        <v>45529</v>
      </c>
      <c r="C1748" s="4" t="s">
        <v>6210</v>
      </c>
      <c r="D1748" s="4" t="s">
        <v>6205</v>
      </c>
      <c r="E1748" s="4" t="s">
        <v>6202</v>
      </c>
      <c r="F1748" s="4" t="s">
        <v>6216</v>
      </c>
    </row>
    <row r="1749" customFormat="false" ht="15" hidden="false" customHeight="true" outlineLevel="0" collapsed="false">
      <c r="A1749" s="4" t="s">
        <v>1925</v>
      </c>
      <c r="B1749" s="13" t="n">
        <v>45388</v>
      </c>
      <c r="C1749" s="4" t="s">
        <v>6209</v>
      </c>
      <c r="D1749" s="4" t="s">
        <v>6203</v>
      </c>
      <c r="E1749" s="4" t="s">
        <v>6202</v>
      </c>
      <c r="F1749" s="4" t="s">
        <v>6216</v>
      </c>
    </row>
    <row r="1750" customFormat="false" ht="15" hidden="false" customHeight="true" outlineLevel="0" collapsed="false">
      <c r="A1750" s="4" t="s">
        <v>1926</v>
      </c>
      <c r="B1750" s="13" t="n">
        <v>45288</v>
      </c>
      <c r="C1750" s="4" t="s">
        <v>6210</v>
      </c>
      <c r="D1750" s="4" t="s">
        <v>6202</v>
      </c>
      <c r="E1750" s="4" t="s">
        <v>6208</v>
      </c>
      <c r="F1750" s="4"/>
    </row>
    <row r="1751" customFormat="false" ht="15" hidden="false" customHeight="true" outlineLevel="0" collapsed="false">
      <c r="A1751" s="4" t="s">
        <v>1927</v>
      </c>
      <c r="B1751" s="13" t="n">
        <v>45102</v>
      </c>
      <c r="C1751" s="4" t="s">
        <v>6201</v>
      </c>
      <c r="D1751" s="4" t="s">
        <v>6203</v>
      </c>
      <c r="E1751" s="4" t="s">
        <v>6202</v>
      </c>
      <c r="F1751" s="4" t="s">
        <v>6204</v>
      </c>
    </row>
    <row r="1752" customFormat="false" ht="15" hidden="false" customHeight="true" outlineLevel="0" collapsed="false">
      <c r="A1752" s="4" t="s">
        <v>1928</v>
      </c>
      <c r="B1752" s="13" t="n">
        <v>44945</v>
      </c>
      <c r="C1752" s="4" t="s">
        <v>6194</v>
      </c>
      <c r="D1752" s="4" t="s">
        <v>6205</v>
      </c>
      <c r="E1752" s="4" t="s">
        <v>6195</v>
      </c>
      <c r="F1752" s="4"/>
    </row>
    <row r="1753" customFormat="false" ht="15" hidden="false" customHeight="true" outlineLevel="0" collapsed="false">
      <c r="A1753" s="4" t="s">
        <v>1929</v>
      </c>
      <c r="B1753" s="13" t="n">
        <v>45605</v>
      </c>
      <c r="C1753" s="4" t="s">
        <v>6213</v>
      </c>
      <c r="D1753" s="4" t="s">
        <v>6205</v>
      </c>
      <c r="E1753" s="4" t="s">
        <v>6199</v>
      </c>
      <c r="F1753" s="4" t="s">
        <v>6200</v>
      </c>
    </row>
    <row r="1754" customFormat="false" ht="15" hidden="false" customHeight="true" outlineLevel="0" collapsed="false">
      <c r="A1754" s="4" t="s">
        <v>1930</v>
      </c>
      <c r="B1754" s="13" t="n">
        <v>45036</v>
      </c>
      <c r="C1754" s="4" t="s">
        <v>6213</v>
      </c>
      <c r="D1754" s="4" t="s">
        <v>6196</v>
      </c>
      <c r="E1754" s="4" t="s">
        <v>6211</v>
      </c>
      <c r="F1754" s="4" t="s">
        <v>6197</v>
      </c>
    </row>
    <row r="1755" customFormat="false" ht="15" hidden="false" customHeight="true" outlineLevel="0" collapsed="false">
      <c r="A1755" s="4" t="s">
        <v>1931</v>
      </c>
      <c r="B1755" s="13" t="n">
        <v>45593</v>
      </c>
      <c r="C1755" s="4" t="s">
        <v>6194</v>
      </c>
      <c r="D1755" s="4" t="s">
        <v>6196</v>
      </c>
      <c r="E1755" s="4" t="s">
        <v>6207</v>
      </c>
      <c r="F1755" s="4" t="s">
        <v>6216</v>
      </c>
    </row>
    <row r="1756" customFormat="false" ht="15" hidden="false" customHeight="true" outlineLevel="0" collapsed="false">
      <c r="A1756" s="4" t="s">
        <v>1932</v>
      </c>
      <c r="B1756" s="13" t="n">
        <v>45137</v>
      </c>
      <c r="C1756" s="4" t="s">
        <v>6194</v>
      </c>
      <c r="D1756" s="4" t="s">
        <v>6199</v>
      </c>
      <c r="E1756" s="4" t="s">
        <v>6207</v>
      </c>
      <c r="F1756" s="4" t="s">
        <v>6216</v>
      </c>
    </row>
    <row r="1757" customFormat="false" ht="15" hidden="false" customHeight="true" outlineLevel="0" collapsed="false">
      <c r="A1757" s="4" t="s">
        <v>1933</v>
      </c>
      <c r="B1757" s="13" t="n">
        <v>45323</v>
      </c>
      <c r="C1757" s="4" t="s">
        <v>6194</v>
      </c>
      <c r="D1757" s="4" t="s">
        <v>6202</v>
      </c>
      <c r="E1757" s="4" t="s">
        <v>6203</v>
      </c>
      <c r="F1757" s="4" t="s">
        <v>6197</v>
      </c>
    </row>
    <row r="1758" customFormat="false" ht="15" hidden="false" customHeight="true" outlineLevel="0" collapsed="false">
      <c r="A1758" s="4" t="s">
        <v>1934</v>
      </c>
      <c r="B1758" s="13" t="n">
        <v>44947</v>
      </c>
      <c r="C1758" s="4" t="s">
        <v>6210</v>
      </c>
      <c r="D1758" s="4" t="s">
        <v>6195</v>
      </c>
      <c r="E1758" s="4" t="s">
        <v>6203</v>
      </c>
      <c r="F1758" s="4" t="s">
        <v>6204</v>
      </c>
    </row>
    <row r="1759" customFormat="false" ht="15" hidden="false" customHeight="true" outlineLevel="0" collapsed="false">
      <c r="A1759" s="4" t="s">
        <v>1935</v>
      </c>
      <c r="B1759" s="13" t="n">
        <v>45659</v>
      </c>
      <c r="C1759" s="4" t="s">
        <v>6210</v>
      </c>
      <c r="D1759" s="4" t="s">
        <v>6205</v>
      </c>
      <c r="E1759" s="4" t="s">
        <v>6199</v>
      </c>
      <c r="F1759" s="4"/>
    </row>
    <row r="1760" customFormat="false" ht="15" hidden="false" customHeight="true" outlineLevel="0" collapsed="false">
      <c r="A1760" s="4" t="s">
        <v>1936</v>
      </c>
      <c r="B1760" s="13" t="n">
        <v>45572</v>
      </c>
      <c r="C1760" s="4" t="s">
        <v>6210</v>
      </c>
      <c r="D1760" s="4" t="s">
        <v>6202</v>
      </c>
      <c r="E1760" s="4" t="s">
        <v>6208</v>
      </c>
      <c r="F1760" s="4" t="s">
        <v>6214</v>
      </c>
    </row>
    <row r="1761" customFormat="false" ht="15" hidden="false" customHeight="true" outlineLevel="0" collapsed="false">
      <c r="A1761" s="4" t="s">
        <v>1937</v>
      </c>
      <c r="B1761" s="13" t="n">
        <v>45625</v>
      </c>
      <c r="C1761" s="4" t="s">
        <v>6215</v>
      </c>
      <c r="D1761" s="4" t="s">
        <v>6199</v>
      </c>
      <c r="E1761" s="4" t="s">
        <v>6211</v>
      </c>
      <c r="F1761" s="4" t="s">
        <v>6197</v>
      </c>
    </row>
    <row r="1762" customFormat="false" ht="15" hidden="false" customHeight="true" outlineLevel="0" collapsed="false">
      <c r="A1762" s="4" t="s">
        <v>1938</v>
      </c>
      <c r="B1762" s="13" t="n">
        <v>45115</v>
      </c>
      <c r="C1762" s="4" t="s">
        <v>6209</v>
      </c>
      <c r="D1762" s="4" t="s">
        <v>6211</v>
      </c>
      <c r="E1762" s="4" t="s">
        <v>6196</v>
      </c>
      <c r="F1762" s="4"/>
    </row>
    <row r="1763" customFormat="false" ht="15" hidden="false" customHeight="true" outlineLevel="0" collapsed="false">
      <c r="A1763" s="4" t="s">
        <v>1939</v>
      </c>
      <c r="B1763" s="13" t="n">
        <v>45631</v>
      </c>
      <c r="C1763" s="4" t="s">
        <v>6215</v>
      </c>
      <c r="D1763" s="4" t="s">
        <v>6207</v>
      </c>
      <c r="E1763" s="4" t="s">
        <v>6207</v>
      </c>
      <c r="F1763" s="4" t="s">
        <v>6216</v>
      </c>
    </row>
    <row r="1764" customFormat="false" ht="15" hidden="false" customHeight="true" outlineLevel="0" collapsed="false">
      <c r="A1764" s="4" t="s">
        <v>1940</v>
      </c>
      <c r="B1764" s="13" t="n">
        <v>45344</v>
      </c>
      <c r="C1764" s="4" t="s">
        <v>6210</v>
      </c>
      <c r="D1764" s="4" t="s">
        <v>6206</v>
      </c>
      <c r="E1764" s="4" t="s">
        <v>6208</v>
      </c>
      <c r="F1764" s="4" t="s">
        <v>6197</v>
      </c>
    </row>
    <row r="1765" customFormat="false" ht="15" hidden="false" customHeight="true" outlineLevel="0" collapsed="false">
      <c r="A1765" s="4" t="s">
        <v>1941</v>
      </c>
      <c r="B1765" s="13" t="n">
        <v>45476</v>
      </c>
      <c r="C1765" s="4" t="s">
        <v>6213</v>
      </c>
      <c r="D1765" s="4" t="s">
        <v>6195</v>
      </c>
      <c r="E1765" s="4" t="s">
        <v>6208</v>
      </c>
      <c r="F1765" s="4" t="s">
        <v>6200</v>
      </c>
    </row>
    <row r="1766" customFormat="false" ht="15" hidden="false" customHeight="true" outlineLevel="0" collapsed="false">
      <c r="A1766" s="4" t="s">
        <v>1942</v>
      </c>
      <c r="B1766" s="13" t="n">
        <v>44973</v>
      </c>
      <c r="C1766" s="4" t="s">
        <v>6215</v>
      </c>
      <c r="D1766" s="4" t="s">
        <v>6196</v>
      </c>
      <c r="E1766" s="4" t="s">
        <v>6205</v>
      </c>
      <c r="F1766" s="4" t="s">
        <v>6197</v>
      </c>
    </row>
    <row r="1767" customFormat="false" ht="15" hidden="false" customHeight="true" outlineLevel="0" collapsed="false">
      <c r="A1767" s="4" t="s">
        <v>1943</v>
      </c>
      <c r="B1767" s="13" t="n">
        <v>45507</v>
      </c>
      <c r="C1767" s="4" t="s">
        <v>6210</v>
      </c>
      <c r="D1767" s="4" t="s">
        <v>6203</v>
      </c>
      <c r="E1767" s="4" t="s">
        <v>6211</v>
      </c>
      <c r="F1767" s="4"/>
    </row>
    <row r="1768" customFormat="false" ht="15" hidden="false" customHeight="true" outlineLevel="0" collapsed="false">
      <c r="A1768" s="4" t="s">
        <v>1944</v>
      </c>
      <c r="B1768" s="13" t="n">
        <v>44939</v>
      </c>
      <c r="C1768" s="4" t="s">
        <v>6213</v>
      </c>
      <c r="D1768" s="4" t="s">
        <v>6211</v>
      </c>
      <c r="E1768" s="4" t="s">
        <v>6205</v>
      </c>
      <c r="F1768" s="4" t="s">
        <v>6204</v>
      </c>
    </row>
    <row r="1769" customFormat="false" ht="15" hidden="false" customHeight="true" outlineLevel="0" collapsed="false">
      <c r="A1769" s="4" t="s">
        <v>1945</v>
      </c>
      <c r="B1769" s="13" t="n">
        <v>45121</v>
      </c>
      <c r="C1769" s="4" t="s">
        <v>6213</v>
      </c>
      <c r="D1769" s="4" t="s">
        <v>6208</v>
      </c>
      <c r="E1769" s="4" t="s">
        <v>6199</v>
      </c>
      <c r="F1769" s="4" t="s">
        <v>6216</v>
      </c>
    </row>
    <row r="1770" customFormat="false" ht="15" hidden="false" customHeight="true" outlineLevel="0" collapsed="false">
      <c r="A1770" s="4" t="s">
        <v>1946</v>
      </c>
      <c r="B1770" s="13" t="n">
        <v>45067</v>
      </c>
      <c r="C1770" s="4" t="s">
        <v>6210</v>
      </c>
      <c r="D1770" s="4" t="s">
        <v>6211</v>
      </c>
      <c r="E1770" s="4" t="s">
        <v>6196</v>
      </c>
      <c r="F1770" s="4" t="s">
        <v>6200</v>
      </c>
    </row>
    <row r="1771" customFormat="false" ht="15" hidden="false" customHeight="true" outlineLevel="0" collapsed="false">
      <c r="A1771" s="4" t="s">
        <v>1947</v>
      </c>
      <c r="B1771" s="13" t="n">
        <v>45083</v>
      </c>
      <c r="C1771" s="4" t="s">
        <v>6201</v>
      </c>
      <c r="D1771" s="4" t="s">
        <v>6196</v>
      </c>
      <c r="E1771" s="4" t="s">
        <v>6205</v>
      </c>
      <c r="F1771" s="4"/>
    </row>
    <row r="1772" customFormat="false" ht="15" hidden="false" customHeight="true" outlineLevel="0" collapsed="false">
      <c r="A1772" s="4" t="s">
        <v>1948</v>
      </c>
      <c r="B1772" s="13" t="n">
        <v>45490</v>
      </c>
      <c r="C1772" s="4" t="s">
        <v>6215</v>
      </c>
      <c r="D1772" s="4" t="s">
        <v>6205</v>
      </c>
      <c r="E1772" s="4" t="s">
        <v>6206</v>
      </c>
      <c r="F1772" s="4" t="s">
        <v>6212</v>
      </c>
    </row>
    <row r="1773" customFormat="false" ht="15" hidden="false" customHeight="true" outlineLevel="0" collapsed="false">
      <c r="A1773" s="4" t="s">
        <v>1949</v>
      </c>
      <c r="B1773" s="13" t="n">
        <v>45201</v>
      </c>
      <c r="C1773" s="4" t="s">
        <v>6213</v>
      </c>
      <c r="D1773" s="4" t="s">
        <v>6203</v>
      </c>
      <c r="E1773" s="4" t="s">
        <v>6203</v>
      </c>
      <c r="F1773" s="4" t="s">
        <v>6197</v>
      </c>
    </row>
    <row r="1774" customFormat="false" ht="15" hidden="false" customHeight="true" outlineLevel="0" collapsed="false">
      <c r="A1774" s="4" t="s">
        <v>1950</v>
      </c>
      <c r="B1774" s="13" t="n">
        <v>44951</v>
      </c>
      <c r="C1774" s="4" t="s">
        <v>6198</v>
      </c>
      <c r="D1774" s="4" t="s">
        <v>6203</v>
      </c>
      <c r="E1774" s="4" t="s">
        <v>6206</v>
      </c>
      <c r="F1774" s="4" t="s">
        <v>6212</v>
      </c>
    </row>
    <row r="1775" customFormat="false" ht="15" hidden="false" customHeight="true" outlineLevel="0" collapsed="false">
      <c r="A1775" s="4" t="s">
        <v>1951</v>
      </c>
      <c r="B1775" s="13" t="n">
        <v>45059</v>
      </c>
      <c r="C1775" s="4" t="s">
        <v>6209</v>
      </c>
      <c r="D1775" s="4" t="s">
        <v>6202</v>
      </c>
      <c r="E1775" s="4" t="s">
        <v>6207</v>
      </c>
      <c r="F1775" s="4" t="s">
        <v>6200</v>
      </c>
    </row>
    <row r="1776" customFormat="false" ht="15" hidden="false" customHeight="true" outlineLevel="0" collapsed="false">
      <c r="A1776" s="4" t="s">
        <v>1952</v>
      </c>
      <c r="B1776" s="13" t="n">
        <v>45484</v>
      </c>
      <c r="C1776" s="4" t="s">
        <v>6215</v>
      </c>
      <c r="D1776" s="4" t="s">
        <v>6195</v>
      </c>
      <c r="E1776" s="4" t="s">
        <v>6199</v>
      </c>
      <c r="F1776" s="4" t="s">
        <v>6197</v>
      </c>
    </row>
    <row r="1777" customFormat="false" ht="15" hidden="false" customHeight="true" outlineLevel="0" collapsed="false">
      <c r="A1777" s="4" t="s">
        <v>1953</v>
      </c>
      <c r="B1777" s="13" t="n">
        <v>45020</v>
      </c>
      <c r="C1777" s="4" t="s">
        <v>6215</v>
      </c>
      <c r="D1777" s="4" t="s">
        <v>6211</v>
      </c>
      <c r="E1777" s="4" t="s">
        <v>6195</v>
      </c>
      <c r="F1777" s="4"/>
    </row>
    <row r="1778" customFormat="false" ht="15" hidden="false" customHeight="true" outlineLevel="0" collapsed="false">
      <c r="A1778" s="4" t="s">
        <v>1954</v>
      </c>
      <c r="B1778" s="13" t="n">
        <v>45114</v>
      </c>
      <c r="C1778" s="4" t="s">
        <v>6209</v>
      </c>
      <c r="D1778" s="4" t="s">
        <v>6207</v>
      </c>
      <c r="E1778" s="4" t="s">
        <v>6199</v>
      </c>
      <c r="F1778" s="4" t="s">
        <v>6216</v>
      </c>
    </row>
    <row r="1779" customFormat="false" ht="15" hidden="false" customHeight="true" outlineLevel="0" collapsed="false">
      <c r="A1779" s="4" t="s">
        <v>1955</v>
      </c>
      <c r="B1779" s="13" t="n">
        <v>45070</v>
      </c>
      <c r="C1779" s="4" t="s">
        <v>6210</v>
      </c>
      <c r="D1779" s="4" t="s">
        <v>6205</v>
      </c>
      <c r="E1779" s="4" t="s">
        <v>6205</v>
      </c>
      <c r="F1779" s="4" t="s">
        <v>6216</v>
      </c>
    </row>
    <row r="1780" customFormat="false" ht="15" hidden="false" customHeight="true" outlineLevel="0" collapsed="false">
      <c r="A1780" s="4" t="s">
        <v>1956</v>
      </c>
      <c r="B1780" s="13" t="n">
        <v>45560</v>
      </c>
      <c r="C1780" s="4" t="s">
        <v>6213</v>
      </c>
      <c r="D1780" s="4" t="s">
        <v>6203</v>
      </c>
      <c r="E1780" s="4" t="s">
        <v>6196</v>
      </c>
      <c r="F1780" s="4"/>
    </row>
    <row r="1781" customFormat="false" ht="15" hidden="false" customHeight="true" outlineLevel="0" collapsed="false">
      <c r="A1781" s="4" t="s">
        <v>1957</v>
      </c>
      <c r="B1781" s="13" t="n">
        <v>44969</v>
      </c>
      <c r="C1781" s="4" t="s">
        <v>6198</v>
      </c>
      <c r="D1781" s="4" t="s">
        <v>6195</v>
      </c>
      <c r="E1781" s="4" t="s">
        <v>6199</v>
      </c>
      <c r="F1781" s="4" t="s">
        <v>6204</v>
      </c>
    </row>
    <row r="1782" customFormat="false" ht="15" hidden="false" customHeight="true" outlineLevel="0" collapsed="false">
      <c r="A1782" s="4" t="s">
        <v>1958</v>
      </c>
      <c r="B1782" s="13" t="n">
        <v>44996</v>
      </c>
      <c r="C1782" s="4" t="s">
        <v>6210</v>
      </c>
      <c r="D1782" s="4" t="s">
        <v>6206</v>
      </c>
      <c r="E1782" s="4" t="s">
        <v>6208</v>
      </c>
      <c r="F1782" s="4" t="s">
        <v>6200</v>
      </c>
    </row>
    <row r="1783" customFormat="false" ht="15" hidden="false" customHeight="true" outlineLevel="0" collapsed="false">
      <c r="A1783" s="4" t="s">
        <v>1959</v>
      </c>
      <c r="B1783" s="13" t="n">
        <v>45370</v>
      </c>
      <c r="C1783" s="4" t="s">
        <v>6201</v>
      </c>
      <c r="D1783" s="4" t="s">
        <v>6195</v>
      </c>
      <c r="E1783" s="4" t="s">
        <v>6208</v>
      </c>
      <c r="F1783" s="4"/>
    </row>
    <row r="1784" customFormat="false" ht="15" hidden="false" customHeight="true" outlineLevel="0" collapsed="false">
      <c r="A1784" s="4" t="s">
        <v>1960</v>
      </c>
      <c r="B1784" s="13" t="n">
        <v>45253</v>
      </c>
      <c r="C1784" s="4" t="s">
        <v>6213</v>
      </c>
      <c r="D1784" s="4" t="s">
        <v>6205</v>
      </c>
      <c r="E1784" s="4" t="s">
        <v>6203</v>
      </c>
      <c r="F1784" s="4" t="s">
        <v>6197</v>
      </c>
    </row>
    <row r="1785" customFormat="false" ht="15" hidden="false" customHeight="true" outlineLevel="0" collapsed="false">
      <c r="A1785" s="4" t="s">
        <v>1961</v>
      </c>
      <c r="B1785" s="13" t="n">
        <v>45612</v>
      </c>
      <c r="C1785" s="4" t="s">
        <v>6213</v>
      </c>
      <c r="D1785" s="4" t="s">
        <v>6195</v>
      </c>
      <c r="E1785" s="4" t="s">
        <v>6208</v>
      </c>
      <c r="F1785" s="4" t="s">
        <v>6197</v>
      </c>
    </row>
    <row r="1786" customFormat="false" ht="15" hidden="false" customHeight="true" outlineLevel="0" collapsed="false">
      <c r="A1786" s="4" t="s">
        <v>1962</v>
      </c>
      <c r="B1786" s="13" t="n">
        <v>45078</v>
      </c>
      <c r="C1786" s="4" t="s">
        <v>6198</v>
      </c>
      <c r="D1786" s="4" t="s">
        <v>6207</v>
      </c>
      <c r="E1786" s="4" t="s">
        <v>6205</v>
      </c>
      <c r="F1786" s="4" t="s">
        <v>6204</v>
      </c>
    </row>
    <row r="1787" customFormat="false" ht="15" hidden="false" customHeight="true" outlineLevel="0" collapsed="false">
      <c r="A1787" s="4" t="s">
        <v>1963</v>
      </c>
      <c r="B1787" s="13" t="n">
        <v>45634</v>
      </c>
      <c r="C1787" s="4" t="s">
        <v>6213</v>
      </c>
      <c r="D1787" s="4" t="s">
        <v>6203</v>
      </c>
      <c r="E1787" s="4" t="s">
        <v>6208</v>
      </c>
      <c r="F1787" s="4" t="s">
        <v>6200</v>
      </c>
    </row>
    <row r="1788" customFormat="false" ht="15" hidden="false" customHeight="true" outlineLevel="0" collapsed="false">
      <c r="A1788" s="4" t="s">
        <v>1964</v>
      </c>
      <c r="B1788" s="13" t="n">
        <v>45635</v>
      </c>
      <c r="C1788" s="4" t="s">
        <v>6215</v>
      </c>
      <c r="D1788" s="4" t="s">
        <v>6205</v>
      </c>
      <c r="E1788" s="4" t="s">
        <v>6195</v>
      </c>
      <c r="F1788" s="4"/>
    </row>
    <row r="1789" customFormat="false" ht="15" hidden="false" customHeight="true" outlineLevel="0" collapsed="false">
      <c r="A1789" s="4" t="s">
        <v>1965</v>
      </c>
      <c r="B1789" s="13" t="n">
        <v>45197</v>
      </c>
      <c r="C1789" s="4" t="s">
        <v>6209</v>
      </c>
      <c r="D1789" s="4" t="s">
        <v>6202</v>
      </c>
      <c r="E1789" s="4" t="s">
        <v>6211</v>
      </c>
      <c r="F1789" s="4" t="s">
        <v>6200</v>
      </c>
    </row>
    <row r="1790" customFormat="false" ht="15" hidden="false" customHeight="true" outlineLevel="0" collapsed="false">
      <c r="A1790" s="4" t="s">
        <v>1966</v>
      </c>
      <c r="B1790" s="13" t="n">
        <v>44946</v>
      </c>
      <c r="C1790" s="4" t="s">
        <v>6210</v>
      </c>
      <c r="D1790" s="4" t="s">
        <v>6199</v>
      </c>
      <c r="E1790" s="4" t="s">
        <v>6195</v>
      </c>
      <c r="F1790" s="4"/>
    </row>
    <row r="1791" customFormat="false" ht="15" hidden="false" customHeight="true" outlineLevel="0" collapsed="false">
      <c r="A1791" s="4" t="s">
        <v>1967</v>
      </c>
      <c r="B1791" s="13" t="n">
        <v>45076</v>
      </c>
      <c r="C1791" s="4" t="s">
        <v>6194</v>
      </c>
      <c r="D1791" s="4" t="s">
        <v>6195</v>
      </c>
      <c r="E1791" s="4" t="s">
        <v>6206</v>
      </c>
      <c r="F1791" s="4" t="s">
        <v>6197</v>
      </c>
    </row>
    <row r="1792" customFormat="false" ht="15" hidden="false" customHeight="true" outlineLevel="0" collapsed="false">
      <c r="A1792" s="4" t="s">
        <v>1968</v>
      </c>
      <c r="B1792" s="13" t="n">
        <v>45326</v>
      </c>
      <c r="C1792" s="4" t="s">
        <v>6209</v>
      </c>
      <c r="D1792" s="4" t="s">
        <v>6195</v>
      </c>
      <c r="E1792" s="4" t="s">
        <v>6195</v>
      </c>
      <c r="F1792" s="4" t="s">
        <v>6214</v>
      </c>
    </row>
    <row r="1793" customFormat="false" ht="15" hidden="false" customHeight="true" outlineLevel="0" collapsed="false">
      <c r="A1793" s="4" t="s">
        <v>1969</v>
      </c>
      <c r="B1793" s="13" t="n">
        <v>45646</v>
      </c>
      <c r="C1793" s="4" t="s">
        <v>6215</v>
      </c>
      <c r="D1793" s="4" t="s">
        <v>6195</v>
      </c>
      <c r="E1793" s="4" t="s">
        <v>6202</v>
      </c>
      <c r="F1793" s="4" t="s">
        <v>6216</v>
      </c>
    </row>
    <row r="1794" customFormat="false" ht="15" hidden="false" customHeight="true" outlineLevel="0" collapsed="false">
      <c r="A1794" s="4" t="s">
        <v>1970</v>
      </c>
      <c r="B1794" s="13" t="n">
        <v>45358</v>
      </c>
      <c r="C1794" s="4" t="s">
        <v>6215</v>
      </c>
      <c r="D1794" s="4" t="s">
        <v>6205</v>
      </c>
      <c r="E1794" s="4" t="s">
        <v>6208</v>
      </c>
      <c r="F1794" s="4" t="s">
        <v>6212</v>
      </c>
    </row>
    <row r="1795" customFormat="false" ht="15" hidden="false" customHeight="true" outlineLevel="0" collapsed="false">
      <c r="A1795" s="4" t="s">
        <v>1971</v>
      </c>
      <c r="B1795" s="13" t="n">
        <v>45085</v>
      </c>
      <c r="C1795" s="4" t="s">
        <v>6194</v>
      </c>
      <c r="D1795" s="4" t="s">
        <v>6208</v>
      </c>
      <c r="E1795" s="4" t="s">
        <v>6203</v>
      </c>
      <c r="F1795" s="4"/>
    </row>
    <row r="1796" customFormat="false" ht="15" hidden="false" customHeight="true" outlineLevel="0" collapsed="false">
      <c r="A1796" s="4" t="s">
        <v>1972</v>
      </c>
      <c r="B1796" s="13" t="n">
        <v>45089</v>
      </c>
      <c r="C1796" s="4" t="s">
        <v>6201</v>
      </c>
      <c r="D1796" s="4" t="s">
        <v>6195</v>
      </c>
      <c r="E1796" s="4" t="s">
        <v>6206</v>
      </c>
      <c r="F1796" s="4" t="s">
        <v>6197</v>
      </c>
    </row>
    <row r="1797" customFormat="false" ht="15" hidden="false" customHeight="true" outlineLevel="0" collapsed="false">
      <c r="A1797" s="4" t="s">
        <v>1973</v>
      </c>
      <c r="B1797" s="13" t="n">
        <v>45401</v>
      </c>
      <c r="C1797" s="4" t="s">
        <v>6210</v>
      </c>
      <c r="D1797" s="4" t="s">
        <v>6202</v>
      </c>
      <c r="E1797" s="4" t="s">
        <v>6202</v>
      </c>
      <c r="F1797" s="4" t="s">
        <v>6204</v>
      </c>
    </row>
    <row r="1798" customFormat="false" ht="15" hidden="false" customHeight="true" outlineLevel="0" collapsed="false">
      <c r="A1798" s="4" t="s">
        <v>1974</v>
      </c>
      <c r="B1798" s="13" t="n">
        <v>45052</v>
      </c>
      <c r="C1798" s="4" t="s">
        <v>6194</v>
      </c>
      <c r="D1798" s="4" t="s">
        <v>6207</v>
      </c>
      <c r="E1798" s="4" t="s">
        <v>6205</v>
      </c>
      <c r="F1798" s="4"/>
    </row>
    <row r="1799" customFormat="false" ht="15" hidden="false" customHeight="true" outlineLevel="0" collapsed="false">
      <c r="A1799" s="4" t="s">
        <v>1975</v>
      </c>
      <c r="B1799" s="13" t="n">
        <v>45242</v>
      </c>
      <c r="C1799" s="4" t="s">
        <v>6213</v>
      </c>
      <c r="D1799" s="4" t="s">
        <v>6207</v>
      </c>
      <c r="E1799" s="4" t="s">
        <v>6196</v>
      </c>
      <c r="F1799" s="4" t="s">
        <v>6197</v>
      </c>
    </row>
    <row r="1800" customFormat="false" ht="15" hidden="false" customHeight="true" outlineLevel="0" collapsed="false">
      <c r="A1800" s="4" t="s">
        <v>1976</v>
      </c>
      <c r="B1800" s="13" t="n">
        <v>45268</v>
      </c>
      <c r="C1800" s="4" t="s">
        <v>6198</v>
      </c>
      <c r="D1800" s="4" t="s">
        <v>6202</v>
      </c>
      <c r="E1800" s="4" t="s">
        <v>6208</v>
      </c>
      <c r="F1800" s="4" t="s">
        <v>6214</v>
      </c>
    </row>
    <row r="1801" customFormat="false" ht="15" hidden="false" customHeight="true" outlineLevel="0" collapsed="false">
      <c r="A1801" s="4" t="s">
        <v>1977</v>
      </c>
      <c r="B1801" s="13" t="n">
        <v>45312</v>
      </c>
      <c r="C1801" s="4" t="s">
        <v>6213</v>
      </c>
      <c r="D1801" s="4" t="s">
        <v>6195</v>
      </c>
      <c r="E1801" s="4" t="s">
        <v>6195</v>
      </c>
      <c r="F1801" s="4" t="s">
        <v>6197</v>
      </c>
    </row>
    <row r="1802" customFormat="false" ht="15" hidden="false" customHeight="true" outlineLevel="0" collapsed="false">
      <c r="A1802" s="4" t="s">
        <v>1978</v>
      </c>
      <c r="B1802" s="13" t="n">
        <v>45302</v>
      </c>
      <c r="C1802" s="4" t="s">
        <v>6213</v>
      </c>
      <c r="D1802" s="4" t="s">
        <v>6206</v>
      </c>
      <c r="E1802" s="4" t="s">
        <v>6195</v>
      </c>
      <c r="F1802" s="4" t="s">
        <v>6216</v>
      </c>
    </row>
    <row r="1803" customFormat="false" ht="15" hidden="false" customHeight="true" outlineLevel="0" collapsed="false">
      <c r="A1803" s="4" t="s">
        <v>1979</v>
      </c>
      <c r="B1803" s="13" t="n">
        <v>45399</v>
      </c>
      <c r="C1803" s="4" t="s">
        <v>6194</v>
      </c>
      <c r="D1803" s="4" t="s">
        <v>6208</v>
      </c>
      <c r="E1803" s="4" t="s">
        <v>6211</v>
      </c>
      <c r="F1803" s="4"/>
    </row>
    <row r="1804" customFormat="false" ht="15" hidden="false" customHeight="true" outlineLevel="0" collapsed="false">
      <c r="A1804" s="4" t="s">
        <v>1980</v>
      </c>
      <c r="B1804" s="13" t="n">
        <v>45135</v>
      </c>
      <c r="C1804" s="4" t="s">
        <v>6201</v>
      </c>
      <c r="D1804" s="4" t="s">
        <v>6202</v>
      </c>
      <c r="E1804" s="4" t="s">
        <v>6211</v>
      </c>
      <c r="F1804" s="4"/>
    </row>
    <row r="1805" customFormat="false" ht="15" hidden="false" customHeight="true" outlineLevel="0" collapsed="false">
      <c r="A1805" s="4" t="s">
        <v>1981</v>
      </c>
      <c r="B1805" s="13" t="n">
        <v>45297</v>
      </c>
      <c r="C1805" s="4" t="s">
        <v>6209</v>
      </c>
      <c r="D1805" s="4" t="s">
        <v>6203</v>
      </c>
      <c r="E1805" s="4" t="s">
        <v>6211</v>
      </c>
      <c r="F1805" s="4" t="s">
        <v>6216</v>
      </c>
    </row>
    <row r="1806" customFormat="false" ht="15" hidden="false" customHeight="true" outlineLevel="0" collapsed="false">
      <c r="A1806" s="4" t="s">
        <v>1982</v>
      </c>
      <c r="B1806" s="13" t="n">
        <v>45051</v>
      </c>
      <c r="C1806" s="4" t="s">
        <v>6198</v>
      </c>
      <c r="D1806" s="4" t="s">
        <v>6211</v>
      </c>
      <c r="E1806" s="4" t="s">
        <v>6196</v>
      </c>
      <c r="F1806" s="4" t="s">
        <v>6200</v>
      </c>
    </row>
    <row r="1807" customFormat="false" ht="15" hidden="false" customHeight="true" outlineLevel="0" collapsed="false">
      <c r="A1807" s="4" t="s">
        <v>1983</v>
      </c>
      <c r="B1807" s="13" t="n">
        <v>45415</v>
      </c>
      <c r="C1807" s="4" t="s">
        <v>6198</v>
      </c>
      <c r="D1807" s="4" t="s">
        <v>6208</v>
      </c>
      <c r="E1807" s="4" t="s">
        <v>6207</v>
      </c>
      <c r="F1807" s="4" t="s">
        <v>6200</v>
      </c>
    </row>
    <row r="1808" customFormat="false" ht="15" hidden="false" customHeight="true" outlineLevel="0" collapsed="false">
      <c r="A1808" s="4" t="s">
        <v>1984</v>
      </c>
      <c r="B1808" s="13" t="n">
        <v>45038</v>
      </c>
      <c r="C1808" s="4" t="s">
        <v>6194</v>
      </c>
      <c r="D1808" s="4" t="s">
        <v>6205</v>
      </c>
      <c r="E1808" s="4" t="s">
        <v>6206</v>
      </c>
      <c r="F1808" s="4"/>
    </row>
    <row r="1809" customFormat="false" ht="15" hidden="false" customHeight="true" outlineLevel="0" collapsed="false">
      <c r="A1809" s="4" t="s">
        <v>1985</v>
      </c>
      <c r="B1809" s="13" t="n">
        <v>45481</v>
      </c>
      <c r="C1809" s="4" t="s">
        <v>6201</v>
      </c>
      <c r="D1809" s="4" t="s">
        <v>6206</v>
      </c>
      <c r="E1809" s="4" t="s">
        <v>6195</v>
      </c>
      <c r="F1809" s="4" t="s">
        <v>6216</v>
      </c>
    </row>
    <row r="1810" customFormat="false" ht="15" hidden="false" customHeight="true" outlineLevel="0" collapsed="false">
      <c r="A1810" s="4" t="s">
        <v>1986</v>
      </c>
      <c r="B1810" s="13" t="n">
        <v>45008</v>
      </c>
      <c r="C1810" s="4" t="s">
        <v>6215</v>
      </c>
      <c r="D1810" s="4" t="s">
        <v>6195</v>
      </c>
      <c r="E1810" s="4" t="s">
        <v>6203</v>
      </c>
      <c r="F1810" s="4"/>
    </row>
    <row r="1811" customFormat="false" ht="15" hidden="false" customHeight="true" outlineLevel="0" collapsed="false">
      <c r="A1811" s="4" t="s">
        <v>1987</v>
      </c>
      <c r="B1811" s="13" t="n">
        <v>45226</v>
      </c>
      <c r="C1811" s="4" t="s">
        <v>6198</v>
      </c>
      <c r="D1811" s="4" t="s">
        <v>6199</v>
      </c>
      <c r="E1811" s="4" t="s">
        <v>6195</v>
      </c>
      <c r="F1811" s="4" t="s">
        <v>6200</v>
      </c>
    </row>
    <row r="1812" customFormat="false" ht="15" hidden="false" customHeight="true" outlineLevel="0" collapsed="false">
      <c r="A1812" s="4" t="s">
        <v>1988</v>
      </c>
      <c r="B1812" s="13" t="n">
        <v>45414</v>
      </c>
      <c r="C1812" s="4" t="s">
        <v>6198</v>
      </c>
      <c r="D1812" s="4" t="s">
        <v>6202</v>
      </c>
      <c r="E1812" s="4" t="s">
        <v>6208</v>
      </c>
      <c r="F1812" s="4"/>
    </row>
    <row r="1813" customFormat="false" ht="15" hidden="false" customHeight="true" outlineLevel="0" collapsed="false">
      <c r="A1813" s="4" t="s">
        <v>1989</v>
      </c>
      <c r="B1813" s="13" t="n">
        <v>45178</v>
      </c>
      <c r="C1813" s="4" t="s">
        <v>6194</v>
      </c>
      <c r="D1813" s="4" t="s">
        <v>6199</v>
      </c>
      <c r="E1813" s="4" t="s">
        <v>6206</v>
      </c>
      <c r="F1813" s="4"/>
    </row>
    <row r="1814" customFormat="false" ht="15" hidden="false" customHeight="true" outlineLevel="0" collapsed="false">
      <c r="A1814" s="4" t="s">
        <v>1990</v>
      </c>
      <c r="B1814" s="13" t="n">
        <v>45108</v>
      </c>
      <c r="C1814" s="4" t="s">
        <v>6213</v>
      </c>
      <c r="D1814" s="4" t="s">
        <v>6208</v>
      </c>
      <c r="E1814" s="4" t="s">
        <v>6199</v>
      </c>
      <c r="F1814" s="4"/>
    </row>
    <row r="1815" customFormat="false" ht="15" hidden="false" customHeight="true" outlineLevel="0" collapsed="false">
      <c r="A1815" s="4" t="s">
        <v>1991</v>
      </c>
      <c r="B1815" s="13" t="n">
        <v>45246</v>
      </c>
      <c r="C1815" s="4" t="s">
        <v>6198</v>
      </c>
      <c r="D1815" s="4" t="s">
        <v>6208</v>
      </c>
      <c r="E1815" s="4" t="s">
        <v>6205</v>
      </c>
      <c r="F1815" s="4"/>
    </row>
    <row r="1816" customFormat="false" ht="15" hidden="false" customHeight="true" outlineLevel="0" collapsed="false">
      <c r="A1816" s="4" t="s">
        <v>1992</v>
      </c>
      <c r="B1816" s="13" t="n">
        <v>45573</v>
      </c>
      <c r="C1816" s="4" t="s">
        <v>6201</v>
      </c>
      <c r="D1816" s="4" t="s">
        <v>6202</v>
      </c>
      <c r="E1816" s="4" t="s">
        <v>6203</v>
      </c>
      <c r="F1816" s="4" t="s">
        <v>6197</v>
      </c>
    </row>
    <row r="1817" customFormat="false" ht="15" hidden="false" customHeight="true" outlineLevel="0" collapsed="false">
      <c r="A1817" s="4" t="s">
        <v>1993</v>
      </c>
      <c r="B1817" s="13" t="n">
        <v>45225</v>
      </c>
      <c r="C1817" s="4" t="s">
        <v>6215</v>
      </c>
      <c r="D1817" s="4" t="s">
        <v>6211</v>
      </c>
      <c r="E1817" s="4" t="s">
        <v>6207</v>
      </c>
      <c r="F1817" s="4"/>
    </row>
    <row r="1818" customFormat="false" ht="15" hidden="false" customHeight="true" outlineLevel="0" collapsed="false">
      <c r="A1818" s="4" t="s">
        <v>1994</v>
      </c>
      <c r="B1818" s="13" t="n">
        <v>45413</v>
      </c>
      <c r="C1818" s="4" t="s">
        <v>6194</v>
      </c>
      <c r="D1818" s="4" t="s">
        <v>6202</v>
      </c>
      <c r="E1818" s="4" t="s">
        <v>6208</v>
      </c>
      <c r="F1818" s="4" t="s">
        <v>6212</v>
      </c>
    </row>
    <row r="1819" customFormat="false" ht="15" hidden="false" customHeight="true" outlineLevel="0" collapsed="false">
      <c r="A1819" s="4" t="s">
        <v>1995</v>
      </c>
      <c r="B1819" s="13" t="n">
        <v>45515</v>
      </c>
      <c r="C1819" s="4" t="s">
        <v>6201</v>
      </c>
      <c r="D1819" s="4" t="s">
        <v>6208</v>
      </c>
      <c r="E1819" s="4" t="s">
        <v>6195</v>
      </c>
      <c r="F1819" s="4" t="s">
        <v>6200</v>
      </c>
    </row>
    <row r="1820" customFormat="false" ht="15" hidden="false" customHeight="true" outlineLevel="0" collapsed="false">
      <c r="A1820" s="4" t="s">
        <v>1996</v>
      </c>
      <c r="B1820" s="13" t="n">
        <v>45114</v>
      </c>
      <c r="C1820" s="4" t="s">
        <v>6213</v>
      </c>
      <c r="D1820" s="4" t="s">
        <v>6199</v>
      </c>
      <c r="E1820" s="4" t="s">
        <v>6196</v>
      </c>
      <c r="F1820" s="4" t="s">
        <v>6214</v>
      </c>
    </row>
    <row r="1821" customFormat="false" ht="15" hidden="false" customHeight="true" outlineLevel="0" collapsed="false">
      <c r="A1821" s="4" t="s">
        <v>1997</v>
      </c>
      <c r="B1821" s="13" t="n">
        <v>45147</v>
      </c>
      <c r="C1821" s="4" t="s">
        <v>6198</v>
      </c>
      <c r="D1821" s="4" t="s">
        <v>6199</v>
      </c>
      <c r="E1821" s="4" t="s">
        <v>6202</v>
      </c>
      <c r="F1821" s="4"/>
    </row>
    <row r="1822" customFormat="false" ht="15" hidden="false" customHeight="true" outlineLevel="0" collapsed="false">
      <c r="A1822" s="4" t="s">
        <v>1998</v>
      </c>
      <c r="B1822" s="13" t="n">
        <v>45022</v>
      </c>
      <c r="C1822" s="4" t="s">
        <v>6213</v>
      </c>
      <c r="D1822" s="4" t="s">
        <v>6195</v>
      </c>
      <c r="E1822" s="4" t="s">
        <v>6205</v>
      </c>
      <c r="F1822" s="4" t="s">
        <v>6216</v>
      </c>
    </row>
    <row r="1823" customFormat="false" ht="15" hidden="false" customHeight="true" outlineLevel="0" collapsed="false">
      <c r="A1823" s="4" t="s">
        <v>1999</v>
      </c>
      <c r="B1823" s="13" t="n">
        <v>45564</v>
      </c>
      <c r="C1823" s="4" t="s">
        <v>6209</v>
      </c>
      <c r="D1823" s="4" t="s">
        <v>6202</v>
      </c>
      <c r="E1823" s="4" t="s">
        <v>6205</v>
      </c>
      <c r="F1823" s="4" t="s">
        <v>6214</v>
      </c>
    </row>
    <row r="1824" customFormat="false" ht="15" hidden="false" customHeight="true" outlineLevel="0" collapsed="false">
      <c r="A1824" s="4" t="s">
        <v>2000</v>
      </c>
      <c r="B1824" s="13" t="n">
        <v>45320</v>
      </c>
      <c r="C1824" s="4" t="s">
        <v>6201</v>
      </c>
      <c r="D1824" s="4" t="s">
        <v>6211</v>
      </c>
      <c r="E1824" s="4" t="s">
        <v>6206</v>
      </c>
      <c r="F1824" s="4"/>
    </row>
    <row r="1825" customFormat="false" ht="15" hidden="false" customHeight="true" outlineLevel="0" collapsed="false">
      <c r="A1825" s="4" t="s">
        <v>2001</v>
      </c>
      <c r="B1825" s="13" t="n">
        <v>44988</v>
      </c>
      <c r="C1825" s="4" t="s">
        <v>6198</v>
      </c>
      <c r="D1825" s="4" t="s">
        <v>6205</v>
      </c>
      <c r="E1825" s="4" t="s">
        <v>6205</v>
      </c>
      <c r="F1825" s="4" t="s">
        <v>6212</v>
      </c>
    </row>
    <row r="1826" customFormat="false" ht="15" hidden="false" customHeight="true" outlineLevel="0" collapsed="false">
      <c r="A1826" s="4" t="s">
        <v>2002</v>
      </c>
      <c r="B1826" s="13" t="n">
        <v>45113</v>
      </c>
      <c r="C1826" s="4" t="s">
        <v>6215</v>
      </c>
      <c r="D1826" s="4" t="s">
        <v>6199</v>
      </c>
      <c r="E1826" s="4" t="s">
        <v>6208</v>
      </c>
      <c r="F1826" s="4"/>
    </row>
    <row r="1827" customFormat="false" ht="15" hidden="false" customHeight="true" outlineLevel="0" collapsed="false">
      <c r="A1827" s="4" t="s">
        <v>2003</v>
      </c>
      <c r="B1827" s="13" t="n">
        <v>45042</v>
      </c>
      <c r="C1827" s="4" t="s">
        <v>6194</v>
      </c>
      <c r="D1827" s="4" t="s">
        <v>6205</v>
      </c>
      <c r="E1827" s="4" t="s">
        <v>6207</v>
      </c>
      <c r="F1827" s="4" t="s">
        <v>6197</v>
      </c>
    </row>
    <row r="1828" customFormat="false" ht="15" hidden="false" customHeight="true" outlineLevel="0" collapsed="false">
      <c r="A1828" s="4" t="s">
        <v>2004</v>
      </c>
      <c r="B1828" s="13" t="n">
        <v>45631</v>
      </c>
      <c r="C1828" s="4" t="s">
        <v>6210</v>
      </c>
      <c r="D1828" s="4" t="s">
        <v>6205</v>
      </c>
      <c r="E1828" s="4" t="s">
        <v>6207</v>
      </c>
      <c r="F1828" s="4" t="s">
        <v>6200</v>
      </c>
    </row>
    <row r="1829" customFormat="false" ht="15" hidden="false" customHeight="true" outlineLevel="0" collapsed="false">
      <c r="A1829" s="4" t="s">
        <v>2005</v>
      </c>
      <c r="B1829" s="13" t="n">
        <v>45025</v>
      </c>
      <c r="C1829" s="4" t="s">
        <v>6198</v>
      </c>
      <c r="D1829" s="4" t="s">
        <v>6195</v>
      </c>
      <c r="E1829" s="4" t="s">
        <v>6206</v>
      </c>
      <c r="F1829" s="4" t="s">
        <v>6214</v>
      </c>
    </row>
    <row r="1830" customFormat="false" ht="15" hidden="false" customHeight="true" outlineLevel="0" collapsed="false">
      <c r="A1830" s="4" t="s">
        <v>2006</v>
      </c>
      <c r="B1830" s="13" t="n">
        <v>45206</v>
      </c>
      <c r="C1830" s="4" t="s">
        <v>6215</v>
      </c>
      <c r="D1830" s="4" t="s">
        <v>6211</v>
      </c>
      <c r="E1830" s="4" t="s">
        <v>6205</v>
      </c>
      <c r="F1830" s="4" t="s">
        <v>6197</v>
      </c>
    </row>
    <row r="1831" customFormat="false" ht="15" hidden="false" customHeight="true" outlineLevel="0" collapsed="false">
      <c r="A1831" s="4" t="s">
        <v>2007</v>
      </c>
      <c r="B1831" s="13" t="n">
        <v>45433</v>
      </c>
      <c r="C1831" s="4" t="s">
        <v>6198</v>
      </c>
      <c r="D1831" s="4" t="s">
        <v>6208</v>
      </c>
      <c r="E1831" s="4" t="s">
        <v>6196</v>
      </c>
      <c r="F1831" s="4" t="s">
        <v>6212</v>
      </c>
    </row>
    <row r="1832" customFormat="false" ht="15" hidden="false" customHeight="true" outlineLevel="0" collapsed="false">
      <c r="A1832" s="4" t="s">
        <v>2008</v>
      </c>
      <c r="B1832" s="13" t="n">
        <v>45004</v>
      </c>
      <c r="C1832" s="4" t="s">
        <v>6209</v>
      </c>
      <c r="D1832" s="4" t="s">
        <v>6208</v>
      </c>
      <c r="E1832" s="4" t="s">
        <v>6207</v>
      </c>
      <c r="F1832" s="4" t="s">
        <v>6212</v>
      </c>
    </row>
    <row r="1833" customFormat="false" ht="15" hidden="false" customHeight="true" outlineLevel="0" collapsed="false">
      <c r="A1833" s="4" t="s">
        <v>2009</v>
      </c>
      <c r="B1833" s="13" t="n">
        <v>44935</v>
      </c>
      <c r="C1833" s="4" t="s">
        <v>6210</v>
      </c>
      <c r="D1833" s="4" t="s">
        <v>6208</v>
      </c>
      <c r="E1833" s="4" t="s">
        <v>6199</v>
      </c>
      <c r="F1833" s="4" t="s">
        <v>6197</v>
      </c>
    </row>
    <row r="1834" customFormat="false" ht="15" hidden="false" customHeight="true" outlineLevel="0" collapsed="false">
      <c r="A1834" s="4" t="s">
        <v>2010</v>
      </c>
      <c r="B1834" s="13" t="n">
        <v>45612</v>
      </c>
      <c r="C1834" s="4" t="s">
        <v>6210</v>
      </c>
      <c r="D1834" s="4" t="s">
        <v>6205</v>
      </c>
      <c r="E1834" s="4" t="s">
        <v>6199</v>
      </c>
      <c r="F1834" s="4" t="s">
        <v>6212</v>
      </c>
    </row>
    <row r="1835" customFormat="false" ht="15" hidden="false" customHeight="true" outlineLevel="0" collapsed="false">
      <c r="A1835" s="4" t="s">
        <v>2011</v>
      </c>
      <c r="B1835" s="13" t="n">
        <v>45457</v>
      </c>
      <c r="C1835" s="4" t="s">
        <v>6210</v>
      </c>
      <c r="D1835" s="4" t="s">
        <v>6206</v>
      </c>
      <c r="E1835" s="4" t="s">
        <v>6207</v>
      </c>
      <c r="F1835" s="4" t="s">
        <v>6200</v>
      </c>
    </row>
    <row r="1836" customFormat="false" ht="15" hidden="false" customHeight="true" outlineLevel="0" collapsed="false">
      <c r="A1836" s="4" t="s">
        <v>2012</v>
      </c>
      <c r="B1836" s="13" t="n">
        <v>45470</v>
      </c>
      <c r="C1836" s="4" t="s">
        <v>6194</v>
      </c>
      <c r="D1836" s="4" t="s">
        <v>6206</v>
      </c>
      <c r="E1836" s="4" t="s">
        <v>6202</v>
      </c>
      <c r="F1836" s="4" t="s">
        <v>6212</v>
      </c>
    </row>
    <row r="1837" customFormat="false" ht="15" hidden="false" customHeight="true" outlineLevel="0" collapsed="false">
      <c r="A1837" s="4" t="s">
        <v>2013</v>
      </c>
      <c r="B1837" s="13" t="n">
        <v>45510</v>
      </c>
      <c r="C1837" s="4" t="s">
        <v>6210</v>
      </c>
      <c r="D1837" s="4" t="s">
        <v>6195</v>
      </c>
      <c r="E1837" s="4" t="s">
        <v>6206</v>
      </c>
      <c r="F1837" s="4"/>
    </row>
    <row r="1838" customFormat="false" ht="15" hidden="false" customHeight="true" outlineLevel="0" collapsed="false">
      <c r="A1838" s="4" t="s">
        <v>2014</v>
      </c>
      <c r="B1838" s="13" t="n">
        <v>45545</v>
      </c>
      <c r="C1838" s="4" t="s">
        <v>6194</v>
      </c>
      <c r="D1838" s="4" t="s">
        <v>6206</v>
      </c>
      <c r="E1838" s="4" t="s">
        <v>6211</v>
      </c>
      <c r="F1838" s="4" t="s">
        <v>6214</v>
      </c>
    </row>
    <row r="1839" customFormat="false" ht="15" hidden="false" customHeight="true" outlineLevel="0" collapsed="false">
      <c r="A1839" s="4" t="s">
        <v>2015</v>
      </c>
      <c r="B1839" s="13" t="n">
        <v>44961</v>
      </c>
      <c r="C1839" s="4" t="s">
        <v>6198</v>
      </c>
      <c r="D1839" s="4" t="s">
        <v>6196</v>
      </c>
      <c r="E1839" s="4" t="s">
        <v>6195</v>
      </c>
      <c r="F1839" s="4" t="s">
        <v>6200</v>
      </c>
    </row>
    <row r="1840" customFormat="false" ht="15" hidden="false" customHeight="true" outlineLevel="0" collapsed="false">
      <c r="A1840" s="4" t="s">
        <v>2016</v>
      </c>
      <c r="B1840" s="13" t="n">
        <v>44978</v>
      </c>
      <c r="C1840" s="4" t="s">
        <v>6210</v>
      </c>
      <c r="D1840" s="4" t="s">
        <v>6199</v>
      </c>
      <c r="E1840" s="4" t="s">
        <v>6203</v>
      </c>
      <c r="F1840" s="4"/>
    </row>
    <row r="1841" customFormat="false" ht="15" hidden="false" customHeight="true" outlineLevel="0" collapsed="false">
      <c r="A1841" s="4" t="s">
        <v>2017</v>
      </c>
      <c r="B1841" s="13" t="n">
        <v>45541</v>
      </c>
      <c r="C1841" s="4" t="s">
        <v>6194</v>
      </c>
      <c r="D1841" s="4" t="s">
        <v>6202</v>
      </c>
      <c r="E1841" s="4" t="s">
        <v>6208</v>
      </c>
      <c r="F1841" s="4" t="s">
        <v>6197</v>
      </c>
    </row>
    <row r="1842" customFormat="false" ht="15" hidden="false" customHeight="true" outlineLevel="0" collapsed="false">
      <c r="A1842" s="4" t="s">
        <v>2018</v>
      </c>
      <c r="B1842" s="13" t="n">
        <v>45127</v>
      </c>
      <c r="C1842" s="4" t="s">
        <v>6194</v>
      </c>
      <c r="D1842" s="4" t="s">
        <v>6207</v>
      </c>
      <c r="E1842" s="4" t="s">
        <v>6207</v>
      </c>
      <c r="F1842" s="4" t="s">
        <v>6216</v>
      </c>
    </row>
    <row r="1843" customFormat="false" ht="15" hidden="false" customHeight="true" outlineLevel="0" collapsed="false">
      <c r="A1843" s="4" t="s">
        <v>2019</v>
      </c>
      <c r="B1843" s="13" t="n">
        <v>45067</v>
      </c>
      <c r="C1843" s="4" t="s">
        <v>6194</v>
      </c>
      <c r="D1843" s="4" t="s">
        <v>6206</v>
      </c>
      <c r="E1843" s="4" t="s">
        <v>6203</v>
      </c>
      <c r="F1843" s="4" t="s">
        <v>6214</v>
      </c>
    </row>
    <row r="1844" customFormat="false" ht="15" hidden="false" customHeight="true" outlineLevel="0" collapsed="false">
      <c r="A1844" s="4" t="s">
        <v>2020</v>
      </c>
      <c r="B1844" s="13" t="n">
        <v>45397</v>
      </c>
      <c r="C1844" s="4" t="s">
        <v>6198</v>
      </c>
      <c r="D1844" s="4" t="s">
        <v>6195</v>
      </c>
      <c r="E1844" s="4" t="s">
        <v>6195</v>
      </c>
      <c r="F1844" s="4" t="s">
        <v>6212</v>
      </c>
    </row>
    <row r="1845" customFormat="false" ht="15" hidden="false" customHeight="true" outlineLevel="0" collapsed="false">
      <c r="A1845" s="4" t="s">
        <v>2021</v>
      </c>
      <c r="B1845" s="13" t="n">
        <v>45271</v>
      </c>
      <c r="C1845" s="4" t="s">
        <v>6201</v>
      </c>
      <c r="D1845" s="4" t="s">
        <v>6206</v>
      </c>
      <c r="E1845" s="4" t="s">
        <v>6208</v>
      </c>
      <c r="F1845" s="4" t="s">
        <v>6204</v>
      </c>
    </row>
    <row r="1846" customFormat="false" ht="15" hidden="false" customHeight="true" outlineLevel="0" collapsed="false">
      <c r="A1846" s="4" t="s">
        <v>2022</v>
      </c>
      <c r="B1846" s="13" t="n">
        <v>45441</v>
      </c>
      <c r="C1846" s="4" t="s">
        <v>6201</v>
      </c>
      <c r="D1846" s="4" t="s">
        <v>6196</v>
      </c>
      <c r="E1846" s="4" t="s">
        <v>6208</v>
      </c>
      <c r="F1846" s="4"/>
    </row>
    <row r="1847" customFormat="false" ht="15" hidden="false" customHeight="true" outlineLevel="0" collapsed="false">
      <c r="A1847" s="4" t="s">
        <v>2023</v>
      </c>
      <c r="B1847" s="13" t="n">
        <v>45466</v>
      </c>
      <c r="C1847" s="4" t="s">
        <v>6194</v>
      </c>
      <c r="D1847" s="4" t="s">
        <v>6195</v>
      </c>
      <c r="E1847" s="4" t="s">
        <v>6196</v>
      </c>
      <c r="F1847" s="4"/>
    </row>
    <row r="1848" customFormat="false" ht="15" hidden="false" customHeight="true" outlineLevel="0" collapsed="false">
      <c r="A1848" s="4" t="s">
        <v>2024</v>
      </c>
      <c r="B1848" s="13" t="n">
        <v>44993</v>
      </c>
      <c r="C1848" s="4" t="s">
        <v>6210</v>
      </c>
      <c r="D1848" s="4" t="s">
        <v>6208</v>
      </c>
      <c r="E1848" s="4" t="s">
        <v>6196</v>
      </c>
      <c r="F1848" s="4" t="s">
        <v>6200</v>
      </c>
    </row>
    <row r="1849" customFormat="false" ht="15" hidden="false" customHeight="true" outlineLevel="0" collapsed="false">
      <c r="A1849" s="4" t="s">
        <v>2025</v>
      </c>
      <c r="B1849" s="13" t="n">
        <v>45560</v>
      </c>
      <c r="C1849" s="4" t="s">
        <v>6209</v>
      </c>
      <c r="D1849" s="4" t="s">
        <v>6195</v>
      </c>
      <c r="E1849" s="4" t="s">
        <v>6195</v>
      </c>
      <c r="F1849" s="4"/>
    </row>
    <row r="1850" customFormat="false" ht="15" hidden="false" customHeight="true" outlineLevel="0" collapsed="false">
      <c r="A1850" s="4" t="s">
        <v>2026</v>
      </c>
      <c r="B1850" s="13" t="n">
        <v>44963</v>
      </c>
      <c r="C1850" s="4" t="s">
        <v>6210</v>
      </c>
      <c r="D1850" s="4" t="s">
        <v>6195</v>
      </c>
      <c r="E1850" s="4" t="s">
        <v>6199</v>
      </c>
      <c r="F1850" s="4"/>
    </row>
    <row r="1851" customFormat="false" ht="15" hidden="false" customHeight="true" outlineLevel="0" collapsed="false">
      <c r="A1851" s="4" t="s">
        <v>2027</v>
      </c>
      <c r="B1851" s="13" t="n">
        <v>45349</v>
      </c>
      <c r="C1851" s="4" t="s">
        <v>6209</v>
      </c>
      <c r="D1851" s="4" t="s">
        <v>6208</v>
      </c>
      <c r="E1851" s="4" t="s">
        <v>6211</v>
      </c>
      <c r="F1851" s="4" t="s">
        <v>6197</v>
      </c>
    </row>
    <row r="1852" customFormat="false" ht="15" hidden="false" customHeight="true" outlineLevel="0" collapsed="false">
      <c r="A1852" s="4" t="s">
        <v>2028</v>
      </c>
      <c r="B1852" s="13" t="n">
        <v>45377</v>
      </c>
      <c r="C1852" s="4" t="s">
        <v>6210</v>
      </c>
      <c r="D1852" s="4" t="s">
        <v>6203</v>
      </c>
      <c r="E1852" s="4" t="s">
        <v>6202</v>
      </c>
      <c r="F1852" s="4" t="s">
        <v>6216</v>
      </c>
    </row>
    <row r="1853" customFormat="false" ht="15" hidden="false" customHeight="true" outlineLevel="0" collapsed="false">
      <c r="A1853" s="4" t="s">
        <v>2029</v>
      </c>
      <c r="B1853" s="13" t="n">
        <v>45253</v>
      </c>
      <c r="C1853" s="4" t="s">
        <v>6215</v>
      </c>
      <c r="D1853" s="4" t="s">
        <v>6202</v>
      </c>
      <c r="E1853" s="4" t="s">
        <v>6196</v>
      </c>
      <c r="F1853" s="4" t="s">
        <v>6204</v>
      </c>
    </row>
    <row r="1854" customFormat="false" ht="15" hidden="false" customHeight="true" outlineLevel="0" collapsed="false">
      <c r="A1854" s="4" t="s">
        <v>2030</v>
      </c>
      <c r="B1854" s="13" t="n">
        <v>45415</v>
      </c>
      <c r="C1854" s="4" t="s">
        <v>6198</v>
      </c>
      <c r="D1854" s="4" t="s">
        <v>6199</v>
      </c>
      <c r="E1854" s="4" t="s">
        <v>6207</v>
      </c>
      <c r="F1854" s="4" t="s">
        <v>6216</v>
      </c>
    </row>
    <row r="1855" customFormat="false" ht="15" hidden="false" customHeight="true" outlineLevel="0" collapsed="false">
      <c r="A1855" s="4" t="s">
        <v>2031</v>
      </c>
      <c r="B1855" s="13" t="n">
        <v>45122</v>
      </c>
      <c r="C1855" s="4" t="s">
        <v>6213</v>
      </c>
      <c r="D1855" s="4" t="s">
        <v>6206</v>
      </c>
      <c r="E1855" s="4" t="s">
        <v>6196</v>
      </c>
      <c r="F1855" s="4" t="s">
        <v>6216</v>
      </c>
    </row>
    <row r="1856" customFormat="false" ht="15" hidden="false" customHeight="true" outlineLevel="0" collapsed="false">
      <c r="A1856" s="4" t="s">
        <v>2032</v>
      </c>
      <c r="B1856" s="13" t="n">
        <v>45237</v>
      </c>
      <c r="C1856" s="4" t="s">
        <v>6213</v>
      </c>
      <c r="D1856" s="4" t="s">
        <v>6207</v>
      </c>
      <c r="E1856" s="4" t="s">
        <v>6203</v>
      </c>
      <c r="F1856" s="4" t="s">
        <v>6197</v>
      </c>
    </row>
    <row r="1857" customFormat="false" ht="15" hidden="false" customHeight="true" outlineLevel="0" collapsed="false">
      <c r="A1857" s="4" t="s">
        <v>2033</v>
      </c>
      <c r="B1857" s="13" t="n">
        <v>44935</v>
      </c>
      <c r="C1857" s="4" t="s">
        <v>6215</v>
      </c>
      <c r="D1857" s="4" t="s">
        <v>6195</v>
      </c>
      <c r="E1857" s="4" t="s">
        <v>6211</v>
      </c>
      <c r="F1857" s="4"/>
    </row>
    <row r="1858" customFormat="false" ht="15" hidden="false" customHeight="true" outlineLevel="0" collapsed="false">
      <c r="A1858" s="4" t="s">
        <v>2034</v>
      </c>
      <c r="B1858" s="13" t="n">
        <v>45036</v>
      </c>
      <c r="C1858" s="4" t="s">
        <v>6210</v>
      </c>
      <c r="D1858" s="4" t="s">
        <v>6203</v>
      </c>
      <c r="E1858" s="4" t="s">
        <v>6211</v>
      </c>
      <c r="F1858" s="4" t="s">
        <v>6200</v>
      </c>
    </row>
    <row r="1859" customFormat="false" ht="15" hidden="false" customHeight="true" outlineLevel="0" collapsed="false">
      <c r="A1859" s="4" t="s">
        <v>2035</v>
      </c>
      <c r="B1859" s="13" t="n">
        <v>45527</v>
      </c>
      <c r="C1859" s="4" t="s">
        <v>6213</v>
      </c>
      <c r="D1859" s="4" t="s">
        <v>6199</v>
      </c>
      <c r="E1859" s="4" t="s">
        <v>6211</v>
      </c>
      <c r="F1859" s="4"/>
    </row>
    <row r="1860" customFormat="false" ht="15" hidden="false" customHeight="true" outlineLevel="0" collapsed="false">
      <c r="A1860" s="4" t="s">
        <v>2036</v>
      </c>
      <c r="B1860" s="13" t="n">
        <v>44981</v>
      </c>
      <c r="C1860" s="4" t="s">
        <v>6213</v>
      </c>
      <c r="D1860" s="4" t="s">
        <v>6205</v>
      </c>
      <c r="E1860" s="4" t="s">
        <v>6202</v>
      </c>
      <c r="F1860" s="4"/>
    </row>
    <row r="1861" customFormat="false" ht="15" hidden="false" customHeight="true" outlineLevel="0" collapsed="false">
      <c r="A1861" s="4" t="s">
        <v>2037</v>
      </c>
      <c r="B1861" s="13" t="n">
        <v>44946</v>
      </c>
      <c r="C1861" s="4" t="s">
        <v>6201</v>
      </c>
      <c r="D1861" s="4" t="s">
        <v>6195</v>
      </c>
      <c r="E1861" s="4" t="s">
        <v>6196</v>
      </c>
      <c r="F1861" s="4" t="s">
        <v>6212</v>
      </c>
    </row>
    <row r="1862" customFormat="false" ht="15" hidden="false" customHeight="true" outlineLevel="0" collapsed="false">
      <c r="A1862" s="4" t="s">
        <v>2038</v>
      </c>
      <c r="B1862" s="13" t="n">
        <v>45236</v>
      </c>
      <c r="C1862" s="4" t="s">
        <v>6210</v>
      </c>
      <c r="D1862" s="4" t="s">
        <v>6199</v>
      </c>
      <c r="E1862" s="4" t="s">
        <v>6195</v>
      </c>
      <c r="F1862" s="4" t="s">
        <v>6212</v>
      </c>
    </row>
    <row r="1863" customFormat="false" ht="15" hidden="false" customHeight="true" outlineLevel="0" collapsed="false">
      <c r="A1863" s="4" t="s">
        <v>2039</v>
      </c>
      <c r="B1863" s="13" t="n">
        <v>45205</v>
      </c>
      <c r="C1863" s="4" t="s">
        <v>6209</v>
      </c>
      <c r="D1863" s="4" t="s">
        <v>6208</v>
      </c>
      <c r="E1863" s="4" t="s">
        <v>6196</v>
      </c>
      <c r="F1863" s="4" t="s">
        <v>6204</v>
      </c>
    </row>
    <row r="1864" customFormat="false" ht="15" hidden="false" customHeight="true" outlineLevel="0" collapsed="false">
      <c r="A1864" s="4" t="s">
        <v>2040</v>
      </c>
      <c r="B1864" s="13" t="n">
        <v>45603</v>
      </c>
      <c r="C1864" s="4" t="s">
        <v>6198</v>
      </c>
      <c r="D1864" s="4" t="s">
        <v>6207</v>
      </c>
      <c r="E1864" s="4" t="s">
        <v>6199</v>
      </c>
      <c r="F1864" s="4" t="s">
        <v>6197</v>
      </c>
    </row>
    <row r="1865" customFormat="false" ht="15" hidden="false" customHeight="true" outlineLevel="0" collapsed="false">
      <c r="A1865" s="4" t="s">
        <v>2041</v>
      </c>
      <c r="B1865" s="13" t="n">
        <v>45587</v>
      </c>
      <c r="C1865" s="4" t="s">
        <v>6201</v>
      </c>
      <c r="D1865" s="4" t="s">
        <v>6211</v>
      </c>
      <c r="E1865" s="4" t="s">
        <v>6208</v>
      </c>
      <c r="F1865" s="4"/>
    </row>
    <row r="1866" customFormat="false" ht="15" hidden="false" customHeight="true" outlineLevel="0" collapsed="false">
      <c r="A1866" s="4" t="s">
        <v>2042</v>
      </c>
      <c r="B1866" s="13" t="n">
        <v>45434</v>
      </c>
      <c r="C1866" s="4" t="s">
        <v>6213</v>
      </c>
      <c r="D1866" s="4" t="s">
        <v>6205</v>
      </c>
      <c r="E1866" s="4" t="s">
        <v>6206</v>
      </c>
      <c r="F1866" s="4"/>
    </row>
    <row r="1867" customFormat="false" ht="15" hidden="false" customHeight="true" outlineLevel="0" collapsed="false">
      <c r="A1867" s="4" t="s">
        <v>2043</v>
      </c>
      <c r="B1867" s="13" t="n">
        <v>45240</v>
      </c>
      <c r="C1867" s="4" t="s">
        <v>6215</v>
      </c>
      <c r="D1867" s="4" t="s">
        <v>6205</v>
      </c>
      <c r="E1867" s="4" t="s">
        <v>6205</v>
      </c>
      <c r="F1867" s="4"/>
    </row>
    <row r="1868" customFormat="false" ht="15" hidden="false" customHeight="true" outlineLevel="0" collapsed="false">
      <c r="A1868" s="4" t="s">
        <v>2044</v>
      </c>
      <c r="B1868" s="13" t="n">
        <v>45291</v>
      </c>
      <c r="C1868" s="4" t="s">
        <v>6213</v>
      </c>
      <c r="D1868" s="4" t="s">
        <v>6196</v>
      </c>
      <c r="E1868" s="4" t="s">
        <v>6206</v>
      </c>
      <c r="F1868" s="4" t="s">
        <v>6214</v>
      </c>
    </row>
    <row r="1869" customFormat="false" ht="15" hidden="false" customHeight="true" outlineLevel="0" collapsed="false">
      <c r="A1869" s="4" t="s">
        <v>2045</v>
      </c>
      <c r="B1869" s="13" t="n">
        <v>45129</v>
      </c>
      <c r="C1869" s="4" t="s">
        <v>6194</v>
      </c>
      <c r="D1869" s="4" t="s">
        <v>6208</v>
      </c>
      <c r="E1869" s="4" t="s">
        <v>6205</v>
      </c>
      <c r="F1869" s="4"/>
    </row>
    <row r="1870" customFormat="false" ht="15" hidden="false" customHeight="true" outlineLevel="0" collapsed="false">
      <c r="A1870" s="4" t="s">
        <v>2046</v>
      </c>
      <c r="B1870" s="13" t="n">
        <v>45106</v>
      </c>
      <c r="C1870" s="4" t="s">
        <v>6215</v>
      </c>
      <c r="D1870" s="4" t="s">
        <v>6208</v>
      </c>
      <c r="E1870" s="4" t="s">
        <v>6196</v>
      </c>
      <c r="F1870" s="4" t="s">
        <v>6197</v>
      </c>
    </row>
    <row r="1871" customFormat="false" ht="15" hidden="false" customHeight="true" outlineLevel="0" collapsed="false">
      <c r="A1871" s="4" t="s">
        <v>2047</v>
      </c>
      <c r="B1871" s="13" t="n">
        <v>44939</v>
      </c>
      <c r="C1871" s="4" t="s">
        <v>6194</v>
      </c>
      <c r="D1871" s="4" t="s">
        <v>6208</v>
      </c>
      <c r="E1871" s="4" t="s">
        <v>6202</v>
      </c>
      <c r="F1871" s="4"/>
    </row>
    <row r="1872" customFormat="false" ht="15" hidden="false" customHeight="true" outlineLevel="0" collapsed="false">
      <c r="A1872" s="4" t="s">
        <v>2048</v>
      </c>
      <c r="B1872" s="13" t="n">
        <v>45379</v>
      </c>
      <c r="C1872" s="4" t="s">
        <v>6209</v>
      </c>
      <c r="D1872" s="4" t="s">
        <v>6202</v>
      </c>
      <c r="E1872" s="4" t="s">
        <v>6196</v>
      </c>
      <c r="F1872" s="4" t="s">
        <v>6214</v>
      </c>
    </row>
    <row r="1873" customFormat="false" ht="15" hidden="false" customHeight="true" outlineLevel="0" collapsed="false">
      <c r="A1873" s="4" t="s">
        <v>2049</v>
      </c>
      <c r="B1873" s="13" t="n">
        <v>45017</v>
      </c>
      <c r="C1873" s="4" t="s">
        <v>6210</v>
      </c>
      <c r="D1873" s="4" t="s">
        <v>6207</v>
      </c>
      <c r="E1873" s="4" t="s">
        <v>6199</v>
      </c>
      <c r="F1873" s="4"/>
    </row>
    <row r="1874" customFormat="false" ht="15" hidden="false" customHeight="true" outlineLevel="0" collapsed="false">
      <c r="A1874" s="4" t="s">
        <v>2050</v>
      </c>
      <c r="B1874" s="13" t="n">
        <v>45656</v>
      </c>
      <c r="C1874" s="4" t="s">
        <v>6201</v>
      </c>
      <c r="D1874" s="4" t="s">
        <v>6202</v>
      </c>
      <c r="E1874" s="4" t="s">
        <v>6211</v>
      </c>
      <c r="F1874" s="4"/>
    </row>
    <row r="1875" customFormat="false" ht="15" hidden="false" customHeight="true" outlineLevel="0" collapsed="false">
      <c r="A1875" s="4" t="s">
        <v>2051</v>
      </c>
      <c r="B1875" s="13" t="n">
        <v>44994</v>
      </c>
      <c r="C1875" s="4" t="s">
        <v>6198</v>
      </c>
      <c r="D1875" s="4" t="s">
        <v>6208</v>
      </c>
      <c r="E1875" s="4" t="s">
        <v>6208</v>
      </c>
      <c r="F1875" s="4" t="s">
        <v>6216</v>
      </c>
    </row>
    <row r="1876" customFormat="false" ht="15" hidden="false" customHeight="true" outlineLevel="0" collapsed="false">
      <c r="A1876" s="4" t="s">
        <v>2052</v>
      </c>
      <c r="B1876" s="13" t="n">
        <v>45016</v>
      </c>
      <c r="C1876" s="4" t="s">
        <v>6209</v>
      </c>
      <c r="D1876" s="4" t="s">
        <v>6196</v>
      </c>
      <c r="E1876" s="4" t="s">
        <v>6205</v>
      </c>
      <c r="F1876" s="4" t="s">
        <v>6204</v>
      </c>
    </row>
    <row r="1877" customFormat="false" ht="15" hidden="false" customHeight="true" outlineLevel="0" collapsed="false">
      <c r="A1877" s="4" t="s">
        <v>2053</v>
      </c>
      <c r="B1877" s="13" t="n">
        <v>45455</v>
      </c>
      <c r="C1877" s="4" t="s">
        <v>6215</v>
      </c>
      <c r="D1877" s="4" t="s">
        <v>6207</v>
      </c>
      <c r="E1877" s="4" t="s">
        <v>6203</v>
      </c>
      <c r="F1877" s="4" t="s">
        <v>6204</v>
      </c>
    </row>
    <row r="1878" customFormat="false" ht="15" hidden="false" customHeight="true" outlineLevel="0" collapsed="false">
      <c r="A1878" s="4" t="s">
        <v>2054</v>
      </c>
      <c r="B1878" s="13" t="n">
        <v>45056</v>
      </c>
      <c r="C1878" s="4" t="s">
        <v>6194</v>
      </c>
      <c r="D1878" s="4" t="s">
        <v>6205</v>
      </c>
      <c r="E1878" s="4" t="s">
        <v>6211</v>
      </c>
      <c r="F1878" s="4" t="s">
        <v>6197</v>
      </c>
    </row>
    <row r="1879" customFormat="false" ht="15" hidden="false" customHeight="true" outlineLevel="0" collapsed="false">
      <c r="A1879" s="4" t="s">
        <v>2055</v>
      </c>
      <c r="B1879" s="13" t="n">
        <v>45492</v>
      </c>
      <c r="C1879" s="4" t="s">
        <v>6215</v>
      </c>
      <c r="D1879" s="4" t="s">
        <v>6205</v>
      </c>
      <c r="E1879" s="4" t="s">
        <v>6211</v>
      </c>
      <c r="F1879" s="4" t="s">
        <v>6212</v>
      </c>
    </row>
    <row r="1880" customFormat="false" ht="15" hidden="false" customHeight="true" outlineLevel="0" collapsed="false">
      <c r="A1880" s="4" t="s">
        <v>2056</v>
      </c>
      <c r="B1880" s="13" t="n">
        <v>45416</v>
      </c>
      <c r="C1880" s="4" t="s">
        <v>6198</v>
      </c>
      <c r="D1880" s="4" t="s">
        <v>6202</v>
      </c>
      <c r="E1880" s="4" t="s">
        <v>6211</v>
      </c>
      <c r="F1880" s="4" t="s">
        <v>6197</v>
      </c>
    </row>
    <row r="1881" customFormat="false" ht="15" hidden="false" customHeight="true" outlineLevel="0" collapsed="false">
      <c r="A1881" s="4" t="s">
        <v>2057</v>
      </c>
      <c r="B1881" s="13" t="n">
        <v>45592</v>
      </c>
      <c r="C1881" s="4" t="s">
        <v>6201</v>
      </c>
      <c r="D1881" s="4" t="s">
        <v>6208</v>
      </c>
      <c r="E1881" s="4" t="s">
        <v>6195</v>
      </c>
      <c r="F1881" s="4" t="s">
        <v>6214</v>
      </c>
    </row>
    <row r="1882" customFormat="false" ht="15" hidden="false" customHeight="true" outlineLevel="0" collapsed="false">
      <c r="A1882" s="4" t="s">
        <v>2058</v>
      </c>
      <c r="B1882" s="13" t="n">
        <v>45383</v>
      </c>
      <c r="C1882" s="4" t="s">
        <v>6194</v>
      </c>
      <c r="D1882" s="4" t="s">
        <v>6208</v>
      </c>
      <c r="E1882" s="4" t="s">
        <v>6195</v>
      </c>
      <c r="F1882" s="4"/>
    </row>
    <row r="1883" customFormat="false" ht="15" hidden="false" customHeight="true" outlineLevel="0" collapsed="false">
      <c r="A1883" s="4" t="s">
        <v>2059</v>
      </c>
      <c r="B1883" s="13" t="n">
        <v>45049</v>
      </c>
      <c r="C1883" s="4" t="s">
        <v>6209</v>
      </c>
      <c r="D1883" s="4" t="s">
        <v>6203</v>
      </c>
      <c r="E1883" s="4" t="s">
        <v>6205</v>
      </c>
      <c r="F1883" s="4" t="s">
        <v>6197</v>
      </c>
    </row>
    <row r="1884" customFormat="false" ht="15" hidden="false" customHeight="true" outlineLevel="0" collapsed="false">
      <c r="A1884" s="4" t="s">
        <v>2060</v>
      </c>
      <c r="B1884" s="13" t="n">
        <v>45515</v>
      </c>
      <c r="C1884" s="4" t="s">
        <v>6215</v>
      </c>
      <c r="D1884" s="4" t="s">
        <v>6202</v>
      </c>
      <c r="E1884" s="4" t="s">
        <v>6195</v>
      </c>
      <c r="F1884" s="4" t="s">
        <v>6204</v>
      </c>
    </row>
    <row r="1885" customFormat="false" ht="15" hidden="false" customHeight="true" outlineLevel="0" collapsed="false">
      <c r="A1885" s="4" t="s">
        <v>2061</v>
      </c>
      <c r="B1885" s="13" t="n">
        <v>45179</v>
      </c>
      <c r="C1885" s="4" t="s">
        <v>6213</v>
      </c>
      <c r="D1885" s="4" t="s">
        <v>6205</v>
      </c>
      <c r="E1885" s="4" t="s">
        <v>6208</v>
      </c>
      <c r="F1885" s="4"/>
    </row>
    <row r="1886" customFormat="false" ht="15" hidden="false" customHeight="true" outlineLevel="0" collapsed="false">
      <c r="A1886" s="4" t="s">
        <v>2062</v>
      </c>
      <c r="B1886" s="13" t="n">
        <v>45217</v>
      </c>
      <c r="C1886" s="4" t="s">
        <v>6194</v>
      </c>
      <c r="D1886" s="4" t="s">
        <v>6205</v>
      </c>
      <c r="E1886" s="4" t="s">
        <v>6208</v>
      </c>
      <c r="F1886" s="4" t="s">
        <v>6214</v>
      </c>
    </row>
    <row r="1887" customFormat="false" ht="15" hidden="false" customHeight="true" outlineLevel="0" collapsed="false">
      <c r="A1887" s="4" t="s">
        <v>2063</v>
      </c>
      <c r="B1887" s="13" t="n">
        <v>45013</v>
      </c>
      <c r="C1887" s="4" t="s">
        <v>6194</v>
      </c>
      <c r="D1887" s="4" t="s">
        <v>6199</v>
      </c>
      <c r="E1887" s="4" t="s">
        <v>6196</v>
      </c>
      <c r="F1887" s="4"/>
    </row>
    <row r="1888" customFormat="false" ht="15" hidden="false" customHeight="true" outlineLevel="0" collapsed="false">
      <c r="A1888" s="4" t="s">
        <v>2064</v>
      </c>
      <c r="B1888" s="13" t="n">
        <v>45441</v>
      </c>
      <c r="C1888" s="4" t="s">
        <v>6210</v>
      </c>
      <c r="D1888" s="4" t="s">
        <v>6203</v>
      </c>
      <c r="E1888" s="4" t="s">
        <v>6206</v>
      </c>
      <c r="F1888" s="4"/>
    </row>
    <row r="1889" customFormat="false" ht="15" hidden="false" customHeight="true" outlineLevel="0" collapsed="false">
      <c r="A1889" s="4" t="s">
        <v>2065</v>
      </c>
      <c r="B1889" s="13" t="n">
        <v>45173</v>
      </c>
      <c r="C1889" s="4" t="s">
        <v>6209</v>
      </c>
      <c r="D1889" s="4" t="s">
        <v>6206</v>
      </c>
      <c r="E1889" s="4" t="s">
        <v>6203</v>
      </c>
      <c r="F1889" s="4"/>
    </row>
    <row r="1890" customFormat="false" ht="15" hidden="false" customHeight="true" outlineLevel="0" collapsed="false">
      <c r="A1890" s="4" t="s">
        <v>2066</v>
      </c>
      <c r="B1890" s="13" t="n">
        <v>45359</v>
      </c>
      <c r="C1890" s="4" t="s">
        <v>6213</v>
      </c>
      <c r="D1890" s="4" t="s">
        <v>6205</v>
      </c>
      <c r="E1890" s="4" t="s">
        <v>6208</v>
      </c>
      <c r="F1890" s="4"/>
    </row>
    <row r="1891" customFormat="false" ht="15" hidden="false" customHeight="true" outlineLevel="0" collapsed="false">
      <c r="A1891" s="4" t="s">
        <v>2067</v>
      </c>
      <c r="B1891" s="13" t="n">
        <v>45335</v>
      </c>
      <c r="C1891" s="4" t="s">
        <v>6201</v>
      </c>
      <c r="D1891" s="4" t="s">
        <v>6207</v>
      </c>
      <c r="E1891" s="4" t="s">
        <v>6206</v>
      </c>
      <c r="F1891" s="4"/>
    </row>
    <row r="1892" customFormat="false" ht="15" hidden="false" customHeight="true" outlineLevel="0" collapsed="false">
      <c r="A1892" s="4" t="s">
        <v>2068</v>
      </c>
      <c r="B1892" s="13" t="n">
        <v>45540</v>
      </c>
      <c r="C1892" s="4" t="s">
        <v>6213</v>
      </c>
      <c r="D1892" s="4" t="s">
        <v>6211</v>
      </c>
      <c r="E1892" s="4" t="s">
        <v>6199</v>
      </c>
      <c r="F1892" s="4" t="s">
        <v>6204</v>
      </c>
    </row>
    <row r="1893" customFormat="false" ht="15" hidden="false" customHeight="true" outlineLevel="0" collapsed="false">
      <c r="A1893" s="4" t="s">
        <v>2069</v>
      </c>
      <c r="B1893" s="13" t="n">
        <v>45637</v>
      </c>
      <c r="C1893" s="4" t="s">
        <v>6194</v>
      </c>
      <c r="D1893" s="4" t="s">
        <v>6195</v>
      </c>
      <c r="E1893" s="4" t="s">
        <v>6202</v>
      </c>
      <c r="F1893" s="4"/>
    </row>
    <row r="1894" customFormat="false" ht="15" hidden="false" customHeight="true" outlineLevel="0" collapsed="false">
      <c r="A1894" s="4" t="s">
        <v>2070</v>
      </c>
      <c r="B1894" s="13" t="n">
        <v>45111</v>
      </c>
      <c r="C1894" s="4" t="s">
        <v>6201</v>
      </c>
      <c r="D1894" s="4" t="s">
        <v>6199</v>
      </c>
      <c r="E1894" s="4" t="s">
        <v>6195</v>
      </c>
      <c r="F1894" s="4" t="s">
        <v>6200</v>
      </c>
    </row>
    <row r="1895" customFormat="false" ht="15" hidden="false" customHeight="true" outlineLevel="0" collapsed="false">
      <c r="A1895" s="4" t="s">
        <v>2071</v>
      </c>
      <c r="B1895" s="13" t="n">
        <v>45336</v>
      </c>
      <c r="C1895" s="4" t="s">
        <v>6213</v>
      </c>
      <c r="D1895" s="4" t="s">
        <v>6203</v>
      </c>
      <c r="E1895" s="4" t="s">
        <v>6206</v>
      </c>
      <c r="F1895" s="4"/>
    </row>
    <row r="1896" customFormat="false" ht="15" hidden="false" customHeight="true" outlineLevel="0" collapsed="false">
      <c r="A1896" s="4" t="s">
        <v>2072</v>
      </c>
      <c r="B1896" s="13" t="n">
        <v>45239</v>
      </c>
      <c r="C1896" s="4" t="s">
        <v>6209</v>
      </c>
      <c r="D1896" s="4" t="s">
        <v>6199</v>
      </c>
      <c r="E1896" s="4" t="s">
        <v>6196</v>
      </c>
      <c r="F1896" s="4" t="s">
        <v>6204</v>
      </c>
    </row>
    <row r="1897" customFormat="false" ht="15" hidden="false" customHeight="true" outlineLevel="0" collapsed="false">
      <c r="A1897" s="4" t="s">
        <v>2073</v>
      </c>
      <c r="B1897" s="13" t="n">
        <v>45011</v>
      </c>
      <c r="C1897" s="4" t="s">
        <v>6198</v>
      </c>
      <c r="D1897" s="4" t="s">
        <v>6203</v>
      </c>
      <c r="E1897" s="4" t="s">
        <v>6205</v>
      </c>
      <c r="F1897" s="4" t="s">
        <v>6212</v>
      </c>
    </row>
    <row r="1898" customFormat="false" ht="15" hidden="false" customHeight="true" outlineLevel="0" collapsed="false">
      <c r="A1898" s="4" t="s">
        <v>2074</v>
      </c>
      <c r="B1898" s="13" t="n">
        <v>45249</v>
      </c>
      <c r="C1898" s="4" t="s">
        <v>6213</v>
      </c>
      <c r="D1898" s="4" t="s">
        <v>6206</v>
      </c>
      <c r="E1898" s="4" t="s">
        <v>6207</v>
      </c>
      <c r="F1898" s="4"/>
    </row>
    <row r="1899" customFormat="false" ht="15" hidden="false" customHeight="true" outlineLevel="0" collapsed="false">
      <c r="A1899" s="4" t="s">
        <v>2075</v>
      </c>
      <c r="B1899" s="13" t="n">
        <v>45258</v>
      </c>
      <c r="C1899" s="4" t="s">
        <v>6194</v>
      </c>
      <c r="D1899" s="4" t="s">
        <v>6196</v>
      </c>
      <c r="E1899" s="4" t="s">
        <v>6203</v>
      </c>
      <c r="F1899" s="4" t="s">
        <v>6212</v>
      </c>
    </row>
    <row r="1900" customFormat="false" ht="15" hidden="false" customHeight="true" outlineLevel="0" collapsed="false">
      <c r="A1900" s="4" t="s">
        <v>2076</v>
      </c>
      <c r="B1900" s="13" t="n">
        <v>45001</v>
      </c>
      <c r="C1900" s="4" t="s">
        <v>6209</v>
      </c>
      <c r="D1900" s="4" t="s">
        <v>6203</v>
      </c>
      <c r="E1900" s="4" t="s">
        <v>6202</v>
      </c>
      <c r="F1900" s="4"/>
    </row>
    <row r="1901" customFormat="false" ht="15" hidden="false" customHeight="true" outlineLevel="0" collapsed="false">
      <c r="A1901" s="4" t="s">
        <v>2077</v>
      </c>
      <c r="B1901" s="13" t="n">
        <v>45149</v>
      </c>
      <c r="C1901" s="4" t="s">
        <v>6215</v>
      </c>
      <c r="D1901" s="4" t="s">
        <v>6206</v>
      </c>
      <c r="E1901" s="4" t="s">
        <v>6205</v>
      </c>
      <c r="F1901" s="4"/>
    </row>
    <row r="1902" customFormat="false" ht="15" hidden="false" customHeight="true" outlineLevel="0" collapsed="false">
      <c r="A1902" s="4" t="s">
        <v>2078</v>
      </c>
      <c r="B1902" s="13" t="n">
        <v>45103</v>
      </c>
      <c r="C1902" s="4" t="s">
        <v>6209</v>
      </c>
      <c r="D1902" s="4" t="s">
        <v>6208</v>
      </c>
      <c r="E1902" s="4" t="s">
        <v>6206</v>
      </c>
      <c r="F1902" s="4" t="s">
        <v>6197</v>
      </c>
    </row>
    <row r="1903" customFormat="false" ht="15" hidden="false" customHeight="true" outlineLevel="0" collapsed="false">
      <c r="A1903" s="4" t="s">
        <v>2079</v>
      </c>
      <c r="B1903" s="13" t="n">
        <v>45630</v>
      </c>
      <c r="C1903" s="4" t="s">
        <v>6215</v>
      </c>
      <c r="D1903" s="4" t="s">
        <v>6211</v>
      </c>
      <c r="E1903" s="4" t="s">
        <v>6206</v>
      </c>
      <c r="F1903" s="4" t="s">
        <v>6216</v>
      </c>
    </row>
    <row r="1904" customFormat="false" ht="15" hidden="false" customHeight="true" outlineLevel="0" collapsed="false">
      <c r="A1904" s="4" t="s">
        <v>2080</v>
      </c>
      <c r="B1904" s="13" t="n">
        <v>45350</v>
      </c>
      <c r="C1904" s="4" t="s">
        <v>6194</v>
      </c>
      <c r="D1904" s="4" t="s">
        <v>6203</v>
      </c>
      <c r="E1904" s="4" t="s">
        <v>6205</v>
      </c>
      <c r="F1904" s="4" t="s">
        <v>6214</v>
      </c>
    </row>
    <row r="1905" customFormat="false" ht="15" hidden="false" customHeight="true" outlineLevel="0" collapsed="false">
      <c r="A1905" s="4" t="s">
        <v>2081</v>
      </c>
      <c r="B1905" s="13" t="n">
        <v>45086</v>
      </c>
      <c r="C1905" s="4" t="s">
        <v>6213</v>
      </c>
      <c r="D1905" s="4" t="s">
        <v>6199</v>
      </c>
      <c r="E1905" s="4" t="s">
        <v>6205</v>
      </c>
      <c r="F1905" s="4" t="s">
        <v>6200</v>
      </c>
    </row>
    <row r="1906" customFormat="false" ht="15" hidden="false" customHeight="true" outlineLevel="0" collapsed="false">
      <c r="A1906" s="4" t="s">
        <v>2082</v>
      </c>
      <c r="B1906" s="13" t="n">
        <v>45275</v>
      </c>
      <c r="C1906" s="4" t="s">
        <v>6213</v>
      </c>
      <c r="D1906" s="4" t="s">
        <v>6199</v>
      </c>
      <c r="E1906" s="4" t="s">
        <v>6205</v>
      </c>
      <c r="F1906" s="4" t="s">
        <v>6204</v>
      </c>
    </row>
    <row r="1907" customFormat="false" ht="15" hidden="false" customHeight="true" outlineLevel="0" collapsed="false">
      <c r="A1907" s="4" t="s">
        <v>2083</v>
      </c>
      <c r="B1907" s="13" t="n">
        <v>45511</v>
      </c>
      <c r="C1907" s="4" t="s">
        <v>6209</v>
      </c>
      <c r="D1907" s="4" t="s">
        <v>6211</v>
      </c>
      <c r="E1907" s="4" t="s">
        <v>6202</v>
      </c>
      <c r="F1907" s="4" t="s">
        <v>6204</v>
      </c>
    </row>
    <row r="1908" customFormat="false" ht="15" hidden="false" customHeight="true" outlineLevel="0" collapsed="false">
      <c r="A1908" s="4" t="s">
        <v>2084</v>
      </c>
      <c r="B1908" s="13" t="n">
        <v>45634</v>
      </c>
      <c r="C1908" s="4" t="s">
        <v>6198</v>
      </c>
      <c r="D1908" s="4" t="s">
        <v>6203</v>
      </c>
      <c r="E1908" s="4" t="s">
        <v>6202</v>
      </c>
      <c r="F1908" s="4" t="s">
        <v>6204</v>
      </c>
    </row>
    <row r="1909" customFormat="false" ht="15" hidden="false" customHeight="true" outlineLevel="0" collapsed="false">
      <c r="A1909" s="4" t="s">
        <v>2085</v>
      </c>
      <c r="B1909" s="13" t="n">
        <v>44975</v>
      </c>
      <c r="C1909" s="4" t="s">
        <v>6198</v>
      </c>
      <c r="D1909" s="4" t="s">
        <v>6206</v>
      </c>
      <c r="E1909" s="4" t="s">
        <v>6196</v>
      </c>
      <c r="F1909" s="4" t="s">
        <v>6214</v>
      </c>
    </row>
    <row r="1910" customFormat="false" ht="15" hidden="false" customHeight="true" outlineLevel="0" collapsed="false">
      <c r="A1910" s="4" t="s">
        <v>2086</v>
      </c>
      <c r="B1910" s="13" t="n">
        <v>45106</v>
      </c>
      <c r="C1910" s="4" t="s">
        <v>6213</v>
      </c>
      <c r="D1910" s="4" t="s">
        <v>6207</v>
      </c>
      <c r="E1910" s="4" t="s">
        <v>6207</v>
      </c>
      <c r="F1910" s="4" t="s">
        <v>6204</v>
      </c>
    </row>
    <row r="1911" customFormat="false" ht="15" hidden="false" customHeight="true" outlineLevel="0" collapsed="false">
      <c r="A1911" s="4" t="s">
        <v>2087</v>
      </c>
      <c r="B1911" s="13" t="n">
        <v>45640</v>
      </c>
      <c r="C1911" s="4" t="s">
        <v>6209</v>
      </c>
      <c r="D1911" s="4" t="s">
        <v>6199</v>
      </c>
      <c r="E1911" s="4" t="s">
        <v>6199</v>
      </c>
      <c r="F1911" s="4"/>
    </row>
    <row r="1912" customFormat="false" ht="15" hidden="false" customHeight="true" outlineLevel="0" collapsed="false">
      <c r="A1912" s="4" t="s">
        <v>2088</v>
      </c>
      <c r="B1912" s="13" t="n">
        <v>45129</v>
      </c>
      <c r="C1912" s="4" t="s">
        <v>6210</v>
      </c>
      <c r="D1912" s="4" t="s">
        <v>6206</v>
      </c>
      <c r="E1912" s="4" t="s">
        <v>6207</v>
      </c>
      <c r="F1912" s="4" t="s">
        <v>6204</v>
      </c>
    </row>
    <row r="1913" customFormat="false" ht="15" hidden="false" customHeight="true" outlineLevel="0" collapsed="false">
      <c r="A1913" s="4" t="s">
        <v>2089</v>
      </c>
      <c r="B1913" s="13" t="n">
        <v>45325</v>
      </c>
      <c r="C1913" s="4" t="s">
        <v>6210</v>
      </c>
      <c r="D1913" s="4" t="s">
        <v>6199</v>
      </c>
      <c r="E1913" s="4" t="s">
        <v>6202</v>
      </c>
      <c r="F1913" s="4"/>
    </row>
    <row r="1914" customFormat="false" ht="15" hidden="false" customHeight="true" outlineLevel="0" collapsed="false">
      <c r="A1914" s="4" t="s">
        <v>2090</v>
      </c>
      <c r="B1914" s="13" t="n">
        <v>45310</v>
      </c>
      <c r="C1914" s="4" t="s">
        <v>6215</v>
      </c>
      <c r="D1914" s="4" t="s">
        <v>6211</v>
      </c>
      <c r="E1914" s="4" t="s">
        <v>6196</v>
      </c>
      <c r="F1914" s="4" t="s">
        <v>6204</v>
      </c>
    </row>
    <row r="1915" customFormat="false" ht="15" hidden="false" customHeight="true" outlineLevel="0" collapsed="false">
      <c r="A1915" s="4" t="s">
        <v>2091</v>
      </c>
      <c r="B1915" s="13" t="n">
        <v>45231</v>
      </c>
      <c r="C1915" s="4" t="s">
        <v>6215</v>
      </c>
      <c r="D1915" s="4" t="s">
        <v>6207</v>
      </c>
      <c r="E1915" s="4" t="s">
        <v>6208</v>
      </c>
      <c r="F1915" s="4" t="s">
        <v>6212</v>
      </c>
    </row>
    <row r="1916" customFormat="false" ht="15" hidden="false" customHeight="true" outlineLevel="0" collapsed="false">
      <c r="A1916" s="4" t="s">
        <v>2092</v>
      </c>
      <c r="B1916" s="13" t="n">
        <v>45225</v>
      </c>
      <c r="C1916" s="4" t="s">
        <v>6198</v>
      </c>
      <c r="D1916" s="4" t="s">
        <v>6206</v>
      </c>
      <c r="E1916" s="4" t="s">
        <v>6207</v>
      </c>
      <c r="F1916" s="4"/>
    </row>
    <row r="1917" customFormat="false" ht="15" hidden="false" customHeight="true" outlineLevel="0" collapsed="false">
      <c r="A1917" s="4" t="s">
        <v>2093</v>
      </c>
      <c r="B1917" s="13" t="n">
        <v>45510</v>
      </c>
      <c r="C1917" s="4" t="s">
        <v>6198</v>
      </c>
      <c r="D1917" s="4" t="s">
        <v>6199</v>
      </c>
      <c r="E1917" s="4" t="s">
        <v>6195</v>
      </c>
      <c r="F1917" s="4" t="s">
        <v>6216</v>
      </c>
    </row>
    <row r="1918" customFormat="false" ht="15" hidden="false" customHeight="true" outlineLevel="0" collapsed="false">
      <c r="A1918" s="4" t="s">
        <v>2094</v>
      </c>
      <c r="B1918" s="13" t="n">
        <v>45437</v>
      </c>
      <c r="C1918" s="4" t="s">
        <v>6209</v>
      </c>
      <c r="D1918" s="4" t="s">
        <v>6207</v>
      </c>
      <c r="E1918" s="4" t="s">
        <v>6203</v>
      </c>
      <c r="F1918" s="4" t="s">
        <v>6214</v>
      </c>
    </row>
    <row r="1919" customFormat="false" ht="15" hidden="false" customHeight="true" outlineLevel="0" collapsed="false">
      <c r="A1919" s="4" t="s">
        <v>2095</v>
      </c>
      <c r="B1919" s="13" t="n">
        <v>45377</v>
      </c>
      <c r="C1919" s="4" t="s">
        <v>6201</v>
      </c>
      <c r="D1919" s="4" t="s">
        <v>6203</v>
      </c>
      <c r="E1919" s="4" t="s">
        <v>6208</v>
      </c>
      <c r="F1919" s="4"/>
    </row>
    <row r="1920" customFormat="false" ht="15" hidden="false" customHeight="true" outlineLevel="0" collapsed="false">
      <c r="A1920" s="4" t="s">
        <v>2096</v>
      </c>
      <c r="B1920" s="13" t="n">
        <v>45513</v>
      </c>
      <c r="C1920" s="4" t="s">
        <v>6201</v>
      </c>
      <c r="D1920" s="4" t="s">
        <v>6211</v>
      </c>
      <c r="E1920" s="4" t="s">
        <v>6202</v>
      </c>
      <c r="F1920" s="4" t="s">
        <v>6200</v>
      </c>
    </row>
    <row r="1921" customFormat="false" ht="15" hidden="false" customHeight="true" outlineLevel="0" collapsed="false">
      <c r="A1921" s="4" t="s">
        <v>2097</v>
      </c>
      <c r="B1921" s="13" t="n">
        <v>45581</v>
      </c>
      <c r="C1921" s="4" t="s">
        <v>6194</v>
      </c>
      <c r="D1921" s="4" t="s">
        <v>6206</v>
      </c>
      <c r="E1921" s="4" t="s">
        <v>6195</v>
      </c>
      <c r="F1921" s="4" t="s">
        <v>6216</v>
      </c>
    </row>
    <row r="1922" customFormat="false" ht="15" hidden="false" customHeight="true" outlineLevel="0" collapsed="false">
      <c r="A1922" s="4" t="s">
        <v>2098</v>
      </c>
      <c r="B1922" s="13" t="n">
        <v>45302</v>
      </c>
      <c r="C1922" s="4" t="s">
        <v>6198</v>
      </c>
      <c r="D1922" s="4" t="s">
        <v>6199</v>
      </c>
      <c r="E1922" s="4" t="s">
        <v>6199</v>
      </c>
      <c r="F1922" s="4"/>
    </row>
    <row r="1923" customFormat="false" ht="15" hidden="false" customHeight="true" outlineLevel="0" collapsed="false">
      <c r="A1923" s="4" t="s">
        <v>2099</v>
      </c>
      <c r="B1923" s="13" t="n">
        <v>45052</v>
      </c>
      <c r="C1923" s="4" t="s">
        <v>6209</v>
      </c>
      <c r="D1923" s="4" t="s">
        <v>6211</v>
      </c>
      <c r="E1923" s="4" t="s">
        <v>6206</v>
      </c>
      <c r="F1923" s="4"/>
    </row>
    <row r="1924" customFormat="false" ht="15" hidden="false" customHeight="true" outlineLevel="0" collapsed="false">
      <c r="A1924" s="4" t="s">
        <v>2100</v>
      </c>
      <c r="B1924" s="13" t="n">
        <v>45497</v>
      </c>
      <c r="C1924" s="4" t="s">
        <v>6198</v>
      </c>
      <c r="D1924" s="4" t="s">
        <v>6206</v>
      </c>
      <c r="E1924" s="4" t="s">
        <v>6208</v>
      </c>
      <c r="F1924" s="4" t="s">
        <v>6204</v>
      </c>
    </row>
    <row r="1925" customFormat="false" ht="15" hidden="false" customHeight="true" outlineLevel="0" collapsed="false">
      <c r="A1925" s="4" t="s">
        <v>2101</v>
      </c>
      <c r="B1925" s="13" t="n">
        <v>45190</v>
      </c>
      <c r="C1925" s="4" t="s">
        <v>6215</v>
      </c>
      <c r="D1925" s="4" t="s">
        <v>6207</v>
      </c>
      <c r="E1925" s="4" t="s">
        <v>6205</v>
      </c>
      <c r="F1925" s="4" t="s">
        <v>6212</v>
      </c>
    </row>
    <row r="1926" customFormat="false" ht="15" hidden="false" customHeight="true" outlineLevel="0" collapsed="false">
      <c r="A1926" s="4" t="s">
        <v>2102</v>
      </c>
      <c r="B1926" s="13" t="n">
        <v>45445</v>
      </c>
      <c r="C1926" s="4" t="s">
        <v>6215</v>
      </c>
      <c r="D1926" s="4" t="s">
        <v>6199</v>
      </c>
      <c r="E1926" s="4" t="s">
        <v>6205</v>
      </c>
      <c r="F1926" s="4" t="s">
        <v>6200</v>
      </c>
    </row>
    <row r="1927" customFormat="false" ht="15" hidden="false" customHeight="true" outlineLevel="0" collapsed="false">
      <c r="A1927" s="4" t="s">
        <v>2103</v>
      </c>
      <c r="B1927" s="13" t="n">
        <v>45605</v>
      </c>
      <c r="C1927" s="4" t="s">
        <v>6215</v>
      </c>
      <c r="D1927" s="4" t="s">
        <v>6195</v>
      </c>
      <c r="E1927" s="4" t="s">
        <v>6202</v>
      </c>
      <c r="F1927" s="4" t="s">
        <v>6214</v>
      </c>
    </row>
    <row r="1928" customFormat="false" ht="15" hidden="false" customHeight="true" outlineLevel="0" collapsed="false">
      <c r="A1928" s="4" t="s">
        <v>2104</v>
      </c>
      <c r="B1928" s="13" t="n">
        <v>45362</v>
      </c>
      <c r="C1928" s="4" t="s">
        <v>6209</v>
      </c>
      <c r="D1928" s="4" t="s">
        <v>6195</v>
      </c>
      <c r="E1928" s="4" t="s">
        <v>6196</v>
      </c>
      <c r="F1928" s="4" t="s">
        <v>6197</v>
      </c>
    </row>
    <row r="1929" customFormat="false" ht="15" hidden="false" customHeight="true" outlineLevel="0" collapsed="false">
      <c r="A1929" s="4" t="s">
        <v>2105</v>
      </c>
      <c r="B1929" s="13" t="n">
        <v>45305</v>
      </c>
      <c r="C1929" s="4" t="s">
        <v>6215</v>
      </c>
      <c r="D1929" s="4" t="s">
        <v>6196</v>
      </c>
      <c r="E1929" s="4" t="s">
        <v>6207</v>
      </c>
      <c r="F1929" s="4"/>
    </row>
    <row r="1930" customFormat="false" ht="15" hidden="false" customHeight="true" outlineLevel="0" collapsed="false">
      <c r="A1930" s="4" t="s">
        <v>2106</v>
      </c>
      <c r="B1930" s="13" t="n">
        <v>45653</v>
      </c>
      <c r="C1930" s="4" t="s">
        <v>6210</v>
      </c>
      <c r="D1930" s="4" t="s">
        <v>6202</v>
      </c>
      <c r="E1930" s="4" t="s">
        <v>6207</v>
      </c>
      <c r="F1930" s="4"/>
    </row>
    <row r="1931" customFormat="false" ht="15" hidden="false" customHeight="true" outlineLevel="0" collapsed="false">
      <c r="A1931" s="4" t="s">
        <v>2107</v>
      </c>
      <c r="B1931" s="13" t="n">
        <v>45541</v>
      </c>
      <c r="C1931" s="4" t="s">
        <v>6210</v>
      </c>
      <c r="D1931" s="4" t="s">
        <v>6207</v>
      </c>
      <c r="E1931" s="4" t="s">
        <v>6203</v>
      </c>
      <c r="F1931" s="4" t="s">
        <v>6204</v>
      </c>
    </row>
    <row r="1932" customFormat="false" ht="15" hidden="false" customHeight="true" outlineLevel="0" collapsed="false">
      <c r="A1932" s="4" t="s">
        <v>2108</v>
      </c>
      <c r="B1932" s="13" t="n">
        <v>45550</v>
      </c>
      <c r="C1932" s="4" t="s">
        <v>6213</v>
      </c>
      <c r="D1932" s="4" t="s">
        <v>6195</v>
      </c>
      <c r="E1932" s="4" t="s">
        <v>6206</v>
      </c>
      <c r="F1932" s="4" t="s">
        <v>6204</v>
      </c>
    </row>
    <row r="1933" customFormat="false" ht="15" hidden="false" customHeight="true" outlineLevel="0" collapsed="false">
      <c r="A1933" s="4" t="s">
        <v>2109</v>
      </c>
      <c r="B1933" s="13" t="n">
        <v>45203</v>
      </c>
      <c r="C1933" s="4" t="s">
        <v>6213</v>
      </c>
      <c r="D1933" s="4" t="s">
        <v>6199</v>
      </c>
      <c r="E1933" s="4" t="s">
        <v>6195</v>
      </c>
      <c r="F1933" s="4" t="s">
        <v>6204</v>
      </c>
    </row>
    <row r="1934" customFormat="false" ht="15" hidden="false" customHeight="true" outlineLevel="0" collapsed="false">
      <c r="A1934" s="4" t="s">
        <v>2110</v>
      </c>
      <c r="B1934" s="13" t="n">
        <v>45500</v>
      </c>
      <c r="C1934" s="4" t="s">
        <v>6201</v>
      </c>
      <c r="D1934" s="4" t="s">
        <v>6196</v>
      </c>
      <c r="E1934" s="4" t="s">
        <v>6207</v>
      </c>
      <c r="F1934" s="4" t="s">
        <v>6197</v>
      </c>
    </row>
    <row r="1935" customFormat="false" ht="15" hidden="false" customHeight="true" outlineLevel="0" collapsed="false">
      <c r="A1935" s="4" t="s">
        <v>2111</v>
      </c>
      <c r="B1935" s="13" t="n">
        <v>45166</v>
      </c>
      <c r="C1935" s="4" t="s">
        <v>6209</v>
      </c>
      <c r="D1935" s="4" t="s">
        <v>6208</v>
      </c>
      <c r="E1935" s="4" t="s">
        <v>6205</v>
      </c>
      <c r="F1935" s="4" t="s">
        <v>6214</v>
      </c>
    </row>
    <row r="1936" customFormat="false" ht="15" hidden="false" customHeight="true" outlineLevel="0" collapsed="false">
      <c r="A1936" s="4" t="s">
        <v>2112</v>
      </c>
      <c r="B1936" s="13" t="n">
        <v>44975</v>
      </c>
      <c r="C1936" s="4" t="s">
        <v>6213</v>
      </c>
      <c r="D1936" s="4" t="s">
        <v>6205</v>
      </c>
      <c r="E1936" s="4" t="s">
        <v>6206</v>
      </c>
      <c r="F1936" s="4" t="s">
        <v>6204</v>
      </c>
    </row>
    <row r="1937" customFormat="false" ht="15" hidden="false" customHeight="true" outlineLevel="0" collapsed="false">
      <c r="A1937" s="4" t="s">
        <v>2113</v>
      </c>
      <c r="B1937" s="13" t="n">
        <v>45299</v>
      </c>
      <c r="C1937" s="4" t="s">
        <v>6201</v>
      </c>
      <c r="D1937" s="4" t="s">
        <v>6202</v>
      </c>
      <c r="E1937" s="4" t="s">
        <v>6195</v>
      </c>
      <c r="F1937" s="4" t="s">
        <v>6212</v>
      </c>
    </row>
    <row r="1938" customFormat="false" ht="15" hidden="false" customHeight="true" outlineLevel="0" collapsed="false">
      <c r="A1938" s="4" t="s">
        <v>2114</v>
      </c>
      <c r="B1938" s="13" t="n">
        <v>45194</v>
      </c>
      <c r="C1938" s="4" t="s">
        <v>6215</v>
      </c>
      <c r="D1938" s="4" t="s">
        <v>6199</v>
      </c>
      <c r="E1938" s="4" t="s">
        <v>6208</v>
      </c>
      <c r="F1938" s="4"/>
    </row>
    <row r="1939" customFormat="false" ht="15" hidden="false" customHeight="true" outlineLevel="0" collapsed="false">
      <c r="A1939" s="4" t="s">
        <v>2115</v>
      </c>
      <c r="B1939" s="13" t="n">
        <v>45165</v>
      </c>
      <c r="C1939" s="4" t="s">
        <v>6194</v>
      </c>
      <c r="D1939" s="4" t="s">
        <v>6196</v>
      </c>
      <c r="E1939" s="4" t="s">
        <v>6203</v>
      </c>
      <c r="F1939" s="4" t="s">
        <v>6212</v>
      </c>
    </row>
    <row r="1940" customFormat="false" ht="15" hidden="false" customHeight="true" outlineLevel="0" collapsed="false">
      <c r="A1940" s="4" t="s">
        <v>2116</v>
      </c>
      <c r="B1940" s="13" t="n">
        <v>45481</v>
      </c>
      <c r="C1940" s="4" t="s">
        <v>6215</v>
      </c>
      <c r="D1940" s="4" t="s">
        <v>6207</v>
      </c>
      <c r="E1940" s="4" t="s">
        <v>6195</v>
      </c>
      <c r="F1940" s="4" t="s">
        <v>6212</v>
      </c>
    </row>
    <row r="1941" customFormat="false" ht="15" hidden="false" customHeight="true" outlineLevel="0" collapsed="false">
      <c r="A1941" s="4" t="s">
        <v>2117</v>
      </c>
      <c r="B1941" s="13" t="n">
        <v>45436</v>
      </c>
      <c r="C1941" s="4" t="s">
        <v>6215</v>
      </c>
      <c r="D1941" s="4" t="s">
        <v>6196</v>
      </c>
      <c r="E1941" s="4" t="s">
        <v>6205</v>
      </c>
      <c r="F1941" s="4" t="s">
        <v>6200</v>
      </c>
    </row>
    <row r="1942" customFormat="false" ht="15" hidden="false" customHeight="true" outlineLevel="0" collapsed="false">
      <c r="A1942" s="4" t="s">
        <v>2118</v>
      </c>
      <c r="B1942" s="13" t="n">
        <v>44997</v>
      </c>
      <c r="C1942" s="4" t="s">
        <v>6201</v>
      </c>
      <c r="D1942" s="4" t="s">
        <v>6199</v>
      </c>
      <c r="E1942" s="4" t="s">
        <v>6199</v>
      </c>
      <c r="F1942" s="4" t="s">
        <v>6212</v>
      </c>
    </row>
    <row r="1943" customFormat="false" ht="15" hidden="false" customHeight="true" outlineLevel="0" collapsed="false">
      <c r="A1943" s="4" t="s">
        <v>2119</v>
      </c>
      <c r="B1943" s="13" t="n">
        <v>45013</v>
      </c>
      <c r="C1943" s="4" t="s">
        <v>6198</v>
      </c>
      <c r="D1943" s="4" t="s">
        <v>6207</v>
      </c>
      <c r="E1943" s="4" t="s">
        <v>6211</v>
      </c>
      <c r="F1943" s="4" t="s">
        <v>6204</v>
      </c>
    </row>
    <row r="1944" customFormat="false" ht="15" hidden="false" customHeight="true" outlineLevel="0" collapsed="false">
      <c r="A1944" s="4" t="s">
        <v>2120</v>
      </c>
      <c r="B1944" s="13" t="n">
        <v>45060</v>
      </c>
      <c r="C1944" s="4" t="s">
        <v>6215</v>
      </c>
      <c r="D1944" s="4" t="s">
        <v>6196</v>
      </c>
      <c r="E1944" s="4" t="s">
        <v>6199</v>
      </c>
      <c r="F1944" s="4" t="s">
        <v>6212</v>
      </c>
    </row>
    <row r="1945" customFormat="false" ht="15" hidden="false" customHeight="true" outlineLevel="0" collapsed="false">
      <c r="A1945" s="4" t="s">
        <v>2121</v>
      </c>
      <c r="B1945" s="13" t="n">
        <v>45039</v>
      </c>
      <c r="C1945" s="4" t="s">
        <v>6209</v>
      </c>
      <c r="D1945" s="4" t="s">
        <v>6196</v>
      </c>
      <c r="E1945" s="4" t="s">
        <v>6195</v>
      </c>
      <c r="F1945" s="4"/>
    </row>
    <row r="1946" customFormat="false" ht="15" hidden="false" customHeight="true" outlineLevel="0" collapsed="false">
      <c r="A1946" s="4" t="s">
        <v>2122</v>
      </c>
      <c r="B1946" s="13" t="n">
        <v>45654</v>
      </c>
      <c r="C1946" s="4" t="s">
        <v>6213</v>
      </c>
      <c r="D1946" s="4" t="s">
        <v>6205</v>
      </c>
      <c r="E1946" s="4" t="s">
        <v>6195</v>
      </c>
      <c r="F1946" s="4"/>
    </row>
    <row r="1947" customFormat="false" ht="15" hidden="false" customHeight="true" outlineLevel="0" collapsed="false">
      <c r="A1947" s="4" t="s">
        <v>2123</v>
      </c>
      <c r="B1947" s="13" t="n">
        <v>45284</v>
      </c>
      <c r="C1947" s="4" t="s">
        <v>6194</v>
      </c>
      <c r="D1947" s="4" t="s">
        <v>6203</v>
      </c>
      <c r="E1947" s="4" t="s">
        <v>6202</v>
      </c>
      <c r="F1947" s="4" t="s">
        <v>6197</v>
      </c>
    </row>
    <row r="1948" customFormat="false" ht="15" hidden="false" customHeight="true" outlineLevel="0" collapsed="false">
      <c r="A1948" s="4" t="s">
        <v>2124</v>
      </c>
      <c r="B1948" s="13" t="n">
        <v>45038</v>
      </c>
      <c r="C1948" s="4" t="s">
        <v>6194</v>
      </c>
      <c r="D1948" s="4" t="s">
        <v>6207</v>
      </c>
      <c r="E1948" s="4" t="s">
        <v>6206</v>
      </c>
      <c r="F1948" s="4" t="s">
        <v>6200</v>
      </c>
    </row>
    <row r="1949" customFormat="false" ht="15" hidden="false" customHeight="true" outlineLevel="0" collapsed="false">
      <c r="A1949" s="4" t="s">
        <v>2125</v>
      </c>
      <c r="B1949" s="13" t="n">
        <v>45313</v>
      </c>
      <c r="C1949" s="4" t="s">
        <v>6210</v>
      </c>
      <c r="D1949" s="4" t="s">
        <v>6211</v>
      </c>
      <c r="E1949" s="4" t="s">
        <v>6208</v>
      </c>
      <c r="F1949" s="4" t="s">
        <v>6204</v>
      </c>
    </row>
    <row r="1950" customFormat="false" ht="15" hidden="false" customHeight="true" outlineLevel="0" collapsed="false">
      <c r="A1950" s="4" t="s">
        <v>2126</v>
      </c>
      <c r="B1950" s="13" t="n">
        <v>45138</v>
      </c>
      <c r="C1950" s="4" t="s">
        <v>6215</v>
      </c>
      <c r="D1950" s="4" t="s">
        <v>6203</v>
      </c>
      <c r="E1950" s="4" t="s">
        <v>6199</v>
      </c>
      <c r="F1950" s="4" t="s">
        <v>6204</v>
      </c>
    </row>
    <row r="1951" customFormat="false" ht="15" hidden="false" customHeight="true" outlineLevel="0" collapsed="false">
      <c r="A1951" s="4" t="s">
        <v>2127</v>
      </c>
      <c r="B1951" s="13" t="n">
        <v>45576</v>
      </c>
      <c r="C1951" s="4" t="s">
        <v>6210</v>
      </c>
      <c r="D1951" s="4" t="s">
        <v>6207</v>
      </c>
      <c r="E1951" s="4" t="s">
        <v>6211</v>
      </c>
      <c r="F1951" s="4" t="s">
        <v>6212</v>
      </c>
    </row>
    <row r="1952" customFormat="false" ht="15" hidden="false" customHeight="true" outlineLevel="0" collapsed="false">
      <c r="A1952" s="4" t="s">
        <v>2128</v>
      </c>
      <c r="B1952" s="13" t="n">
        <v>45371</v>
      </c>
      <c r="C1952" s="4" t="s">
        <v>6201</v>
      </c>
      <c r="D1952" s="4" t="s">
        <v>6207</v>
      </c>
      <c r="E1952" s="4" t="s">
        <v>6206</v>
      </c>
      <c r="F1952" s="4" t="s">
        <v>6216</v>
      </c>
    </row>
    <row r="1953" customFormat="false" ht="15" hidden="false" customHeight="true" outlineLevel="0" collapsed="false">
      <c r="A1953" s="4" t="s">
        <v>2129</v>
      </c>
      <c r="B1953" s="13" t="n">
        <v>45350</v>
      </c>
      <c r="C1953" s="4" t="s">
        <v>6213</v>
      </c>
      <c r="D1953" s="4" t="s">
        <v>6211</v>
      </c>
      <c r="E1953" s="4" t="s">
        <v>6199</v>
      </c>
      <c r="F1953" s="4" t="s">
        <v>6197</v>
      </c>
    </row>
    <row r="1954" customFormat="false" ht="15" hidden="false" customHeight="true" outlineLevel="0" collapsed="false">
      <c r="A1954" s="4" t="s">
        <v>2130</v>
      </c>
      <c r="B1954" s="13" t="n">
        <v>45569</v>
      </c>
      <c r="C1954" s="4" t="s">
        <v>6201</v>
      </c>
      <c r="D1954" s="4" t="s">
        <v>6195</v>
      </c>
      <c r="E1954" s="4" t="s">
        <v>6196</v>
      </c>
      <c r="F1954" s="4" t="s">
        <v>6197</v>
      </c>
    </row>
    <row r="1955" customFormat="false" ht="15" hidden="false" customHeight="true" outlineLevel="0" collapsed="false">
      <c r="A1955" s="4" t="s">
        <v>2131</v>
      </c>
      <c r="B1955" s="13" t="n">
        <v>44984</v>
      </c>
      <c r="C1955" s="4" t="s">
        <v>6198</v>
      </c>
      <c r="D1955" s="4" t="s">
        <v>6211</v>
      </c>
      <c r="E1955" s="4" t="s">
        <v>6195</v>
      </c>
      <c r="F1955" s="4"/>
    </row>
    <row r="1956" customFormat="false" ht="15" hidden="false" customHeight="true" outlineLevel="0" collapsed="false">
      <c r="A1956" s="4" t="s">
        <v>2132</v>
      </c>
      <c r="B1956" s="13" t="n">
        <v>45263</v>
      </c>
      <c r="C1956" s="4" t="s">
        <v>6194</v>
      </c>
      <c r="D1956" s="4" t="s">
        <v>6195</v>
      </c>
      <c r="E1956" s="4" t="s">
        <v>6211</v>
      </c>
      <c r="F1956" s="4"/>
    </row>
    <row r="1957" customFormat="false" ht="15" hidden="false" customHeight="true" outlineLevel="0" collapsed="false">
      <c r="A1957" s="4" t="s">
        <v>2133</v>
      </c>
      <c r="B1957" s="13" t="n">
        <v>45029</v>
      </c>
      <c r="C1957" s="4" t="s">
        <v>6209</v>
      </c>
      <c r="D1957" s="4" t="s">
        <v>6205</v>
      </c>
      <c r="E1957" s="4" t="s">
        <v>6208</v>
      </c>
      <c r="F1957" s="4" t="s">
        <v>6204</v>
      </c>
    </row>
    <row r="1958" customFormat="false" ht="15" hidden="false" customHeight="true" outlineLevel="0" collapsed="false">
      <c r="A1958" s="4" t="s">
        <v>2134</v>
      </c>
      <c r="B1958" s="13" t="n">
        <v>45145</v>
      </c>
      <c r="C1958" s="4" t="s">
        <v>6215</v>
      </c>
      <c r="D1958" s="4" t="s">
        <v>6199</v>
      </c>
      <c r="E1958" s="4" t="s">
        <v>6207</v>
      </c>
      <c r="F1958" s="4"/>
    </row>
    <row r="1959" customFormat="false" ht="15" hidden="false" customHeight="true" outlineLevel="0" collapsed="false">
      <c r="A1959" s="4" t="s">
        <v>2135</v>
      </c>
      <c r="B1959" s="13" t="n">
        <v>45109</v>
      </c>
      <c r="C1959" s="4" t="s">
        <v>6213</v>
      </c>
      <c r="D1959" s="4" t="s">
        <v>6211</v>
      </c>
      <c r="E1959" s="4" t="s">
        <v>6206</v>
      </c>
      <c r="F1959" s="4" t="s">
        <v>6214</v>
      </c>
    </row>
    <row r="1960" customFormat="false" ht="15" hidden="false" customHeight="true" outlineLevel="0" collapsed="false">
      <c r="A1960" s="4" t="s">
        <v>2136</v>
      </c>
      <c r="B1960" s="13" t="n">
        <v>45046</v>
      </c>
      <c r="C1960" s="4" t="s">
        <v>6215</v>
      </c>
      <c r="D1960" s="4" t="s">
        <v>6206</v>
      </c>
      <c r="E1960" s="4" t="s">
        <v>6196</v>
      </c>
      <c r="F1960" s="4"/>
    </row>
    <row r="1961" customFormat="false" ht="15" hidden="false" customHeight="true" outlineLevel="0" collapsed="false">
      <c r="A1961" s="4" t="s">
        <v>2137</v>
      </c>
      <c r="B1961" s="13" t="n">
        <v>45593</v>
      </c>
      <c r="C1961" s="4" t="s">
        <v>6215</v>
      </c>
      <c r="D1961" s="4" t="s">
        <v>6203</v>
      </c>
      <c r="E1961" s="4" t="s">
        <v>6207</v>
      </c>
      <c r="F1961" s="4"/>
    </row>
    <row r="1962" customFormat="false" ht="15" hidden="false" customHeight="true" outlineLevel="0" collapsed="false">
      <c r="A1962" s="4" t="s">
        <v>2138</v>
      </c>
      <c r="B1962" s="13" t="n">
        <v>45045</v>
      </c>
      <c r="C1962" s="4" t="s">
        <v>6215</v>
      </c>
      <c r="D1962" s="4" t="s">
        <v>6208</v>
      </c>
      <c r="E1962" s="4" t="s">
        <v>6202</v>
      </c>
      <c r="F1962" s="4"/>
    </row>
    <row r="1963" customFormat="false" ht="15" hidden="false" customHeight="true" outlineLevel="0" collapsed="false">
      <c r="A1963" s="4" t="s">
        <v>2139</v>
      </c>
      <c r="B1963" s="13" t="n">
        <v>45401</v>
      </c>
      <c r="C1963" s="4" t="s">
        <v>6194</v>
      </c>
      <c r="D1963" s="4" t="s">
        <v>6196</v>
      </c>
      <c r="E1963" s="4" t="s">
        <v>6208</v>
      </c>
      <c r="F1963" s="4" t="s">
        <v>6197</v>
      </c>
    </row>
    <row r="1964" customFormat="false" ht="15" hidden="false" customHeight="true" outlineLevel="0" collapsed="false">
      <c r="A1964" s="4" t="s">
        <v>2140</v>
      </c>
      <c r="B1964" s="13" t="n">
        <v>45124</v>
      </c>
      <c r="C1964" s="4" t="s">
        <v>6209</v>
      </c>
      <c r="D1964" s="4" t="s">
        <v>6202</v>
      </c>
      <c r="E1964" s="4" t="s">
        <v>6211</v>
      </c>
      <c r="F1964" s="4"/>
    </row>
    <row r="1965" customFormat="false" ht="15" hidden="false" customHeight="true" outlineLevel="0" collapsed="false">
      <c r="A1965" s="4" t="s">
        <v>2141</v>
      </c>
      <c r="B1965" s="13" t="n">
        <v>45492</v>
      </c>
      <c r="C1965" s="4" t="s">
        <v>6194</v>
      </c>
      <c r="D1965" s="4" t="s">
        <v>6205</v>
      </c>
      <c r="E1965" s="4" t="s">
        <v>6205</v>
      </c>
      <c r="F1965" s="4"/>
    </row>
    <row r="1966" customFormat="false" ht="15" hidden="false" customHeight="true" outlineLevel="0" collapsed="false">
      <c r="A1966" s="4" t="s">
        <v>2142</v>
      </c>
      <c r="B1966" s="13" t="n">
        <v>45259</v>
      </c>
      <c r="C1966" s="4" t="s">
        <v>6201</v>
      </c>
      <c r="D1966" s="4" t="s">
        <v>6199</v>
      </c>
      <c r="E1966" s="4" t="s">
        <v>6211</v>
      </c>
      <c r="F1966" s="4"/>
    </row>
    <row r="1967" customFormat="false" ht="15" hidden="false" customHeight="true" outlineLevel="0" collapsed="false">
      <c r="A1967" s="4" t="s">
        <v>2143</v>
      </c>
      <c r="B1967" s="13" t="n">
        <v>45624</v>
      </c>
      <c r="C1967" s="4" t="s">
        <v>6194</v>
      </c>
      <c r="D1967" s="4" t="s">
        <v>6211</v>
      </c>
      <c r="E1967" s="4" t="s">
        <v>6211</v>
      </c>
      <c r="F1967" s="4"/>
    </row>
    <row r="1968" customFormat="false" ht="15" hidden="false" customHeight="true" outlineLevel="0" collapsed="false">
      <c r="A1968" s="4" t="s">
        <v>2144</v>
      </c>
      <c r="B1968" s="13" t="n">
        <v>45143</v>
      </c>
      <c r="C1968" s="4" t="s">
        <v>6198</v>
      </c>
      <c r="D1968" s="4" t="s">
        <v>6207</v>
      </c>
      <c r="E1968" s="4" t="s">
        <v>6202</v>
      </c>
      <c r="F1968" s="4" t="s">
        <v>6214</v>
      </c>
    </row>
    <row r="1969" customFormat="false" ht="15" hidden="false" customHeight="true" outlineLevel="0" collapsed="false">
      <c r="A1969" s="4" t="s">
        <v>2145</v>
      </c>
      <c r="B1969" s="13" t="n">
        <v>45153</v>
      </c>
      <c r="C1969" s="4" t="s">
        <v>6209</v>
      </c>
      <c r="D1969" s="4" t="s">
        <v>6202</v>
      </c>
      <c r="E1969" s="4" t="s">
        <v>6208</v>
      </c>
      <c r="F1969" s="4" t="s">
        <v>6212</v>
      </c>
    </row>
    <row r="1970" customFormat="false" ht="15" hidden="false" customHeight="true" outlineLevel="0" collapsed="false">
      <c r="A1970" s="4" t="s">
        <v>2146</v>
      </c>
      <c r="B1970" s="13" t="n">
        <v>44952</v>
      </c>
      <c r="C1970" s="4" t="s">
        <v>6215</v>
      </c>
      <c r="D1970" s="4" t="s">
        <v>6211</v>
      </c>
      <c r="E1970" s="4" t="s">
        <v>6206</v>
      </c>
      <c r="F1970" s="4" t="s">
        <v>6214</v>
      </c>
    </row>
    <row r="1971" customFormat="false" ht="15" hidden="false" customHeight="true" outlineLevel="0" collapsed="false">
      <c r="A1971" s="4" t="s">
        <v>2147</v>
      </c>
      <c r="B1971" s="13" t="n">
        <v>45557</v>
      </c>
      <c r="C1971" s="4" t="s">
        <v>6213</v>
      </c>
      <c r="D1971" s="4" t="s">
        <v>6196</v>
      </c>
      <c r="E1971" s="4" t="s">
        <v>6206</v>
      </c>
      <c r="F1971" s="4" t="s">
        <v>6212</v>
      </c>
    </row>
    <row r="1972" customFormat="false" ht="15" hidden="false" customHeight="true" outlineLevel="0" collapsed="false">
      <c r="A1972" s="4" t="s">
        <v>2148</v>
      </c>
      <c r="B1972" s="13" t="n">
        <v>45428</v>
      </c>
      <c r="C1972" s="4" t="s">
        <v>6194</v>
      </c>
      <c r="D1972" s="4" t="s">
        <v>6205</v>
      </c>
      <c r="E1972" s="4" t="s">
        <v>6196</v>
      </c>
      <c r="F1972" s="4" t="s">
        <v>6204</v>
      </c>
    </row>
    <row r="1973" customFormat="false" ht="15" hidden="false" customHeight="true" outlineLevel="0" collapsed="false">
      <c r="A1973" s="4" t="s">
        <v>2149</v>
      </c>
      <c r="B1973" s="13" t="n">
        <v>45053</v>
      </c>
      <c r="C1973" s="4" t="s">
        <v>6201</v>
      </c>
      <c r="D1973" s="4" t="s">
        <v>6202</v>
      </c>
      <c r="E1973" s="4" t="s">
        <v>6195</v>
      </c>
      <c r="F1973" s="4" t="s">
        <v>6216</v>
      </c>
    </row>
    <row r="1974" customFormat="false" ht="15" hidden="false" customHeight="true" outlineLevel="0" collapsed="false">
      <c r="A1974" s="4" t="s">
        <v>2150</v>
      </c>
      <c r="B1974" s="13" t="n">
        <v>45115</v>
      </c>
      <c r="C1974" s="4" t="s">
        <v>6194</v>
      </c>
      <c r="D1974" s="4" t="s">
        <v>6205</v>
      </c>
      <c r="E1974" s="4" t="s">
        <v>6203</v>
      </c>
      <c r="F1974" s="4"/>
    </row>
    <row r="1975" customFormat="false" ht="15" hidden="false" customHeight="true" outlineLevel="0" collapsed="false">
      <c r="A1975" s="4" t="s">
        <v>2151</v>
      </c>
      <c r="B1975" s="13" t="n">
        <v>45206</v>
      </c>
      <c r="C1975" s="4" t="s">
        <v>6194</v>
      </c>
      <c r="D1975" s="4" t="s">
        <v>6203</v>
      </c>
      <c r="E1975" s="4" t="s">
        <v>6195</v>
      </c>
      <c r="F1975" s="4"/>
    </row>
    <row r="1976" customFormat="false" ht="15" hidden="false" customHeight="true" outlineLevel="0" collapsed="false">
      <c r="A1976" s="4" t="s">
        <v>2152</v>
      </c>
      <c r="B1976" s="13" t="n">
        <v>45637</v>
      </c>
      <c r="C1976" s="4" t="s">
        <v>6210</v>
      </c>
      <c r="D1976" s="4" t="s">
        <v>6203</v>
      </c>
      <c r="E1976" s="4" t="s">
        <v>6207</v>
      </c>
      <c r="F1976" s="4" t="s">
        <v>6204</v>
      </c>
    </row>
    <row r="1977" customFormat="false" ht="15" hidden="false" customHeight="true" outlineLevel="0" collapsed="false">
      <c r="A1977" s="4" t="s">
        <v>2153</v>
      </c>
      <c r="B1977" s="13" t="n">
        <v>45151</v>
      </c>
      <c r="C1977" s="4" t="s">
        <v>6215</v>
      </c>
      <c r="D1977" s="4" t="s">
        <v>6207</v>
      </c>
      <c r="E1977" s="4" t="s">
        <v>6199</v>
      </c>
      <c r="F1977" s="4" t="s">
        <v>6216</v>
      </c>
    </row>
    <row r="1978" customFormat="false" ht="15" hidden="false" customHeight="true" outlineLevel="0" collapsed="false">
      <c r="A1978" s="4" t="s">
        <v>2154</v>
      </c>
      <c r="B1978" s="13" t="n">
        <v>45166</v>
      </c>
      <c r="C1978" s="4" t="s">
        <v>6201</v>
      </c>
      <c r="D1978" s="4" t="s">
        <v>6207</v>
      </c>
      <c r="E1978" s="4" t="s">
        <v>6195</v>
      </c>
      <c r="F1978" s="4" t="s">
        <v>6200</v>
      </c>
    </row>
    <row r="1979" customFormat="false" ht="15" hidden="false" customHeight="true" outlineLevel="0" collapsed="false">
      <c r="A1979" s="4" t="s">
        <v>2155</v>
      </c>
      <c r="B1979" s="13" t="n">
        <v>45535</v>
      </c>
      <c r="C1979" s="4" t="s">
        <v>6213</v>
      </c>
      <c r="D1979" s="4" t="s">
        <v>6205</v>
      </c>
      <c r="E1979" s="4" t="s">
        <v>6211</v>
      </c>
      <c r="F1979" s="4" t="s">
        <v>6212</v>
      </c>
    </row>
    <row r="1980" customFormat="false" ht="15" hidden="false" customHeight="true" outlineLevel="0" collapsed="false">
      <c r="A1980" s="4" t="s">
        <v>2156</v>
      </c>
      <c r="B1980" s="13" t="n">
        <v>45435</v>
      </c>
      <c r="C1980" s="4" t="s">
        <v>6201</v>
      </c>
      <c r="D1980" s="4" t="s">
        <v>6208</v>
      </c>
      <c r="E1980" s="4" t="s">
        <v>6199</v>
      </c>
      <c r="F1980" s="4"/>
    </row>
    <row r="1981" customFormat="false" ht="15" hidden="false" customHeight="true" outlineLevel="0" collapsed="false">
      <c r="A1981" s="4" t="s">
        <v>2157</v>
      </c>
      <c r="B1981" s="13" t="n">
        <v>45177</v>
      </c>
      <c r="C1981" s="4" t="s">
        <v>6198</v>
      </c>
      <c r="D1981" s="4" t="s">
        <v>6211</v>
      </c>
      <c r="E1981" s="4" t="s">
        <v>6203</v>
      </c>
      <c r="F1981" s="4"/>
    </row>
    <row r="1982" customFormat="false" ht="15" hidden="false" customHeight="true" outlineLevel="0" collapsed="false">
      <c r="A1982" s="4" t="s">
        <v>2158</v>
      </c>
      <c r="B1982" s="13" t="n">
        <v>45535</v>
      </c>
      <c r="C1982" s="4" t="s">
        <v>6210</v>
      </c>
      <c r="D1982" s="4" t="s">
        <v>6207</v>
      </c>
      <c r="E1982" s="4" t="s">
        <v>6203</v>
      </c>
      <c r="F1982" s="4" t="s">
        <v>6200</v>
      </c>
    </row>
    <row r="1983" customFormat="false" ht="15" hidden="false" customHeight="true" outlineLevel="0" collapsed="false">
      <c r="A1983" s="4" t="s">
        <v>2159</v>
      </c>
      <c r="B1983" s="13" t="n">
        <v>45433</v>
      </c>
      <c r="C1983" s="4" t="s">
        <v>6201</v>
      </c>
      <c r="D1983" s="4" t="s">
        <v>6205</v>
      </c>
      <c r="E1983" s="4" t="s">
        <v>6205</v>
      </c>
      <c r="F1983" s="4"/>
    </row>
    <row r="1984" customFormat="false" ht="15" hidden="false" customHeight="true" outlineLevel="0" collapsed="false">
      <c r="A1984" s="4" t="s">
        <v>2160</v>
      </c>
      <c r="B1984" s="13" t="n">
        <v>45038</v>
      </c>
      <c r="C1984" s="4" t="s">
        <v>6213</v>
      </c>
      <c r="D1984" s="4" t="s">
        <v>6202</v>
      </c>
      <c r="E1984" s="4" t="s">
        <v>6203</v>
      </c>
      <c r="F1984" s="4" t="s">
        <v>6200</v>
      </c>
    </row>
    <row r="1985" customFormat="false" ht="15" hidden="false" customHeight="true" outlineLevel="0" collapsed="false">
      <c r="A1985" s="4" t="s">
        <v>2161</v>
      </c>
      <c r="B1985" s="13" t="n">
        <v>45316</v>
      </c>
      <c r="C1985" s="4" t="s">
        <v>6215</v>
      </c>
      <c r="D1985" s="4" t="s">
        <v>6202</v>
      </c>
      <c r="E1985" s="4" t="s">
        <v>6203</v>
      </c>
      <c r="F1985" s="4" t="s">
        <v>6200</v>
      </c>
    </row>
    <row r="1986" customFormat="false" ht="15" hidden="false" customHeight="true" outlineLevel="0" collapsed="false">
      <c r="A1986" s="4" t="s">
        <v>2162</v>
      </c>
      <c r="B1986" s="13" t="n">
        <v>45617</v>
      </c>
      <c r="C1986" s="4" t="s">
        <v>6215</v>
      </c>
      <c r="D1986" s="4" t="s">
        <v>6206</v>
      </c>
      <c r="E1986" s="4" t="s">
        <v>6208</v>
      </c>
      <c r="F1986" s="4"/>
    </row>
    <row r="1987" customFormat="false" ht="15" hidden="false" customHeight="true" outlineLevel="0" collapsed="false">
      <c r="A1987" s="4" t="s">
        <v>2163</v>
      </c>
      <c r="B1987" s="13" t="n">
        <v>44994</v>
      </c>
      <c r="C1987" s="4" t="s">
        <v>6201</v>
      </c>
      <c r="D1987" s="4" t="s">
        <v>6207</v>
      </c>
      <c r="E1987" s="4" t="s">
        <v>6205</v>
      </c>
      <c r="F1987" s="4" t="s">
        <v>6212</v>
      </c>
    </row>
    <row r="1988" customFormat="false" ht="15" hidden="false" customHeight="true" outlineLevel="0" collapsed="false">
      <c r="A1988" s="4" t="s">
        <v>2164</v>
      </c>
      <c r="B1988" s="13" t="n">
        <v>45015</v>
      </c>
      <c r="C1988" s="4" t="s">
        <v>6209</v>
      </c>
      <c r="D1988" s="4" t="s">
        <v>6196</v>
      </c>
      <c r="E1988" s="4" t="s">
        <v>6195</v>
      </c>
      <c r="F1988" s="4" t="s">
        <v>6212</v>
      </c>
    </row>
    <row r="1989" customFormat="false" ht="15" hidden="false" customHeight="true" outlineLevel="0" collapsed="false">
      <c r="A1989" s="4" t="s">
        <v>2165</v>
      </c>
      <c r="B1989" s="13" t="n">
        <v>45192</v>
      </c>
      <c r="C1989" s="4" t="s">
        <v>6210</v>
      </c>
      <c r="D1989" s="4" t="s">
        <v>6206</v>
      </c>
      <c r="E1989" s="4" t="s">
        <v>6195</v>
      </c>
      <c r="F1989" s="4" t="s">
        <v>6212</v>
      </c>
    </row>
    <row r="1990" customFormat="false" ht="15" hidden="false" customHeight="true" outlineLevel="0" collapsed="false">
      <c r="A1990" s="4" t="s">
        <v>2166</v>
      </c>
      <c r="B1990" s="13" t="n">
        <v>45338</v>
      </c>
      <c r="C1990" s="4" t="s">
        <v>6213</v>
      </c>
      <c r="D1990" s="4" t="s">
        <v>6205</v>
      </c>
      <c r="E1990" s="4" t="s">
        <v>6195</v>
      </c>
      <c r="F1990" s="4" t="s">
        <v>6204</v>
      </c>
    </row>
    <row r="1991" customFormat="false" ht="15" hidden="false" customHeight="true" outlineLevel="0" collapsed="false">
      <c r="A1991" s="4" t="s">
        <v>2167</v>
      </c>
      <c r="B1991" s="13" t="n">
        <v>45491</v>
      </c>
      <c r="C1991" s="4" t="s">
        <v>6215</v>
      </c>
      <c r="D1991" s="4" t="s">
        <v>6203</v>
      </c>
      <c r="E1991" s="4" t="s">
        <v>6205</v>
      </c>
      <c r="F1991" s="4" t="s">
        <v>6216</v>
      </c>
    </row>
    <row r="1992" customFormat="false" ht="15" hidden="false" customHeight="true" outlineLevel="0" collapsed="false">
      <c r="A1992" s="4" t="s">
        <v>2168</v>
      </c>
      <c r="B1992" s="13" t="n">
        <v>45187</v>
      </c>
      <c r="C1992" s="4" t="s">
        <v>6209</v>
      </c>
      <c r="D1992" s="4" t="s">
        <v>6199</v>
      </c>
      <c r="E1992" s="4" t="s">
        <v>6207</v>
      </c>
      <c r="F1992" s="4" t="s">
        <v>6212</v>
      </c>
    </row>
    <row r="1993" customFormat="false" ht="15" hidden="false" customHeight="true" outlineLevel="0" collapsed="false">
      <c r="A1993" s="4" t="s">
        <v>2169</v>
      </c>
      <c r="B1993" s="13" t="n">
        <v>45532</v>
      </c>
      <c r="C1993" s="4" t="s">
        <v>6201</v>
      </c>
      <c r="D1993" s="4" t="s">
        <v>6208</v>
      </c>
      <c r="E1993" s="4" t="s">
        <v>6196</v>
      </c>
      <c r="F1993" s="4"/>
    </row>
    <row r="1994" customFormat="false" ht="15" hidden="false" customHeight="true" outlineLevel="0" collapsed="false">
      <c r="A1994" s="4" t="s">
        <v>2170</v>
      </c>
      <c r="B1994" s="13" t="n">
        <v>45306</v>
      </c>
      <c r="C1994" s="4" t="s">
        <v>6215</v>
      </c>
      <c r="D1994" s="4" t="s">
        <v>6207</v>
      </c>
      <c r="E1994" s="4" t="s">
        <v>6208</v>
      </c>
      <c r="F1994" s="4"/>
    </row>
    <row r="1995" customFormat="false" ht="15" hidden="false" customHeight="true" outlineLevel="0" collapsed="false">
      <c r="A1995" s="4" t="s">
        <v>2171</v>
      </c>
      <c r="B1995" s="13" t="n">
        <v>45148</v>
      </c>
      <c r="C1995" s="4" t="s">
        <v>6215</v>
      </c>
      <c r="D1995" s="4" t="s">
        <v>6211</v>
      </c>
      <c r="E1995" s="4" t="s">
        <v>6208</v>
      </c>
      <c r="F1995" s="4" t="s">
        <v>6212</v>
      </c>
    </row>
    <row r="1996" customFormat="false" ht="15" hidden="false" customHeight="true" outlineLevel="0" collapsed="false">
      <c r="A1996" s="4" t="s">
        <v>2172</v>
      </c>
      <c r="B1996" s="13" t="n">
        <v>45630</v>
      </c>
      <c r="C1996" s="4" t="s">
        <v>6215</v>
      </c>
      <c r="D1996" s="4" t="s">
        <v>6211</v>
      </c>
      <c r="E1996" s="4" t="s">
        <v>6205</v>
      </c>
      <c r="F1996" s="4" t="s">
        <v>6204</v>
      </c>
    </row>
    <row r="1997" customFormat="false" ht="15" hidden="false" customHeight="true" outlineLevel="0" collapsed="false">
      <c r="A1997" s="4" t="s">
        <v>2173</v>
      </c>
      <c r="B1997" s="13" t="n">
        <v>45010</v>
      </c>
      <c r="C1997" s="4" t="s">
        <v>6209</v>
      </c>
      <c r="D1997" s="4" t="s">
        <v>6211</v>
      </c>
      <c r="E1997" s="4" t="s">
        <v>6196</v>
      </c>
      <c r="F1997" s="4" t="s">
        <v>6214</v>
      </c>
    </row>
    <row r="1998" customFormat="false" ht="15" hidden="false" customHeight="true" outlineLevel="0" collapsed="false">
      <c r="A1998" s="4" t="s">
        <v>2174</v>
      </c>
      <c r="B1998" s="13" t="n">
        <v>45462</v>
      </c>
      <c r="C1998" s="4" t="s">
        <v>6209</v>
      </c>
      <c r="D1998" s="4" t="s">
        <v>6205</v>
      </c>
      <c r="E1998" s="4" t="s">
        <v>6207</v>
      </c>
      <c r="F1998" s="4" t="s">
        <v>6197</v>
      </c>
    </row>
    <row r="1999" customFormat="false" ht="15" hidden="false" customHeight="true" outlineLevel="0" collapsed="false">
      <c r="A1999" s="4" t="s">
        <v>2175</v>
      </c>
      <c r="B1999" s="13" t="n">
        <v>45359</v>
      </c>
      <c r="C1999" s="4" t="s">
        <v>6213</v>
      </c>
      <c r="D1999" s="4" t="s">
        <v>6208</v>
      </c>
      <c r="E1999" s="4" t="s">
        <v>6208</v>
      </c>
      <c r="F1999" s="4" t="s">
        <v>6212</v>
      </c>
    </row>
    <row r="2000" customFormat="false" ht="15" hidden="false" customHeight="true" outlineLevel="0" collapsed="false">
      <c r="A2000" s="4" t="s">
        <v>2176</v>
      </c>
      <c r="B2000" s="13" t="n">
        <v>45506</v>
      </c>
      <c r="C2000" s="4" t="s">
        <v>6198</v>
      </c>
      <c r="D2000" s="4" t="s">
        <v>6207</v>
      </c>
      <c r="E2000" s="4" t="s">
        <v>6196</v>
      </c>
      <c r="F2000" s="4" t="s">
        <v>6197</v>
      </c>
    </row>
    <row r="2001" customFormat="false" ht="15" hidden="false" customHeight="true" outlineLevel="0" collapsed="false">
      <c r="A2001" s="4" t="s">
        <v>2177</v>
      </c>
      <c r="B2001" s="13" t="n">
        <v>45421</v>
      </c>
      <c r="C2001" s="4" t="s">
        <v>6215</v>
      </c>
      <c r="D2001" s="4" t="s">
        <v>6211</v>
      </c>
      <c r="E2001" s="4" t="s">
        <v>6211</v>
      </c>
      <c r="F2001" s="4" t="s">
        <v>6197</v>
      </c>
    </row>
    <row r="2002" customFormat="false" ht="15" hidden="false" customHeight="true" outlineLevel="0" collapsed="false">
      <c r="A2002" s="4" t="s">
        <v>2178</v>
      </c>
      <c r="B2002" s="13" t="n">
        <v>45626</v>
      </c>
      <c r="C2002" s="4" t="s">
        <v>6213</v>
      </c>
      <c r="D2002" s="4" t="s">
        <v>6206</v>
      </c>
      <c r="E2002" s="4" t="s">
        <v>6203</v>
      </c>
      <c r="F2002" s="4" t="s">
        <v>6197</v>
      </c>
    </row>
    <row r="2003" customFormat="false" ht="15" hidden="false" customHeight="true" outlineLevel="0" collapsed="false">
      <c r="A2003" s="4" t="s">
        <v>2179</v>
      </c>
      <c r="B2003" s="13" t="n">
        <v>45117</v>
      </c>
      <c r="C2003" s="4" t="s">
        <v>6213</v>
      </c>
      <c r="D2003" s="4" t="s">
        <v>6207</v>
      </c>
      <c r="E2003" s="4" t="s">
        <v>6205</v>
      </c>
      <c r="F2003" s="4" t="s">
        <v>6214</v>
      </c>
    </row>
    <row r="2004" customFormat="false" ht="15" hidden="false" customHeight="true" outlineLevel="0" collapsed="false">
      <c r="A2004" s="4" t="s">
        <v>2180</v>
      </c>
      <c r="B2004" s="13" t="n">
        <v>45599</v>
      </c>
      <c r="C2004" s="4" t="s">
        <v>6213</v>
      </c>
      <c r="D2004" s="4" t="s">
        <v>6211</v>
      </c>
      <c r="E2004" s="4" t="s">
        <v>6206</v>
      </c>
      <c r="F2004" s="4" t="s">
        <v>6200</v>
      </c>
    </row>
    <row r="2005" customFormat="false" ht="15" hidden="false" customHeight="true" outlineLevel="0" collapsed="false">
      <c r="A2005" s="4" t="s">
        <v>2181</v>
      </c>
      <c r="B2005" s="13" t="n">
        <v>45392</v>
      </c>
      <c r="C2005" s="4" t="s">
        <v>6209</v>
      </c>
      <c r="D2005" s="4" t="s">
        <v>6207</v>
      </c>
      <c r="E2005" s="4" t="s">
        <v>6196</v>
      </c>
      <c r="F2005" s="4"/>
    </row>
    <row r="2006" customFormat="false" ht="15" hidden="false" customHeight="true" outlineLevel="0" collapsed="false">
      <c r="A2006" s="4" t="s">
        <v>2182</v>
      </c>
      <c r="B2006" s="13" t="n">
        <v>45094</v>
      </c>
      <c r="C2006" s="4" t="s">
        <v>6209</v>
      </c>
      <c r="D2006" s="4" t="s">
        <v>6205</v>
      </c>
      <c r="E2006" s="4" t="s">
        <v>6207</v>
      </c>
      <c r="F2006" s="4" t="s">
        <v>6214</v>
      </c>
    </row>
    <row r="2007" customFormat="false" ht="15" hidden="false" customHeight="true" outlineLevel="0" collapsed="false">
      <c r="A2007" s="4" t="s">
        <v>2183</v>
      </c>
      <c r="B2007" s="13" t="n">
        <v>45059</v>
      </c>
      <c r="C2007" s="4" t="s">
        <v>6198</v>
      </c>
      <c r="D2007" s="4" t="s">
        <v>6207</v>
      </c>
      <c r="E2007" s="4" t="s">
        <v>6196</v>
      </c>
      <c r="F2007" s="4"/>
    </row>
    <row r="2008" customFormat="false" ht="15" hidden="false" customHeight="true" outlineLevel="0" collapsed="false">
      <c r="A2008" s="4" t="s">
        <v>2184</v>
      </c>
      <c r="B2008" s="13" t="n">
        <v>45544</v>
      </c>
      <c r="C2008" s="4" t="s">
        <v>6194</v>
      </c>
      <c r="D2008" s="4" t="s">
        <v>6196</v>
      </c>
      <c r="E2008" s="4" t="s">
        <v>6195</v>
      </c>
      <c r="F2008" s="4" t="s">
        <v>6204</v>
      </c>
    </row>
    <row r="2009" customFormat="false" ht="15" hidden="false" customHeight="true" outlineLevel="0" collapsed="false">
      <c r="A2009" s="4" t="s">
        <v>2185</v>
      </c>
      <c r="B2009" s="13" t="n">
        <v>44982</v>
      </c>
      <c r="C2009" s="4" t="s">
        <v>6210</v>
      </c>
      <c r="D2009" s="4" t="s">
        <v>6195</v>
      </c>
      <c r="E2009" s="4" t="s">
        <v>6208</v>
      </c>
      <c r="F2009" s="4"/>
    </row>
    <row r="2010" customFormat="false" ht="15" hidden="false" customHeight="true" outlineLevel="0" collapsed="false">
      <c r="A2010" s="4" t="s">
        <v>2186</v>
      </c>
      <c r="B2010" s="13" t="n">
        <v>45553</v>
      </c>
      <c r="C2010" s="4" t="s">
        <v>6210</v>
      </c>
      <c r="D2010" s="4" t="s">
        <v>6205</v>
      </c>
      <c r="E2010" s="4" t="s">
        <v>6196</v>
      </c>
      <c r="F2010" s="4" t="s">
        <v>6204</v>
      </c>
    </row>
    <row r="2011" customFormat="false" ht="15" hidden="false" customHeight="true" outlineLevel="0" collapsed="false">
      <c r="A2011" s="4" t="s">
        <v>2187</v>
      </c>
      <c r="B2011" s="13" t="n">
        <v>44987</v>
      </c>
      <c r="C2011" s="4" t="s">
        <v>6209</v>
      </c>
      <c r="D2011" s="4" t="s">
        <v>6203</v>
      </c>
      <c r="E2011" s="4" t="s">
        <v>6203</v>
      </c>
      <c r="F2011" s="4" t="s">
        <v>6204</v>
      </c>
    </row>
    <row r="2012" customFormat="false" ht="15" hidden="false" customHeight="true" outlineLevel="0" collapsed="false">
      <c r="A2012" s="4" t="s">
        <v>2188</v>
      </c>
      <c r="B2012" s="13" t="n">
        <v>45105</v>
      </c>
      <c r="C2012" s="4" t="s">
        <v>6198</v>
      </c>
      <c r="D2012" s="4" t="s">
        <v>6199</v>
      </c>
      <c r="E2012" s="4" t="s">
        <v>6207</v>
      </c>
      <c r="F2012" s="4"/>
    </row>
    <row r="2013" customFormat="false" ht="15" hidden="false" customHeight="true" outlineLevel="0" collapsed="false">
      <c r="A2013" s="4" t="s">
        <v>2189</v>
      </c>
      <c r="B2013" s="13" t="n">
        <v>45018</v>
      </c>
      <c r="C2013" s="4" t="s">
        <v>6198</v>
      </c>
      <c r="D2013" s="4" t="s">
        <v>6206</v>
      </c>
      <c r="E2013" s="4" t="s">
        <v>6207</v>
      </c>
      <c r="F2013" s="4" t="s">
        <v>6204</v>
      </c>
    </row>
    <row r="2014" customFormat="false" ht="15" hidden="false" customHeight="true" outlineLevel="0" collapsed="false">
      <c r="A2014" s="4" t="s">
        <v>2190</v>
      </c>
      <c r="B2014" s="13" t="n">
        <v>45256</v>
      </c>
      <c r="C2014" s="4" t="s">
        <v>6213</v>
      </c>
      <c r="D2014" s="4" t="s">
        <v>6205</v>
      </c>
      <c r="E2014" s="4" t="s">
        <v>6199</v>
      </c>
      <c r="F2014" s="4"/>
    </row>
    <row r="2015" customFormat="false" ht="15" hidden="false" customHeight="true" outlineLevel="0" collapsed="false">
      <c r="A2015" s="4" t="s">
        <v>2191</v>
      </c>
      <c r="B2015" s="13" t="n">
        <v>45643</v>
      </c>
      <c r="C2015" s="4" t="s">
        <v>6210</v>
      </c>
      <c r="D2015" s="4" t="s">
        <v>6195</v>
      </c>
      <c r="E2015" s="4" t="s">
        <v>6205</v>
      </c>
      <c r="F2015" s="4" t="s">
        <v>6214</v>
      </c>
    </row>
    <row r="2016" customFormat="false" ht="15" hidden="false" customHeight="true" outlineLevel="0" collapsed="false">
      <c r="A2016" s="4" t="s">
        <v>2192</v>
      </c>
      <c r="B2016" s="13" t="n">
        <v>45221</v>
      </c>
      <c r="C2016" s="4" t="s">
        <v>6198</v>
      </c>
      <c r="D2016" s="4" t="s">
        <v>6202</v>
      </c>
      <c r="E2016" s="4" t="s">
        <v>6203</v>
      </c>
      <c r="F2016" s="4" t="s">
        <v>6212</v>
      </c>
    </row>
    <row r="2017" customFormat="false" ht="15" hidden="false" customHeight="true" outlineLevel="0" collapsed="false">
      <c r="A2017" s="4" t="s">
        <v>2193</v>
      </c>
      <c r="B2017" s="13" t="n">
        <v>45395</v>
      </c>
      <c r="C2017" s="4" t="s">
        <v>6210</v>
      </c>
      <c r="D2017" s="4" t="s">
        <v>6202</v>
      </c>
      <c r="E2017" s="4" t="s">
        <v>6205</v>
      </c>
      <c r="F2017" s="4"/>
    </row>
    <row r="2018" customFormat="false" ht="15" hidden="false" customHeight="true" outlineLevel="0" collapsed="false">
      <c r="A2018" s="4" t="s">
        <v>2194</v>
      </c>
      <c r="B2018" s="13" t="n">
        <v>45459</v>
      </c>
      <c r="C2018" s="4" t="s">
        <v>6213</v>
      </c>
      <c r="D2018" s="4" t="s">
        <v>6211</v>
      </c>
      <c r="E2018" s="4" t="s">
        <v>6205</v>
      </c>
      <c r="F2018" s="4" t="s">
        <v>6197</v>
      </c>
    </row>
    <row r="2019" customFormat="false" ht="15" hidden="false" customHeight="true" outlineLevel="0" collapsed="false">
      <c r="A2019" s="4" t="s">
        <v>2195</v>
      </c>
      <c r="B2019" s="13" t="n">
        <v>45567</v>
      </c>
      <c r="C2019" s="4" t="s">
        <v>6210</v>
      </c>
      <c r="D2019" s="4" t="s">
        <v>6202</v>
      </c>
      <c r="E2019" s="4" t="s">
        <v>6203</v>
      </c>
      <c r="F2019" s="4"/>
    </row>
    <row r="2020" customFormat="false" ht="15" hidden="false" customHeight="true" outlineLevel="0" collapsed="false">
      <c r="A2020" s="4" t="s">
        <v>2196</v>
      </c>
      <c r="B2020" s="13" t="n">
        <v>45127</v>
      </c>
      <c r="C2020" s="4" t="s">
        <v>6194</v>
      </c>
      <c r="D2020" s="4" t="s">
        <v>6203</v>
      </c>
      <c r="E2020" s="4" t="s">
        <v>6207</v>
      </c>
      <c r="F2020" s="4" t="s">
        <v>6200</v>
      </c>
    </row>
    <row r="2021" customFormat="false" ht="15" hidden="false" customHeight="true" outlineLevel="0" collapsed="false">
      <c r="A2021" s="4" t="s">
        <v>2197</v>
      </c>
      <c r="B2021" s="13" t="n">
        <v>45176</v>
      </c>
      <c r="C2021" s="4" t="s">
        <v>6209</v>
      </c>
      <c r="D2021" s="4" t="s">
        <v>6208</v>
      </c>
      <c r="E2021" s="4" t="s">
        <v>6202</v>
      </c>
      <c r="F2021" s="4" t="s">
        <v>6197</v>
      </c>
    </row>
    <row r="2022" customFormat="false" ht="15" hidden="false" customHeight="true" outlineLevel="0" collapsed="false">
      <c r="A2022" s="4" t="s">
        <v>2198</v>
      </c>
      <c r="B2022" s="13" t="n">
        <v>45631</v>
      </c>
      <c r="C2022" s="4" t="s">
        <v>6215</v>
      </c>
      <c r="D2022" s="4" t="s">
        <v>6208</v>
      </c>
      <c r="E2022" s="4" t="s">
        <v>6199</v>
      </c>
      <c r="F2022" s="4"/>
    </row>
    <row r="2023" customFormat="false" ht="15" hidden="false" customHeight="true" outlineLevel="0" collapsed="false">
      <c r="A2023" s="4" t="s">
        <v>2199</v>
      </c>
      <c r="B2023" s="13" t="n">
        <v>45179</v>
      </c>
      <c r="C2023" s="4" t="s">
        <v>6201</v>
      </c>
      <c r="D2023" s="4" t="s">
        <v>6199</v>
      </c>
      <c r="E2023" s="4" t="s">
        <v>6195</v>
      </c>
      <c r="F2023" s="4" t="s">
        <v>6214</v>
      </c>
    </row>
    <row r="2024" customFormat="false" ht="15" hidden="false" customHeight="true" outlineLevel="0" collapsed="false">
      <c r="A2024" s="4" t="s">
        <v>2200</v>
      </c>
      <c r="B2024" s="13" t="n">
        <v>45105</v>
      </c>
      <c r="C2024" s="4" t="s">
        <v>6201</v>
      </c>
      <c r="D2024" s="4" t="s">
        <v>6211</v>
      </c>
      <c r="E2024" s="4" t="s">
        <v>6206</v>
      </c>
      <c r="F2024" s="4" t="s">
        <v>6212</v>
      </c>
    </row>
    <row r="2025" customFormat="false" ht="15" hidden="false" customHeight="true" outlineLevel="0" collapsed="false">
      <c r="A2025" s="4" t="s">
        <v>2201</v>
      </c>
      <c r="B2025" s="13" t="n">
        <v>45532</v>
      </c>
      <c r="C2025" s="4" t="s">
        <v>6213</v>
      </c>
      <c r="D2025" s="4" t="s">
        <v>6202</v>
      </c>
      <c r="E2025" s="4" t="s">
        <v>6199</v>
      </c>
      <c r="F2025" s="4" t="s">
        <v>6197</v>
      </c>
    </row>
    <row r="2026" customFormat="false" ht="15" hidden="false" customHeight="true" outlineLevel="0" collapsed="false">
      <c r="A2026" s="4" t="s">
        <v>2202</v>
      </c>
      <c r="B2026" s="13" t="n">
        <v>45123</v>
      </c>
      <c r="C2026" s="4" t="s">
        <v>6209</v>
      </c>
      <c r="D2026" s="4" t="s">
        <v>6195</v>
      </c>
      <c r="E2026" s="4" t="s">
        <v>6195</v>
      </c>
      <c r="F2026" s="4" t="s">
        <v>6216</v>
      </c>
    </row>
    <row r="2027" customFormat="false" ht="15" hidden="false" customHeight="true" outlineLevel="0" collapsed="false">
      <c r="A2027" s="4" t="s">
        <v>2203</v>
      </c>
      <c r="B2027" s="13" t="n">
        <v>45223</v>
      </c>
      <c r="C2027" s="4" t="s">
        <v>6215</v>
      </c>
      <c r="D2027" s="4" t="s">
        <v>6211</v>
      </c>
      <c r="E2027" s="4" t="s">
        <v>6202</v>
      </c>
      <c r="F2027" s="4"/>
    </row>
    <row r="2028" customFormat="false" ht="15" hidden="false" customHeight="true" outlineLevel="0" collapsed="false">
      <c r="A2028" s="4" t="s">
        <v>2204</v>
      </c>
      <c r="B2028" s="13" t="n">
        <v>45348</v>
      </c>
      <c r="C2028" s="4" t="s">
        <v>6213</v>
      </c>
      <c r="D2028" s="4" t="s">
        <v>6207</v>
      </c>
      <c r="E2028" s="4" t="s">
        <v>6203</v>
      </c>
      <c r="F2028" s="4"/>
    </row>
    <row r="2029" customFormat="false" ht="15" hidden="false" customHeight="true" outlineLevel="0" collapsed="false">
      <c r="A2029" s="4" t="s">
        <v>2205</v>
      </c>
      <c r="B2029" s="13" t="n">
        <v>44981</v>
      </c>
      <c r="C2029" s="4" t="s">
        <v>6194</v>
      </c>
      <c r="D2029" s="4" t="s">
        <v>6199</v>
      </c>
      <c r="E2029" s="4" t="s">
        <v>6199</v>
      </c>
      <c r="F2029" s="4" t="s">
        <v>6200</v>
      </c>
    </row>
    <row r="2030" customFormat="false" ht="15" hidden="false" customHeight="true" outlineLevel="0" collapsed="false">
      <c r="A2030" s="4" t="s">
        <v>2206</v>
      </c>
      <c r="B2030" s="13" t="n">
        <v>44934</v>
      </c>
      <c r="C2030" s="4" t="s">
        <v>6201</v>
      </c>
      <c r="D2030" s="4" t="s">
        <v>6208</v>
      </c>
      <c r="E2030" s="4" t="s">
        <v>6207</v>
      </c>
      <c r="F2030" s="4"/>
    </row>
    <row r="2031" customFormat="false" ht="15" hidden="false" customHeight="true" outlineLevel="0" collapsed="false">
      <c r="A2031" s="4" t="s">
        <v>2207</v>
      </c>
      <c r="B2031" s="13" t="n">
        <v>45447</v>
      </c>
      <c r="C2031" s="4" t="s">
        <v>6213</v>
      </c>
      <c r="D2031" s="4" t="s">
        <v>6211</v>
      </c>
      <c r="E2031" s="4" t="s">
        <v>6211</v>
      </c>
      <c r="F2031" s="4" t="s">
        <v>6197</v>
      </c>
    </row>
    <row r="2032" customFormat="false" ht="15" hidden="false" customHeight="true" outlineLevel="0" collapsed="false">
      <c r="A2032" s="4" t="s">
        <v>2208</v>
      </c>
      <c r="B2032" s="13" t="n">
        <v>45251</v>
      </c>
      <c r="C2032" s="4" t="s">
        <v>6213</v>
      </c>
      <c r="D2032" s="4" t="s">
        <v>6206</v>
      </c>
      <c r="E2032" s="4" t="s">
        <v>6199</v>
      </c>
      <c r="F2032" s="4" t="s">
        <v>6204</v>
      </c>
    </row>
    <row r="2033" customFormat="false" ht="15" hidden="false" customHeight="true" outlineLevel="0" collapsed="false">
      <c r="A2033" s="4" t="s">
        <v>2209</v>
      </c>
      <c r="B2033" s="13" t="n">
        <v>45521</v>
      </c>
      <c r="C2033" s="4" t="s">
        <v>6194</v>
      </c>
      <c r="D2033" s="4" t="s">
        <v>6208</v>
      </c>
      <c r="E2033" s="4" t="s">
        <v>6199</v>
      </c>
      <c r="F2033" s="4"/>
    </row>
    <row r="2034" customFormat="false" ht="15" hidden="false" customHeight="true" outlineLevel="0" collapsed="false">
      <c r="A2034" s="4" t="s">
        <v>2210</v>
      </c>
      <c r="B2034" s="13" t="n">
        <v>45371</v>
      </c>
      <c r="C2034" s="4" t="s">
        <v>6198</v>
      </c>
      <c r="D2034" s="4" t="s">
        <v>6195</v>
      </c>
      <c r="E2034" s="4" t="s">
        <v>6195</v>
      </c>
      <c r="F2034" s="4" t="s">
        <v>6197</v>
      </c>
    </row>
    <row r="2035" customFormat="false" ht="15" hidden="false" customHeight="true" outlineLevel="0" collapsed="false">
      <c r="A2035" s="4" t="s">
        <v>2211</v>
      </c>
      <c r="B2035" s="13" t="n">
        <v>45098</v>
      </c>
      <c r="C2035" s="4" t="s">
        <v>6198</v>
      </c>
      <c r="D2035" s="4" t="s">
        <v>6211</v>
      </c>
      <c r="E2035" s="4" t="s">
        <v>6199</v>
      </c>
      <c r="F2035" s="4"/>
    </row>
    <row r="2036" customFormat="false" ht="15" hidden="false" customHeight="true" outlineLevel="0" collapsed="false">
      <c r="A2036" s="4" t="s">
        <v>2212</v>
      </c>
      <c r="B2036" s="13" t="n">
        <v>45180</v>
      </c>
      <c r="C2036" s="4" t="s">
        <v>6201</v>
      </c>
      <c r="D2036" s="4" t="s">
        <v>6211</v>
      </c>
      <c r="E2036" s="4" t="s">
        <v>6211</v>
      </c>
      <c r="F2036" s="4" t="s">
        <v>6200</v>
      </c>
    </row>
    <row r="2037" customFormat="false" ht="15" hidden="false" customHeight="true" outlineLevel="0" collapsed="false">
      <c r="A2037" s="4" t="s">
        <v>2213</v>
      </c>
      <c r="B2037" s="13" t="n">
        <v>45476</v>
      </c>
      <c r="C2037" s="4" t="s">
        <v>6210</v>
      </c>
      <c r="D2037" s="4" t="s">
        <v>6199</v>
      </c>
      <c r="E2037" s="4" t="s">
        <v>6203</v>
      </c>
      <c r="F2037" s="4"/>
    </row>
    <row r="2038" customFormat="false" ht="15" hidden="false" customHeight="true" outlineLevel="0" collapsed="false">
      <c r="A2038" s="4" t="s">
        <v>2214</v>
      </c>
      <c r="B2038" s="13" t="n">
        <v>45005</v>
      </c>
      <c r="C2038" s="4" t="s">
        <v>6194</v>
      </c>
      <c r="D2038" s="4" t="s">
        <v>6205</v>
      </c>
      <c r="E2038" s="4" t="s">
        <v>6203</v>
      </c>
      <c r="F2038" s="4" t="s">
        <v>6204</v>
      </c>
    </row>
    <row r="2039" customFormat="false" ht="15" hidden="false" customHeight="true" outlineLevel="0" collapsed="false">
      <c r="A2039" s="4" t="s">
        <v>2215</v>
      </c>
      <c r="B2039" s="13" t="n">
        <v>45596</v>
      </c>
      <c r="C2039" s="4" t="s">
        <v>6215</v>
      </c>
      <c r="D2039" s="4" t="s">
        <v>6205</v>
      </c>
      <c r="E2039" s="4" t="s">
        <v>6202</v>
      </c>
      <c r="F2039" s="4" t="s">
        <v>6212</v>
      </c>
    </row>
    <row r="2040" customFormat="false" ht="15" hidden="false" customHeight="true" outlineLevel="0" collapsed="false">
      <c r="A2040" s="4" t="s">
        <v>2216</v>
      </c>
      <c r="B2040" s="13" t="n">
        <v>45528</v>
      </c>
      <c r="C2040" s="4" t="s">
        <v>6215</v>
      </c>
      <c r="D2040" s="4" t="s">
        <v>6195</v>
      </c>
      <c r="E2040" s="4" t="s">
        <v>6195</v>
      </c>
      <c r="F2040" s="4" t="s">
        <v>6197</v>
      </c>
    </row>
    <row r="2041" customFormat="false" ht="15" hidden="false" customHeight="true" outlineLevel="0" collapsed="false">
      <c r="A2041" s="4" t="s">
        <v>2217</v>
      </c>
      <c r="B2041" s="13" t="n">
        <v>45499</v>
      </c>
      <c r="C2041" s="4" t="s">
        <v>6213</v>
      </c>
      <c r="D2041" s="4" t="s">
        <v>6211</v>
      </c>
      <c r="E2041" s="4" t="s">
        <v>6211</v>
      </c>
      <c r="F2041" s="4"/>
    </row>
    <row r="2042" customFormat="false" ht="15" hidden="false" customHeight="true" outlineLevel="0" collapsed="false">
      <c r="A2042" s="4" t="s">
        <v>2218</v>
      </c>
      <c r="B2042" s="13" t="n">
        <v>45582</v>
      </c>
      <c r="C2042" s="4" t="s">
        <v>6194</v>
      </c>
      <c r="D2042" s="4" t="s">
        <v>6199</v>
      </c>
      <c r="E2042" s="4" t="s">
        <v>6199</v>
      </c>
      <c r="F2042" s="4"/>
    </row>
    <row r="2043" customFormat="false" ht="15" hidden="false" customHeight="true" outlineLevel="0" collapsed="false">
      <c r="A2043" s="4" t="s">
        <v>2219</v>
      </c>
      <c r="B2043" s="13" t="n">
        <v>45102</v>
      </c>
      <c r="C2043" s="4" t="s">
        <v>6210</v>
      </c>
      <c r="D2043" s="4" t="s">
        <v>6206</v>
      </c>
      <c r="E2043" s="4" t="s">
        <v>6203</v>
      </c>
      <c r="F2043" s="4" t="s">
        <v>6212</v>
      </c>
    </row>
    <row r="2044" customFormat="false" ht="15" hidden="false" customHeight="true" outlineLevel="0" collapsed="false">
      <c r="A2044" s="4" t="s">
        <v>2220</v>
      </c>
      <c r="B2044" s="13" t="n">
        <v>45189</v>
      </c>
      <c r="C2044" s="4" t="s">
        <v>6215</v>
      </c>
      <c r="D2044" s="4" t="s">
        <v>6206</v>
      </c>
      <c r="E2044" s="4" t="s">
        <v>6202</v>
      </c>
      <c r="F2044" s="4" t="s">
        <v>6212</v>
      </c>
    </row>
    <row r="2045" customFormat="false" ht="15" hidden="false" customHeight="true" outlineLevel="0" collapsed="false">
      <c r="A2045" s="4" t="s">
        <v>2221</v>
      </c>
      <c r="B2045" s="13" t="n">
        <v>45575</v>
      </c>
      <c r="C2045" s="4" t="s">
        <v>6210</v>
      </c>
      <c r="D2045" s="4" t="s">
        <v>6211</v>
      </c>
      <c r="E2045" s="4" t="s">
        <v>6206</v>
      </c>
      <c r="F2045" s="4" t="s">
        <v>6214</v>
      </c>
    </row>
    <row r="2046" customFormat="false" ht="15" hidden="false" customHeight="true" outlineLevel="0" collapsed="false">
      <c r="A2046" s="4" t="s">
        <v>2222</v>
      </c>
      <c r="B2046" s="13" t="n">
        <v>45039</v>
      </c>
      <c r="C2046" s="4" t="s">
        <v>6194</v>
      </c>
      <c r="D2046" s="4" t="s">
        <v>6205</v>
      </c>
      <c r="E2046" s="4" t="s">
        <v>6199</v>
      </c>
      <c r="F2046" s="4"/>
    </row>
    <row r="2047" customFormat="false" ht="15" hidden="false" customHeight="true" outlineLevel="0" collapsed="false">
      <c r="A2047" s="4" t="s">
        <v>2223</v>
      </c>
      <c r="B2047" s="13" t="n">
        <v>44964</v>
      </c>
      <c r="C2047" s="4" t="s">
        <v>6209</v>
      </c>
      <c r="D2047" s="4" t="s">
        <v>6207</v>
      </c>
      <c r="E2047" s="4" t="s">
        <v>6207</v>
      </c>
      <c r="F2047" s="4" t="s">
        <v>6216</v>
      </c>
    </row>
    <row r="2048" customFormat="false" ht="15" hidden="false" customHeight="true" outlineLevel="0" collapsed="false">
      <c r="A2048" s="4" t="s">
        <v>2224</v>
      </c>
      <c r="B2048" s="13" t="n">
        <v>45554</v>
      </c>
      <c r="C2048" s="4" t="s">
        <v>6209</v>
      </c>
      <c r="D2048" s="4" t="s">
        <v>6205</v>
      </c>
      <c r="E2048" s="4" t="s">
        <v>6199</v>
      </c>
      <c r="F2048" s="4" t="s">
        <v>6216</v>
      </c>
    </row>
    <row r="2049" customFormat="false" ht="15" hidden="false" customHeight="true" outlineLevel="0" collapsed="false">
      <c r="A2049" s="4" t="s">
        <v>2225</v>
      </c>
      <c r="B2049" s="13" t="n">
        <v>45283</v>
      </c>
      <c r="C2049" s="4" t="s">
        <v>6201</v>
      </c>
      <c r="D2049" s="4" t="s">
        <v>6211</v>
      </c>
      <c r="E2049" s="4" t="s">
        <v>6205</v>
      </c>
      <c r="F2049" s="4" t="s">
        <v>6204</v>
      </c>
    </row>
    <row r="2050" customFormat="false" ht="15" hidden="false" customHeight="true" outlineLevel="0" collapsed="false">
      <c r="A2050" s="4" t="s">
        <v>2226</v>
      </c>
      <c r="B2050" s="13" t="n">
        <v>44996</v>
      </c>
      <c r="C2050" s="4" t="s">
        <v>6198</v>
      </c>
      <c r="D2050" s="4" t="s">
        <v>6195</v>
      </c>
      <c r="E2050" s="4" t="s">
        <v>6206</v>
      </c>
      <c r="F2050" s="4" t="s">
        <v>6204</v>
      </c>
    </row>
    <row r="2051" customFormat="false" ht="15" hidden="false" customHeight="true" outlineLevel="0" collapsed="false">
      <c r="A2051" s="4" t="s">
        <v>2227</v>
      </c>
      <c r="B2051" s="13" t="n">
        <v>44953</v>
      </c>
      <c r="C2051" s="4" t="s">
        <v>6201</v>
      </c>
      <c r="D2051" s="4" t="s">
        <v>6206</v>
      </c>
      <c r="E2051" s="4" t="s">
        <v>6211</v>
      </c>
      <c r="F2051" s="4" t="s">
        <v>6216</v>
      </c>
    </row>
    <row r="2052" customFormat="false" ht="15" hidden="false" customHeight="true" outlineLevel="0" collapsed="false">
      <c r="A2052" s="4" t="s">
        <v>2228</v>
      </c>
      <c r="B2052" s="13" t="n">
        <v>45650</v>
      </c>
      <c r="C2052" s="4" t="s">
        <v>6194</v>
      </c>
      <c r="D2052" s="4" t="s">
        <v>6207</v>
      </c>
      <c r="E2052" s="4" t="s">
        <v>6202</v>
      </c>
      <c r="F2052" s="4" t="s">
        <v>6212</v>
      </c>
    </row>
    <row r="2053" customFormat="false" ht="15" hidden="false" customHeight="true" outlineLevel="0" collapsed="false">
      <c r="A2053" s="4" t="s">
        <v>2229</v>
      </c>
      <c r="B2053" s="13" t="n">
        <v>45542</v>
      </c>
      <c r="C2053" s="4" t="s">
        <v>6210</v>
      </c>
      <c r="D2053" s="4" t="s">
        <v>6207</v>
      </c>
      <c r="E2053" s="4" t="s">
        <v>6211</v>
      </c>
      <c r="F2053" s="4" t="s">
        <v>6204</v>
      </c>
    </row>
    <row r="2054" customFormat="false" ht="15" hidden="false" customHeight="true" outlineLevel="0" collapsed="false">
      <c r="A2054" s="4" t="s">
        <v>2230</v>
      </c>
      <c r="B2054" s="13" t="n">
        <v>45312</v>
      </c>
      <c r="C2054" s="4" t="s">
        <v>6194</v>
      </c>
      <c r="D2054" s="4" t="s">
        <v>6195</v>
      </c>
      <c r="E2054" s="4" t="s">
        <v>6208</v>
      </c>
      <c r="F2054" s="4" t="s">
        <v>6200</v>
      </c>
    </row>
    <row r="2055" customFormat="false" ht="15" hidden="false" customHeight="true" outlineLevel="0" collapsed="false">
      <c r="A2055" s="4" t="s">
        <v>2231</v>
      </c>
      <c r="B2055" s="13" t="n">
        <v>45354</v>
      </c>
      <c r="C2055" s="4" t="s">
        <v>6215</v>
      </c>
      <c r="D2055" s="4" t="s">
        <v>6211</v>
      </c>
      <c r="E2055" s="4" t="s">
        <v>6199</v>
      </c>
      <c r="F2055" s="4" t="s">
        <v>6212</v>
      </c>
    </row>
    <row r="2056" customFormat="false" ht="15" hidden="false" customHeight="true" outlineLevel="0" collapsed="false">
      <c r="A2056" s="4" t="s">
        <v>2232</v>
      </c>
      <c r="B2056" s="13" t="n">
        <v>45598</v>
      </c>
      <c r="C2056" s="4" t="s">
        <v>6194</v>
      </c>
      <c r="D2056" s="4" t="s">
        <v>6211</v>
      </c>
      <c r="E2056" s="4" t="s">
        <v>6199</v>
      </c>
      <c r="F2056" s="4" t="s">
        <v>6197</v>
      </c>
    </row>
    <row r="2057" customFormat="false" ht="15" hidden="false" customHeight="true" outlineLevel="0" collapsed="false">
      <c r="A2057" s="4" t="s">
        <v>2233</v>
      </c>
      <c r="B2057" s="13" t="n">
        <v>45056</v>
      </c>
      <c r="C2057" s="4" t="s">
        <v>6209</v>
      </c>
      <c r="D2057" s="4" t="s">
        <v>6208</v>
      </c>
      <c r="E2057" s="4" t="s">
        <v>6208</v>
      </c>
      <c r="F2057" s="4" t="s">
        <v>6214</v>
      </c>
    </row>
    <row r="2058" customFormat="false" ht="15" hidden="false" customHeight="true" outlineLevel="0" collapsed="false">
      <c r="A2058" s="4" t="s">
        <v>2234</v>
      </c>
      <c r="B2058" s="13" t="n">
        <v>45399</v>
      </c>
      <c r="C2058" s="4" t="s">
        <v>6201</v>
      </c>
      <c r="D2058" s="4" t="s">
        <v>6211</v>
      </c>
      <c r="E2058" s="4" t="s">
        <v>6205</v>
      </c>
      <c r="F2058" s="4"/>
    </row>
    <row r="2059" customFormat="false" ht="15" hidden="false" customHeight="true" outlineLevel="0" collapsed="false">
      <c r="A2059" s="4" t="s">
        <v>2235</v>
      </c>
      <c r="B2059" s="13" t="n">
        <v>45063</v>
      </c>
      <c r="C2059" s="4" t="s">
        <v>6209</v>
      </c>
      <c r="D2059" s="4" t="s">
        <v>6206</v>
      </c>
      <c r="E2059" s="4" t="s">
        <v>6202</v>
      </c>
      <c r="F2059" s="4" t="s">
        <v>6212</v>
      </c>
    </row>
    <row r="2060" customFormat="false" ht="15" hidden="false" customHeight="true" outlineLevel="0" collapsed="false">
      <c r="A2060" s="4" t="s">
        <v>2236</v>
      </c>
      <c r="B2060" s="13" t="n">
        <v>45431</v>
      </c>
      <c r="C2060" s="4" t="s">
        <v>6215</v>
      </c>
      <c r="D2060" s="4" t="s">
        <v>6207</v>
      </c>
      <c r="E2060" s="4" t="s">
        <v>6195</v>
      </c>
      <c r="F2060" s="4" t="s">
        <v>6214</v>
      </c>
    </row>
    <row r="2061" customFormat="false" ht="15" hidden="false" customHeight="true" outlineLevel="0" collapsed="false">
      <c r="A2061" s="4" t="s">
        <v>2237</v>
      </c>
      <c r="B2061" s="13" t="n">
        <v>45505</v>
      </c>
      <c r="C2061" s="4" t="s">
        <v>6201</v>
      </c>
      <c r="D2061" s="4" t="s">
        <v>6205</v>
      </c>
      <c r="E2061" s="4" t="s">
        <v>6206</v>
      </c>
      <c r="F2061" s="4"/>
    </row>
    <row r="2062" customFormat="false" ht="15" hidden="false" customHeight="true" outlineLevel="0" collapsed="false">
      <c r="A2062" s="4" t="s">
        <v>2238</v>
      </c>
      <c r="B2062" s="13" t="n">
        <v>45179</v>
      </c>
      <c r="C2062" s="4" t="s">
        <v>6194</v>
      </c>
      <c r="D2062" s="4" t="s">
        <v>6203</v>
      </c>
      <c r="E2062" s="4" t="s">
        <v>6203</v>
      </c>
      <c r="F2062" s="4"/>
    </row>
    <row r="2063" customFormat="false" ht="15" hidden="false" customHeight="true" outlineLevel="0" collapsed="false">
      <c r="A2063" s="4" t="s">
        <v>2239</v>
      </c>
      <c r="B2063" s="13" t="n">
        <v>45010</v>
      </c>
      <c r="C2063" s="4" t="s">
        <v>6198</v>
      </c>
      <c r="D2063" s="4" t="s">
        <v>6196</v>
      </c>
      <c r="E2063" s="4" t="s">
        <v>6211</v>
      </c>
      <c r="F2063" s="4"/>
    </row>
    <row r="2064" customFormat="false" ht="15" hidden="false" customHeight="true" outlineLevel="0" collapsed="false">
      <c r="A2064" s="4" t="s">
        <v>2240</v>
      </c>
      <c r="B2064" s="13" t="n">
        <v>45516</v>
      </c>
      <c r="C2064" s="4" t="s">
        <v>6210</v>
      </c>
      <c r="D2064" s="4" t="s">
        <v>6195</v>
      </c>
      <c r="E2064" s="4" t="s">
        <v>6206</v>
      </c>
      <c r="F2064" s="4" t="s">
        <v>6204</v>
      </c>
    </row>
    <row r="2065" customFormat="false" ht="15" hidden="false" customHeight="true" outlineLevel="0" collapsed="false">
      <c r="A2065" s="4" t="s">
        <v>2241</v>
      </c>
      <c r="B2065" s="13" t="n">
        <v>45576</v>
      </c>
      <c r="C2065" s="4" t="s">
        <v>6213</v>
      </c>
      <c r="D2065" s="4" t="s">
        <v>6207</v>
      </c>
      <c r="E2065" s="4" t="s">
        <v>6211</v>
      </c>
      <c r="F2065" s="4" t="s">
        <v>6197</v>
      </c>
    </row>
    <row r="2066" customFormat="false" ht="15" hidden="false" customHeight="true" outlineLevel="0" collapsed="false">
      <c r="A2066" s="4" t="s">
        <v>2242</v>
      </c>
      <c r="B2066" s="13" t="n">
        <v>45598</v>
      </c>
      <c r="C2066" s="4" t="s">
        <v>6210</v>
      </c>
      <c r="D2066" s="4" t="s">
        <v>6202</v>
      </c>
      <c r="E2066" s="4" t="s">
        <v>6199</v>
      </c>
      <c r="F2066" s="4"/>
    </row>
    <row r="2067" customFormat="false" ht="15" hidden="false" customHeight="true" outlineLevel="0" collapsed="false">
      <c r="A2067" s="4" t="s">
        <v>2243</v>
      </c>
      <c r="B2067" s="13" t="n">
        <v>45363</v>
      </c>
      <c r="C2067" s="4" t="s">
        <v>6194</v>
      </c>
      <c r="D2067" s="4" t="s">
        <v>6207</v>
      </c>
      <c r="E2067" s="4" t="s">
        <v>6195</v>
      </c>
      <c r="F2067" s="4" t="s">
        <v>6212</v>
      </c>
    </row>
    <row r="2068" customFormat="false" ht="15" hidden="false" customHeight="true" outlineLevel="0" collapsed="false">
      <c r="A2068" s="4" t="s">
        <v>2244</v>
      </c>
      <c r="B2068" s="13" t="n">
        <v>45316</v>
      </c>
      <c r="C2068" s="4" t="s">
        <v>6215</v>
      </c>
      <c r="D2068" s="4" t="s">
        <v>6195</v>
      </c>
      <c r="E2068" s="4" t="s">
        <v>6208</v>
      </c>
      <c r="F2068" s="4" t="s">
        <v>6200</v>
      </c>
    </row>
    <row r="2069" customFormat="false" ht="15" hidden="false" customHeight="true" outlineLevel="0" collapsed="false">
      <c r="A2069" s="4" t="s">
        <v>2245</v>
      </c>
      <c r="B2069" s="13" t="n">
        <v>45300</v>
      </c>
      <c r="C2069" s="4" t="s">
        <v>6194</v>
      </c>
      <c r="D2069" s="4" t="s">
        <v>6205</v>
      </c>
      <c r="E2069" s="4" t="s">
        <v>6205</v>
      </c>
      <c r="F2069" s="4"/>
    </row>
    <row r="2070" customFormat="false" ht="15" hidden="false" customHeight="true" outlineLevel="0" collapsed="false">
      <c r="A2070" s="4" t="s">
        <v>2246</v>
      </c>
      <c r="B2070" s="13" t="n">
        <v>45586</v>
      </c>
      <c r="C2070" s="4" t="s">
        <v>6194</v>
      </c>
      <c r="D2070" s="4" t="s">
        <v>6205</v>
      </c>
      <c r="E2070" s="4" t="s">
        <v>6195</v>
      </c>
      <c r="F2070" s="4" t="s">
        <v>6200</v>
      </c>
    </row>
    <row r="2071" customFormat="false" ht="15" hidden="false" customHeight="true" outlineLevel="0" collapsed="false">
      <c r="A2071" s="4" t="s">
        <v>2247</v>
      </c>
      <c r="B2071" s="13" t="n">
        <v>45575</v>
      </c>
      <c r="C2071" s="4" t="s">
        <v>6201</v>
      </c>
      <c r="D2071" s="4" t="s">
        <v>6206</v>
      </c>
      <c r="E2071" s="4" t="s">
        <v>6207</v>
      </c>
      <c r="F2071" s="4" t="s">
        <v>6200</v>
      </c>
    </row>
    <row r="2072" customFormat="false" ht="15" hidden="false" customHeight="true" outlineLevel="0" collapsed="false">
      <c r="A2072" s="4" t="s">
        <v>2248</v>
      </c>
      <c r="B2072" s="13" t="n">
        <v>45147</v>
      </c>
      <c r="C2072" s="4" t="s">
        <v>6210</v>
      </c>
      <c r="D2072" s="4" t="s">
        <v>6211</v>
      </c>
      <c r="E2072" s="4" t="s">
        <v>6211</v>
      </c>
      <c r="F2072" s="4" t="s">
        <v>6200</v>
      </c>
    </row>
    <row r="2073" customFormat="false" ht="15" hidden="false" customHeight="true" outlineLevel="0" collapsed="false">
      <c r="A2073" s="4" t="s">
        <v>2249</v>
      </c>
      <c r="B2073" s="13" t="n">
        <v>45278</v>
      </c>
      <c r="C2073" s="4" t="s">
        <v>6213</v>
      </c>
      <c r="D2073" s="4" t="s">
        <v>6205</v>
      </c>
      <c r="E2073" s="4" t="s">
        <v>6195</v>
      </c>
      <c r="F2073" s="4"/>
    </row>
    <row r="2074" customFormat="false" ht="15" hidden="false" customHeight="true" outlineLevel="0" collapsed="false">
      <c r="A2074" s="4" t="s">
        <v>2250</v>
      </c>
      <c r="B2074" s="13" t="n">
        <v>45028</v>
      </c>
      <c r="C2074" s="4" t="s">
        <v>6198</v>
      </c>
      <c r="D2074" s="4" t="s">
        <v>6205</v>
      </c>
      <c r="E2074" s="4" t="s">
        <v>6196</v>
      </c>
      <c r="F2074" s="4" t="s">
        <v>6200</v>
      </c>
    </row>
    <row r="2075" customFormat="false" ht="15" hidden="false" customHeight="true" outlineLevel="0" collapsed="false">
      <c r="A2075" s="4" t="s">
        <v>2251</v>
      </c>
      <c r="B2075" s="13" t="n">
        <v>45540</v>
      </c>
      <c r="C2075" s="4" t="s">
        <v>6201</v>
      </c>
      <c r="D2075" s="4" t="s">
        <v>6202</v>
      </c>
      <c r="E2075" s="4" t="s">
        <v>6203</v>
      </c>
      <c r="F2075" s="4" t="s">
        <v>6216</v>
      </c>
    </row>
    <row r="2076" customFormat="false" ht="15" hidden="false" customHeight="true" outlineLevel="0" collapsed="false">
      <c r="A2076" s="4" t="s">
        <v>2252</v>
      </c>
      <c r="B2076" s="13" t="n">
        <v>45250</v>
      </c>
      <c r="C2076" s="4" t="s">
        <v>6209</v>
      </c>
      <c r="D2076" s="4" t="s">
        <v>6207</v>
      </c>
      <c r="E2076" s="4" t="s">
        <v>6199</v>
      </c>
      <c r="F2076" s="4"/>
    </row>
    <row r="2077" customFormat="false" ht="15" hidden="false" customHeight="true" outlineLevel="0" collapsed="false">
      <c r="A2077" s="4" t="s">
        <v>2253</v>
      </c>
      <c r="B2077" s="13" t="n">
        <v>45088</v>
      </c>
      <c r="C2077" s="4" t="s">
        <v>6198</v>
      </c>
      <c r="D2077" s="4" t="s">
        <v>6199</v>
      </c>
      <c r="E2077" s="4" t="s">
        <v>6196</v>
      </c>
      <c r="F2077" s="4"/>
    </row>
    <row r="2078" customFormat="false" ht="15" hidden="false" customHeight="true" outlineLevel="0" collapsed="false">
      <c r="A2078" s="4" t="s">
        <v>2254</v>
      </c>
      <c r="B2078" s="13" t="n">
        <v>45556</v>
      </c>
      <c r="C2078" s="4" t="s">
        <v>6201</v>
      </c>
      <c r="D2078" s="4" t="s">
        <v>6207</v>
      </c>
      <c r="E2078" s="4" t="s">
        <v>6203</v>
      </c>
      <c r="F2078" s="4" t="s">
        <v>6212</v>
      </c>
    </row>
    <row r="2079" customFormat="false" ht="15" hidden="false" customHeight="true" outlineLevel="0" collapsed="false">
      <c r="A2079" s="4" t="s">
        <v>2255</v>
      </c>
      <c r="B2079" s="13" t="n">
        <v>45154</v>
      </c>
      <c r="C2079" s="4" t="s">
        <v>6213</v>
      </c>
      <c r="D2079" s="4" t="s">
        <v>6199</v>
      </c>
      <c r="E2079" s="4" t="s">
        <v>6205</v>
      </c>
      <c r="F2079" s="4" t="s">
        <v>6216</v>
      </c>
    </row>
    <row r="2080" customFormat="false" ht="15" hidden="false" customHeight="true" outlineLevel="0" collapsed="false">
      <c r="A2080" s="4" t="s">
        <v>2256</v>
      </c>
      <c r="B2080" s="13" t="n">
        <v>45032</v>
      </c>
      <c r="C2080" s="4" t="s">
        <v>6213</v>
      </c>
      <c r="D2080" s="4" t="s">
        <v>6195</v>
      </c>
      <c r="E2080" s="4" t="s">
        <v>6205</v>
      </c>
      <c r="F2080" s="4"/>
    </row>
    <row r="2081" customFormat="false" ht="15" hidden="false" customHeight="true" outlineLevel="0" collapsed="false">
      <c r="A2081" s="4" t="s">
        <v>2257</v>
      </c>
      <c r="B2081" s="13" t="n">
        <v>45122</v>
      </c>
      <c r="C2081" s="4" t="s">
        <v>6210</v>
      </c>
      <c r="D2081" s="4" t="s">
        <v>6203</v>
      </c>
      <c r="E2081" s="4" t="s">
        <v>6206</v>
      </c>
      <c r="F2081" s="4" t="s">
        <v>6204</v>
      </c>
    </row>
    <row r="2082" customFormat="false" ht="15" hidden="false" customHeight="true" outlineLevel="0" collapsed="false">
      <c r="A2082" s="4" t="s">
        <v>2258</v>
      </c>
      <c r="B2082" s="13" t="n">
        <v>45500</v>
      </c>
      <c r="C2082" s="4" t="s">
        <v>6210</v>
      </c>
      <c r="D2082" s="4" t="s">
        <v>6195</v>
      </c>
      <c r="E2082" s="4" t="s">
        <v>6206</v>
      </c>
      <c r="F2082" s="4" t="s">
        <v>6204</v>
      </c>
    </row>
    <row r="2083" customFormat="false" ht="15" hidden="false" customHeight="true" outlineLevel="0" collapsed="false">
      <c r="A2083" s="4" t="s">
        <v>2259</v>
      </c>
      <c r="B2083" s="13" t="n">
        <v>45606</v>
      </c>
      <c r="C2083" s="4" t="s">
        <v>6213</v>
      </c>
      <c r="D2083" s="4" t="s">
        <v>6199</v>
      </c>
      <c r="E2083" s="4" t="s">
        <v>6205</v>
      </c>
      <c r="F2083" s="4" t="s">
        <v>6204</v>
      </c>
    </row>
    <row r="2084" customFormat="false" ht="15" hidden="false" customHeight="true" outlineLevel="0" collapsed="false">
      <c r="A2084" s="4" t="s">
        <v>2260</v>
      </c>
      <c r="B2084" s="13" t="n">
        <v>45406</v>
      </c>
      <c r="C2084" s="4" t="s">
        <v>6198</v>
      </c>
      <c r="D2084" s="4" t="s">
        <v>6205</v>
      </c>
      <c r="E2084" s="4" t="s">
        <v>6196</v>
      </c>
      <c r="F2084" s="4" t="s">
        <v>6197</v>
      </c>
    </row>
    <row r="2085" customFormat="false" ht="15" hidden="false" customHeight="true" outlineLevel="0" collapsed="false">
      <c r="A2085" s="4" t="s">
        <v>2261</v>
      </c>
      <c r="B2085" s="13" t="n">
        <v>45332</v>
      </c>
      <c r="C2085" s="4" t="s">
        <v>6210</v>
      </c>
      <c r="D2085" s="4" t="s">
        <v>6196</v>
      </c>
      <c r="E2085" s="4" t="s">
        <v>6206</v>
      </c>
      <c r="F2085" s="4"/>
    </row>
    <row r="2086" customFormat="false" ht="15" hidden="false" customHeight="true" outlineLevel="0" collapsed="false">
      <c r="A2086" s="4" t="s">
        <v>2262</v>
      </c>
      <c r="B2086" s="13" t="n">
        <v>45546</v>
      </c>
      <c r="C2086" s="4" t="s">
        <v>6198</v>
      </c>
      <c r="D2086" s="4" t="s">
        <v>6206</v>
      </c>
      <c r="E2086" s="4" t="s">
        <v>6208</v>
      </c>
      <c r="F2086" s="4" t="s">
        <v>6216</v>
      </c>
    </row>
    <row r="2087" customFormat="false" ht="15" hidden="false" customHeight="true" outlineLevel="0" collapsed="false">
      <c r="A2087" s="4" t="s">
        <v>2263</v>
      </c>
      <c r="B2087" s="13" t="n">
        <v>45476</v>
      </c>
      <c r="C2087" s="4" t="s">
        <v>6209</v>
      </c>
      <c r="D2087" s="4" t="s">
        <v>6205</v>
      </c>
      <c r="E2087" s="4" t="s">
        <v>6206</v>
      </c>
      <c r="F2087" s="4" t="s">
        <v>6212</v>
      </c>
    </row>
    <row r="2088" customFormat="false" ht="15" hidden="false" customHeight="true" outlineLevel="0" collapsed="false">
      <c r="A2088" s="4" t="s">
        <v>2264</v>
      </c>
      <c r="B2088" s="13" t="n">
        <v>45261</v>
      </c>
      <c r="C2088" s="4" t="s">
        <v>6194</v>
      </c>
      <c r="D2088" s="4" t="s">
        <v>6199</v>
      </c>
      <c r="E2088" s="4" t="s">
        <v>6205</v>
      </c>
      <c r="F2088" s="4" t="s">
        <v>6216</v>
      </c>
    </row>
    <row r="2089" customFormat="false" ht="15" hidden="false" customHeight="true" outlineLevel="0" collapsed="false">
      <c r="A2089" s="4" t="s">
        <v>2265</v>
      </c>
      <c r="B2089" s="13" t="n">
        <v>45283</v>
      </c>
      <c r="C2089" s="4" t="s">
        <v>6201</v>
      </c>
      <c r="D2089" s="4" t="s">
        <v>6206</v>
      </c>
      <c r="E2089" s="4" t="s">
        <v>6202</v>
      </c>
      <c r="F2089" s="4" t="s">
        <v>6200</v>
      </c>
    </row>
    <row r="2090" customFormat="false" ht="15" hidden="false" customHeight="true" outlineLevel="0" collapsed="false">
      <c r="A2090" s="4" t="s">
        <v>2266</v>
      </c>
      <c r="B2090" s="13" t="n">
        <v>45457</v>
      </c>
      <c r="C2090" s="4" t="s">
        <v>6210</v>
      </c>
      <c r="D2090" s="4" t="s">
        <v>6206</v>
      </c>
      <c r="E2090" s="4" t="s">
        <v>6196</v>
      </c>
      <c r="F2090" s="4" t="s">
        <v>6216</v>
      </c>
    </row>
    <row r="2091" customFormat="false" ht="15" hidden="false" customHeight="true" outlineLevel="0" collapsed="false">
      <c r="A2091" s="4" t="s">
        <v>2267</v>
      </c>
      <c r="B2091" s="13" t="n">
        <v>45509</v>
      </c>
      <c r="C2091" s="4" t="s">
        <v>6215</v>
      </c>
      <c r="D2091" s="4" t="s">
        <v>6202</v>
      </c>
      <c r="E2091" s="4" t="s">
        <v>6199</v>
      </c>
      <c r="F2091" s="4" t="s">
        <v>6212</v>
      </c>
    </row>
    <row r="2092" customFormat="false" ht="15" hidden="false" customHeight="true" outlineLevel="0" collapsed="false">
      <c r="A2092" s="4" t="s">
        <v>2268</v>
      </c>
      <c r="B2092" s="13" t="n">
        <v>45092</v>
      </c>
      <c r="C2092" s="4" t="s">
        <v>6215</v>
      </c>
      <c r="D2092" s="4" t="s">
        <v>6211</v>
      </c>
      <c r="E2092" s="4" t="s">
        <v>6211</v>
      </c>
      <c r="F2092" s="4" t="s">
        <v>6200</v>
      </c>
    </row>
    <row r="2093" customFormat="false" ht="15" hidden="false" customHeight="true" outlineLevel="0" collapsed="false">
      <c r="A2093" s="4" t="s">
        <v>2269</v>
      </c>
      <c r="B2093" s="13" t="n">
        <v>45323</v>
      </c>
      <c r="C2093" s="4" t="s">
        <v>6209</v>
      </c>
      <c r="D2093" s="4" t="s">
        <v>6202</v>
      </c>
      <c r="E2093" s="4" t="s">
        <v>6211</v>
      </c>
      <c r="F2093" s="4" t="s">
        <v>6197</v>
      </c>
    </row>
    <row r="2094" customFormat="false" ht="15" hidden="false" customHeight="true" outlineLevel="0" collapsed="false">
      <c r="A2094" s="4" t="s">
        <v>2270</v>
      </c>
      <c r="B2094" s="13" t="n">
        <v>44985</v>
      </c>
      <c r="C2094" s="4" t="s">
        <v>6210</v>
      </c>
      <c r="D2094" s="4" t="s">
        <v>6195</v>
      </c>
      <c r="E2094" s="4" t="s">
        <v>6211</v>
      </c>
      <c r="F2094" s="4" t="s">
        <v>6204</v>
      </c>
    </row>
    <row r="2095" customFormat="false" ht="15" hidden="false" customHeight="true" outlineLevel="0" collapsed="false">
      <c r="A2095" s="4" t="s">
        <v>2271</v>
      </c>
      <c r="B2095" s="13" t="n">
        <v>45465</v>
      </c>
      <c r="C2095" s="4" t="s">
        <v>6210</v>
      </c>
      <c r="D2095" s="4" t="s">
        <v>6203</v>
      </c>
      <c r="E2095" s="4" t="s">
        <v>6205</v>
      </c>
      <c r="F2095" s="4"/>
    </row>
    <row r="2096" customFormat="false" ht="15" hidden="false" customHeight="true" outlineLevel="0" collapsed="false">
      <c r="A2096" s="4" t="s">
        <v>2272</v>
      </c>
      <c r="B2096" s="13" t="n">
        <v>45009</v>
      </c>
      <c r="C2096" s="4" t="s">
        <v>6194</v>
      </c>
      <c r="D2096" s="4" t="s">
        <v>6202</v>
      </c>
      <c r="E2096" s="4" t="s">
        <v>6195</v>
      </c>
      <c r="F2096" s="4" t="s">
        <v>6212</v>
      </c>
    </row>
    <row r="2097" customFormat="false" ht="15" hidden="false" customHeight="true" outlineLevel="0" collapsed="false">
      <c r="A2097" s="4" t="s">
        <v>2273</v>
      </c>
      <c r="B2097" s="13" t="n">
        <v>45327</v>
      </c>
      <c r="C2097" s="4" t="s">
        <v>6213</v>
      </c>
      <c r="D2097" s="4" t="s">
        <v>6208</v>
      </c>
      <c r="E2097" s="4" t="s">
        <v>6211</v>
      </c>
      <c r="F2097" s="4" t="s">
        <v>6212</v>
      </c>
    </row>
    <row r="2098" customFormat="false" ht="15" hidden="false" customHeight="true" outlineLevel="0" collapsed="false">
      <c r="A2098" s="4" t="s">
        <v>2274</v>
      </c>
      <c r="B2098" s="13" t="n">
        <v>45544</v>
      </c>
      <c r="C2098" s="4" t="s">
        <v>6213</v>
      </c>
      <c r="D2098" s="4" t="s">
        <v>6196</v>
      </c>
      <c r="E2098" s="4" t="s">
        <v>6195</v>
      </c>
      <c r="F2098" s="4"/>
    </row>
    <row r="2099" customFormat="false" ht="15" hidden="false" customHeight="true" outlineLevel="0" collapsed="false">
      <c r="A2099" s="4" t="s">
        <v>2275</v>
      </c>
      <c r="B2099" s="13" t="n">
        <v>45587</v>
      </c>
      <c r="C2099" s="4" t="s">
        <v>6213</v>
      </c>
      <c r="D2099" s="4" t="s">
        <v>6211</v>
      </c>
      <c r="E2099" s="4" t="s">
        <v>6211</v>
      </c>
      <c r="F2099" s="4" t="s">
        <v>6197</v>
      </c>
    </row>
    <row r="2100" customFormat="false" ht="15" hidden="false" customHeight="true" outlineLevel="0" collapsed="false">
      <c r="A2100" s="4" t="s">
        <v>2276</v>
      </c>
      <c r="B2100" s="13" t="n">
        <v>45644</v>
      </c>
      <c r="C2100" s="4" t="s">
        <v>6210</v>
      </c>
      <c r="D2100" s="4" t="s">
        <v>6203</v>
      </c>
      <c r="E2100" s="4" t="s">
        <v>6199</v>
      </c>
      <c r="F2100" s="4" t="s">
        <v>6197</v>
      </c>
    </row>
    <row r="2101" customFormat="false" ht="15" hidden="false" customHeight="true" outlineLevel="0" collapsed="false">
      <c r="A2101" s="4" t="s">
        <v>2277</v>
      </c>
      <c r="B2101" s="13" t="n">
        <v>45062</v>
      </c>
      <c r="C2101" s="4" t="s">
        <v>6201</v>
      </c>
      <c r="D2101" s="4" t="s">
        <v>6206</v>
      </c>
      <c r="E2101" s="4" t="s">
        <v>6211</v>
      </c>
      <c r="F2101" s="4"/>
    </row>
    <row r="2102" customFormat="false" ht="15" hidden="false" customHeight="true" outlineLevel="0" collapsed="false">
      <c r="A2102" s="4" t="s">
        <v>2278</v>
      </c>
      <c r="B2102" s="13" t="n">
        <v>44975</v>
      </c>
      <c r="C2102" s="4" t="s">
        <v>6209</v>
      </c>
      <c r="D2102" s="4" t="s">
        <v>6196</v>
      </c>
      <c r="E2102" s="4" t="s">
        <v>6196</v>
      </c>
      <c r="F2102" s="4" t="s">
        <v>6197</v>
      </c>
    </row>
    <row r="2103" customFormat="false" ht="15" hidden="false" customHeight="true" outlineLevel="0" collapsed="false">
      <c r="A2103" s="4" t="s">
        <v>2279</v>
      </c>
      <c r="B2103" s="13" t="n">
        <v>45044</v>
      </c>
      <c r="C2103" s="4" t="s">
        <v>6194</v>
      </c>
      <c r="D2103" s="4" t="s">
        <v>6196</v>
      </c>
      <c r="E2103" s="4" t="s">
        <v>6211</v>
      </c>
      <c r="F2103" s="4" t="s">
        <v>6200</v>
      </c>
    </row>
    <row r="2104" customFormat="false" ht="15" hidden="false" customHeight="true" outlineLevel="0" collapsed="false">
      <c r="A2104" s="4" t="s">
        <v>2280</v>
      </c>
      <c r="B2104" s="13" t="n">
        <v>45606</v>
      </c>
      <c r="C2104" s="4" t="s">
        <v>6210</v>
      </c>
      <c r="D2104" s="4" t="s">
        <v>6202</v>
      </c>
      <c r="E2104" s="4" t="s">
        <v>6211</v>
      </c>
      <c r="F2104" s="4" t="s">
        <v>6200</v>
      </c>
    </row>
    <row r="2105" customFormat="false" ht="15" hidden="false" customHeight="true" outlineLevel="0" collapsed="false">
      <c r="A2105" s="4" t="s">
        <v>2281</v>
      </c>
      <c r="B2105" s="13" t="n">
        <v>45366</v>
      </c>
      <c r="C2105" s="4" t="s">
        <v>6201</v>
      </c>
      <c r="D2105" s="4" t="s">
        <v>6196</v>
      </c>
      <c r="E2105" s="4" t="s">
        <v>6205</v>
      </c>
      <c r="F2105" s="4"/>
    </row>
    <row r="2106" customFormat="false" ht="15" hidden="false" customHeight="true" outlineLevel="0" collapsed="false">
      <c r="A2106" s="4" t="s">
        <v>2282</v>
      </c>
      <c r="B2106" s="13" t="n">
        <v>45560</v>
      </c>
      <c r="C2106" s="4" t="s">
        <v>6201</v>
      </c>
      <c r="D2106" s="4" t="s">
        <v>6199</v>
      </c>
      <c r="E2106" s="4" t="s">
        <v>6205</v>
      </c>
      <c r="F2106" s="4" t="s">
        <v>6216</v>
      </c>
    </row>
    <row r="2107" customFormat="false" ht="15" hidden="false" customHeight="true" outlineLevel="0" collapsed="false">
      <c r="A2107" s="4" t="s">
        <v>2283</v>
      </c>
      <c r="B2107" s="13" t="n">
        <v>45414</v>
      </c>
      <c r="C2107" s="4" t="s">
        <v>6215</v>
      </c>
      <c r="D2107" s="4" t="s">
        <v>6195</v>
      </c>
      <c r="E2107" s="4" t="s">
        <v>6199</v>
      </c>
      <c r="F2107" s="4" t="s">
        <v>6212</v>
      </c>
    </row>
    <row r="2108" customFormat="false" ht="15" hidden="false" customHeight="true" outlineLevel="0" collapsed="false">
      <c r="A2108" s="4" t="s">
        <v>2284</v>
      </c>
      <c r="B2108" s="13" t="n">
        <v>45377</v>
      </c>
      <c r="C2108" s="4" t="s">
        <v>6201</v>
      </c>
      <c r="D2108" s="4" t="s">
        <v>6196</v>
      </c>
      <c r="E2108" s="4" t="s">
        <v>6211</v>
      </c>
      <c r="F2108" s="4"/>
    </row>
    <row r="2109" customFormat="false" ht="15" hidden="false" customHeight="true" outlineLevel="0" collapsed="false">
      <c r="A2109" s="4" t="s">
        <v>2285</v>
      </c>
      <c r="B2109" s="13" t="n">
        <v>45275</v>
      </c>
      <c r="C2109" s="4" t="s">
        <v>6194</v>
      </c>
      <c r="D2109" s="4" t="s">
        <v>6205</v>
      </c>
      <c r="E2109" s="4" t="s">
        <v>6199</v>
      </c>
      <c r="F2109" s="4"/>
    </row>
    <row r="2110" customFormat="false" ht="15" hidden="false" customHeight="true" outlineLevel="0" collapsed="false">
      <c r="A2110" s="4" t="s">
        <v>2286</v>
      </c>
      <c r="B2110" s="13" t="n">
        <v>45268</v>
      </c>
      <c r="C2110" s="4" t="s">
        <v>6210</v>
      </c>
      <c r="D2110" s="4" t="s">
        <v>6207</v>
      </c>
      <c r="E2110" s="4" t="s">
        <v>6196</v>
      </c>
      <c r="F2110" s="4" t="s">
        <v>6197</v>
      </c>
    </row>
    <row r="2111" customFormat="false" ht="15" hidden="false" customHeight="true" outlineLevel="0" collapsed="false">
      <c r="A2111" s="4" t="s">
        <v>2287</v>
      </c>
      <c r="B2111" s="13" t="n">
        <v>45518</v>
      </c>
      <c r="C2111" s="4" t="s">
        <v>6215</v>
      </c>
      <c r="D2111" s="4" t="s">
        <v>6208</v>
      </c>
      <c r="E2111" s="4" t="s">
        <v>6211</v>
      </c>
      <c r="F2111" s="4" t="s">
        <v>6197</v>
      </c>
    </row>
    <row r="2112" customFormat="false" ht="15" hidden="false" customHeight="true" outlineLevel="0" collapsed="false">
      <c r="A2112" s="4" t="s">
        <v>2288</v>
      </c>
      <c r="B2112" s="13" t="n">
        <v>45210</v>
      </c>
      <c r="C2112" s="4" t="s">
        <v>6210</v>
      </c>
      <c r="D2112" s="4" t="s">
        <v>6199</v>
      </c>
      <c r="E2112" s="4" t="s">
        <v>6203</v>
      </c>
      <c r="F2112" s="4" t="s">
        <v>6216</v>
      </c>
    </row>
    <row r="2113" customFormat="false" ht="15" hidden="false" customHeight="true" outlineLevel="0" collapsed="false">
      <c r="A2113" s="4" t="s">
        <v>2289</v>
      </c>
      <c r="B2113" s="13" t="n">
        <v>45641</v>
      </c>
      <c r="C2113" s="4" t="s">
        <v>6210</v>
      </c>
      <c r="D2113" s="4" t="s">
        <v>6196</v>
      </c>
      <c r="E2113" s="4" t="s">
        <v>6211</v>
      </c>
      <c r="F2113" s="4"/>
    </row>
    <row r="2114" customFormat="false" ht="15" hidden="false" customHeight="true" outlineLevel="0" collapsed="false">
      <c r="A2114" s="4" t="s">
        <v>2290</v>
      </c>
      <c r="B2114" s="13" t="n">
        <v>45108</v>
      </c>
      <c r="C2114" s="4" t="s">
        <v>6201</v>
      </c>
      <c r="D2114" s="4" t="s">
        <v>6199</v>
      </c>
      <c r="E2114" s="4" t="s">
        <v>6203</v>
      </c>
      <c r="F2114" s="4"/>
    </row>
    <row r="2115" customFormat="false" ht="15" hidden="false" customHeight="true" outlineLevel="0" collapsed="false">
      <c r="A2115" s="4" t="s">
        <v>2291</v>
      </c>
      <c r="B2115" s="13" t="n">
        <v>45012</v>
      </c>
      <c r="C2115" s="4" t="s">
        <v>6194</v>
      </c>
      <c r="D2115" s="4" t="s">
        <v>6202</v>
      </c>
      <c r="E2115" s="4" t="s">
        <v>6199</v>
      </c>
      <c r="F2115" s="4" t="s">
        <v>6212</v>
      </c>
    </row>
    <row r="2116" customFormat="false" ht="15" hidden="false" customHeight="true" outlineLevel="0" collapsed="false">
      <c r="A2116" s="4" t="s">
        <v>2292</v>
      </c>
      <c r="B2116" s="13" t="n">
        <v>45368</v>
      </c>
      <c r="C2116" s="4" t="s">
        <v>6198</v>
      </c>
      <c r="D2116" s="4" t="s">
        <v>6199</v>
      </c>
      <c r="E2116" s="4" t="s">
        <v>6211</v>
      </c>
      <c r="F2116" s="4"/>
    </row>
    <row r="2117" customFormat="false" ht="15" hidden="false" customHeight="true" outlineLevel="0" collapsed="false">
      <c r="A2117" s="4" t="s">
        <v>2293</v>
      </c>
      <c r="B2117" s="13" t="n">
        <v>45450</v>
      </c>
      <c r="C2117" s="4" t="s">
        <v>6198</v>
      </c>
      <c r="D2117" s="4" t="s">
        <v>6202</v>
      </c>
      <c r="E2117" s="4" t="s">
        <v>6208</v>
      </c>
      <c r="F2117" s="4" t="s">
        <v>6212</v>
      </c>
    </row>
    <row r="2118" customFormat="false" ht="15" hidden="false" customHeight="true" outlineLevel="0" collapsed="false">
      <c r="A2118" s="4" t="s">
        <v>2294</v>
      </c>
      <c r="B2118" s="13" t="n">
        <v>45191</v>
      </c>
      <c r="C2118" s="4" t="s">
        <v>6198</v>
      </c>
      <c r="D2118" s="4" t="s">
        <v>6211</v>
      </c>
      <c r="E2118" s="4" t="s">
        <v>6199</v>
      </c>
      <c r="F2118" s="4" t="s">
        <v>6212</v>
      </c>
    </row>
    <row r="2119" customFormat="false" ht="15" hidden="false" customHeight="true" outlineLevel="0" collapsed="false">
      <c r="A2119" s="4" t="s">
        <v>2295</v>
      </c>
      <c r="B2119" s="13" t="n">
        <v>45445</v>
      </c>
      <c r="C2119" s="4" t="s">
        <v>6210</v>
      </c>
      <c r="D2119" s="4" t="s">
        <v>6211</v>
      </c>
      <c r="E2119" s="4" t="s">
        <v>6199</v>
      </c>
      <c r="F2119" s="4" t="s">
        <v>6212</v>
      </c>
    </row>
    <row r="2120" customFormat="false" ht="15" hidden="false" customHeight="true" outlineLevel="0" collapsed="false">
      <c r="A2120" s="4" t="s">
        <v>2296</v>
      </c>
      <c r="B2120" s="13" t="n">
        <v>45358</v>
      </c>
      <c r="C2120" s="4" t="s">
        <v>6201</v>
      </c>
      <c r="D2120" s="4" t="s">
        <v>6195</v>
      </c>
      <c r="E2120" s="4" t="s">
        <v>6202</v>
      </c>
      <c r="F2120" s="4"/>
    </row>
    <row r="2121" customFormat="false" ht="15" hidden="false" customHeight="true" outlineLevel="0" collapsed="false">
      <c r="A2121" s="4" t="s">
        <v>2297</v>
      </c>
      <c r="B2121" s="13" t="n">
        <v>45370</v>
      </c>
      <c r="C2121" s="4" t="s">
        <v>6210</v>
      </c>
      <c r="D2121" s="4" t="s">
        <v>6207</v>
      </c>
      <c r="E2121" s="4" t="s">
        <v>6199</v>
      </c>
      <c r="F2121" s="4"/>
    </row>
    <row r="2122" customFormat="false" ht="15" hidden="false" customHeight="true" outlineLevel="0" collapsed="false">
      <c r="A2122" s="4" t="s">
        <v>2298</v>
      </c>
      <c r="B2122" s="13" t="n">
        <v>45053</v>
      </c>
      <c r="C2122" s="4" t="s">
        <v>6213</v>
      </c>
      <c r="D2122" s="4" t="s">
        <v>6195</v>
      </c>
      <c r="E2122" s="4" t="s">
        <v>6205</v>
      </c>
      <c r="F2122" s="4" t="s">
        <v>6204</v>
      </c>
    </row>
    <row r="2123" customFormat="false" ht="15" hidden="false" customHeight="true" outlineLevel="0" collapsed="false">
      <c r="A2123" s="4" t="s">
        <v>2299</v>
      </c>
      <c r="B2123" s="13" t="n">
        <v>45000</v>
      </c>
      <c r="C2123" s="4" t="s">
        <v>6215</v>
      </c>
      <c r="D2123" s="4" t="s">
        <v>6207</v>
      </c>
      <c r="E2123" s="4" t="s">
        <v>6211</v>
      </c>
      <c r="F2123" s="4" t="s">
        <v>6216</v>
      </c>
    </row>
    <row r="2124" customFormat="false" ht="15" hidden="false" customHeight="true" outlineLevel="0" collapsed="false">
      <c r="A2124" s="4" t="s">
        <v>2300</v>
      </c>
      <c r="B2124" s="13" t="n">
        <v>45653</v>
      </c>
      <c r="C2124" s="4" t="s">
        <v>6194</v>
      </c>
      <c r="D2124" s="4" t="s">
        <v>6206</v>
      </c>
      <c r="E2124" s="4" t="s">
        <v>6196</v>
      </c>
      <c r="F2124" s="4" t="s">
        <v>6200</v>
      </c>
    </row>
    <row r="2125" customFormat="false" ht="15" hidden="false" customHeight="true" outlineLevel="0" collapsed="false">
      <c r="A2125" s="4" t="s">
        <v>2301</v>
      </c>
      <c r="B2125" s="13" t="n">
        <v>45616</v>
      </c>
      <c r="C2125" s="4" t="s">
        <v>6201</v>
      </c>
      <c r="D2125" s="4" t="s">
        <v>6208</v>
      </c>
      <c r="E2125" s="4" t="s">
        <v>6211</v>
      </c>
      <c r="F2125" s="4" t="s">
        <v>6216</v>
      </c>
    </row>
    <row r="2126" customFormat="false" ht="15" hidden="false" customHeight="true" outlineLevel="0" collapsed="false">
      <c r="A2126" s="4" t="s">
        <v>2302</v>
      </c>
      <c r="B2126" s="13" t="n">
        <v>45180</v>
      </c>
      <c r="C2126" s="4" t="s">
        <v>6210</v>
      </c>
      <c r="D2126" s="4" t="s">
        <v>6207</v>
      </c>
      <c r="E2126" s="4" t="s">
        <v>6205</v>
      </c>
      <c r="F2126" s="4"/>
    </row>
    <row r="2127" customFormat="false" ht="15" hidden="false" customHeight="true" outlineLevel="0" collapsed="false">
      <c r="A2127" s="4" t="s">
        <v>2303</v>
      </c>
      <c r="B2127" s="13" t="n">
        <v>45093</v>
      </c>
      <c r="C2127" s="4" t="s">
        <v>6215</v>
      </c>
      <c r="D2127" s="4" t="s">
        <v>6195</v>
      </c>
      <c r="E2127" s="4" t="s">
        <v>6196</v>
      </c>
      <c r="F2127" s="4" t="s">
        <v>6212</v>
      </c>
    </row>
    <row r="2128" customFormat="false" ht="15" hidden="false" customHeight="true" outlineLevel="0" collapsed="false">
      <c r="A2128" s="4" t="s">
        <v>2304</v>
      </c>
      <c r="B2128" s="13" t="n">
        <v>45194</v>
      </c>
      <c r="C2128" s="4" t="s">
        <v>6194</v>
      </c>
      <c r="D2128" s="4" t="s">
        <v>6203</v>
      </c>
      <c r="E2128" s="4" t="s">
        <v>6195</v>
      </c>
      <c r="F2128" s="4" t="s">
        <v>6200</v>
      </c>
    </row>
    <row r="2129" customFormat="false" ht="15" hidden="false" customHeight="true" outlineLevel="0" collapsed="false">
      <c r="A2129" s="4" t="s">
        <v>2305</v>
      </c>
      <c r="B2129" s="13" t="n">
        <v>45564</v>
      </c>
      <c r="C2129" s="4" t="s">
        <v>6215</v>
      </c>
      <c r="D2129" s="4" t="s">
        <v>6207</v>
      </c>
      <c r="E2129" s="4" t="s">
        <v>6211</v>
      </c>
      <c r="F2129" s="4" t="s">
        <v>6200</v>
      </c>
    </row>
    <row r="2130" customFormat="false" ht="15" hidden="false" customHeight="true" outlineLevel="0" collapsed="false">
      <c r="A2130" s="4" t="s">
        <v>2306</v>
      </c>
      <c r="B2130" s="13" t="n">
        <v>45564</v>
      </c>
      <c r="C2130" s="4" t="s">
        <v>6213</v>
      </c>
      <c r="D2130" s="4" t="s">
        <v>6199</v>
      </c>
      <c r="E2130" s="4" t="s">
        <v>6207</v>
      </c>
      <c r="F2130" s="4" t="s">
        <v>6204</v>
      </c>
    </row>
    <row r="2131" customFormat="false" ht="15" hidden="false" customHeight="true" outlineLevel="0" collapsed="false">
      <c r="A2131" s="4" t="s">
        <v>2307</v>
      </c>
      <c r="B2131" s="13" t="n">
        <v>45401</v>
      </c>
      <c r="C2131" s="4" t="s">
        <v>6201</v>
      </c>
      <c r="D2131" s="4" t="s">
        <v>6202</v>
      </c>
      <c r="E2131" s="4" t="s">
        <v>6202</v>
      </c>
      <c r="F2131" s="4" t="s">
        <v>6214</v>
      </c>
    </row>
    <row r="2132" customFormat="false" ht="15" hidden="false" customHeight="true" outlineLevel="0" collapsed="false">
      <c r="A2132" s="4" t="s">
        <v>2308</v>
      </c>
      <c r="B2132" s="13" t="n">
        <v>45253</v>
      </c>
      <c r="C2132" s="4" t="s">
        <v>6201</v>
      </c>
      <c r="D2132" s="4" t="s">
        <v>6195</v>
      </c>
      <c r="E2132" s="4" t="s">
        <v>6205</v>
      </c>
      <c r="F2132" s="4"/>
    </row>
    <row r="2133" customFormat="false" ht="15" hidden="false" customHeight="true" outlineLevel="0" collapsed="false">
      <c r="A2133" s="4" t="s">
        <v>2309</v>
      </c>
      <c r="B2133" s="13" t="n">
        <v>45408</v>
      </c>
      <c r="C2133" s="4" t="s">
        <v>6194</v>
      </c>
      <c r="D2133" s="4" t="s">
        <v>6205</v>
      </c>
      <c r="E2133" s="4" t="s">
        <v>6202</v>
      </c>
      <c r="F2133" s="4" t="s">
        <v>6214</v>
      </c>
    </row>
    <row r="2134" customFormat="false" ht="15" hidden="false" customHeight="true" outlineLevel="0" collapsed="false">
      <c r="A2134" s="4" t="s">
        <v>2310</v>
      </c>
      <c r="B2134" s="13" t="n">
        <v>45277</v>
      </c>
      <c r="C2134" s="4" t="s">
        <v>6201</v>
      </c>
      <c r="D2134" s="4" t="s">
        <v>6199</v>
      </c>
      <c r="E2134" s="4" t="s">
        <v>6208</v>
      </c>
      <c r="F2134" s="4" t="s">
        <v>6212</v>
      </c>
    </row>
    <row r="2135" customFormat="false" ht="15" hidden="false" customHeight="true" outlineLevel="0" collapsed="false">
      <c r="A2135" s="4" t="s">
        <v>2311</v>
      </c>
      <c r="B2135" s="13" t="n">
        <v>45613</v>
      </c>
      <c r="C2135" s="4" t="s">
        <v>6213</v>
      </c>
      <c r="D2135" s="4" t="s">
        <v>6205</v>
      </c>
      <c r="E2135" s="4" t="s">
        <v>6208</v>
      </c>
      <c r="F2135" s="4" t="s">
        <v>6197</v>
      </c>
    </row>
    <row r="2136" customFormat="false" ht="15" hidden="false" customHeight="true" outlineLevel="0" collapsed="false">
      <c r="A2136" s="4" t="s">
        <v>2312</v>
      </c>
      <c r="B2136" s="13" t="n">
        <v>45013</v>
      </c>
      <c r="C2136" s="4" t="s">
        <v>6210</v>
      </c>
      <c r="D2136" s="4" t="s">
        <v>6208</v>
      </c>
      <c r="E2136" s="4" t="s">
        <v>6206</v>
      </c>
      <c r="F2136" s="4" t="s">
        <v>6214</v>
      </c>
    </row>
    <row r="2137" customFormat="false" ht="15" hidden="false" customHeight="true" outlineLevel="0" collapsed="false">
      <c r="A2137" s="4" t="s">
        <v>2313</v>
      </c>
      <c r="B2137" s="13" t="n">
        <v>45298</v>
      </c>
      <c r="C2137" s="4" t="s">
        <v>6215</v>
      </c>
      <c r="D2137" s="4" t="s">
        <v>6196</v>
      </c>
      <c r="E2137" s="4" t="s">
        <v>6195</v>
      </c>
      <c r="F2137" s="4" t="s">
        <v>6214</v>
      </c>
    </row>
    <row r="2138" customFormat="false" ht="15" hidden="false" customHeight="true" outlineLevel="0" collapsed="false">
      <c r="A2138" s="4" t="s">
        <v>2314</v>
      </c>
      <c r="B2138" s="13" t="n">
        <v>45464</v>
      </c>
      <c r="C2138" s="4" t="s">
        <v>6194</v>
      </c>
      <c r="D2138" s="4" t="s">
        <v>6208</v>
      </c>
      <c r="E2138" s="4" t="s">
        <v>6208</v>
      </c>
      <c r="F2138" s="4" t="s">
        <v>6197</v>
      </c>
    </row>
    <row r="2139" customFormat="false" ht="15" hidden="false" customHeight="true" outlineLevel="0" collapsed="false">
      <c r="A2139" s="4" t="s">
        <v>2315</v>
      </c>
      <c r="B2139" s="13" t="n">
        <v>45571</v>
      </c>
      <c r="C2139" s="4" t="s">
        <v>6201</v>
      </c>
      <c r="D2139" s="4" t="s">
        <v>6195</v>
      </c>
      <c r="E2139" s="4" t="s">
        <v>6207</v>
      </c>
      <c r="F2139" s="4" t="s">
        <v>6212</v>
      </c>
    </row>
    <row r="2140" customFormat="false" ht="15" hidden="false" customHeight="true" outlineLevel="0" collapsed="false">
      <c r="A2140" s="4" t="s">
        <v>2316</v>
      </c>
      <c r="B2140" s="13" t="n">
        <v>45650</v>
      </c>
      <c r="C2140" s="4" t="s">
        <v>6209</v>
      </c>
      <c r="D2140" s="4" t="s">
        <v>6208</v>
      </c>
      <c r="E2140" s="4" t="s">
        <v>6199</v>
      </c>
      <c r="F2140" s="4"/>
    </row>
    <row r="2141" customFormat="false" ht="15" hidden="false" customHeight="true" outlineLevel="0" collapsed="false">
      <c r="A2141" s="4" t="s">
        <v>2317</v>
      </c>
      <c r="B2141" s="13" t="n">
        <v>45376</v>
      </c>
      <c r="C2141" s="4" t="s">
        <v>6213</v>
      </c>
      <c r="D2141" s="4" t="s">
        <v>6196</v>
      </c>
      <c r="E2141" s="4" t="s">
        <v>6206</v>
      </c>
      <c r="F2141" s="4" t="s">
        <v>6214</v>
      </c>
    </row>
    <row r="2142" customFormat="false" ht="15" hidden="false" customHeight="true" outlineLevel="0" collapsed="false">
      <c r="A2142" s="4" t="s">
        <v>2318</v>
      </c>
      <c r="B2142" s="13" t="n">
        <v>45081</v>
      </c>
      <c r="C2142" s="4" t="s">
        <v>6213</v>
      </c>
      <c r="D2142" s="4" t="s">
        <v>6202</v>
      </c>
      <c r="E2142" s="4" t="s">
        <v>6206</v>
      </c>
      <c r="F2142" s="4" t="s">
        <v>6214</v>
      </c>
    </row>
    <row r="2143" customFormat="false" ht="15" hidden="false" customHeight="true" outlineLevel="0" collapsed="false">
      <c r="A2143" s="4" t="s">
        <v>2319</v>
      </c>
      <c r="B2143" s="13" t="n">
        <v>45649</v>
      </c>
      <c r="C2143" s="4" t="s">
        <v>6198</v>
      </c>
      <c r="D2143" s="4" t="s">
        <v>6202</v>
      </c>
      <c r="E2143" s="4" t="s">
        <v>6211</v>
      </c>
      <c r="F2143" s="4" t="s">
        <v>6216</v>
      </c>
    </row>
    <row r="2144" customFormat="false" ht="15" hidden="false" customHeight="true" outlineLevel="0" collapsed="false">
      <c r="A2144" s="4" t="s">
        <v>2320</v>
      </c>
      <c r="B2144" s="13" t="n">
        <v>45320</v>
      </c>
      <c r="C2144" s="4" t="s">
        <v>6209</v>
      </c>
      <c r="D2144" s="4" t="s">
        <v>6207</v>
      </c>
      <c r="E2144" s="4" t="s">
        <v>6211</v>
      </c>
      <c r="F2144" s="4" t="s">
        <v>6214</v>
      </c>
    </row>
    <row r="2145" customFormat="false" ht="15" hidden="false" customHeight="true" outlineLevel="0" collapsed="false">
      <c r="A2145" s="4" t="s">
        <v>2321</v>
      </c>
      <c r="B2145" s="13" t="n">
        <v>45073</v>
      </c>
      <c r="C2145" s="4" t="s">
        <v>6198</v>
      </c>
      <c r="D2145" s="4" t="s">
        <v>6202</v>
      </c>
      <c r="E2145" s="4" t="s">
        <v>6196</v>
      </c>
      <c r="F2145" s="4" t="s">
        <v>6200</v>
      </c>
    </row>
    <row r="2146" customFormat="false" ht="15" hidden="false" customHeight="true" outlineLevel="0" collapsed="false">
      <c r="A2146" s="4" t="s">
        <v>2322</v>
      </c>
      <c r="B2146" s="13" t="n">
        <v>44969</v>
      </c>
      <c r="C2146" s="4" t="s">
        <v>6201</v>
      </c>
      <c r="D2146" s="4" t="s">
        <v>6196</v>
      </c>
      <c r="E2146" s="4" t="s">
        <v>6199</v>
      </c>
      <c r="F2146" s="4"/>
    </row>
    <row r="2147" customFormat="false" ht="15" hidden="false" customHeight="true" outlineLevel="0" collapsed="false">
      <c r="A2147" s="4" t="s">
        <v>2323</v>
      </c>
      <c r="B2147" s="13" t="n">
        <v>45610</v>
      </c>
      <c r="C2147" s="4" t="s">
        <v>6210</v>
      </c>
      <c r="D2147" s="4" t="s">
        <v>6205</v>
      </c>
      <c r="E2147" s="4" t="s">
        <v>6206</v>
      </c>
      <c r="F2147" s="4" t="s">
        <v>6216</v>
      </c>
    </row>
    <row r="2148" customFormat="false" ht="15" hidden="false" customHeight="true" outlineLevel="0" collapsed="false">
      <c r="A2148" s="4" t="s">
        <v>2324</v>
      </c>
      <c r="B2148" s="13" t="n">
        <v>45019</v>
      </c>
      <c r="C2148" s="4" t="s">
        <v>6210</v>
      </c>
      <c r="D2148" s="4" t="s">
        <v>6196</v>
      </c>
      <c r="E2148" s="4" t="s">
        <v>6205</v>
      </c>
      <c r="F2148" s="4" t="s">
        <v>6200</v>
      </c>
    </row>
    <row r="2149" customFormat="false" ht="15" hidden="false" customHeight="true" outlineLevel="0" collapsed="false">
      <c r="A2149" s="4" t="s">
        <v>2325</v>
      </c>
      <c r="B2149" s="13" t="n">
        <v>45537</v>
      </c>
      <c r="C2149" s="4" t="s">
        <v>6198</v>
      </c>
      <c r="D2149" s="4" t="s">
        <v>6202</v>
      </c>
      <c r="E2149" s="4" t="s">
        <v>6207</v>
      </c>
      <c r="F2149" s="4" t="s">
        <v>6204</v>
      </c>
    </row>
    <row r="2150" customFormat="false" ht="15" hidden="false" customHeight="true" outlineLevel="0" collapsed="false">
      <c r="A2150" s="4" t="s">
        <v>2326</v>
      </c>
      <c r="B2150" s="13" t="n">
        <v>45623</v>
      </c>
      <c r="C2150" s="4" t="s">
        <v>6210</v>
      </c>
      <c r="D2150" s="4" t="s">
        <v>6195</v>
      </c>
      <c r="E2150" s="4" t="s">
        <v>6203</v>
      </c>
      <c r="F2150" s="4" t="s">
        <v>6212</v>
      </c>
    </row>
    <row r="2151" customFormat="false" ht="15" hidden="false" customHeight="true" outlineLevel="0" collapsed="false">
      <c r="A2151" s="4" t="s">
        <v>2327</v>
      </c>
      <c r="B2151" s="13" t="n">
        <v>45471</v>
      </c>
      <c r="C2151" s="4" t="s">
        <v>6215</v>
      </c>
      <c r="D2151" s="4" t="s">
        <v>6202</v>
      </c>
      <c r="E2151" s="4" t="s">
        <v>6208</v>
      </c>
      <c r="F2151" s="4" t="s">
        <v>6214</v>
      </c>
    </row>
    <row r="2152" customFormat="false" ht="15" hidden="false" customHeight="true" outlineLevel="0" collapsed="false">
      <c r="A2152" s="4" t="s">
        <v>2328</v>
      </c>
      <c r="B2152" s="13" t="n">
        <v>45156</v>
      </c>
      <c r="C2152" s="4" t="s">
        <v>6213</v>
      </c>
      <c r="D2152" s="4" t="s">
        <v>6195</v>
      </c>
      <c r="E2152" s="4" t="s">
        <v>6195</v>
      </c>
      <c r="F2152" s="4" t="s">
        <v>6212</v>
      </c>
    </row>
    <row r="2153" customFormat="false" ht="15" hidden="false" customHeight="true" outlineLevel="0" collapsed="false">
      <c r="A2153" s="4" t="s">
        <v>2329</v>
      </c>
      <c r="B2153" s="13" t="n">
        <v>45656</v>
      </c>
      <c r="C2153" s="4" t="s">
        <v>6213</v>
      </c>
      <c r="D2153" s="4" t="s">
        <v>6196</v>
      </c>
      <c r="E2153" s="4" t="s">
        <v>6195</v>
      </c>
      <c r="F2153" s="4" t="s">
        <v>6197</v>
      </c>
    </row>
    <row r="2154" customFormat="false" ht="15" hidden="false" customHeight="true" outlineLevel="0" collapsed="false">
      <c r="A2154" s="4" t="s">
        <v>2330</v>
      </c>
      <c r="B2154" s="13" t="n">
        <v>45441</v>
      </c>
      <c r="C2154" s="4" t="s">
        <v>6194</v>
      </c>
      <c r="D2154" s="4" t="s">
        <v>6199</v>
      </c>
      <c r="E2154" s="4" t="s">
        <v>6196</v>
      </c>
      <c r="F2154" s="4" t="s">
        <v>6212</v>
      </c>
    </row>
    <row r="2155" customFormat="false" ht="15" hidden="false" customHeight="true" outlineLevel="0" collapsed="false">
      <c r="A2155" s="4" t="s">
        <v>2331</v>
      </c>
      <c r="B2155" s="13" t="n">
        <v>44996</v>
      </c>
      <c r="C2155" s="4" t="s">
        <v>6213</v>
      </c>
      <c r="D2155" s="4" t="s">
        <v>6206</v>
      </c>
      <c r="E2155" s="4" t="s">
        <v>6199</v>
      </c>
      <c r="F2155" s="4" t="s">
        <v>6200</v>
      </c>
    </row>
    <row r="2156" customFormat="false" ht="15" hidden="false" customHeight="true" outlineLevel="0" collapsed="false">
      <c r="A2156" s="4" t="s">
        <v>2332</v>
      </c>
      <c r="B2156" s="13" t="n">
        <v>45367</v>
      </c>
      <c r="C2156" s="4" t="s">
        <v>6198</v>
      </c>
      <c r="D2156" s="4" t="s">
        <v>6208</v>
      </c>
      <c r="E2156" s="4" t="s">
        <v>6196</v>
      </c>
      <c r="F2156" s="4" t="s">
        <v>6214</v>
      </c>
    </row>
    <row r="2157" customFormat="false" ht="15" hidden="false" customHeight="true" outlineLevel="0" collapsed="false">
      <c r="A2157" s="4" t="s">
        <v>2333</v>
      </c>
      <c r="B2157" s="13" t="n">
        <v>45037</v>
      </c>
      <c r="C2157" s="4" t="s">
        <v>6213</v>
      </c>
      <c r="D2157" s="4" t="s">
        <v>6211</v>
      </c>
      <c r="E2157" s="4" t="s">
        <v>6195</v>
      </c>
      <c r="F2157" s="4" t="s">
        <v>6200</v>
      </c>
    </row>
    <row r="2158" customFormat="false" ht="15" hidden="false" customHeight="true" outlineLevel="0" collapsed="false">
      <c r="A2158" s="4" t="s">
        <v>2334</v>
      </c>
      <c r="B2158" s="13" t="n">
        <v>45324</v>
      </c>
      <c r="C2158" s="4" t="s">
        <v>6215</v>
      </c>
      <c r="D2158" s="4" t="s">
        <v>6205</v>
      </c>
      <c r="E2158" s="4" t="s">
        <v>6203</v>
      </c>
      <c r="F2158" s="4" t="s">
        <v>6197</v>
      </c>
    </row>
    <row r="2159" customFormat="false" ht="15" hidden="false" customHeight="true" outlineLevel="0" collapsed="false">
      <c r="A2159" s="4" t="s">
        <v>2335</v>
      </c>
      <c r="B2159" s="13" t="n">
        <v>45425</v>
      </c>
      <c r="C2159" s="4" t="s">
        <v>6198</v>
      </c>
      <c r="D2159" s="4" t="s">
        <v>6195</v>
      </c>
      <c r="E2159" s="4" t="s">
        <v>6202</v>
      </c>
      <c r="F2159" s="4"/>
    </row>
    <row r="2160" customFormat="false" ht="15" hidden="false" customHeight="true" outlineLevel="0" collapsed="false">
      <c r="A2160" s="4" t="s">
        <v>2336</v>
      </c>
      <c r="B2160" s="13" t="n">
        <v>45431</v>
      </c>
      <c r="C2160" s="4" t="s">
        <v>6209</v>
      </c>
      <c r="D2160" s="4" t="s">
        <v>6199</v>
      </c>
      <c r="E2160" s="4" t="s">
        <v>6205</v>
      </c>
      <c r="F2160" s="4"/>
    </row>
    <row r="2161" customFormat="false" ht="15" hidden="false" customHeight="true" outlineLevel="0" collapsed="false">
      <c r="A2161" s="4" t="s">
        <v>2337</v>
      </c>
      <c r="B2161" s="13" t="n">
        <v>45009</v>
      </c>
      <c r="C2161" s="4" t="s">
        <v>6213</v>
      </c>
      <c r="D2161" s="4" t="s">
        <v>6206</v>
      </c>
      <c r="E2161" s="4" t="s">
        <v>6208</v>
      </c>
      <c r="F2161" s="4"/>
    </row>
    <row r="2162" customFormat="false" ht="15" hidden="false" customHeight="true" outlineLevel="0" collapsed="false">
      <c r="A2162" s="4" t="s">
        <v>2338</v>
      </c>
      <c r="B2162" s="13" t="n">
        <v>44979</v>
      </c>
      <c r="C2162" s="4" t="s">
        <v>6215</v>
      </c>
      <c r="D2162" s="4" t="s">
        <v>6195</v>
      </c>
      <c r="E2162" s="4" t="s">
        <v>6207</v>
      </c>
      <c r="F2162" s="4" t="s">
        <v>6200</v>
      </c>
    </row>
    <row r="2163" customFormat="false" ht="15" hidden="false" customHeight="true" outlineLevel="0" collapsed="false">
      <c r="A2163" s="4" t="s">
        <v>2339</v>
      </c>
      <c r="B2163" s="13" t="n">
        <v>45003</v>
      </c>
      <c r="C2163" s="4" t="s">
        <v>6209</v>
      </c>
      <c r="D2163" s="4" t="s">
        <v>6205</v>
      </c>
      <c r="E2163" s="4" t="s">
        <v>6202</v>
      </c>
      <c r="F2163" s="4"/>
    </row>
    <row r="2164" customFormat="false" ht="15" hidden="false" customHeight="true" outlineLevel="0" collapsed="false">
      <c r="A2164" s="4" t="s">
        <v>2340</v>
      </c>
      <c r="B2164" s="13" t="n">
        <v>45450</v>
      </c>
      <c r="C2164" s="4" t="s">
        <v>6198</v>
      </c>
      <c r="D2164" s="4" t="s">
        <v>6195</v>
      </c>
      <c r="E2164" s="4" t="s">
        <v>6202</v>
      </c>
      <c r="F2164" s="4" t="s">
        <v>6214</v>
      </c>
    </row>
    <row r="2165" customFormat="false" ht="15" hidden="false" customHeight="true" outlineLevel="0" collapsed="false">
      <c r="A2165" s="4" t="s">
        <v>2341</v>
      </c>
      <c r="B2165" s="13" t="n">
        <v>45301</v>
      </c>
      <c r="C2165" s="4" t="s">
        <v>6209</v>
      </c>
      <c r="D2165" s="4" t="s">
        <v>6195</v>
      </c>
      <c r="E2165" s="4" t="s">
        <v>6196</v>
      </c>
      <c r="F2165" s="4"/>
    </row>
    <row r="2166" customFormat="false" ht="15" hidden="false" customHeight="true" outlineLevel="0" collapsed="false">
      <c r="A2166" s="4" t="s">
        <v>2342</v>
      </c>
      <c r="B2166" s="13" t="n">
        <v>45644</v>
      </c>
      <c r="C2166" s="4" t="s">
        <v>6213</v>
      </c>
      <c r="D2166" s="4" t="s">
        <v>6202</v>
      </c>
      <c r="E2166" s="4" t="s">
        <v>6205</v>
      </c>
      <c r="F2166" s="4" t="s">
        <v>6216</v>
      </c>
    </row>
    <row r="2167" customFormat="false" ht="15" hidden="false" customHeight="true" outlineLevel="0" collapsed="false">
      <c r="A2167" s="4" t="s">
        <v>2343</v>
      </c>
      <c r="B2167" s="13" t="n">
        <v>45448</v>
      </c>
      <c r="C2167" s="4" t="s">
        <v>6213</v>
      </c>
      <c r="D2167" s="4" t="s">
        <v>6196</v>
      </c>
      <c r="E2167" s="4" t="s">
        <v>6195</v>
      </c>
      <c r="F2167" s="4"/>
    </row>
    <row r="2168" customFormat="false" ht="15" hidden="false" customHeight="true" outlineLevel="0" collapsed="false">
      <c r="A2168" s="4" t="s">
        <v>2344</v>
      </c>
      <c r="B2168" s="13" t="n">
        <v>45289</v>
      </c>
      <c r="C2168" s="4" t="s">
        <v>6209</v>
      </c>
      <c r="D2168" s="4" t="s">
        <v>6196</v>
      </c>
      <c r="E2168" s="4" t="s">
        <v>6196</v>
      </c>
      <c r="F2168" s="4"/>
    </row>
    <row r="2169" customFormat="false" ht="15" hidden="false" customHeight="true" outlineLevel="0" collapsed="false">
      <c r="A2169" s="4" t="s">
        <v>2345</v>
      </c>
      <c r="B2169" s="13" t="n">
        <v>45166</v>
      </c>
      <c r="C2169" s="4" t="s">
        <v>6213</v>
      </c>
      <c r="D2169" s="4" t="s">
        <v>6208</v>
      </c>
      <c r="E2169" s="4" t="s">
        <v>6205</v>
      </c>
      <c r="F2169" s="4" t="s">
        <v>6204</v>
      </c>
    </row>
    <row r="2170" customFormat="false" ht="15" hidden="false" customHeight="true" outlineLevel="0" collapsed="false">
      <c r="A2170" s="4" t="s">
        <v>2346</v>
      </c>
      <c r="B2170" s="13" t="n">
        <v>45509</v>
      </c>
      <c r="C2170" s="4" t="s">
        <v>6209</v>
      </c>
      <c r="D2170" s="4" t="s">
        <v>6208</v>
      </c>
      <c r="E2170" s="4" t="s">
        <v>6195</v>
      </c>
      <c r="F2170" s="4" t="s">
        <v>6197</v>
      </c>
    </row>
    <row r="2171" customFormat="false" ht="15" hidden="false" customHeight="true" outlineLevel="0" collapsed="false">
      <c r="A2171" s="4" t="s">
        <v>2347</v>
      </c>
      <c r="B2171" s="13" t="n">
        <v>44932</v>
      </c>
      <c r="C2171" s="4" t="s">
        <v>6209</v>
      </c>
      <c r="D2171" s="4" t="s">
        <v>6202</v>
      </c>
      <c r="E2171" s="4" t="s">
        <v>6207</v>
      </c>
      <c r="F2171" s="4" t="s">
        <v>6214</v>
      </c>
    </row>
    <row r="2172" customFormat="false" ht="15" hidden="false" customHeight="true" outlineLevel="0" collapsed="false">
      <c r="A2172" s="4" t="s">
        <v>2348</v>
      </c>
      <c r="B2172" s="13" t="n">
        <v>45090</v>
      </c>
      <c r="C2172" s="4" t="s">
        <v>6209</v>
      </c>
      <c r="D2172" s="4" t="s">
        <v>6208</v>
      </c>
      <c r="E2172" s="4" t="s">
        <v>6208</v>
      </c>
      <c r="F2172" s="4" t="s">
        <v>6212</v>
      </c>
    </row>
    <row r="2173" customFormat="false" ht="15" hidden="false" customHeight="true" outlineLevel="0" collapsed="false">
      <c r="A2173" s="4" t="s">
        <v>2349</v>
      </c>
      <c r="B2173" s="13" t="n">
        <v>45573</v>
      </c>
      <c r="C2173" s="4" t="s">
        <v>6210</v>
      </c>
      <c r="D2173" s="4" t="s">
        <v>6205</v>
      </c>
      <c r="E2173" s="4" t="s">
        <v>6195</v>
      </c>
      <c r="F2173" s="4"/>
    </row>
    <row r="2174" customFormat="false" ht="15" hidden="false" customHeight="true" outlineLevel="0" collapsed="false">
      <c r="A2174" s="4" t="s">
        <v>2350</v>
      </c>
      <c r="B2174" s="13" t="n">
        <v>45497</v>
      </c>
      <c r="C2174" s="4" t="s">
        <v>6194</v>
      </c>
      <c r="D2174" s="4" t="s">
        <v>6205</v>
      </c>
      <c r="E2174" s="4" t="s">
        <v>6211</v>
      </c>
      <c r="F2174" s="4" t="s">
        <v>6212</v>
      </c>
    </row>
    <row r="2175" customFormat="false" ht="15" hidden="false" customHeight="true" outlineLevel="0" collapsed="false">
      <c r="A2175" s="4" t="s">
        <v>2351</v>
      </c>
      <c r="B2175" s="13" t="n">
        <v>45547</v>
      </c>
      <c r="C2175" s="4" t="s">
        <v>6198</v>
      </c>
      <c r="D2175" s="4" t="s">
        <v>6205</v>
      </c>
      <c r="E2175" s="4" t="s">
        <v>6199</v>
      </c>
      <c r="F2175" s="4" t="s">
        <v>6197</v>
      </c>
    </row>
    <row r="2176" customFormat="false" ht="15" hidden="false" customHeight="true" outlineLevel="0" collapsed="false">
      <c r="A2176" s="4" t="s">
        <v>2352</v>
      </c>
      <c r="B2176" s="13" t="n">
        <v>45136</v>
      </c>
      <c r="C2176" s="4" t="s">
        <v>6210</v>
      </c>
      <c r="D2176" s="4" t="s">
        <v>6205</v>
      </c>
      <c r="E2176" s="4" t="s">
        <v>6211</v>
      </c>
      <c r="F2176" s="4" t="s">
        <v>6214</v>
      </c>
    </row>
    <row r="2177" customFormat="false" ht="15" hidden="false" customHeight="true" outlineLevel="0" collapsed="false">
      <c r="A2177" s="4" t="s">
        <v>2353</v>
      </c>
      <c r="B2177" s="13" t="n">
        <v>45240</v>
      </c>
      <c r="C2177" s="4" t="s">
        <v>6215</v>
      </c>
      <c r="D2177" s="4" t="s">
        <v>6203</v>
      </c>
      <c r="E2177" s="4" t="s">
        <v>6206</v>
      </c>
      <c r="F2177" s="4" t="s">
        <v>6197</v>
      </c>
    </row>
    <row r="2178" customFormat="false" ht="15" hidden="false" customHeight="true" outlineLevel="0" collapsed="false">
      <c r="A2178" s="4" t="s">
        <v>2354</v>
      </c>
      <c r="B2178" s="13" t="n">
        <v>45203</v>
      </c>
      <c r="C2178" s="4" t="s">
        <v>6209</v>
      </c>
      <c r="D2178" s="4" t="s">
        <v>6211</v>
      </c>
      <c r="E2178" s="4" t="s">
        <v>6208</v>
      </c>
      <c r="F2178" s="4"/>
    </row>
    <row r="2179" customFormat="false" ht="15" hidden="false" customHeight="true" outlineLevel="0" collapsed="false">
      <c r="A2179" s="4" t="s">
        <v>2355</v>
      </c>
      <c r="B2179" s="13" t="n">
        <v>45176</v>
      </c>
      <c r="C2179" s="4" t="s">
        <v>6213</v>
      </c>
      <c r="D2179" s="4" t="s">
        <v>6211</v>
      </c>
      <c r="E2179" s="4" t="s">
        <v>6205</v>
      </c>
      <c r="F2179" s="4" t="s">
        <v>6197</v>
      </c>
    </row>
    <row r="2180" customFormat="false" ht="15" hidden="false" customHeight="true" outlineLevel="0" collapsed="false">
      <c r="A2180" s="4" t="s">
        <v>2356</v>
      </c>
      <c r="B2180" s="13" t="n">
        <v>45127</v>
      </c>
      <c r="C2180" s="4" t="s">
        <v>6215</v>
      </c>
      <c r="D2180" s="4" t="s">
        <v>6211</v>
      </c>
      <c r="E2180" s="4" t="s">
        <v>6211</v>
      </c>
      <c r="F2180" s="4" t="s">
        <v>6200</v>
      </c>
    </row>
    <row r="2181" customFormat="false" ht="15" hidden="false" customHeight="true" outlineLevel="0" collapsed="false">
      <c r="A2181" s="4" t="s">
        <v>2357</v>
      </c>
      <c r="B2181" s="13" t="n">
        <v>45113</v>
      </c>
      <c r="C2181" s="4" t="s">
        <v>6210</v>
      </c>
      <c r="D2181" s="4" t="s">
        <v>6207</v>
      </c>
      <c r="E2181" s="4" t="s">
        <v>6207</v>
      </c>
      <c r="F2181" s="4" t="s">
        <v>6214</v>
      </c>
    </row>
    <row r="2182" customFormat="false" ht="15" hidden="false" customHeight="true" outlineLevel="0" collapsed="false">
      <c r="A2182" s="4" t="s">
        <v>2358</v>
      </c>
      <c r="B2182" s="13" t="n">
        <v>45307</v>
      </c>
      <c r="C2182" s="4" t="s">
        <v>6215</v>
      </c>
      <c r="D2182" s="4" t="s">
        <v>6202</v>
      </c>
      <c r="E2182" s="4" t="s">
        <v>6199</v>
      </c>
      <c r="F2182" s="4" t="s">
        <v>6197</v>
      </c>
    </row>
    <row r="2183" customFormat="false" ht="15" hidden="false" customHeight="true" outlineLevel="0" collapsed="false">
      <c r="A2183" s="4" t="s">
        <v>2359</v>
      </c>
      <c r="B2183" s="13" t="n">
        <v>44940</v>
      </c>
      <c r="C2183" s="4" t="s">
        <v>6213</v>
      </c>
      <c r="D2183" s="4" t="s">
        <v>6199</v>
      </c>
      <c r="E2183" s="4" t="s">
        <v>6199</v>
      </c>
      <c r="F2183" s="4"/>
    </row>
    <row r="2184" customFormat="false" ht="15" hidden="false" customHeight="true" outlineLevel="0" collapsed="false">
      <c r="A2184" s="4" t="s">
        <v>2360</v>
      </c>
      <c r="B2184" s="13" t="n">
        <v>45302</v>
      </c>
      <c r="C2184" s="4" t="s">
        <v>6210</v>
      </c>
      <c r="D2184" s="4" t="s">
        <v>6196</v>
      </c>
      <c r="E2184" s="4" t="s">
        <v>6199</v>
      </c>
      <c r="F2184" s="4" t="s">
        <v>6200</v>
      </c>
    </row>
    <row r="2185" customFormat="false" ht="15" hidden="false" customHeight="true" outlineLevel="0" collapsed="false">
      <c r="A2185" s="4" t="s">
        <v>2361</v>
      </c>
      <c r="B2185" s="13" t="n">
        <v>44944</v>
      </c>
      <c r="C2185" s="4" t="s">
        <v>6210</v>
      </c>
      <c r="D2185" s="4" t="s">
        <v>6199</v>
      </c>
      <c r="E2185" s="4" t="s">
        <v>6205</v>
      </c>
      <c r="F2185" s="4" t="s">
        <v>6216</v>
      </c>
    </row>
    <row r="2186" customFormat="false" ht="15" hidden="false" customHeight="true" outlineLevel="0" collapsed="false">
      <c r="A2186" s="4" t="s">
        <v>2362</v>
      </c>
      <c r="B2186" s="13" t="n">
        <v>45021</v>
      </c>
      <c r="C2186" s="4" t="s">
        <v>6198</v>
      </c>
      <c r="D2186" s="4" t="s">
        <v>6208</v>
      </c>
      <c r="E2186" s="4" t="s">
        <v>6208</v>
      </c>
      <c r="F2186" s="4"/>
    </row>
    <row r="2187" customFormat="false" ht="15" hidden="false" customHeight="true" outlineLevel="0" collapsed="false">
      <c r="A2187" s="4" t="s">
        <v>2363</v>
      </c>
      <c r="B2187" s="13" t="n">
        <v>44999</v>
      </c>
      <c r="C2187" s="4" t="s">
        <v>6215</v>
      </c>
      <c r="D2187" s="4" t="s">
        <v>6203</v>
      </c>
      <c r="E2187" s="4" t="s">
        <v>6203</v>
      </c>
      <c r="F2187" s="4"/>
    </row>
    <row r="2188" customFormat="false" ht="15" hidden="false" customHeight="true" outlineLevel="0" collapsed="false">
      <c r="A2188" s="4" t="s">
        <v>2364</v>
      </c>
      <c r="B2188" s="13" t="n">
        <v>45440</v>
      </c>
      <c r="C2188" s="4" t="s">
        <v>6215</v>
      </c>
      <c r="D2188" s="4" t="s">
        <v>6205</v>
      </c>
      <c r="E2188" s="4" t="s">
        <v>6211</v>
      </c>
      <c r="F2188" s="4" t="s">
        <v>6204</v>
      </c>
    </row>
    <row r="2189" customFormat="false" ht="15" hidden="false" customHeight="true" outlineLevel="0" collapsed="false">
      <c r="A2189" s="4" t="s">
        <v>2365</v>
      </c>
      <c r="B2189" s="13" t="n">
        <v>45003</v>
      </c>
      <c r="C2189" s="4" t="s">
        <v>6198</v>
      </c>
      <c r="D2189" s="4" t="s">
        <v>6203</v>
      </c>
      <c r="E2189" s="4" t="s">
        <v>6203</v>
      </c>
      <c r="F2189" s="4" t="s">
        <v>6212</v>
      </c>
    </row>
    <row r="2190" customFormat="false" ht="15" hidden="false" customHeight="true" outlineLevel="0" collapsed="false">
      <c r="A2190" s="4" t="s">
        <v>2366</v>
      </c>
      <c r="B2190" s="13" t="n">
        <v>45562</v>
      </c>
      <c r="C2190" s="4" t="s">
        <v>6209</v>
      </c>
      <c r="D2190" s="4" t="s">
        <v>6199</v>
      </c>
      <c r="E2190" s="4" t="s">
        <v>6211</v>
      </c>
      <c r="F2190" s="4"/>
    </row>
    <row r="2191" customFormat="false" ht="15" hidden="false" customHeight="true" outlineLevel="0" collapsed="false">
      <c r="A2191" s="4" t="s">
        <v>2367</v>
      </c>
      <c r="B2191" s="13" t="n">
        <v>45023</v>
      </c>
      <c r="C2191" s="4" t="s">
        <v>6209</v>
      </c>
      <c r="D2191" s="4" t="s">
        <v>6207</v>
      </c>
      <c r="E2191" s="4" t="s">
        <v>6208</v>
      </c>
      <c r="F2191" s="4" t="s">
        <v>6200</v>
      </c>
    </row>
    <row r="2192" customFormat="false" ht="15" hidden="false" customHeight="true" outlineLevel="0" collapsed="false">
      <c r="A2192" s="4" t="s">
        <v>2368</v>
      </c>
      <c r="B2192" s="13" t="n">
        <v>45045</v>
      </c>
      <c r="C2192" s="4" t="s">
        <v>6198</v>
      </c>
      <c r="D2192" s="4" t="s">
        <v>6199</v>
      </c>
      <c r="E2192" s="4" t="s">
        <v>6202</v>
      </c>
      <c r="F2192" s="4"/>
    </row>
    <row r="2193" customFormat="false" ht="15" hidden="false" customHeight="true" outlineLevel="0" collapsed="false">
      <c r="A2193" s="4" t="s">
        <v>2369</v>
      </c>
      <c r="B2193" s="13" t="n">
        <v>45331</v>
      </c>
      <c r="C2193" s="4" t="s">
        <v>6213</v>
      </c>
      <c r="D2193" s="4" t="s">
        <v>6195</v>
      </c>
      <c r="E2193" s="4" t="s">
        <v>6203</v>
      </c>
      <c r="F2193" s="4" t="s">
        <v>6204</v>
      </c>
    </row>
    <row r="2194" customFormat="false" ht="15" hidden="false" customHeight="true" outlineLevel="0" collapsed="false">
      <c r="A2194" s="4" t="s">
        <v>2370</v>
      </c>
      <c r="B2194" s="13" t="n">
        <v>45005</v>
      </c>
      <c r="C2194" s="4" t="s">
        <v>6201</v>
      </c>
      <c r="D2194" s="4" t="s">
        <v>6203</v>
      </c>
      <c r="E2194" s="4" t="s">
        <v>6202</v>
      </c>
      <c r="F2194" s="4" t="s">
        <v>6216</v>
      </c>
    </row>
    <row r="2195" customFormat="false" ht="15" hidden="false" customHeight="true" outlineLevel="0" collapsed="false">
      <c r="A2195" s="4" t="s">
        <v>2371</v>
      </c>
      <c r="B2195" s="13" t="n">
        <v>45326</v>
      </c>
      <c r="C2195" s="4" t="s">
        <v>6198</v>
      </c>
      <c r="D2195" s="4" t="s">
        <v>6205</v>
      </c>
      <c r="E2195" s="4" t="s">
        <v>6205</v>
      </c>
      <c r="F2195" s="4" t="s">
        <v>6212</v>
      </c>
    </row>
    <row r="2196" customFormat="false" ht="15" hidden="false" customHeight="true" outlineLevel="0" collapsed="false">
      <c r="A2196" s="4" t="s">
        <v>2372</v>
      </c>
      <c r="B2196" s="13" t="n">
        <v>45504</v>
      </c>
      <c r="C2196" s="4" t="s">
        <v>6215</v>
      </c>
      <c r="D2196" s="4" t="s">
        <v>6206</v>
      </c>
      <c r="E2196" s="4" t="s">
        <v>6199</v>
      </c>
      <c r="F2196" s="4" t="s">
        <v>6212</v>
      </c>
    </row>
    <row r="2197" customFormat="false" ht="15" hidden="false" customHeight="true" outlineLevel="0" collapsed="false">
      <c r="A2197" s="4" t="s">
        <v>2373</v>
      </c>
      <c r="B2197" s="13" t="n">
        <v>45634</v>
      </c>
      <c r="C2197" s="4" t="s">
        <v>6210</v>
      </c>
      <c r="D2197" s="4" t="s">
        <v>6206</v>
      </c>
      <c r="E2197" s="4" t="s">
        <v>6203</v>
      </c>
      <c r="F2197" s="4"/>
    </row>
    <row r="2198" customFormat="false" ht="15" hidden="false" customHeight="true" outlineLevel="0" collapsed="false">
      <c r="A2198" s="4" t="s">
        <v>2374</v>
      </c>
      <c r="B2198" s="13" t="n">
        <v>45469</v>
      </c>
      <c r="C2198" s="4" t="s">
        <v>6198</v>
      </c>
      <c r="D2198" s="4" t="s">
        <v>6196</v>
      </c>
      <c r="E2198" s="4" t="s">
        <v>6202</v>
      </c>
      <c r="F2198" s="4"/>
    </row>
    <row r="2199" customFormat="false" ht="15" hidden="false" customHeight="true" outlineLevel="0" collapsed="false">
      <c r="A2199" s="4" t="s">
        <v>2375</v>
      </c>
      <c r="B2199" s="13" t="n">
        <v>45450</v>
      </c>
      <c r="C2199" s="4" t="s">
        <v>6209</v>
      </c>
      <c r="D2199" s="4" t="s">
        <v>6203</v>
      </c>
      <c r="E2199" s="4" t="s">
        <v>6203</v>
      </c>
      <c r="F2199" s="4" t="s">
        <v>6212</v>
      </c>
    </row>
    <row r="2200" customFormat="false" ht="15" hidden="false" customHeight="true" outlineLevel="0" collapsed="false">
      <c r="A2200" s="4" t="s">
        <v>2376</v>
      </c>
      <c r="B2200" s="13" t="n">
        <v>45313</v>
      </c>
      <c r="C2200" s="4" t="s">
        <v>6201</v>
      </c>
      <c r="D2200" s="4" t="s">
        <v>6211</v>
      </c>
      <c r="E2200" s="4" t="s">
        <v>6208</v>
      </c>
      <c r="F2200" s="4" t="s">
        <v>6197</v>
      </c>
    </row>
    <row r="2201" customFormat="false" ht="15" hidden="false" customHeight="true" outlineLevel="0" collapsed="false">
      <c r="A2201" s="4" t="s">
        <v>2377</v>
      </c>
      <c r="B2201" s="13" t="n">
        <v>45227</v>
      </c>
      <c r="C2201" s="4" t="s">
        <v>6213</v>
      </c>
      <c r="D2201" s="4" t="s">
        <v>6208</v>
      </c>
      <c r="E2201" s="4" t="s">
        <v>6207</v>
      </c>
      <c r="F2201" s="4"/>
    </row>
    <row r="2202" customFormat="false" ht="15" hidden="false" customHeight="true" outlineLevel="0" collapsed="false">
      <c r="A2202" s="4" t="s">
        <v>2378</v>
      </c>
      <c r="B2202" s="13" t="n">
        <v>45254</v>
      </c>
      <c r="C2202" s="4" t="s">
        <v>6210</v>
      </c>
      <c r="D2202" s="4" t="s">
        <v>6195</v>
      </c>
      <c r="E2202" s="4" t="s">
        <v>6195</v>
      </c>
      <c r="F2202" s="4" t="s">
        <v>6197</v>
      </c>
    </row>
    <row r="2203" customFormat="false" ht="15" hidden="false" customHeight="true" outlineLevel="0" collapsed="false">
      <c r="A2203" s="4" t="s">
        <v>2379</v>
      </c>
      <c r="B2203" s="13" t="n">
        <v>45502</v>
      </c>
      <c r="C2203" s="4" t="s">
        <v>6210</v>
      </c>
      <c r="D2203" s="4" t="s">
        <v>6211</v>
      </c>
      <c r="E2203" s="4" t="s">
        <v>6202</v>
      </c>
      <c r="F2203" s="4" t="s">
        <v>6214</v>
      </c>
    </row>
    <row r="2204" customFormat="false" ht="15" hidden="false" customHeight="true" outlineLevel="0" collapsed="false">
      <c r="A2204" s="4" t="s">
        <v>2380</v>
      </c>
      <c r="B2204" s="13" t="n">
        <v>45197</v>
      </c>
      <c r="C2204" s="4" t="s">
        <v>6194</v>
      </c>
      <c r="D2204" s="4" t="s">
        <v>6196</v>
      </c>
      <c r="E2204" s="4" t="s">
        <v>6202</v>
      </c>
      <c r="F2204" s="4" t="s">
        <v>6197</v>
      </c>
    </row>
    <row r="2205" customFormat="false" ht="15" hidden="false" customHeight="true" outlineLevel="0" collapsed="false">
      <c r="A2205" s="4" t="s">
        <v>2381</v>
      </c>
      <c r="B2205" s="13" t="n">
        <v>45151</v>
      </c>
      <c r="C2205" s="4" t="s">
        <v>6198</v>
      </c>
      <c r="D2205" s="4" t="s">
        <v>6208</v>
      </c>
      <c r="E2205" s="4" t="s">
        <v>6207</v>
      </c>
      <c r="F2205" s="4" t="s">
        <v>6216</v>
      </c>
    </row>
    <row r="2206" customFormat="false" ht="15" hidden="false" customHeight="true" outlineLevel="0" collapsed="false">
      <c r="A2206" s="4" t="s">
        <v>2382</v>
      </c>
      <c r="B2206" s="13" t="n">
        <v>45180</v>
      </c>
      <c r="C2206" s="4" t="s">
        <v>6201</v>
      </c>
      <c r="D2206" s="4" t="s">
        <v>6207</v>
      </c>
      <c r="E2206" s="4" t="s">
        <v>6195</v>
      </c>
      <c r="F2206" s="4" t="s">
        <v>6204</v>
      </c>
    </row>
    <row r="2207" customFormat="false" ht="15" hidden="false" customHeight="true" outlineLevel="0" collapsed="false">
      <c r="A2207" s="4" t="s">
        <v>2383</v>
      </c>
      <c r="B2207" s="13" t="n">
        <v>45309</v>
      </c>
      <c r="C2207" s="4" t="s">
        <v>6209</v>
      </c>
      <c r="D2207" s="4" t="s">
        <v>6208</v>
      </c>
      <c r="E2207" s="4" t="s">
        <v>6203</v>
      </c>
      <c r="F2207" s="4"/>
    </row>
    <row r="2208" customFormat="false" ht="15" hidden="false" customHeight="true" outlineLevel="0" collapsed="false">
      <c r="A2208" s="4" t="s">
        <v>2384</v>
      </c>
      <c r="B2208" s="13" t="n">
        <v>45092</v>
      </c>
      <c r="C2208" s="4" t="s">
        <v>6201</v>
      </c>
      <c r="D2208" s="4" t="s">
        <v>6195</v>
      </c>
      <c r="E2208" s="4" t="s">
        <v>6195</v>
      </c>
      <c r="F2208" s="4" t="s">
        <v>6216</v>
      </c>
    </row>
    <row r="2209" customFormat="false" ht="15" hidden="false" customHeight="true" outlineLevel="0" collapsed="false">
      <c r="A2209" s="4" t="s">
        <v>2385</v>
      </c>
      <c r="B2209" s="13" t="n">
        <v>44967</v>
      </c>
      <c r="C2209" s="4" t="s">
        <v>6209</v>
      </c>
      <c r="D2209" s="4" t="s">
        <v>6205</v>
      </c>
      <c r="E2209" s="4" t="s">
        <v>6205</v>
      </c>
      <c r="F2209" s="4"/>
    </row>
    <row r="2210" customFormat="false" ht="15" hidden="false" customHeight="true" outlineLevel="0" collapsed="false">
      <c r="A2210" s="4" t="s">
        <v>2386</v>
      </c>
      <c r="B2210" s="13" t="n">
        <v>45032</v>
      </c>
      <c r="C2210" s="4" t="s">
        <v>6201</v>
      </c>
      <c r="D2210" s="4" t="s">
        <v>6208</v>
      </c>
      <c r="E2210" s="4" t="s">
        <v>6202</v>
      </c>
      <c r="F2210" s="4" t="s">
        <v>6212</v>
      </c>
    </row>
    <row r="2211" customFormat="false" ht="15" hidden="false" customHeight="true" outlineLevel="0" collapsed="false">
      <c r="A2211" s="4" t="s">
        <v>2387</v>
      </c>
      <c r="B2211" s="13" t="n">
        <v>45446</v>
      </c>
      <c r="C2211" s="4" t="s">
        <v>6198</v>
      </c>
      <c r="D2211" s="4" t="s">
        <v>6195</v>
      </c>
      <c r="E2211" s="4" t="s">
        <v>6208</v>
      </c>
      <c r="F2211" s="4" t="s">
        <v>6200</v>
      </c>
    </row>
    <row r="2212" customFormat="false" ht="15" hidden="false" customHeight="true" outlineLevel="0" collapsed="false">
      <c r="A2212" s="4" t="s">
        <v>2388</v>
      </c>
      <c r="B2212" s="13" t="n">
        <v>45565</v>
      </c>
      <c r="C2212" s="4" t="s">
        <v>6209</v>
      </c>
      <c r="D2212" s="4" t="s">
        <v>6208</v>
      </c>
      <c r="E2212" s="4" t="s">
        <v>6205</v>
      </c>
      <c r="F2212" s="4" t="s">
        <v>6200</v>
      </c>
    </row>
    <row r="2213" customFormat="false" ht="15" hidden="false" customHeight="true" outlineLevel="0" collapsed="false">
      <c r="A2213" s="4" t="s">
        <v>2389</v>
      </c>
      <c r="B2213" s="13" t="n">
        <v>45013</v>
      </c>
      <c r="C2213" s="4" t="s">
        <v>6213</v>
      </c>
      <c r="D2213" s="4" t="s">
        <v>6211</v>
      </c>
      <c r="E2213" s="4" t="s">
        <v>6203</v>
      </c>
      <c r="F2213" s="4"/>
    </row>
    <row r="2214" customFormat="false" ht="15" hidden="false" customHeight="true" outlineLevel="0" collapsed="false">
      <c r="A2214" s="4" t="s">
        <v>2390</v>
      </c>
      <c r="B2214" s="13" t="n">
        <v>45556</v>
      </c>
      <c r="C2214" s="4" t="s">
        <v>6215</v>
      </c>
      <c r="D2214" s="4" t="s">
        <v>6205</v>
      </c>
      <c r="E2214" s="4" t="s">
        <v>6195</v>
      </c>
      <c r="F2214" s="4" t="s">
        <v>6214</v>
      </c>
    </row>
    <row r="2215" customFormat="false" ht="15" hidden="false" customHeight="true" outlineLevel="0" collapsed="false">
      <c r="A2215" s="4" t="s">
        <v>2391</v>
      </c>
      <c r="B2215" s="13" t="n">
        <v>45317</v>
      </c>
      <c r="C2215" s="4" t="s">
        <v>6194</v>
      </c>
      <c r="D2215" s="4" t="s">
        <v>6206</v>
      </c>
      <c r="E2215" s="4" t="s">
        <v>6203</v>
      </c>
      <c r="F2215" s="4" t="s">
        <v>6197</v>
      </c>
    </row>
    <row r="2216" customFormat="false" ht="15" hidden="false" customHeight="true" outlineLevel="0" collapsed="false">
      <c r="A2216" s="4" t="s">
        <v>2392</v>
      </c>
      <c r="B2216" s="13" t="n">
        <v>45162</v>
      </c>
      <c r="C2216" s="4" t="s">
        <v>6209</v>
      </c>
      <c r="D2216" s="4" t="s">
        <v>6195</v>
      </c>
      <c r="E2216" s="4" t="s">
        <v>6203</v>
      </c>
      <c r="F2216" s="4"/>
    </row>
    <row r="2217" customFormat="false" ht="15" hidden="false" customHeight="true" outlineLevel="0" collapsed="false">
      <c r="A2217" s="4" t="s">
        <v>2393</v>
      </c>
      <c r="B2217" s="13" t="n">
        <v>45128</v>
      </c>
      <c r="C2217" s="4" t="s">
        <v>6209</v>
      </c>
      <c r="D2217" s="4" t="s">
        <v>6205</v>
      </c>
      <c r="E2217" s="4" t="s">
        <v>6208</v>
      </c>
      <c r="F2217" s="4" t="s">
        <v>6212</v>
      </c>
    </row>
    <row r="2218" customFormat="false" ht="15" hidden="false" customHeight="true" outlineLevel="0" collapsed="false">
      <c r="A2218" s="4" t="s">
        <v>2394</v>
      </c>
      <c r="B2218" s="13" t="n">
        <v>45323</v>
      </c>
      <c r="C2218" s="4" t="s">
        <v>6215</v>
      </c>
      <c r="D2218" s="4" t="s">
        <v>6207</v>
      </c>
      <c r="E2218" s="4" t="s">
        <v>6206</v>
      </c>
      <c r="F2218" s="4" t="s">
        <v>6197</v>
      </c>
    </row>
    <row r="2219" customFormat="false" ht="15" hidden="false" customHeight="true" outlineLevel="0" collapsed="false">
      <c r="A2219" s="4" t="s">
        <v>2395</v>
      </c>
      <c r="B2219" s="13" t="n">
        <v>45013</v>
      </c>
      <c r="C2219" s="4" t="s">
        <v>6198</v>
      </c>
      <c r="D2219" s="4" t="s">
        <v>6199</v>
      </c>
      <c r="E2219" s="4" t="s">
        <v>6202</v>
      </c>
      <c r="F2219" s="4"/>
    </row>
    <row r="2220" customFormat="false" ht="15" hidden="false" customHeight="true" outlineLevel="0" collapsed="false">
      <c r="A2220" s="4" t="s">
        <v>2396</v>
      </c>
      <c r="B2220" s="13" t="n">
        <v>45147</v>
      </c>
      <c r="C2220" s="4" t="s">
        <v>6198</v>
      </c>
      <c r="D2220" s="4" t="s">
        <v>6211</v>
      </c>
      <c r="E2220" s="4" t="s">
        <v>6205</v>
      </c>
      <c r="F2220" s="4"/>
    </row>
    <row r="2221" customFormat="false" ht="15" hidden="false" customHeight="true" outlineLevel="0" collapsed="false">
      <c r="A2221" s="4" t="s">
        <v>2397</v>
      </c>
      <c r="B2221" s="13" t="n">
        <v>45211</v>
      </c>
      <c r="C2221" s="4" t="s">
        <v>6209</v>
      </c>
      <c r="D2221" s="4" t="s">
        <v>6206</v>
      </c>
      <c r="E2221" s="4" t="s">
        <v>6195</v>
      </c>
      <c r="F2221" s="4" t="s">
        <v>6204</v>
      </c>
    </row>
    <row r="2222" customFormat="false" ht="15" hidden="false" customHeight="true" outlineLevel="0" collapsed="false">
      <c r="A2222" s="4" t="s">
        <v>2398</v>
      </c>
      <c r="B2222" s="13" t="n">
        <v>45165</v>
      </c>
      <c r="C2222" s="4" t="s">
        <v>6210</v>
      </c>
      <c r="D2222" s="4" t="s">
        <v>6205</v>
      </c>
      <c r="E2222" s="4" t="s">
        <v>6208</v>
      </c>
      <c r="F2222" s="4" t="s">
        <v>6216</v>
      </c>
    </row>
    <row r="2223" customFormat="false" ht="15" hidden="false" customHeight="true" outlineLevel="0" collapsed="false">
      <c r="A2223" s="4" t="s">
        <v>2399</v>
      </c>
      <c r="B2223" s="13" t="n">
        <v>45336</v>
      </c>
      <c r="C2223" s="4" t="s">
        <v>6215</v>
      </c>
      <c r="D2223" s="4" t="s">
        <v>6202</v>
      </c>
      <c r="E2223" s="4" t="s">
        <v>6207</v>
      </c>
      <c r="F2223" s="4"/>
    </row>
    <row r="2224" customFormat="false" ht="15" hidden="false" customHeight="true" outlineLevel="0" collapsed="false">
      <c r="A2224" s="4" t="s">
        <v>2400</v>
      </c>
      <c r="B2224" s="13" t="n">
        <v>45549</v>
      </c>
      <c r="C2224" s="4" t="s">
        <v>6213</v>
      </c>
      <c r="D2224" s="4" t="s">
        <v>6195</v>
      </c>
      <c r="E2224" s="4" t="s">
        <v>6207</v>
      </c>
      <c r="F2224" s="4" t="s">
        <v>6204</v>
      </c>
    </row>
    <row r="2225" customFormat="false" ht="15" hidden="false" customHeight="true" outlineLevel="0" collapsed="false">
      <c r="A2225" s="4" t="s">
        <v>2401</v>
      </c>
      <c r="B2225" s="13" t="n">
        <v>45057</v>
      </c>
      <c r="C2225" s="4" t="s">
        <v>6213</v>
      </c>
      <c r="D2225" s="4" t="s">
        <v>6207</v>
      </c>
      <c r="E2225" s="4" t="s">
        <v>6207</v>
      </c>
      <c r="F2225" s="4" t="s">
        <v>6216</v>
      </c>
    </row>
    <row r="2226" customFormat="false" ht="15" hidden="false" customHeight="true" outlineLevel="0" collapsed="false">
      <c r="A2226" s="4" t="s">
        <v>2402</v>
      </c>
      <c r="B2226" s="13" t="n">
        <v>45422</v>
      </c>
      <c r="C2226" s="4" t="s">
        <v>6210</v>
      </c>
      <c r="D2226" s="4" t="s">
        <v>6207</v>
      </c>
      <c r="E2226" s="4" t="s">
        <v>6205</v>
      </c>
      <c r="F2226" s="4" t="s">
        <v>6216</v>
      </c>
    </row>
    <row r="2227" customFormat="false" ht="15" hidden="false" customHeight="true" outlineLevel="0" collapsed="false">
      <c r="A2227" s="4" t="s">
        <v>2403</v>
      </c>
      <c r="B2227" s="13" t="n">
        <v>45314</v>
      </c>
      <c r="C2227" s="4" t="s">
        <v>6201</v>
      </c>
      <c r="D2227" s="4" t="s">
        <v>6203</v>
      </c>
      <c r="E2227" s="4" t="s">
        <v>6206</v>
      </c>
      <c r="F2227" s="4" t="s">
        <v>6214</v>
      </c>
    </row>
    <row r="2228" customFormat="false" ht="15" hidden="false" customHeight="true" outlineLevel="0" collapsed="false">
      <c r="A2228" s="4" t="s">
        <v>2404</v>
      </c>
      <c r="B2228" s="13" t="n">
        <v>45628</v>
      </c>
      <c r="C2228" s="4" t="s">
        <v>6209</v>
      </c>
      <c r="D2228" s="4" t="s">
        <v>6195</v>
      </c>
      <c r="E2228" s="4" t="s">
        <v>6208</v>
      </c>
      <c r="F2228" s="4" t="s">
        <v>6216</v>
      </c>
    </row>
    <row r="2229" customFormat="false" ht="15" hidden="false" customHeight="true" outlineLevel="0" collapsed="false">
      <c r="A2229" s="4" t="s">
        <v>2405</v>
      </c>
      <c r="B2229" s="13" t="n">
        <v>45134</v>
      </c>
      <c r="C2229" s="4" t="s">
        <v>6215</v>
      </c>
      <c r="D2229" s="4" t="s">
        <v>6205</v>
      </c>
      <c r="E2229" s="4" t="s">
        <v>6199</v>
      </c>
      <c r="F2229" s="4" t="s">
        <v>6212</v>
      </c>
    </row>
    <row r="2230" customFormat="false" ht="15" hidden="false" customHeight="true" outlineLevel="0" collapsed="false">
      <c r="A2230" s="4" t="s">
        <v>2406</v>
      </c>
      <c r="B2230" s="13" t="n">
        <v>45502</v>
      </c>
      <c r="C2230" s="4" t="s">
        <v>6210</v>
      </c>
      <c r="D2230" s="4" t="s">
        <v>6208</v>
      </c>
      <c r="E2230" s="4" t="s">
        <v>6205</v>
      </c>
      <c r="F2230" s="4" t="s">
        <v>6212</v>
      </c>
    </row>
    <row r="2231" customFormat="false" ht="15" hidden="false" customHeight="true" outlineLevel="0" collapsed="false">
      <c r="A2231" s="4" t="s">
        <v>2407</v>
      </c>
      <c r="B2231" s="13" t="n">
        <v>45246</v>
      </c>
      <c r="C2231" s="4" t="s">
        <v>6210</v>
      </c>
      <c r="D2231" s="4" t="s">
        <v>6206</v>
      </c>
      <c r="E2231" s="4" t="s">
        <v>6199</v>
      </c>
      <c r="F2231" s="4" t="s">
        <v>6212</v>
      </c>
    </row>
    <row r="2232" customFormat="false" ht="15" hidden="false" customHeight="true" outlineLevel="0" collapsed="false">
      <c r="A2232" s="4" t="s">
        <v>2408</v>
      </c>
      <c r="B2232" s="13" t="n">
        <v>45575</v>
      </c>
      <c r="C2232" s="4" t="s">
        <v>6194</v>
      </c>
      <c r="D2232" s="4" t="s">
        <v>6196</v>
      </c>
      <c r="E2232" s="4" t="s">
        <v>6196</v>
      </c>
      <c r="F2232" s="4"/>
    </row>
    <row r="2233" customFormat="false" ht="15" hidden="false" customHeight="true" outlineLevel="0" collapsed="false">
      <c r="A2233" s="4" t="s">
        <v>2409</v>
      </c>
      <c r="B2233" s="13" t="n">
        <v>45500</v>
      </c>
      <c r="C2233" s="4" t="s">
        <v>6213</v>
      </c>
      <c r="D2233" s="4" t="s">
        <v>6203</v>
      </c>
      <c r="E2233" s="4" t="s">
        <v>6199</v>
      </c>
      <c r="F2233" s="4" t="s">
        <v>6204</v>
      </c>
    </row>
    <row r="2234" customFormat="false" ht="15" hidden="false" customHeight="true" outlineLevel="0" collapsed="false">
      <c r="A2234" s="4" t="s">
        <v>2410</v>
      </c>
      <c r="B2234" s="13" t="n">
        <v>45181</v>
      </c>
      <c r="C2234" s="4" t="s">
        <v>6201</v>
      </c>
      <c r="D2234" s="4" t="s">
        <v>6199</v>
      </c>
      <c r="E2234" s="4" t="s">
        <v>6211</v>
      </c>
      <c r="F2234" s="4" t="s">
        <v>6197</v>
      </c>
    </row>
    <row r="2235" customFormat="false" ht="15" hidden="false" customHeight="true" outlineLevel="0" collapsed="false">
      <c r="A2235" s="4" t="s">
        <v>2411</v>
      </c>
      <c r="B2235" s="13" t="n">
        <v>45533</v>
      </c>
      <c r="C2235" s="4" t="s">
        <v>6198</v>
      </c>
      <c r="D2235" s="4" t="s">
        <v>6208</v>
      </c>
      <c r="E2235" s="4" t="s">
        <v>6202</v>
      </c>
      <c r="F2235" s="4" t="s">
        <v>6212</v>
      </c>
    </row>
    <row r="2236" customFormat="false" ht="15" hidden="false" customHeight="true" outlineLevel="0" collapsed="false">
      <c r="A2236" s="4" t="s">
        <v>2412</v>
      </c>
      <c r="B2236" s="13" t="n">
        <v>45027</v>
      </c>
      <c r="C2236" s="4" t="s">
        <v>6213</v>
      </c>
      <c r="D2236" s="4" t="s">
        <v>6195</v>
      </c>
      <c r="E2236" s="4" t="s">
        <v>6203</v>
      </c>
      <c r="F2236" s="4"/>
    </row>
    <row r="2237" customFormat="false" ht="15" hidden="false" customHeight="true" outlineLevel="0" collapsed="false">
      <c r="A2237" s="4" t="s">
        <v>2413</v>
      </c>
      <c r="B2237" s="13" t="n">
        <v>45585</v>
      </c>
      <c r="C2237" s="4" t="s">
        <v>6198</v>
      </c>
      <c r="D2237" s="4" t="s">
        <v>6203</v>
      </c>
      <c r="E2237" s="4" t="s">
        <v>6211</v>
      </c>
      <c r="F2237" s="4" t="s">
        <v>6216</v>
      </c>
    </row>
    <row r="2238" customFormat="false" ht="15" hidden="false" customHeight="true" outlineLevel="0" collapsed="false">
      <c r="A2238" s="4" t="s">
        <v>2414</v>
      </c>
      <c r="B2238" s="13" t="n">
        <v>45123</v>
      </c>
      <c r="C2238" s="4" t="s">
        <v>6201</v>
      </c>
      <c r="D2238" s="4" t="s">
        <v>6203</v>
      </c>
      <c r="E2238" s="4" t="s">
        <v>6202</v>
      </c>
      <c r="F2238" s="4" t="s">
        <v>6204</v>
      </c>
    </row>
    <row r="2239" customFormat="false" ht="15" hidden="false" customHeight="true" outlineLevel="0" collapsed="false">
      <c r="A2239" s="4" t="s">
        <v>2415</v>
      </c>
      <c r="B2239" s="13" t="n">
        <v>45638</v>
      </c>
      <c r="C2239" s="4" t="s">
        <v>6210</v>
      </c>
      <c r="D2239" s="4" t="s">
        <v>6208</v>
      </c>
      <c r="E2239" s="4" t="s">
        <v>6203</v>
      </c>
      <c r="F2239" s="4" t="s">
        <v>6200</v>
      </c>
    </row>
    <row r="2240" customFormat="false" ht="15" hidden="false" customHeight="true" outlineLevel="0" collapsed="false">
      <c r="A2240" s="4" t="s">
        <v>2416</v>
      </c>
      <c r="B2240" s="13" t="n">
        <v>45039</v>
      </c>
      <c r="C2240" s="4" t="s">
        <v>6210</v>
      </c>
      <c r="D2240" s="4" t="s">
        <v>6207</v>
      </c>
      <c r="E2240" s="4" t="s">
        <v>6202</v>
      </c>
      <c r="F2240" s="4"/>
    </row>
    <row r="2241" customFormat="false" ht="15" hidden="false" customHeight="true" outlineLevel="0" collapsed="false">
      <c r="A2241" s="4" t="s">
        <v>2417</v>
      </c>
      <c r="B2241" s="13" t="n">
        <v>45644</v>
      </c>
      <c r="C2241" s="4" t="s">
        <v>6210</v>
      </c>
      <c r="D2241" s="4" t="s">
        <v>6207</v>
      </c>
      <c r="E2241" s="4" t="s">
        <v>6199</v>
      </c>
      <c r="F2241" s="4"/>
    </row>
    <row r="2242" customFormat="false" ht="15" hidden="false" customHeight="true" outlineLevel="0" collapsed="false">
      <c r="A2242" s="4" t="s">
        <v>2418</v>
      </c>
      <c r="B2242" s="13" t="n">
        <v>45325</v>
      </c>
      <c r="C2242" s="4" t="s">
        <v>6209</v>
      </c>
      <c r="D2242" s="4" t="s">
        <v>6202</v>
      </c>
      <c r="E2242" s="4" t="s">
        <v>6199</v>
      </c>
      <c r="F2242" s="4"/>
    </row>
    <row r="2243" customFormat="false" ht="15" hidden="false" customHeight="true" outlineLevel="0" collapsed="false">
      <c r="A2243" s="4" t="s">
        <v>2419</v>
      </c>
      <c r="B2243" s="13" t="n">
        <v>45348</v>
      </c>
      <c r="C2243" s="4" t="s">
        <v>6209</v>
      </c>
      <c r="D2243" s="4" t="s">
        <v>6205</v>
      </c>
      <c r="E2243" s="4" t="s">
        <v>6195</v>
      </c>
      <c r="F2243" s="4" t="s">
        <v>6216</v>
      </c>
    </row>
    <row r="2244" customFormat="false" ht="15" hidden="false" customHeight="true" outlineLevel="0" collapsed="false">
      <c r="A2244" s="4" t="s">
        <v>2420</v>
      </c>
      <c r="B2244" s="13" t="n">
        <v>45532</v>
      </c>
      <c r="C2244" s="4" t="s">
        <v>6210</v>
      </c>
      <c r="D2244" s="4" t="s">
        <v>6208</v>
      </c>
      <c r="E2244" s="4" t="s">
        <v>6208</v>
      </c>
      <c r="F2244" s="4"/>
    </row>
    <row r="2245" customFormat="false" ht="15" hidden="false" customHeight="true" outlineLevel="0" collapsed="false">
      <c r="A2245" s="4" t="s">
        <v>2421</v>
      </c>
      <c r="B2245" s="13" t="n">
        <v>45299</v>
      </c>
      <c r="C2245" s="4" t="s">
        <v>6209</v>
      </c>
      <c r="D2245" s="4" t="s">
        <v>6202</v>
      </c>
      <c r="E2245" s="4" t="s">
        <v>6206</v>
      </c>
      <c r="F2245" s="4" t="s">
        <v>6216</v>
      </c>
    </row>
    <row r="2246" customFormat="false" ht="15" hidden="false" customHeight="true" outlineLevel="0" collapsed="false">
      <c r="A2246" s="4" t="s">
        <v>2422</v>
      </c>
      <c r="B2246" s="13" t="n">
        <v>45422</v>
      </c>
      <c r="C2246" s="4" t="s">
        <v>6213</v>
      </c>
      <c r="D2246" s="4" t="s">
        <v>6207</v>
      </c>
      <c r="E2246" s="4" t="s">
        <v>6202</v>
      </c>
      <c r="F2246" s="4"/>
    </row>
    <row r="2247" customFormat="false" ht="15" hidden="false" customHeight="true" outlineLevel="0" collapsed="false">
      <c r="A2247" s="4" t="s">
        <v>2423</v>
      </c>
      <c r="B2247" s="13" t="n">
        <v>45179</v>
      </c>
      <c r="C2247" s="4" t="s">
        <v>6215</v>
      </c>
      <c r="D2247" s="4" t="s">
        <v>6199</v>
      </c>
      <c r="E2247" s="4" t="s">
        <v>6199</v>
      </c>
      <c r="F2247" s="4" t="s">
        <v>6216</v>
      </c>
    </row>
    <row r="2248" customFormat="false" ht="15" hidden="false" customHeight="true" outlineLevel="0" collapsed="false">
      <c r="A2248" s="4" t="s">
        <v>2424</v>
      </c>
      <c r="B2248" s="13" t="n">
        <v>44976</v>
      </c>
      <c r="C2248" s="4" t="s">
        <v>6210</v>
      </c>
      <c r="D2248" s="4" t="s">
        <v>6206</v>
      </c>
      <c r="E2248" s="4" t="s">
        <v>6211</v>
      </c>
      <c r="F2248" s="4" t="s">
        <v>6200</v>
      </c>
    </row>
    <row r="2249" customFormat="false" ht="15" hidden="false" customHeight="true" outlineLevel="0" collapsed="false">
      <c r="A2249" s="4" t="s">
        <v>2425</v>
      </c>
      <c r="B2249" s="13" t="n">
        <v>44948</v>
      </c>
      <c r="C2249" s="4" t="s">
        <v>6209</v>
      </c>
      <c r="D2249" s="4" t="s">
        <v>6203</v>
      </c>
      <c r="E2249" s="4" t="s">
        <v>6196</v>
      </c>
      <c r="F2249" s="4"/>
    </row>
    <row r="2250" customFormat="false" ht="15" hidden="false" customHeight="true" outlineLevel="0" collapsed="false">
      <c r="A2250" s="4" t="s">
        <v>2426</v>
      </c>
      <c r="B2250" s="13" t="n">
        <v>45320</v>
      </c>
      <c r="C2250" s="4" t="s">
        <v>6210</v>
      </c>
      <c r="D2250" s="4" t="s">
        <v>6205</v>
      </c>
      <c r="E2250" s="4" t="s">
        <v>6195</v>
      </c>
      <c r="F2250" s="4"/>
    </row>
    <row r="2251" customFormat="false" ht="15" hidden="false" customHeight="true" outlineLevel="0" collapsed="false">
      <c r="A2251" s="4" t="s">
        <v>2427</v>
      </c>
      <c r="B2251" s="13" t="n">
        <v>45272</v>
      </c>
      <c r="C2251" s="4" t="s">
        <v>6198</v>
      </c>
      <c r="D2251" s="4" t="s">
        <v>6202</v>
      </c>
      <c r="E2251" s="4" t="s">
        <v>6205</v>
      </c>
      <c r="F2251" s="4" t="s">
        <v>6214</v>
      </c>
    </row>
    <row r="2252" customFormat="false" ht="15" hidden="false" customHeight="true" outlineLevel="0" collapsed="false">
      <c r="A2252" s="4" t="s">
        <v>2428</v>
      </c>
      <c r="B2252" s="13" t="n">
        <v>45148</v>
      </c>
      <c r="C2252" s="4" t="s">
        <v>6198</v>
      </c>
      <c r="D2252" s="4" t="s">
        <v>6208</v>
      </c>
      <c r="E2252" s="4" t="s">
        <v>6205</v>
      </c>
      <c r="F2252" s="4" t="s">
        <v>6212</v>
      </c>
    </row>
    <row r="2253" customFormat="false" ht="15" hidden="false" customHeight="true" outlineLevel="0" collapsed="false">
      <c r="A2253" s="4" t="s">
        <v>2429</v>
      </c>
      <c r="B2253" s="13" t="n">
        <v>45601</v>
      </c>
      <c r="C2253" s="4" t="s">
        <v>6215</v>
      </c>
      <c r="D2253" s="4" t="s">
        <v>6196</v>
      </c>
      <c r="E2253" s="4" t="s">
        <v>6195</v>
      </c>
      <c r="F2253" s="4" t="s">
        <v>6200</v>
      </c>
    </row>
    <row r="2254" customFormat="false" ht="15" hidden="false" customHeight="true" outlineLevel="0" collapsed="false">
      <c r="A2254" s="4" t="s">
        <v>2430</v>
      </c>
      <c r="B2254" s="13" t="n">
        <v>45579</v>
      </c>
      <c r="C2254" s="4" t="s">
        <v>6198</v>
      </c>
      <c r="D2254" s="4" t="s">
        <v>6205</v>
      </c>
      <c r="E2254" s="4" t="s">
        <v>6211</v>
      </c>
      <c r="F2254" s="4" t="s">
        <v>6214</v>
      </c>
    </row>
    <row r="2255" customFormat="false" ht="15" hidden="false" customHeight="true" outlineLevel="0" collapsed="false">
      <c r="A2255" s="4" t="s">
        <v>2431</v>
      </c>
      <c r="B2255" s="13" t="n">
        <v>45205</v>
      </c>
      <c r="C2255" s="4" t="s">
        <v>6210</v>
      </c>
      <c r="D2255" s="4" t="s">
        <v>6203</v>
      </c>
      <c r="E2255" s="4" t="s">
        <v>6208</v>
      </c>
      <c r="F2255" s="4" t="s">
        <v>6204</v>
      </c>
    </row>
    <row r="2256" customFormat="false" ht="15" hidden="false" customHeight="true" outlineLevel="0" collapsed="false">
      <c r="A2256" s="4" t="s">
        <v>2432</v>
      </c>
      <c r="B2256" s="13" t="n">
        <v>45274</v>
      </c>
      <c r="C2256" s="4" t="s">
        <v>6215</v>
      </c>
      <c r="D2256" s="4" t="s">
        <v>6206</v>
      </c>
      <c r="E2256" s="4" t="s">
        <v>6199</v>
      </c>
      <c r="F2256" s="4"/>
    </row>
    <row r="2257" customFormat="false" ht="15" hidden="false" customHeight="true" outlineLevel="0" collapsed="false">
      <c r="A2257" s="4" t="s">
        <v>2433</v>
      </c>
      <c r="B2257" s="13" t="n">
        <v>45504</v>
      </c>
      <c r="C2257" s="4" t="s">
        <v>6198</v>
      </c>
      <c r="D2257" s="4" t="s">
        <v>6196</v>
      </c>
      <c r="E2257" s="4" t="s">
        <v>6205</v>
      </c>
      <c r="F2257" s="4"/>
    </row>
    <row r="2258" customFormat="false" ht="15" hidden="false" customHeight="true" outlineLevel="0" collapsed="false">
      <c r="A2258" s="4" t="s">
        <v>2434</v>
      </c>
      <c r="B2258" s="13" t="n">
        <v>45044</v>
      </c>
      <c r="C2258" s="4" t="s">
        <v>6201</v>
      </c>
      <c r="D2258" s="4" t="s">
        <v>6207</v>
      </c>
      <c r="E2258" s="4" t="s">
        <v>6205</v>
      </c>
      <c r="F2258" s="4"/>
    </row>
    <row r="2259" customFormat="false" ht="15" hidden="false" customHeight="true" outlineLevel="0" collapsed="false">
      <c r="A2259" s="4" t="s">
        <v>2435</v>
      </c>
      <c r="B2259" s="13" t="n">
        <v>45002</v>
      </c>
      <c r="C2259" s="4" t="s">
        <v>6215</v>
      </c>
      <c r="D2259" s="4" t="s">
        <v>6199</v>
      </c>
      <c r="E2259" s="4" t="s">
        <v>6205</v>
      </c>
      <c r="F2259" s="4"/>
    </row>
    <row r="2260" customFormat="false" ht="15" hidden="false" customHeight="true" outlineLevel="0" collapsed="false">
      <c r="A2260" s="4" t="s">
        <v>2436</v>
      </c>
      <c r="B2260" s="13" t="n">
        <v>45427</v>
      </c>
      <c r="C2260" s="4" t="s">
        <v>6198</v>
      </c>
      <c r="D2260" s="4" t="s">
        <v>6206</v>
      </c>
      <c r="E2260" s="4" t="s">
        <v>6208</v>
      </c>
      <c r="F2260" s="4" t="s">
        <v>6200</v>
      </c>
    </row>
    <row r="2261" customFormat="false" ht="15" hidden="false" customHeight="true" outlineLevel="0" collapsed="false">
      <c r="A2261" s="4" t="s">
        <v>2437</v>
      </c>
      <c r="B2261" s="13" t="n">
        <v>45601</v>
      </c>
      <c r="C2261" s="4" t="s">
        <v>6198</v>
      </c>
      <c r="D2261" s="4" t="s">
        <v>6211</v>
      </c>
      <c r="E2261" s="4" t="s">
        <v>6199</v>
      </c>
      <c r="F2261" s="4" t="s">
        <v>6214</v>
      </c>
    </row>
    <row r="2262" customFormat="false" ht="15" hidden="false" customHeight="true" outlineLevel="0" collapsed="false">
      <c r="A2262" s="4" t="s">
        <v>2438</v>
      </c>
      <c r="B2262" s="13" t="n">
        <v>45544</v>
      </c>
      <c r="C2262" s="4" t="s">
        <v>6215</v>
      </c>
      <c r="D2262" s="4" t="s">
        <v>6208</v>
      </c>
      <c r="E2262" s="4" t="s">
        <v>6208</v>
      </c>
      <c r="F2262" s="4" t="s">
        <v>6204</v>
      </c>
    </row>
    <row r="2263" customFormat="false" ht="15" hidden="false" customHeight="true" outlineLevel="0" collapsed="false">
      <c r="A2263" s="4" t="s">
        <v>2439</v>
      </c>
      <c r="B2263" s="13" t="n">
        <v>45460</v>
      </c>
      <c r="C2263" s="4" t="s">
        <v>6210</v>
      </c>
      <c r="D2263" s="4" t="s">
        <v>6207</v>
      </c>
      <c r="E2263" s="4" t="s">
        <v>6208</v>
      </c>
      <c r="F2263" s="4" t="s">
        <v>6200</v>
      </c>
    </row>
    <row r="2264" customFormat="false" ht="15" hidden="false" customHeight="true" outlineLevel="0" collapsed="false">
      <c r="A2264" s="4" t="s">
        <v>2440</v>
      </c>
      <c r="B2264" s="13" t="n">
        <v>45019</v>
      </c>
      <c r="C2264" s="4" t="s">
        <v>6215</v>
      </c>
      <c r="D2264" s="4" t="s">
        <v>6206</v>
      </c>
      <c r="E2264" s="4" t="s">
        <v>6208</v>
      </c>
      <c r="F2264" s="4" t="s">
        <v>6200</v>
      </c>
    </row>
    <row r="2265" customFormat="false" ht="15" hidden="false" customHeight="true" outlineLevel="0" collapsed="false">
      <c r="A2265" s="4" t="s">
        <v>2441</v>
      </c>
      <c r="B2265" s="13" t="n">
        <v>45108</v>
      </c>
      <c r="C2265" s="4" t="s">
        <v>6213</v>
      </c>
      <c r="D2265" s="4" t="s">
        <v>6206</v>
      </c>
      <c r="E2265" s="4" t="s">
        <v>6205</v>
      </c>
      <c r="F2265" s="4" t="s">
        <v>6216</v>
      </c>
    </row>
    <row r="2266" customFormat="false" ht="15" hidden="false" customHeight="true" outlineLevel="0" collapsed="false">
      <c r="A2266" s="4" t="s">
        <v>2442</v>
      </c>
      <c r="B2266" s="13" t="n">
        <v>45031</v>
      </c>
      <c r="C2266" s="4" t="s">
        <v>6194</v>
      </c>
      <c r="D2266" s="4" t="s">
        <v>6206</v>
      </c>
      <c r="E2266" s="4" t="s">
        <v>6203</v>
      </c>
      <c r="F2266" s="4" t="s">
        <v>6216</v>
      </c>
    </row>
    <row r="2267" customFormat="false" ht="15" hidden="false" customHeight="true" outlineLevel="0" collapsed="false">
      <c r="A2267" s="4" t="s">
        <v>2443</v>
      </c>
      <c r="B2267" s="13" t="n">
        <v>45048</v>
      </c>
      <c r="C2267" s="4" t="s">
        <v>6209</v>
      </c>
      <c r="D2267" s="4" t="s">
        <v>6206</v>
      </c>
      <c r="E2267" s="4" t="s">
        <v>6211</v>
      </c>
      <c r="F2267" s="4" t="s">
        <v>6216</v>
      </c>
    </row>
    <row r="2268" customFormat="false" ht="15" hidden="false" customHeight="true" outlineLevel="0" collapsed="false">
      <c r="A2268" s="4" t="s">
        <v>2444</v>
      </c>
      <c r="B2268" s="13" t="n">
        <v>45382</v>
      </c>
      <c r="C2268" s="4" t="s">
        <v>6201</v>
      </c>
      <c r="D2268" s="4" t="s">
        <v>6203</v>
      </c>
      <c r="E2268" s="4" t="s">
        <v>6203</v>
      </c>
      <c r="F2268" s="4"/>
    </row>
    <row r="2269" customFormat="false" ht="15" hidden="false" customHeight="true" outlineLevel="0" collapsed="false">
      <c r="A2269" s="4" t="s">
        <v>2445</v>
      </c>
      <c r="B2269" s="13" t="n">
        <v>45509</v>
      </c>
      <c r="C2269" s="4" t="s">
        <v>6209</v>
      </c>
      <c r="D2269" s="4" t="s">
        <v>6207</v>
      </c>
      <c r="E2269" s="4" t="s">
        <v>6205</v>
      </c>
      <c r="F2269" s="4" t="s">
        <v>6216</v>
      </c>
    </row>
    <row r="2270" customFormat="false" ht="15" hidden="false" customHeight="true" outlineLevel="0" collapsed="false">
      <c r="A2270" s="4" t="s">
        <v>2446</v>
      </c>
      <c r="B2270" s="13" t="n">
        <v>45062</v>
      </c>
      <c r="C2270" s="4" t="s">
        <v>6215</v>
      </c>
      <c r="D2270" s="4" t="s">
        <v>6208</v>
      </c>
      <c r="E2270" s="4" t="s">
        <v>6202</v>
      </c>
      <c r="F2270" s="4" t="s">
        <v>6197</v>
      </c>
    </row>
    <row r="2271" customFormat="false" ht="15" hidden="false" customHeight="true" outlineLevel="0" collapsed="false">
      <c r="A2271" s="4" t="s">
        <v>2447</v>
      </c>
      <c r="B2271" s="13" t="n">
        <v>45143</v>
      </c>
      <c r="C2271" s="4" t="s">
        <v>6201</v>
      </c>
      <c r="D2271" s="4" t="s">
        <v>6205</v>
      </c>
      <c r="E2271" s="4" t="s">
        <v>6207</v>
      </c>
      <c r="F2271" s="4" t="s">
        <v>6200</v>
      </c>
    </row>
    <row r="2272" customFormat="false" ht="15" hidden="false" customHeight="true" outlineLevel="0" collapsed="false">
      <c r="A2272" s="4" t="s">
        <v>2448</v>
      </c>
      <c r="B2272" s="13" t="n">
        <v>45386</v>
      </c>
      <c r="C2272" s="4" t="s">
        <v>6213</v>
      </c>
      <c r="D2272" s="4" t="s">
        <v>6211</v>
      </c>
      <c r="E2272" s="4" t="s">
        <v>6203</v>
      </c>
      <c r="F2272" s="4" t="s">
        <v>6197</v>
      </c>
    </row>
    <row r="2273" customFormat="false" ht="15" hidden="false" customHeight="true" outlineLevel="0" collapsed="false">
      <c r="A2273" s="4" t="s">
        <v>2449</v>
      </c>
      <c r="B2273" s="13" t="n">
        <v>45423</v>
      </c>
      <c r="C2273" s="4" t="s">
        <v>6194</v>
      </c>
      <c r="D2273" s="4" t="s">
        <v>6199</v>
      </c>
      <c r="E2273" s="4" t="s">
        <v>6195</v>
      </c>
      <c r="F2273" s="4" t="s">
        <v>6204</v>
      </c>
    </row>
    <row r="2274" customFormat="false" ht="15" hidden="false" customHeight="true" outlineLevel="0" collapsed="false">
      <c r="A2274" s="4" t="s">
        <v>2450</v>
      </c>
      <c r="B2274" s="13" t="n">
        <v>45420</v>
      </c>
      <c r="C2274" s="4" t="s">
        <v>6209</v>
      </c>
      <c r="D2274" s="4" t="s">
        <v>6205</v>
      </c>
      <c r="E2274" s="4" t="s">
        <v>6206</v>
      </c>
      <c r="F2274" s="4"/>
    </row>
    <row r="2275" customFormat="false" ht="15" hidden="false" customHeight="true" outlineLevel="0" collapsed="false">
      <c r="A2275" s="4" t="s">
        <v>2451</v>
      </c>
      <c r="B2275" s="13" t="n">
        <v>45639</v>
      </c>
      <c r="C2275" s="4" t="s">
        <v>6194</v>
      </c>
      <c r="D2275" s="4" t="s">
        <v>6203</v>
      </c>
      <c r="E2275" s="4" t="s">
        <v>6208</v>
      </c>
      <c r="F2275" s="4"/>
    </row>
    <row r="2276" customFormat="false" ht="15" hidden="false" customHeight="true" outlineLevel="0" collapsed="false">
      <c r="A2276" s="4" t="s">
        <v>2452</v>
      </c>
      <c r="B2276" s="13" t="n">
        <v>45137</v>
      </c>
      <c r="C2276" s="4" t="s">
        <v>6194</v>
      </c>
      <c r="D2276" s="4" t="s">
        <v>6206</v>
      </c>
      <c r="E2276" s="4" t="s">
        <v>6206</v>
      </c>
      <c r="F2276" s="4" t="s">
        <v>6200</v>
      </c>
    </row>
    <row r="2277" customFormat="false" ht="15" hidden="false" customHeight="true" outlineLevel="0" collapsed="false">
      <c r="A2277" s="4" t="s">
        <v>2453</v>
      </c>
      <c r="B2277" s="13" t="n">
        <v>45596</v>
      </c>
      <c r="C2277" s="4" t="s">
        <v>6194</v>
      </c>
      <c r="D2277" s="4" t="s">
        <v>6211</v>
      </c>
      <c r="E2277" s="4" t="s">
        <v>6206</v>
      </c>
      <c r="F2277" s="4" t="s">
        <v>6216</v>
      </c>
    </row>
    <row r="2278" customFormat="false" ht="15" hidden="false" customHeight="true" outlineLevel="0" collapsed="false">
      <c r="A2278" s="4" t="s">
        <v>2454</v>
      </c>
      <c r="B2278" s="13" t="n">
        <v>45426</v>
      </c>
      <c r="C2278" s="4" t="s">
        <v>6201</v>
      </c>
      <c r="D2278" s="4" t="s">
        <v>6208</v>
      </c>
      <c r="E2278" s="4" t="s">
        <v>6195</v>
      </c>
      <c r="F2278" s="4"/>
    </row>
    <row r="2279" customFormat="false" ht="15" hidden="false" customHeight="true" outlineLevel="0" collapsed="false">
      <c r="A2279" s="4" t="s">
        <v>2455</v>
      </c>
      <c r="B2279" s="13" t="n">
        <v>45305</v>
      </c>
      <c r="C2279" s="4" t="s">
        <v>6198</v>
      </c>
      <c r="D2279" s="4" t="s">
        <v>6199</v>
      </c>
      <c r="E2279" s="4" t="s">
        <v>6199</v>
      </c>
      <c r="F2279" s="4"/>
    </row>
    <row r="2280" customFormat="false" ht="15" hidden="false" customHeight="true" outlineLevel="0" collapsed="false">
      <c r="A2280" s="4" t="s">
        <v>2456</v>
      </c>
      <c r="B2280" s="13" t="n">
        <v>45283</v>
      </c>
      <c r="C2280" s="4" t="s">
        <v>6194</v>
      </c>
      <c r="D2280" s="4" t="s">
        <v>6205</v>
      </c>
      <c r="E2280" s="4" t="s">
        <v>6206</v>
      </c>
      <c r="F2280" s="4" t="s">
        <v>6204</v>
      </c>
    </row>
    <row r="2281" customFormat="false" ht="15" hidden="false" customHeight="true" outlineLevel="0" collapsed="false">
      <c r="A2281" s="4" t="s">
        <v>2457</v>
      </c>
      <c r="B2281" s="13" t="n">
        <v>45530</v>
      </c>
      <c r="C2281" s="4" t="s">
        <v>6201</v>
      </c>
      <c r="D2281" s="4" t="s">
        <v>6206</v>
      </c>
      <c r="E2281" s="4" t="s">
        <v>6211</v>
      </c>
      <c r="F2281" s="4"/>
    </row>
    <row r="2282" customFormat="false" ht="15" hidden="false" customHeight="true" outlineLevel="0" collapsed="false">
      <c r="A2282" s="4" t="s">
        <v>2458</v>
      </c>
      <c r="B2282" s="13" t="n">
        <v>45165</v>
      </c>
      <c r="C2282" s="4" t="s">
        <v>6210</v>
      </c>
      <c r="D2282" s="4" t="s">
        <v>6208</v>
      </c>
      <c r="E2282" s="4" t="s">
        <v>6196</v>
      </c>
      <c r="F2282" s="4" t="s">
        <v>6204</v>
      </c>
    </row>
    <row r="2283" customFormat="false" ht="15" hidden="false" customHeight="true" outlineLevel="0" collapsed="false">
      <c r="A2283" s="4" t="s">
        <v>2459</v>
      </c>
      <c r="B2283" s="13" t="n">
        <v>45083</v>
      </c>
      <c r="C2283" s="4" t="s">
        <v>6209</v>
      </c>
      <c r="D2283" s="4" t="s">
        <v>6199</v>
      </c>
      <c r="E2283" s="4" t="s">
        <v>6205</v>
      </c>
      <c r="F2283" s="4"/>
    </row>
    <row r="2284" customFormat="false" ht="15" hidden="false" customHeight="true" outlineLevel="0" collapsed="false">
      <c r="A2284" s="4" t="s">
        <v>2460</v>
      </c>
      <c r="B2284" s="13" t="n">
        <v>45039</v>
      </c>
      <c r="C2284" s="4" t="s">
        <v>6210</v>
      </c>
      <c r="D2284" s="4" t="s">
        <v>6207</v>
      </c>
      <c r="E2284" s="4" t="s">
        <v>6211</v>
      </c>
      <c r="F2284" s="4" t="s">
        <v>6212</v>
      </c>
    </row>
    <row r="2285" customFormat="false" ht="15" hidden="false" customHeight="true" outlineLevel="0" collapsed="false">
      <c r="A2285" s="4" t="s">
        <v>2461</v>
      </c>
      <c r="B2285" s="13" t="n">
        <v>45476</v>
      </c>
      <c r="C2285" s="4" t="s">
        <v>6198</v>
      </c>
      <c r="D2285" s="4" t="s">
        <v>6208</v>
      </c>
      <c r="E2285" s="4" t="s">
        <v>6208</v>
      </c>
      <c r="F2285" s="4" t="s">
        <v>6214</v>
      </c>
    </row>
    <row r="2286" customFormat="false" ht="15" hidden="false" customHeight="true" outlineLevel="0" collapsed="false">
      <c r="A2286" s="4" t="s">
        <v>2462</v>
      </c>
      <c r="B2286" s="13" t="n">
        <v>45576</v>
      </c>
      <c r="C2286" s="4" t="s">
        <v>6209</v>
      </c>
      <c r="D2286" s="4" t="s">
        <v>6199</v>
      </c>
      <c r="E2286" s="4" t="s">
        <v>6211</v>
      </c>
      <c r="F2286" s="4" t="s">
        <v>6200</v>
      </c>
    </row>
    <row r="2287" customFormat="false" ht="15" hidden="false" customHeight="true" outlineLevel="0" collapsed="false">
      <c r="A2287" s="4" t="s">
        <v>2463</v>
      </c>
      <c r="B2287" s="13" t="n">
        <v>45246</v>
      </c>
      <c r="C2287" s="4" t="s">
        <v>6194</v>
      </c>
      <c r="D2287" s="4" t="s">
        <v>6202</v>
      </c>
      <c r="E2287" s="4" t="s">
        <v>6199</v>
      </c>
      <c r="F2287" s="4" t="s">
        <v>6200</v>
      </c>
    </row>
    <row r="2288" customFormat="false" ht="15" hidden="false" customHeight="true" outlineLevel="0" collapsed="false">
      <c r="A2288" s="4" t="s">
        <v>2464</v>
      </c>
      <c r="B2288" s="13" t="n">
        <v>45617</v>
      </c>
      <c r="C2288" s="4" t="s">
        <v>6194</v>
      </c>
      <c r="D2288" s="4" t="s">
        <v>6203</v>
      </c>
      <c r="E2288" s="4" t="s">
        <v>6202</v>
      </c>
      <c r="F2288" s="4" t="s">
        <v>6204</v>
      </c>
    </row>
    <row r="2289" customFormat="false" ht="15" hidden="false" customHeight="true" outlineLevel="0" collapsed="false">
      <c r="A2289" s="4" t="s">
        <v>2465</v>
      </c>
      <c r="B2289" s="13" t="n">
        <v>45130</v>
      </c>
      <c r="C2289" s="4" t="s">
        <v>6210</v>
      </c>
      <c r="D2289" s="4" t="s">
        <v>6203</v>
      </c>
      <c r="E2289" s="4" t="s">
        <v>6207</v>
      </c>
      <c r="F2289" s="4" t="s">
        <v>6212</v>
      </c>
    </row>
    <row r="2290" customFormat="false" ht="15" hidden="false" customHeight="true" outlineLevel="0" collapsed="false">
      <c r="A2290" s="4" t="s">
        <v>2466</v>
      </c>
      <c r="B2290" s="13" t="n">
        <v>45149</v>
      </c>
      <c r="C2290" s="4" t="s">
        <v>6215</v>
      </c>
      <c r="D2290" s="4" t="s">
        <v>6208</v>
      </c>
      <c r="E2290" s="4" t="s">
        <v>6207</v>
      </c>
      <c r="F2290" s="4" t="s">
        <v>6204</v>
      </c>
    </row>
    <row r="2291" customFormat="false" ht="15" hidden="false" customHeight="true" outlineLevel="0" collapsed="false">
      <c r="A2291" s="4" t="s">
        <v>2467</v>
      </c>
      <c r="B2291" s="13" t="n">
        <v>44960</v>
      </c>
      <c r="C2291" s="4" t="s">
        <v>6213</v>
      </c>
      <c r="D2291" s="4" t="s">
        <v>6206</v>
      </c>
      <c r="E2291" s="4" t="s">
        <v>6207</v>
      </c>
      <c r="F2291" s="4" t="s">
        <v>6212</v>
      </c>
    </row>
    <row r="2292" customFormat="false" ht="15" hidden="false" customHeight="true" outlineLevel="0" collapsed="false">
      <c r="A2292" s="4" t="s">
        <v>2468</v>
      </c>
      <c r="B2292" s="13" t="n">
        <v>45087</v>
      </c>
      <c r="C2292" s="4" t="s">
        <v>6213</v>
      </c>
      <c r="D2292" s="4" t="s">
        <v>6211</v>
      </c>
      <c r="E2292" s="4" t="s">
        <v>6202</v>
      </c>
      <c r="F2292" s="4" t="s">
        <v>6214</v>
      </c>
    </row>
    <row r="2293" customFormat="false" ht="15" hidden="false" customHeight="true" outlineLevel="0" collapsed="false">
      <c r="A2293" s="4" t="s">
        <v>2469</v>
      </c>
      <c r="B2293" s="13" t="n">
        <v>45561</v>
      </c>
      <c r="C2293" s="4" t="s">
        <v>6209</v>
      </c>
      <c r="D2293" s="4" t="s">
        <v>6211</v>
      </c>
      <c r="E2293" s="4" t="s">
        <v>6208</v>
      </c>
      <c r="F2293" s="4"/>
    </row>
    <row r="2294" customFormat="false" ht="15" hidden="false" customHeight="true" outlineLevel="0" collapsed="false">
      <c r="A2294" s="4" t="s">
        <v>2470</v>
      </c>
      <c r="B2294" s="13" t="n">
        <v>45659</v>
      </c>
      <c r="C2294" s="4" t="s">
        <v>6209</v>
      </c>
      <c r="D2294" s="4" t="s">
        <v>6196</v>
      </c>
      <c r="E2294" s="4" t="s">
        <v>6196</v>
      </c>
      <c r="F2294" s="4" t="s">
        <v>6216</v>
      </c>
    </row>
    <row r="2295" customFormat="false" ht="15" hidden="false" customHeight="true" outlineLevel="0" collapsed="false">
      <c r="A2295" s="4" t="s">
        <v>2471</v>
      </c>
      <c r="B2295" s="13" t="n">
        <v>45554</v>
      </c>
      <c r="C2295" s="4" t="s">
        <v>6215</v>
      </c>
      <c r="D2295" s="4" t="s">
        <v>6211</v>
      </c>
      <c r="E2295" s="4" t="s">
        <v>6211</v>
      </c>
      <c r="F2295" s="4" t="s">
        <v>6204</v>
      </c>
    </row>
    <row r="2296" customFormat="false" ht="15" hidden="false" customHeight="true" outlineLevel="0" collapsed="false">
      <c r="A2296" s="4" t="s">
        <v>2472</v>
      </c>
      <c r="B2296" s="13" t="n">
        <v>45008</v>
      </c>
      <c r="C2296" s="4" t="s">
        <v>6198</v>
      </c>
      <c r="D2296" s="4" t="s">
        <v>6208</v>
      </c>
      <c r="E2296" s="4" t="s">
        <v>6211</v>
      </c>
      <c r="F2296" s="4" t="s">
        <v>6214</v>
      </c>
    </row>
    <row r="2297" customFormat="false" ht="15" hidden="false" customHeight="true" outlineLevel="0" collapsed="false">
      <c r="A2297" s="4" t="s">
        <v>2473</v>
      </c>
      <c r="B2297" s="13" t="n">
        <v>45291</v>
      </c>
      <c r="C2297" s="4" t="s">
        <v>6201</v>
      </c>
      <c r="D2297" s="4" t="s">
        <v>6195</v>
      </c>
      <c r="E2297" s="4" t="s">
        <v>6196</v>
      </c>
      <c r="F2297" s="4" t="s">
        <v>6204</v>
      </c>
    </row>
    <row r="2298" customFormat="false" ht="15" hidden="false" customHeight="true" outlineLevel="0" collapsed="false">
      <c r="A2298" s="4" t="s">
        <v>2474</v>
      </c>
      <c r="B2298" s="13" t="n">
        <v>45499</v>
      </c>
      <c r="C2298" s="4" t="s">
        <v>6198</v>
      </c>
      <c r="D2298" s="4" t="s">
        <v>6211</v>
      </c>
      <c r="E2298" s="4" t="s">
        <v>6207</v>
      </c>
      <c r="F2298" s="4" t="s">
        <v>6216</v>
      </c>
    </row>
    <row r="2299" customFormat="false" ht="15" hidden="false" customHeight="true" outlineLevel="0" collapsed="false">
      <c r="A2299" s="4" t="s">
        <v>2475</v>
      </c>
      <c r="B2299" s="13" t="n">
        <v>45655</v>
      </c>
      <c r="C2299" s="4" t="s">
        <v>6210</v>
      </c>
      <c r="D2299" s="4" t="s">
        <v>6205</v>
      </c>
      <c r="E2299" s="4" t="s">
        <v>6202</v>
      </c>
      <c r="F2299" s="4" t="s">
        <v>6204</v>
      </c>
    </row>
    <row r="2300" customFormat="false" ht="15" hidden="false" customHeight="true" outlineLevel="0" collapsed="false">
      <c r="A2300" s="4" t="s">
        <v>2476</v>
      </c>
      <c r="B2300" s="13" t="n">
        <v>45139</v>
      </c>
      <c r="C2300" s="4" t="s">
        <v>6194</v>
      </c>
      <c r="D2300" s="4" t="s">
        <v>6207</v>
      </c>
      <c r="E2300" s="4" t="s">
        <v>6205</v>
      </c>
      <c r="F2300" s="4"/>
    </row>
    <row r="2301" customFormat="false" ht="15" hidden="false" customHeight="true" outlineLevel="0" collapsed="false">
      <c r="A2301" s="4" t="s">
        <v>2477</v>
      </c>
      <c r="B2301" s="13" t="n">
        <v>45466</v>
      </c>
      <c r="C2301" s="4" t="s">
        <v>6213</v>
      </c>
      <c r="D2301" s="4" t="s">
        <v>6208</v>
      </c>
      <c r="E2301" s="4" t="s">
        <v>6199</v>
      </c>
      <c r="F2301" s="4" t="s">
        <v>6214</v>
      </c>
    </row>
    <row r="2302" customFormat="false" ht="15" hidden="false" customHeight="true" outlineLevel="0" collapsed="false">
      <c r="A2302" s="4" t="s">
        <v>2478</v>
      </c>
      <c r="B2302" s="13" t="n">
        <v>45399</v>
      </c>
      <c r="C2302" s="4" t="s">
        <v>6215</v>
      </c>
      <c r="D2302" s="4" t="s">
        <v>6207</v>
      </c>
      <c r="E2302" s="4" t="s">
        <v>6206</v>
      </c>
      <c r="F2302" s="4"/>
    </row>
    <row r="2303" customFormat="false" ht="15" hidden="false" customHeight="true" outlineLevel="0" collapsed="false">
      <c r="A2303" s="4" t="s">
        <v>2479</v>
      </c>
      <c r="B2303" s="13" t="n">
        <v>45485</v>
      </c>
      <c r="C2303" s="4" t="s">
        <v>6215</v>
      </c>
      <c r="D2303" s="4" t="s">
        <v>6206</v>
      </c>
      <c r="E2303" s="4" t="s">
        <v>6208</v>
      </c>
      <c r="F2303" s="4" t="s">
        <v>6214</v>
      </c>
    </row>
    <row r="2304" customFormat="false" ht="15" hidden="false" customHeight="true" outlineLevel="0" collapsed="false">
      <c r="A2304" s="4" t="s">
        <v>2480</v>
      </c>
      <c r="B2304" s="13" t="n">
        <v>45071</v>
      </c>
      <c r="C2304" s="4" t="s">
        <v>6194</v>
      </c>
      <c r="D2304" s="4" t="s">
        <v>6208</v>
      </c>
      <c r="E2304" s="4" t="s">
        <v>6206</v>
      </c>
      <c r="F2304" s="4"/>
    </row>
    <row r="2305" customFormat="false" ht="15" hidden="false" customHeight="true" outlineLevel="0" collapsed="false">
      <c r="A2305" s="4" t="s">
        <v>2481</v>
      </c>
      <c r="B2305" s="13" t="n">
        <v>45358</v>
      </c>
      <c r="C2305" s="4" t="s">
        <v>6198</v>
      </c>
      <c r="D2305" s="4" t="s">
        <v>6205</v>
      </c>
      <c r="E2305" s="4" t="s">
        <v>6196</v>
      </c>
      <c r="F2305" s="4" t="s">
        <v>6214</v>
      </c>
    </row>
    <row r="2306" customFormat="false" ht="15" hidden="false" customHeight="true" outlineLevel="0" collapsed="false">
      <c r="A2306" s="4" t="s">
        <v>2482</v>
      </c>
      <c r="B2306" s="13" t="n">
        <v>45217</v>
      </c>
      <c r="C2306" s="4" t="s">
        <v>6198</v>
      </c>
      <c r="D2306" s="4" t="s">
        <v>6211</v>
      </c>
      <c r="E2306" s="4" t="s">
        <v>6211</v>
      </c>
      <c r="F2306" s="4" t="s">
        <v>6212</v>
      </c>
    </row>
    <row r="2307" customFormat="false" ht="15" hidden="false" customHeight="true" outlineLevel="0" collapsed="false">
      <c r="A2307" s="4" t="s">
        <v>2483</v>
      </c>
      <c r="B2307" s="13" t="n">
        <v>45641</v>
      </c>
      <c r="C2307" s="4" t="s">
        <v>6213</v>
      </c>
      <c r="D2307" s="4" t="s">
        <v>6196</v>
      </c>
      <c r="E2307" s="4" t="s">
        <v>6199</v>
      </c>
      <c r="F2307" s="4" t="s">
        <v>6204</v>
      </c>
    </row>
    <row r="2308" customFormat="false" ht="15" hidden="false" customHeight="true" outlineLevel="0" collapsed="false">
      <c r="A2308" s="4" t="s">
        <v>2484</v>
      </c>
      <c r="B2308" s="13" t="n">
        <v>45527</v>
      </c>
      <c r="C2308" s="4" t="s">
        <v>6201</v>
      </c>
      <c r="D2308" s="4" t="s">
        <v>6211</v>
      </c>
      <c r="E2308" s="4" t="s">
        <v>6205</v>
      </c>
      <c r="F2308" s="4"/>
    </row>
    <row r="2309" customFormat="false" ht="15" hidden="false" customHeight="true" outlineLevel="0" collapsed="false">
      <c r="A2309" s="4" t="s">
        <v>2485</v>
      </c>
      <c r="B2309" s="13" t="n">
        <v>45539</v>
      </c>
      <c r="C2309" s="4" t="s">
        <v>6213</v>
      </c>
      <c r="D2309" s="4" t="s">
        <v>6203</v>
      </c>
      <c r="E2309" s="4" t="s">
        <v>6206</v>
      </c>
      <c r="F2309" s="4"/>
    </row>
    <row r="2310" customFormat="false" ht="15" hidden="false" customHeight="true" outlineLevel="0" collapsed="false">
      <c r="A2310" s="4" t="s">
        <v>2486</v>
      </c>
      <c r="B2310" s="13" t="n">
        <v>45070</v>
      </c>
      <c r="C2310" s="4" t="s">
        <v>6194</v>
      </c>
      <c r="D2310" s="4" t="s">
        <v>6208</v>
      </c>
      <c r="E2310" s="4" t="s">
        <v>6211</v>
      </c>
      <c r="F2310" s="4"/>
    </row>
    <row r="2311" customFormat="false" ht="15" hidden="false" customHeight="true" outlineLevel="0" collapsed="false">
      <c r="A2311" s="4" t="s">
        <v>2487</v>
      </c>
      <c r="B2311" s="13" t="n">
        <v>45349</v>
      </c>
      <c r="C2311" s="4" t="s">
        <v>6215</v>
      </c>
      <c r="D2311" s="4" t="s">
        <v>6208</v>
      </c>
      <c r="E2311" s="4" t="s">
        <v>6206</v>
      </c>
      <c r="F2311" s="4" t="s">
        <v>6197</v>
      </c>
    </row>
    <row r="2312" customFormat="false" ht="15" hidden="false" customHeight="true" outlineLevel="0" collapsed="false">
      <c r="A2312" s="4" t="s">
        <v>2488</v>
      </c>
      <c r="B2312" s="13" t="n">
        <v>45563</v>
      </c>
      <c r="C2312" s="4" t="s">
        <v>6198</v>
      </c>
      <c r="D2312" s="4" t="s">
        <v>6206</v>
      </c>
      <c r="E2312" s="4" t="s">
        <v>6211</v>
      </c>
      <c r="F2312" s="4" t="s">
        <v>6214</v>
      </c>
    </row>
    <row r="2313" customFormat="false" ht="15" hidden="false" customHeight="true" outlineLevel="0" collapsed="false">
      <c r="A2313" s="4" t="s">
        <v>2489</v>
      </c>
      <c r="B2313" s="13" t="n">
        <v>45509</v>
      </c>
      <c r="C2313" s="4" t="s">
        <v>6209</v>
      </c>
      <c r="D2313" s="4" t="s">
        <v>6195</v>
      </c>
      <c r="E2313" s="4" t="s">
        <v>6196</v>
      </c>
      <c r="F2313" s="4"/>
    </row>
    <row r="2314" customFormat="false" ht="15" hidden="false" customHeight="true" outlineLevel="0" collapsed="false">
      <c r="A2314" s="4" t="s">
        <v>2490</v>
      </c>
      <c r="B2314" s="13" t="n">
        <v>45126</v>
      </c>
      <c r="C2314" s="4" t="s">
        <v>6210</v>
      </c>
      <c r="D2314" s="4" t="s">
        <v>6195</v>
      </c>
      <c r="E2314" s="4" t="s">
        <v>6203</v>
      </c>
      <c r="F2314" s="4" t="s">
        <v>6214</v>
      </c>
    </row>
    <row r="2315" customFormat="false" ht="15" hidden="false" customHeight="true" outlineLevel="0" collapsed="false">
      <c r="A2315" s="4" t="s">
        <v>2491</v>
      </c>
      <c r="B2315" s="13" t="n">
        <v>45222</v>
      </c>
      <c r="C2315" s="4" t="s">
        <v>6194</v>
      </c>
      <c r="D2315" s="4" t="s">
        <v>6203</v>
      </c>
      <c r="E2315" s="4" t="s">
        <v>6208</v>
      </c>
      <c r="F2315" s="4"/>
    </row>
    <row r="2316" customFormat="false" ht="15" hidden="false" customHeight="true" outlineLevel="0" collapsed="false">
      <c r="A2316" s="4" t="s">
        <v>2492</v>
      </c>
      <c r="B2316" s="13" t="n">
        <v>45554</v>
      </c>
      <c r="C2316" s="4" t="s">
        <v>6194</v>
      </c>
      <c r="D2316" s="4" t="s">
        <v>6207</v>
      </c>
      <c r="E2316" s="4" t="s">
        <v>6208</v>
      </c>
      <c r="F2316" s="4" t="s">
        <v>6216</v>
      </c>
    </row>
    <row r="2317" customFormat="false" ht="15" hidden="false" customHeight="true" outlineLevel="0" collapsed="false">
      <c r="A2317" s="4" t="s">
        <v>2493</v>
      </c>
      <c r="B2317" s="13" t="n">
        <v>45516</v>
      </c>
      <c r="C2317" s="4" t="s">
        <v>6198</v>
      </c>
      <c r="D2317" s="4" t="s">
        <v>6195</v>
      </c>
      <c r="E2317" s="4" t="s">
        <v>6205</v>
      </c>
      <c r="F2317" s="4"/>
    </row>
    <row r="2318" customFormat="false" ht="15" hidden="false" customHeight="true" outlineLevel="0" collapsed="false">
      <c r="A2318" s="4" t="s">
        <v>2494</v>
      </c>
      <c r="B2318" s="13" t="n">
        <v>45220</v>
      </c>
      <c r="C2318" s="4" t="s">
        <v>6194</v>
      </c>
      <c r="D2318" s="4" t="s">
        <v>6205</v>
      </c>
      <c r="E2318" s="4" t="s">
        <v>6208</v>
      </c>
      <c r="F2318" s="4"/>
    </row>
    <row r="2319" customFormat="false" ht="15" hidden="false" customHeight="true" outlineLevel="0" collapsed="false">
      <c r="A2319" s="4" t="s">
        <v>2495</v>
      </c>
      <c r="B2319" s="13" t="n">
        <v>45244</v>
      </c>
      <c r="C2319" s="4" t="s">
        <v>6213</v>
      </c>
      <c r="D2319" s="4" t="s">
        <v>6202</v>
      </c>
      <c r="E2319" s="4" t="s">
        <v>6203</v>
      </c>
      <c r="F2319" s="4" t="s">
        <v>6212</v>
      </c>
    </row>
    <row r="2320" customFormat="false" ht="15" hidden="false" customHeight="true" outlineLevel="0" collapsed="false">
      <c r="A2320" s="4" t="s">
        <v>2496</v>
      </c>
      <c r="B2320" s="13" t="n">
        <v>45343</v>
      </c>
      <c r="C2320" s="4" t="s">
        <v>6209</v>
      </c>
      <c r="D2320" s="4" t="s">
        <v>6211</v>
      </c>
      <c r="E2320" s="4" t="s">
        <v>6195</v>
      </c>
      <c r="F2320" s="4" t="s">
        <v>6216</v>
      </c>
    </row>
    <row r="2321" customFormat="false" ht="15" hidden="false" customHeight="true" outlineLevel="0" collapsed="false">
      <c r="A2321" s="4" t="s">
        <v>2497</v>
      </c>
      <c r="B2321" s="13" t="n">
        <v>45326</v>
      </c>
      <c r="C2321" s="4" t="s">
        <v>6210</v>
      </c>
      <c r="D2321" s="4" t="s">
        <v>6208</v>
      </c>
      <c r="E2321" s="4" t="s">
        <v>6203</v>
      </c>
      <c r="F2321" s="4" t="s">
        <v>6216</v>
      </c>
    </row>
    <row r="2322" customFormat="false" ht="15" hidden="false" customHeight="true" outlineLevel="0" collapsed="false">
      <c r="A2322" s="4" t="s">
        <v>2498</v>
      </c>
      <c r="B2322" s="13" t="n">
        <v>45303</v>
      </c>
      <c r="C2322" s="4" t="s">
        <v>6198</v>
      </c>
      <c r="D2322" s="4" t="s">
        <v>6199</v>
      </c>
      <c r="E2322" s="4" t="s">
        <v>6208</v>
      </c>
      <c r="F2322" s="4"/>
    </row>
    <row r="2323" customFormat="false" ht="15" hidden="false" customHeight="true" outlineLevel="0" collapsed="false">
      <c r="A2323" s="4" t="s">
        <v>2499</v>
      </c>
      <c r="B2323" s="13" t="n">
        <v>45362</v>
      </c>
      <c r="C2323" s="4" t="s">
        <v>6210</v>
      </c>
      <c r="D2323" s="4" t="s">
        <v>6196</v>
      </c>
      <c r="E2323" s="4" t="s">
        <v>6211</v>
      </c>
      <c r="F2323" s="4" t="s">
        <v>6204</v>
      </c>
    </row>
    <row r="2324" customFormat="false" ht="15" hidden="false" customHeight="true" outlineLevel="0" collapsed="false">
      <c r="A2324" s="4" t="s">
        <v>2500</v>
      </c>
      <c r="B2324" s="13" t="n">
        <v>45618</v>
      </c>
      <c r="C2324" s="4" t="s">
        <v>6198</v>
      </c>
      <c r="D2324" s="4" t="s">
        <v>6207</v>
      </c>
      <c r="E2324" s="4" t="s">
        <v>6199</v>
      </c>
      <c r="F2324" s="4" t="s">
        <v>6216</v>
      </c>
    </row>
    <row r="2325" customFormat="false" ht="15" hidden="false" customHeight="true" outlineLevel="0" collapsed="false">
      <c r="A2325" s="4" t="s">
        <v>2501</v>
      </c>
      <c r="B2325" s="13" t="n">
        <v>45224</v>
      </c>
      <c r="C2325" s="4" t="s">
        <v>6198</v>
      </c>
      <c r="D2325" s="4" t="s">
        <v>6202</v>
      </c>
      <c r="E2325" s="4" t="s">
        <v>6208</v>
      </c>
      <c r="F2325" s="4"/>
    </row>
    <row r="2326" customFormat="false" ht="15" hidden="false" customHeight="true" outlineLevel="0" collapsed="false">
      <c r="A2326" s="4" t="s">
        <v>2502</v>
      </c>
      <c r="B2326" s="13" t="n">
        <v>45601</v>
      </c>
      <c r="C2326" s="4" t="s">
        <v>6213</v>
      </c>
      <c r="D2326" s="4" t="s">
        <v>6206</v>
      </c>
      <c r="E2326" s="4" t="s">
        <v>6196</v>
      </c>
      <c r="F2326" s="4" t="s">
        <v>6212</v>
      </c>
    </row>
    <row r="2327" customFormat="false" ht="15" hidden="false" customHeight="true" outlineLevel="0" collapsed="false">
      <c r="A2327" s="4" t="s">
        <v>2503</v>
      </c>
      <c r="B2327" s="13" t="n">
        <v>45503</v>
      </c>
      <c r="C2327" s="4" t="s">
        <v>6215</v>
      </c>
      <c r="D2327" s="4" t="s">
        <v>6205</v>
      </c>
      <c r="E2327" s="4" t="s">
        <v>6211</v>
      </c>
      <c r="F2327" s="4" t="s">
        <v>6197</v>
      </c>
    </row>
    <row r="2328" customFormat="false" ht="15" hidden="false" customHeight="true" outlineLevel="0" collapsed="false">
      <c r="A2328" s="4" t="s">
        <v>2504</v>
      </c>
      <c r="B2328" s="13" t="n">
        <v>45032</v>
      </c>
      <c r="C2328" s="4" t="s">
        <v>6201</v>
      </c>
      <c r="D2328" s="4" t="s">
        <v>6205</v>
      </c>
      <c r="E2328" s="4" t="s">
        <v>6208</v>
      </c>
      <c r="F2328" s="4" t="s">
        <v>6212</v>
      </c>
    </row>
    <row r="2329" customFormat="false" ht="15" hidden="false" customHeight="true" outlineLevel="0" collapsed="false">
      <c r="A2329" s="4" t="s">
        <v>2505</v>
      </c>
      <c r="B2329" s="13" t="n">
        <v>45143</v>
      </c>
      <c r="C2329" s="4" t="s">
        <v>6210</v>
      </c>
      <c r="D2329" s="4" t="s">
        <v>6206</v>
      </c>
      <c r="E2329" s="4" t="s">
        <v>6211</v>
      </c>
      <c r="F2329" s="4" t="s">
        <v>6216</v>
      </c>
    </row>
    <row r="2330" customFormat="false" ht="15" hidden="false" customHeight="true" outlineLevel="0" collapsed="false">
      <c r="A2330" s="4" t="s">
        <v>2506</v>
      </c>
      <c r="B2330" s="13" t="n">
        <v>45418</v>
      </c>
      <c r="C2330" s="4" t="s">
        <v>6210</v>
      </c>
      <c r="D2330" s="4" t="s">
        <v>6207</v>
      </c>
      <c r="E2330" s="4" t="s">
        <v>6211</v>
      </c>
      <c r="F2330" s="4"/>
    </row>
    <row r="2331" customFormat="false" ht="15" hidden="false" customHeight="true" outlineLevel="0" collapsed="false">
      <c r="A2331" s="4" t="s">
        <v>2507</v>
      </c>
      <c r="B2331" s="13" t="n">
        <v>45463</v>
      </c>
      <c r="C2331" s="4" t="s">
        <v>6213</v>
      </c>
      <c r="D2331" s="4" t="s">
        <v>6211</v>
      </c>
      <c r="E2331" s="4" t="s">
        <v>6208</v>
      </c>
      <c r="F2331" s="4" t="s">
        <v>6216</v>
      </c>
    </row>
    <row r="2332" customFormat="false" ht="15" hidden="false" customHeight="true" outlineLevel="0" collapsed="false">
      <c r="A2332" s="4" t="s">
        <v>2508</v>
      </c>
      <c r="B2332" s="13" t="n">
        <v>44970</v>
      </c>
      <c r="C2332" s="4" t="s">
        <v>6201</v>
      </c>
      <c r="D2332" s="4" t="s">
        <v>6199</v>
      </c>
      <c r="E2332" s="4" t="s">
        <v>6196</v>
      </c>
      <c r="F2332" s="4" t="s">
        <v>6200</v>
      </c>
    </row>
    <row r="2333" customFormat="false" ht="15" hidden="false" customHeight="true" outlineLevel="0" collapsed="false">
      <c r="A2333" s="4" t="s">
        <v>2509</v>
      </c>
      <c r="B2333" s="13" t="n">
        <v>45128</v>
      </c>
      <c r="C2333" s="4" t="s">
        <v>6194</v>
      </c>
      <c r="D2333" s="4" t="s">
        <v>6211</v>
      </c>
      <c r="E2333" s="4" t="s">
        <v>6211</v>
      </c>
      <c r="F2333" s="4"/>
    </row>
    <row r="2334" customFormat="false" ht="15" hidden="false" customHeight="true" outlineLevel="0" collapsed="false">
      <c r="A2334" s="4" t="s">
        <v>2510</v>
      </c>
      <c r="B2334" s="13" t="n">
        <v>45062</v>
      </c>
      <c r="C2334" s="4" t="s">
        <v>6209</v>
      </c>
      <c r="D2334" s="4" t="s">
        <v>6211</v>
      </c>
      <c r="E2334" s="4" t="s">
        <v>6203</v>
      </c>
      <c r="F2334" s="4"/>
    </row>
    <row r="2335" customFormat="false" ht="15" hidden="false" customHeight="true" outlineLevel="0" collapsed="false">
      <c r="A2335" s="4" t="s">
        <v>2511</v>
      </c>
      <c r="B2335" s="13" t="n">
        <v>45150</v>
      </c>
      <c r="C2335" s="4" t="s">
        <v>6209</v>
      </c>
      <c r="D2335" s="4" t="s">
        <v>6207</v>
      </c>
      <c r="E2335" s="4" t="s">
        <v>6199</v>
      </c>
      <c r="F2335" s="4" t="s">
        <v>6204</v>
      </c>
    </row>
    <row r="2336" customFormat="false" ht="15" hidden="false" customHeight="true" outlineLevel="0" collapsed="false">
      <c r="A2336" s="4" t="s">
        <v>2512</v>
      </c>
      <c r="B2336" s="13" t="n">
        <v>45138</v>
      </c>
      <c r="C2336" s="4" t="s">
        <v>6209</v>
      </c>
      <c r="D2336" s="4" t="s">
        <v>6211</v>
      </c>
      <c r="E2336" s="4" t="s">
        <v>6205</v>
      </c>
      <c r="F2336" s="4" t="s">
        <v>6200</v>
      </c>
    </row>
    <row r="2337" customFormat="false" ht="15" hidden="false" customHeight="true" outlineLevel="0" collapsed="false">
      <c r="A2337" s="4" t="s">
        <v>2513</v>
      </c>
      <c r="B2337" s="13" t="n">
        <v>45474</v>
      </c>
      <c r="C2337" s="4" t="s">
        <v>6215</v>
      </c>
      <c r="D2337" s="4" t="s">
        <v>6196</v>
      </c>
      <c r="E2337" s="4" t="s">
        <v>6211</v>
      </c>
      <c r="F2337" s="4" t="s">
        <v>6214</v>
      </c>
    </row>
    <row r="2338" customFormat="false" ht="15" hidden="false" customHeight="true" outlineLevel="0" collapsed="false">
      <c r="A2338" s="4" t="s">
        <v>2514</v>
      </c>
      <c r="B2338" s="13" t="n">
        <v>45232</v>
      </c>
      <c r="C2338" s="4" t="s">
        <v>6210</v>
      </c>
      <c r="D2338" s="4" t="s">
        <v>6203</v>
      </c>
      <c r="E2338" s="4" t="s">
        <v>6199</v>
      </c>
      <c r="F2338" s="4" t="s">
        <v>6200</v>
      </c>
    </row>
    <row r="2339" customFormat="false" ht="15" hidden="false" customHeight="true" outlineLevel="0" collapsed="false">
      <c r="A2339" s="4" t="s">
        <v>2515</v>
      </c>
      <c r="B2339" s="13" t="n">
        <v>44955</v>
      </c>
      <c r="C2339" s="4" t="s">
        <v>6215</v>
      </c>
      <c r="D2339" s="4" t="s">
        <v>6196</v>
      </c>
      <c r="E2339" s="4" t="s">
        <v>6207</v>
      </c>
      <c r="F2339" s="4" t="s">
        <v>6200</v>
      </c>
    </row>
    <row r="2340" customFormat="false" ht="15" hidden="false" customHeight="true" outlineLevel="0" collapsed="false">
      <c r="A2340" s="4" t="s">
        <v>2516</v>
      </c>
      <c r="B2340" s="13" t="n">
        <v>45336</v>
      </c>
      <c r="C2340" s="4" t="s">
        <v>6213</v>
      </c>
      <c r="D2340" s="4" t="s">
        <v>6199</v>
      </c>
      <c r="E2340" s="4" t="s">
        <v>6195</v>
      </c>
      <c r="F2340" s="4"/>
    </row>
    <row r="2341" customFormat="false" ht="15" hidden="false" customHeight="true" outlineLevel="0" collapsed="false">
      <c r="A2341" s="4" t="s">
        <v>2517</v>
      </c>
      <c r="B2341" s="13" t="n">
        <v>45635</v>
      </c>
      <c r="C2341" s="4" t="s">
        <v>6215</v>
      </c>
      <c r="D2341" s="4" t="s">
        <v>6206</v>
      </c>
      <c r="E2341" s="4" t="s">
        <v>6207</v>
      </c>
      <c r="F2341" s="4"/>
    </row>
    <row r="2342" customFormat="false" ht="15" hidden="false" customHeight="true" outlineLevel="0" collapsed="false">
      <c r="A2342" s="4" t="s">
        <v>2518</v>
      </c>
      <c r="B2342" s="13" t="n">
        <v>45315</v>
      </c>
      <c r="C2342" s="4" t="s">
        <v>6209</v>
      </c>
      <c r="D2342" s="4" t="s">
        <v>6196</v>
      </c>
      <c r="E2342" s="4" t="s">
        <v>6195</v>
      </c>
      <c r="F2342" s="4" t="s">
        <v>6216</v>
      </c>
    </row>
    <row r="2343" customFormat="false" ht="15" hidden="false" customHeight="true" outlineLevel="0" collapsed="false">
      <c r="A2343" s="4" t="s">
        <v>2519</v>
      </c>
      <c r="B2343" s="13" t="n">
        <v>45034</v>
      </c>
      <c r="C2343" s="4" t="s">
        <v>6213</v>
      </c>
      <c r="D2343" s="4" t="s">
        <v>6205</v>
      </c>
      <c r="E2343" s="4" t="s">
        <v>6202</v>
      </c>
      <c r="F2343" s="4" t="s">
        <v>6214</v>
      </c>
    </row>
    <row r="2344" customFormat="false" ht="15" hidden="false" customHeight="true" outlineLevel="0" collapsed="false">
      <c r="A2344" s="4" t="s">
        <v>2520</v>
      </c>
      <c r="B2344" s="13" t="n">
        <v>44975</v>
      </c>
      <c r="C2344" s="4" t="s">
        <v>6210</v>
      </c>
      <c r="D2344" s="4" t="s">
        <v>6206</v>
      </c>
      <c r="E2344" s="4" t="s">
        <v>6205</v>
      </c>
      <c r="F2344" s="4" t="s">
        <v>6212</v>
      </c>
    </row>
    <row r="2345" customFormat="false" ht="15" hidden="false" customHeight="true" outlineLevel="0" collapsed="false">
      <c r="A2345" s="4" t="s">
        <v>2521</v>
      </c>
      <c r="B2345" s="13" t="n">
        <v>45587</v>
      </c>
      <c r="C2345" s="4" t="s">
        <v>6215</v>
      </c>
      <c r="D2345" s="4" t="s">
        <v>6202</v>
      </c>
      <c r="E2345" s="4" t="s">
        <v>6208</v>
      </c>
      <c r="F2345" s="4"/>
    </row>
    <row r="2346" customFormat="false" ht="15" hidden="false" customHeight="true" outlineLevel="0" collapsed="false">
      <c r="A2346" s="4" t="s">
        <v>2522</v>
      </c>
      <c r="B2346" s="13" t="n">
        <v>45250</v>
      </c>
      <c r="C2346" s="4" t="s">
        <v>6213</v>
      </c>
      <c r="D2346" s="4" t="s">
        <v>6202</v>
      </c>
      <c r="E2346" s="4" t="s">
        <v>6211</v>
      </c>
      <c r="F2346" s="4" t="s">
        <v>6214</v>
      </c>
    </row>
    <row r="2347" customFormat="false" ht="15" hidden="false" customHeight="true" outlineLevel="0" collapsed="false">
      <c r="A2347" s="4" t="s">
        <v>2523</v>
      </c>
      <c r="B2347" s="13" t="n">
        <v>44983</v>
      </c>
      <c r="C2347" s="4" t="s">
        <v>6209</v>
      </c>
      <c r="D2347" s="4" t="s">
        <v>6195</v>
      </c>
      <c r="E2347" s="4" t="s">
        <v>6202</v>
      </c>
      <c r="F2347" s="4" t="s">
        <v>6214</v>
      </c>
    </row>
    <row r="2348" customFormat="false" ht="15" hidden="false" customHeight="true" outlineLevel="0" collapsed="false">
      <c r="A2348" s="4" t="s">
        <v>2524</v>
      </c>
      <c r="B2348" s="13" t="n">
        <v>45164</v>
      </c>
      <c r="C2348" s="4" t="s">
        <v>6213</v>
      </c>
      <c r="D2348" s="4" t="s">
        <v>6205</v>
      </c>
      <c r="E2348" s="4" t="s">
        <v>6207</v>
      </c>
      <c r="F2348" s="4" t="s">
        <v>6212</v>
      </c>
    </row>
    <row r="2349" customFormat="false" ht="15" hidden="false" customHeight="true" outlineLevel="0" collapsed="false">
      <c r="A2349" s="4" t="s">
        <v>2525</v>
      </c>
      <c r="B2349" s="13" t="n">
        <v>45468</v>
      </c>
      <c r="C2349" s="4" t="s">
        <v>6198</v>
      </c>
      <c r="D2349" s="4" t="s">
        <v>6196</v>
      </c>
      <c r="E2349" s="4" t="s">
        <v>6195</v>
      </c>
      <c r="F2349" s="4"/>
    </row>
    <row r="2350" customFormat="false" ht="15" hidden="false" customHeight="true" outlineLevel="0" collapsed="false">
      <c r="A2350" s="4" t="s">
        <v>2526</v>
      </c>
      <c r="B2350" s="13" t="n">
        <v>45331</v>
      </c>
      <c r="C2350" s="4" t="s">
        <v>6198</v>
      </c>
      <c r="D2350" s="4" t="s">
        <v>6196</v>
      </c>
      <c r="E2350" s="4" t="s">
        <v>6195</v>
      </c>
      <c r="F2350" s="4"/>
    </row>
    <row r="2351" customFormat="false" ht="15" hidden="false" customHeight="true" outlineLevel="0" collapsed="false">
      <c r="A2351" s="4" t="s">
        <v>2527</v>
      </c>
      <c r="B2351" s="13" t="n">
        <v>45596</v>
      </c>
      <c r="C2351" s="4" t="s">
        <v>6198</v>
      </c>
      <c r="D2351" s="4" t="s">
        <v>6196</v>
      </c>
      <c r="E2351" s="4" t="s">
        <v>6199</v>
      </c>
      <c r="F2351" s="4" t="s">
        <v>6197</v>
      </c>
    </row>
    <row r="2352" customFormat="false" ht="15" hidden="false" customHeight="true" outlineLevel="0" collapsed="false">
      <c r="A2352" s="4" t="s">
        <v>2528</v>
      </c>
      <c r="B2352" s="13" t="n">
        <v>45093</v>
      </c>
      <c r="C2352" s="4" t="s">
        <v>6198</v>
      </c>
      <c r="D2352" s="4" t="s">
        <v>6196</v>
      </c>
      <c r="E2352" s="4" t="s">
        <v>6199</v>
      </c>
      <c r="F2352" s="4" t="s">
        <v>6197</v>
      </c>
    </row>
    <row r="2353" customFormat="false" ht="15" hidden="false" customHeight="true" outlineLevel="0" collapsed="false">
      <c r="A2353" s="4" t="s">
        <v>2529</v>
      </c>
      <c r="B2353" s="13" t="n">
        <v>44935</v>
      </c>
      <c r="C2353" s="4" t="s">
        <v>6213</v>
      </c>
      <c r="D2353" s="4" t="s">
        <v>6206</v>
      </c>
      <c r="E2353" s="4" t="s">
        <v>6207</v>
      </c>
      <c r="F2353" s="4" t="s">
        <v>6212</v>
      </c>
    </row>
    <row r="2354" customFormat="false" ht="15" hidden="false" customHeight="true" outlineLevel="0" collapsed="false">
      <c r="A2354" s="4" t="s">
        <v>2530</v>
      </c>
      <c r="B2354" s="13" t="n">
        <v>44932</v>
      </c>
      <c r="C2354" s="4" t="s">
        <v>6215</v>
      </c>
      <c r="D2354" s="4" t="s">
        <v>6211</v>
      </c>
      <c r="E2354" s="4" t="s">
        <v>6196</v>
      </c>
      <c r="F2354" s="4"/>
    </row>
    <row r="2355" customFormat="false" ht="15" hidden="false" customHeight="true" outlineLevel="0" collapsed="false">
      <c r="A2355" s="4" t="s">
        <v>2531</v>
      </c>
      <c r="B2355" s="13" t="n">
        <v>44948</v>
      </c>
      <c r="C2355" s="4" t="s">
        <v>6209</v>
      </c>
      <c r="D2355" s="4" t="s">
        <v>6211</v>
      </c>
      <c r="E2355" s="4" t="s">
        <v>6211</v>
      </c>
      <c r="F2355" s="4"/>
    </row>
    <row r="2356" customFormat="false" ht="15" hidden="false" customHeight="true" outlineLevel="0" collapsed="false">
      <c r="A2356" s="4" t="s">
        <v>2532</v>
      </c>
      <c r="B2356" s="13" t="n">
        <v>45501</v>
      </c>
      <c r="C2356" s="4" t="s">
        <v>6210</v>
      </c>
      <c r="D2356" s="4" t="s">
        <v>6199</v>
      </c>
      <c r="E2356" s="4" t="s">
        <v>6208</v>
      </c>
      <c r="F2356" s="4" t="s">
        <v>6212</v>
      </c>
    </row>
    <row r="2357" customFormat="false" ht="15" hidden="false" customHeight="true" outlineLevel="0" collapsed="false">
      <c r="A2357" s="4" t="s">
        <v>2533</v>
      </c>
      <c r="B2357" s="13" t="n">
        <v>45065</v>
      </c>
      <c r="C2357" s="4" t="s">
        <v>6198</v>
      </c>
      <c r="D2357" s="4" t="s">
        <v>6203</v>
      </c>
      <c r="E2357" s="4" t="s">
        <v>6211</v>
      </c>
      <c r="F2357" s="4" t="s">
        <v>6212</v>
      </c>
    </row>
    <row r="2358" customFormat="false" ht="15" hidden="false" customHeight="true" outlineLevel="0" collapsed="false">
      <c r="A2358" s="4" t="s">
        <v>2534</v>
      </c>
      <c r="B2358" s="13" t="n">
        <v>45256</v>
      </c>
      <c r="C2358" s="4" t="s">
        <v>6194</v>
      </c>
      <c r="D2358" s="4" t="s">
        <v>6203</v>
      </c>
      <c r="E2358" s="4" t="s">
        <v>6199</v>
      </c>
      <c r="F2358" s="4"/>
    </row>
    <row r="2359" customFormat="false" ht="15" hidden="false" customHeight="true" outlineLevel="0" collapsed="false">
      <c r="A2359" s="4" t="s">
        <v>2535</v>
      </c>
      <c r="B2359" s="13" t="n">
        <v>45517</v>
      </c>
      <c r="C2359" s="4" t="s">
        <v>6201</v>
      </c>
      <c r="D2359" s="4" t="s">
        <v>6195</v>
      </c>
      <c r="E2359" s="4" t="s">
        <v>6195</v>
      </c>
      <c r="F2359" s="4" t="s">
        <v>6200</v>
      </c>
    </row>
    <row r="2360" customFormat="false" ht="15" hidden="false" customHeight="true" outlineLevel="0" collapsed="false">
      <c r="A2360" s="4" t="s">
        <v>2536</v>
      </c>
      <c r="B2360" s="13" t="n">
        <v>45296</v>
      </c>
      <c r="C2360" s="4" t="s">
        <v>6201</v>
      </c>
      <c r="D2360" s="4" t="s">
        <v>6207</v>
      </c>
      <c r="E2360" s="4" t="s">
        <v>6208</v>
      </c>
      <c r="F2360" s="4" t="s">
        <v>6200</v>
      </c>
    </row>
    <row r="2361" customFormat="false" ht="15" hidden="false" customHeight="true" outlineLevel="0" collapsed="false">
      <c r="A2361" s="4" t="s">
        <v>2537</v>
      </c>
      <c r="B2361" s="13" t="n">
        <v>45389</v>
      </c>
      <c r="C2361" s="4" t="s">
        <v>6209</v>
      </c>
      <c r="D2361" s="4" t="s">
        <v>6196</v>
      </c>
      <c r="E2361" s="4" t="s">
        <v>6199</v>
      </c>
      <c r="F2361" s="4" t="s">
        <v>6200</v>
      </c>
    </row>
    <row r="2362" customFormat="false" ht="15" hidden="false" customHeight="true" outlineLevel="0" collapsed="false">
      <c r="A2362" s="4" t="s">
        <v>2538</v>
      </c>
      <c r="B2362" s="13" t="n">
        <v>45225</v>
      </c>
      <c r="C2362" s="4" t="s">
        <v>6201</v>
      </c>
      <c r="D2362" s="4" t="s">
        <v>6206</v>
      </c>
      <c r="E2362" s="4" t="s">
        <v>6205</v>
      </c>
      <c r="F2362" s="4" t="s">
        <v>6214</v>
      </c>
    </row>
    <row r="2363" customFormat="false" ht="15" hidden="false" customHeight="true" outlineLevel="0" collapsed="false">
      <c r="A2363" s="4" t="s">
        <v>2539</v>
      </c>
      <c r="B2363" s="13" t="n">
        <v>45489</v>
      </c>
      <c r="C2363" s="4" t="s">
        <v>6210</v>
      </c>
      <c r="D2363" s="4" t="s">
        <v>6195</v>
      </c>
      <c r="E2363" s="4" t="s">
        <v>6203</v>
      </c>
      <c r="F2363" s="4"/>
    </row>
    <row r="2364" customFormat="false" ht="15" hidden="false" customHeight="true" outlineLevel="0" collapsed="false">
      <c r="A2364" s="4" t="s">
        <v>2540</v>
      </c>
      <c r="B2364" s="13" t="n">
        <v>45141</v>
      </c>
      <c r="C2364" s="4" t="s">
        <v>6194</v>
      </c>
      <c r="D2364" s="4" t="s">
        <v>6196</v>
      </c>
      <c r="E2364" s="4" t="s">
        <v>6207</v>
      </c>
      <c r="F2364" s="4"/>
    </row>
    <row r="2365" customFormat="false" ht="15" hidden="false" customHeight="true" outlineLevel="0" collapsed="false">
      <c r="A2365" s="4" t="s">
        <v>2541</v>
      </c>
      <c r="B2365" s="13" t="n">
        <v>44952</v>
      </c>
      <c r="C2365" s="4" t="s">
        <v>6210</v>
      </c>
      <c r="D2365" s="4" t="s">
        <v>6206</v>
      </c>
      <c r="E2365" s="4" t="s">
        <v>6211</v>
      </c>
      <c r="F2365" s="4"/>
    </row>
    <row r="2366" customFormat="false" ht="15" hidden="false" customHeight="true" outlineLevel="0" collapsed="false">
      <c r="A2366" s="4" t="s">
        <v>2542</v>
      </c>
      <c r="B2366" s="13" t="n">
        <v>45289</v>
      </c>
      <c r="C2366" s="4" t="s">
        <v>6198</v>
      </c>
      <c r="D2366" s="4" t="s">
        <v>6199</v>
      </c>
      <c r="E2366" s="4" t="s">
        <v>6203</v>
      </c>
      <c r="F2366" s="4"/>
    </row>
    <row r="2367" customFormat="false" ht="15" hidden="false" customHeight="true" outlineLevel="0" collapsed="false">
      <c r="A2367" s="4" t="s">
        <v>2543</v>
      </c>
      <c r="B2367" s="13" t="n">
        <v>44938</v>
      </c>
      <c r="C2367" s="4" t="s">
        <v>6194</v>
      </c>
      <c r="D2367" s="4" t="s">
        <v>6208</v>
      </c>
      <c r="E2367" s="4" t="s">
        <v>6202</v>
      </c>
      <c r="F2367" s="4"/>
    </row>
    <row r="2368" customFormat="false" ht="15" hidden="false" customHeight="true" outlineLevel="0" collapsed="false">
      <c r="A2368" s="4" t="s">
        <v>2544</v>
      </c>
      <c r="B2368" s="13" t="n">
        <v>45226</v>
      </c>
      <c r="C2368" s="4" t="s">
        <v>6210</v>
      </c>
      <c r="D2368" s="4" t="s">
        <v>6203</v>
      </c>
      <c r="E2368" s="4" t="s">
        <v>6207</v>
      </c>
      <c r="F2368" s="4" t="s">
        <v>6216</v>
      </c>
    </row>
    <row r="2369" customFormat="false" ht="15" hidden="false" customHeight="true" outlineLevel="0" collapsed="false">
      <c r="A2369" s="4" t="s">
        <v>2545</v>
      </c>
      <c r="B2369" s="13" t="n">
        <v>45531</v>
      </c>
      <c r="C2369" s="4" t="s">
        <v>6213</v>
      </c>
      <c r="D2369" s="4" t="s">
        <v>6202</v>
      </c>
      <c r="E2369" s="4" t="s">
        <v>6208</v>
      </c>
      <c r="F2369" s="4" t="s">
        <v>6204</v>
      </c>
    </row>
    <row r="2370" customFormat="false" ht="15" hidden="false" customHeight="true" outlineLevel="0" collapsed="false">
      <c r="A2370" s="4" t="s">
        <v>2546</v>
      </c>
      <c r="B2370" s="13" t="n">
        <v>45570</v>
      </c>
      <c r="C2370" s="4" t="s">
        <v>6209</v>
      </c>
      <c r="D2370" s="4" t="s">
        <v>6206</v>
      </c>
      <c r="E2370" s="4" t="s">
        <v>6208</v>
      </c>
      <c r="F2370" s="4" t="s">
        <v>6197</v>
      </c>
    </row>
    <row r="2371" customFormat="false" ht="15" hidden="false" customHeight="true" outlineLevel="0" collapsed="false">
      <c r="A2371" s="4" t="s">
        <v>2547</v>
      </c>
      <c r="B2371" s="13" t="n">
        <v>45039</v>
      </c>
      <c r="C2371" s="4" t="s">
        <v>6215</v>
      </c>
      <c r="D2371" s="4" t="s">
        <v>6206</v>
      </c>
      <c r="E2371" s="4" t="s">
        <v>6207</v>
      </c>
      <c r="F2371" s="4" t="s">
        <v>6204</v>
      </c>
    </row>
    <row r="2372" customFormat="false" ht="15" hidden="false" customHeight="true" outlineLevel="0" collapsed="false">
      <c r="A2372" s="4" t="s">
        <v>2548</v>
      </c>
      <c r="B2372" s="13" t="n">
        <v>45488</v>
      </c>
      <c r="C2372" s="4" t="s">
        <v>6210</v>
      </c>
      <c r="D2372" s="4" t="s">
        <v>6196</v>
      </c>
      <c r="E2372" s="4" t="s">
        <v>6199</v>
      </c>
      <c r="F2372" s="4" t="s">
        <v>6200</v>
      </c>
    </row>
    <row r="2373" customFormat="false" ht="15" hidden="false" customHeight="true" outlineLevel="0" collapsed="false">
      <c r="A2373" s="4" t="s">
        <v>2549</v>
      </c>
      <c r="B2373" s="13" t="n">
        <v>45105</v>
      </c>
      <c r="C2373" s="4" t="s">
        <v>6198</v>
      </c>
      <c r="D2373" s="4" t="s">
        <v>6211</v>
      </c>
      <c r="E2373" s="4" t="s">
        <v>6207</v>
      </c>
      <c r="F2373" s="4"/>
    </row>
    <row r="2374" customFormat="false" ht="15" hidden="false" customHeight="true" outlineLevel="0" collapsed="false">
      <c r="A2374" s="4" t="s">
        <v>2550</v>
      </c>
      <c r="B2374" s="13" t="n">
        <v>45023</v>
      </c>
      <c r="C2374" s="4" t="s">
        <v>6198</v>
      </c>
      <c r="D2374" s="4" t="s">
        <v>6208</v>
      </c>
      <c r="E2374" s="4" t="s">
        <v>6211</v>
      </c>
      <c r="F2374" s="4" t="s">
        <v>6204</v>
      </c>
    </row>
    <row r="2375" customFormat="false" ht="15" hidden="false" customHeight="true" outlineLevel="0" collapsed="false">
      <c r="A2375" s="4" t="s">
        <v>2551</v>
      </c>
      <c r="B2375" s="13" t="n">
        <v>45453</v>
      </c>
      <c r="C2375" s="4" t="s">
        <v>6210</v>
      </c>
      <c r="D2375" s="4" t="s">
        <v>6195</v>
      </c>
      <c r="E2375" s="4" t="s">
        <v>6206</v>
      </c>
      <c r="F2375" s="4" t="s">
        <v>6212</v>
      </c>
    </row>
    <row r="2376" customFormat="false" ht="15" hidden="false" customHeight="true" outlineLevel="0" collapsed="false">
      <c r="A2376" s="4" t="s">
        <v>2552</v>
      </c>
      <c r="B2376" s="13" t="n">
        <v>45235</v>
      </c>
      <c r="C2376" s="4" t="s">
        <v>6194</v>
      </c>
      <c r="D2376" s="4" t="s">
        <v>6208</v>
      </c>
      <c r="E2376" s="4" t="s">
        <v>6196</v>
      </c>
      <c r="F2376" s="4"/>
    </row>
    <row r="2377" customFormat="false" ht="15" hidden="false" customHeight="true" outlineLevel="0" collapsed="false">
      <c r="A2377" s="4" t="s">
        <v>2553</v>
      </c>
      <c r="B2377" s="13" t="n">
        <v>45155</v>
      </c>
      <c r="C2377" s="4" t="s">
        <v>6198</v>
      </c>
      <c r="D2377" s="4" t="s">
        <v>6206</v>
      </c>
      <c r="E2377" s="4" t="s">
        <v>6208</v>
      </c>
      <c r="F2377" s="4"/>
    </row>
    <row r="2378" customFormat="false" ht="15" hidden="false" customHeight="true" outlineLevel="0" collapsed="false">
      <c r="A2378" s="4" t="s">
        <v>2554</v>
      </c>
      <c r="B2378" s="13" t="n">
        <v>45594</v>
      </c>
      <c r="C2378" s="4" t="s">
        <v>6210</v>
      </c>
      <c r="D2378" s="4" t="s">
        <v>6196</v>
      </c>
      <c r="E2378" s="4" t="s">
        <v>6207</v>
      </c>
      <c r="F2378" s="4" t="s">
        <v>6204</v>
      </c>
    </row>
    <row r="2379" customFormat="false" ht="15" hidden="false" customHeight="true" outlineLevel="0" collapsed="false">
      <c r="A2379" s="4" t="s">
        <v>2555</v>
      </c>
      <c r="B2379" s="13" t="n">
        <v>45463</v>
      </c>
      <c r="C2379" s="4" t="s">
        <v>6194</v>
      </c>
      <c r="D2379" s="4" t="s">
        <v>6195</v>
      </c>
      <c r="E2379" s="4" t="s">
        <v>6207</v>
      </c>
      <c r="F2379" s="4" t="s">
        <v>6216</v>
      </c>
    </row>
    <row r="2380" customFormat="false" ht="15" hidden="false" customHeight="true" outlineLevel="0" collapsed="false">
      <c r="A2380" s="4" t="s">
        <v>2556</v>
      </c>
      <c r="B2380" s="13" t="n">
        <v>44982</v>
      </c>
      <c r="C2380" s="4" t="s">
        <v>6213</v>
      </c>
      <c r="D2380" s="4" t="s">
        <v>6206</v>
      </c>
      <c r="E2380" s="4" t="s">
        <v>6199</v>
      </c>
      <c r="F2380" s="4"/>
    </row>
    <row r="2381" customFormat="false" ht="15" hidden="false" customHeight="true" outlineLevel="0" collapsed="false">
      <c r="A2381" s="4" t="s">
        <v>2557</v>
      </c>
      <c r="B2381" s="13" t="n">
        <v>45460</v>
      </c>
      <c r="C2381" s="4" t="s">
        <v>6194</v>
      </c>
      <c r="D2381" s="4" t="s">
        <v>6195</v>
      </c>
      <c r="E2381" s="4" t="s">
        <v>6211</v>
      </c>
      <c r="F2381" s="4" t="s">
        <v>6216</v>
      </c>
    </row>
    <row r="2382" customFormat="false" ht="15" hidden="false" customHeight="true" outlineLevel="0" collapsed="false">
      <c r="A2382" s="4" t="s">
        <v>2558</v>
      </c>
      <c r="B2382" s="13" t="n">
        <v>45554</v>
      </c>
      <c r="C2382" s="4" t="s">
        <v>6201</v>
      </c>
      <c r="D2382" s="4" t="s">
        <v>6206</v>
      </c>
      <c r="E2382" s="4" t="s">
        <v>6207</v>
      </c>
      <c r="F2382" s="4"/>
    </row>
    <row r="2383" customFormat="false" ht="15" hidden="false" customHeight="true" outlineLevel="0" collapsed="false">
      <c r="A2383" s="4" t="s">
        <v>2559</v>
      </c>
      <c r="B2383" s="13" t="n">
        <v>45546</v>
      </c>
      <c r="C2383" s="4" t="s">
        <v>6198</v>
      </c>
      <c r="D2383" s="4" t="s">
        <v>6208</v>
      </c>
      <c r="E2383" s="4" t="s">
        <v>6203</v>
      </c>
      <c r="F2383" s="4"/>
    </row>
    <row r="2384" customFormat="false" ht="15" hidden="false" customHeight="true" outlineLevel="0" collapsed="false">
      <c r="A2384" s="4" t="s">
        <v>2560</v>
      </c>
      <c r="B2384" s="13" t="n">
        <v>45268</v>
      </c>
      <c r="C2384" s="4" t="s">
        <v>6215</v>
      </c>
      <c r="D2384" s="4" t="s">
        <v>6208</v>
      </c>
      <c r="E2384" s="4" t="s">
        <v>6202</v>
      </c>
      <c r="F2384" s="4"/>
    </row>
    <row r="2385" customFormat="false" ht="15" hidden="false" customHeight="true" outlineLevel="0" collapsed="false">
      <c r="A2385" s="4" t="s">
        <v>2561</v>
      </c>
      <c r="B2385" s="13" t="n">
        <v>45660</v>
      </c>
      <c r="C2385" s="4" t="s">
        <v>6198</v>
      </c>
      <c r="D2385" s="4" t="s">
        <v>6208</v>
      </c>
      <c r="E2385" s="4" t="s">
        <v>6206</v>
      </c>
      <c r="F2385" s="4" t="s">
        <v>6214</v>
      </c>
    </row>
    <row r="2386" customFormat="false" ht="15" hidden="false" customHeight="true" outlineLevel="0" collapsed="false">
      <c r="A2386" s="4" t="s">
        <v>2562</v>
      </c>
      <c r="B2386" s="13" t="n">
        <v>45324</v>
      </c>
      <c r="C2386" s="4" t="s">
        <v>6198</v>
      </c>
      <c r="D2386" s="4" t="s">
        <v>6202</v>
      </c>
      <c r="E2386" s="4" t="s">
        <v>6208</v>
      </c>
      <c r="F2386" s="4" t="s">
        <v>6197</v>
      </c>
    </row>
    <row r="2387" customFormat="false" ht="15" hidden="false" customHeight="true" outlineLevel="0" collapsed="false">
      <c r="A2387" s="4" t="s">
        <v>2563</v>
      </c>
      <c r="B2387" s="13" t="n">
        <v>45643</v>
      </c>
      <c r="C2387" s="4" t="s">
        <v>6213</v>
      </c>
      <c r="D2387" s="4" t="s">
        <v>6195</v>
      </c>
      <c r="E2387" s="4" t="s">
        <v>6199</v>
      </c>
      <c r="F2387" s="4" t="s">
        <v>6200</v>
      </c>
    </row>
    <row r="2388" customFormat="false" ht="15" hidden="false" customHeight="true" outlineLevel="0" collapsed="false">
      <c r="A2388" s="4" t="s">
        <v>2564</v>
      </c>
      <c r="B2388" s="13" t="n">
        <v>45156</v>
      </c>
      <c r="C2388" s="4" t="s">
        <v>6210</v>
      </c>
      <c r="D2388" s="4" t="s">
        <v>6207</v>
      </c>
      <c r="E2388" s="4" t="s">
        <v>6196</v>
      </c>
      <c r="F2388" s="4"/>
    </row>
    <row r="2389" customFormat="false" ht="15" hidden="false" customHeight="true" outlineLevel="0" collapsed="false">
      <c r="A2389" s="4" t="s">
        <v>2565</v>
      </c>
      <c r="B2389" s="13" t="n">
        <v>45043</v>
      </c>
      <c r="C2389" s="4" t="s">
        <v>6213</v>
      </c>
      <c r="D2389" s="4" t="s">
        <v>6196</v>
      </c>
      <c r="E2389" s="4" t="s">
        <v>6208</v>
      </c>
      <c r="F2389" s="4" t="s">
        <v>6200</v>
      </c>
    </row>
    <row r="2390" customFormat="false" ht="15" hidden="false" customHeight="true" outlineLevel="0" collapsed="false">
      <c r="A2390" s="4" t="s">
        <v>2566</v>
      </c>
      <c r="B2390" s="13" t="n">
        <v>45283</v>
      </c>
      <c r="C2390" s="4" t="s">
        <v>6210</v>
      </c>
      <c r="D2390" s="4" t="s">
        <v>6207</v>
      </c>
      <c r="E2390" s="4" t="s">
        <v>6196</v>
      </c>
      <c r="F2390" s="4" t="s">
        <v>6216</v>
      </c>
    </row>
    <row r="2391" customFormat="false" ht="15" hidden="false" customHeight="true" outlineLevel="0" collapsed="false">
      <c r="A2391" s="4" t="s">
        <v>2567</v>
      </c>
      <c r="B2391" s="13" t="n">
        <v>45636</v>
      </c>
      <c r="C2391" s="4" t="s">
        <v>6209</v>
      </c>
      <c r="D2391" s="4" t="s">
        <v>6203</v>
      </c>
      <c r="E2391" s="4" t="s">
        <v>6206</v>
      </c>
      <c r="F2391" s="4" t="s">
        <v>6214</v>
      </c>
    </row>
    <row r="2392" customFormat="false" ht="15" hidden="false" customHeight="true" outlineLevel="0" collapsed="false">
      <c r="A2392" s="4" t="s">
        <v>2568</v>
      </c>
      <c r="B2392" s="13" t="n">
        <v>45635</v>
      </c>
      <c r="C2392" s="4" t="s">
        <v>6213</v>
      </c>
      <c r="D2392" s="4" t="s">
        <v>6207</v>
      </c>
      <c r="E2392" s="4" t="s">
        <v>6208</v>
      </c>
      <c r="F2392" s="4" t="s">
        <v>6212</v>
      </c>
    </row>
    <row r="2393" customFormat="false" ht="15" hidden="false" customHeight="true" outlineLevel="0" collapsed="false">
      <c r="A2393" s="4" t="s">
        <v>2569</v>
      </c>
      <c r="B2393" s="13" t="n">
        <v>45644</v>
      </c>
      <c r="C2393" s="4" t="s">
        <v>6213</v>
      </c>
      <c r="D2393" s="4" t="s">
        <v>6208</v>
      </c>
      <c r="E2393" s="4" t="s">
        <v>6195</v>
      </c>
      <c r="F2393" s="4" t="s">
        <v>6214</v>
      </c>
    </row>
    <row r="2394" customFormat="false" ht="15" hidden="false" customHeight="true" outlineLevel="0" collapsed="false">
      <c r="A2394" s="4" t="s">
        <v>2570</v>
      </c>
      <c r="B2394" s="13" t="n">
        <v>44984</v>
      </c>
      <c r="C2394" s="4" t="s">
        <v>6198</v>
      </c>
      <c r="D2394" s="4" t="s">
        <v>6205</v>
      </c>
      <c r="E2394" s="4" t="s">
        <v>6202</v>
      </c>
      <c r="F2394" s="4"/>
    </row>
    <row r="2395" customFormat="false" ht="15" hidden="false" customHeight="true" outlineLevel="0" collapsed="false">
      <c r="A2395" s="4" t="s">
        <v>2571</v>
      </c>
      <c r="B2395" s="13" t="n">
        <v>45484</v>
      </c>
      <c r="C2395" s="4" t="s">
        <v>6201</v>
      </c>
      <c r="D2395" s="4" t="s">
        <v>6195</v>
      </c>
      <c r="E2395" s="4" t="s">
        <v>6211</v>
      </c>
      <c r="F2395" s="4" t="s">
        <v>6216</v>
      </c>
    </row>
    <row r="2396" customFormat="false" ht="15" hidden="false" customHeight="true" outlineLevel="0" collapsed="false">
      <c r="A2396" s="4" t="s">
        <v>2572</v>
      </c>
      <c r="B2396" s="13" t="n">
        <v>45131</v>
      </c>
      <c r="C2396" s="4" t="s">
        <v>6210</v>
      </c>
      <c r="D2396" s="4" t="s">
        <v>6211</v>
      </c>
      <c r="E2396" s="4" t="s">
        <v>6196</v>
      </c>
      <c r="F2396" s="4" t="s">
        <v>6204</v>
      </c>
    </row>
    <row r="2397" customFormat="false" ht="15" hidden="false" customHeight="true" outlineLevel="0" collapsed="false">
      <c r="A2397" s="4" t="s">
        <v>2573</v>
      </c>
      <c r="B2397" s="13" t="n">
        <v>45447</v>
      </c>
      <c r="C2397" s="4" t="s">
        <v>6210</v>
      </c>
      <c r="D2397" s="4" t="s">
        <v>6199</v>
      </c>
      <c r="E2397" s="4" t="s">
        <v>6206</v>
      </c>
      <c r="F2397" s="4"/>
    </row>
    <row r="2398" customFormat="false" ht="15" hidden="false" customHeight="true" outlineLevel="0" collapsed="false">
      <c r="A2398" s="4" t="s">
        <v>2574</v>
      </c>
      <c r="B2398" s="13" t="n">
        <v>44971</v>
      </c>
      <c r="C2398" s="4" t="s">
        <v>6194</v>
      </c>
      <c r="D2398" s="4" t="s">
        <v>6208</v>
      </c>
      <c r="E2398" s="4" t="s">
        <v>6196</v>
      </c>
      <c r="F2398" s="4" t="s">
        <v>6204</v>
      </c>
    </row>
    <row r="2399" customFormat="false" ht="15" hidden="false" customHeight="true" outlineLevel="0" collapsed="false">
      <c r="A2399" s="4" t="s">
        <v>2575</v>
      </c>
      <c r="B2399" s="13" t="n">
        <v>45426</v>
      </c>
      <c r="C2399" s="4" t="s">
        <v>6213</v>
      </c>
      <c r="D2399" s="4" t="s">
        <v>6211</v>
      </c>
      <c r="E2399" s="4" t="s">
        <v>6203</v>
      </c>
      <c r="F2399" s="4"/>
    </row>
    <row r="2400" customFormat="false" ht="15" hidden="false" customHeight="true" outlineLevel="0" collapsed="false">
      <c r="A2400" s="4" t="s">
        <v>2576</v>
      </c>
      <c r="B2400" s="13" t="n">
        <v>45602</v>
      </c>
      <c r="C2400" s="4" t="s">
        <v>6210</v>
      </c>
      <c r="D2400" s="4" t="s">
        <v>6205</v>
      </c>
      <c r="E2400" s="4" t="s">
        <v>6202</v>
      </c>
      <c r="F2400" s="4" t="s">
        <v>6204</v>
      </c>
    </row>
    <row r="2401" customFormat="false" ht="15" hidden="false" customHeight="true" outlineLevel="0" collapsed="false">
      <c r="A2401" s="4" t="s">
        <v>2577</v>
      </c>
      <c r="B2401" s="13" t="n">
        <v>45104</v>
      </c>
      <c r="C2401" s="4" t="s">
        <v>6201</v>
      </c>
      <c r="D2401" s="4" t="s">
        <v>6195</v>
      </c>
      <c r="E2401" s="4" t="s">
        <v>6207</v>
      </c>
      <c r="F2401" s="4" t="s">
        <v>6197</v>
      </c>
    </row>
    <row r="2402" customFormat="false" ht="15" hidden="false" customHeight="true" outlineLevel="0" collapsed="false">
      <c r="A2402" s="4" t="s">
        <v>2578</v>
      </c>
      <c r="B2402" s="13" t="n">
        <v>45046</v>
      </c>
      <c r="C2402" s="4" t="s">
        <v>6213</v>
      </c>
      <c r="D2402" s="4" t="s">
        <v>6199</v>
      </c>
      <c r="E2402" s="4" t="s">
        <v>6207</v>
      </c>
      <c r="F2402" s="4" t="s">
        <v>6200</v>
      </c>
    </row>
    <row r="2403" customFormat="false" ht="15" hidden="false" customHeight="true" outlineLevel="0" collapsed="false">
      <c r="A2403" s="4" t="s">
        <v>2579</v>
      </c>
      <c r="B2403" s="13" t="n">
        <v>45474</v>
      </c>
      <c r="C2403" s="4" t="s">
        <v>6201</v>
      </c>
      <c r="D2403" s="4" t="s">
        <v>6195</v>
      </c>
      <c r="E2403" s="4" t="s">
        <v>6208</v>
      </c>
      <c r="F2403" s="4" t="s">
        <v>6212</v>
      </c>
    </row>
    <row r="2404" customFormat="false" ht="15" hidden="false" customHeight="true" outlineLevel="0" collapsed="false">
      <c r="A2404" s="4" t="s">
        <v>2580</v>
      </c>
      <c r="B2404" s="13" t="n">
        <v>45113</v>
      </c>
      <c r="C2404" s="4" t="s">
        <v>6209</v>
      </c>
      <c r="D2404" s="4" t="s">
        <v>6211</v>
      </c>
      <c r="E2404" s="4" t="s">
        <v>6203</v>
      </c>
      <c r="F2404" s="4"/>
    </row>
    <row r="2405" customFormat="false" ht="15" hidden="false" customHeight="true" outlineLevel="0" collapsed="false">
      <c r="A2405" s="4" t="s">
        <v>2581</v>
      </c>
      <c r="B2405" s="13" t="n">
        <v>45539</v>
      </c>
      <c r="C2405" s="4" t="s">
        <v>6213</v>
      </c>
      <c r="D2405" s="4" t="s">
        <v>6202</v>
      </c>
      <c r="E2405" s="4" t="s">
        <v>6202</v>
      </c>
      <c r="F2405" s="4" t="s">
        <v>6204</v>
      </c>
    </row>
    <row r="2406" customFormat="false" ht="15" hidden="false" customHeight="true" outlineLevel="0" collapsed="false">
      <c r="A2406" s="4" t="s">
        <v>2582</v>
      </c>
      <c r="B2406" s="13" t="n">
        <v>45017</v>
      </c>
      <c r="C2406" s="4" t="s">
        <v>6215</v>
      </c>
      <c r="D2406" s="4" t="s">
        <v>6203</v>
      </c>
      <c r="E2406" s="4" t="s">
        <v>6208</v>
      </c>
      <c r="F2406" s="4" t="s">
        <v>6216</v>
      </c>
    </row>
    <row r="2407" customFormat="false" ht="15" hidden="false" customHeight="true" outlineLevel="0" collapsed="false">
      <c r="A2407" s="4" t="s">
        <v>2583</v>
      </c>
      <c r="B2407" s="13" t="n">
        <v>45246</v>
      </c>
      <c r="C2407" s="4" t="s">
        <v>6210</v>
      </c>
      <c r="D2407" s="4" t="s">
        <v>6211</v>
      </c>
      <c r="E2407" s="4" t="s">
        <v>6199</v>
      </c>
      <c r="F2407" s="4" t="s">
        <v>6200</v>
      </c>
    </row>
    <row r="2408" customFormat="false" ht="15" hidden="false" customHeight="true" outlineLevel="0" collapsed="false">
      <c r="A2408" s="4" t="s">
        <v>2584</v>
      </c>
      <c r="B2408" s="13" t="n">
        <v>45271</v>
      </c>
      <c r="C2408" s="4" t="s">
        <v>6213</v>
      </c>
      <c r="D2408" s="4" t="s">
        <v>6206</v>
      </c>
      <c r="E2408" s="4" t="s">
        <v>6199</v>
      </c>
      <c r="F2408" s="4" t="s">
        <v>6216</v>
      </c>
    </row>
    <row r="2409" customFormat="false" ht="15" hidden="false" customHeight="true" outlineLevel="0" collapsed="false">
      <c r="A2409" s="4" t="s">
        <v>2585</v>
      </c>
      <c r="B2409" s="13" t="n">
        <v>45281</v>
      </c>
      <c r="C2409" s="4" t="s">
        <v>6213</v>
      </c>
      <c r="D2409" s="4" t="s">
        <v>6208</v>
      </c>
      <c r="E2409" s="4" t="s">
        <v>6208</v>
      </c>
      <c r="F2409" s="4"/>
    </row>
    <row r="2410" customFormat="false" ht="15" hidden="false" customHeight="true" outlineLevel="0" collapsed="false">
      <c r="A2410" s="4" t="s">
        <v>2586</v>
      </c>
      <c r="B2410" s="13" t="n">
        <v>45280</v>
      </c>
      <c r="C2410" s="4" t="s">
        <v>6209</v>
      </c>
      <c r="D2410" s="4" t="s">
        <v>6205</v>
      </c>
      <c r="E2410" s="4" t="s">
        <v>6211</v>
      </c>
      <c r="F2410" s="4" t="s">
        <v>6214</v>
      </c>
    </row>
    <row r="2411" customFormat="false" ht="15" hidden="false" customHeight="true" outlineLevel="0" collapsed="false">
      <c r="A2411" s="4" t="s">
        <v>2587</v>
      </c>
      <c r="B2411" s="13" t="n">
        <v>45512</v>
      </c>
      <c r="C2411" s="4" t="s">
        <v>6201</v>
      </c>
      <c r="D2411" s="4" t="s">
        <v>6206</v>
      </c>
      <c r="E2411" s="4" t="s">
        <v>6208</v>
      </c>
      <c r="F2411" s="4" t="s">
        <v>6204</v>
      </c>
    </row>
    <row r="2412" customFormat="false" ht="15" hidden="false" customHeight="true" outlineLevel="0" collapsed="false">
      <c r="A2412" s="4" t="s">
        <v>2588</v>
      </c>
      <c r="B2412" s="13" t="n">
        <v>45126</v>
      </c>
      <c r="C2412" s="4" t="s">
        <v>6213</v>
      </c>
      <c r="D2412" s="4" t="s">
        <v>6208</v>
      </c>
      <c r="E2412" s="4" t="s">
        <v>6202</v>
      </c>
      <c r="F2412" s="4" t="s">
        <v>6212</v>
      </c>
    </row>
    <row r="2413" customFormat="false" ht="15" hidden="false" customHeight="true" outlineLevel="0" collapsed="false">
      <c r="A2413" s="4" t="s">
        <v>2589</v>
      </c>
      <c r="B2413" s="13" t="n">
        <v>45384</v>
      </c>
      <c r="C2413" s="4" t="s">
        <v>6210</v>
      </c>
      <c r="D2413" s="4" t="s">
        <v>6199</v>
      </c>
      <c r="E2413" s="4" t="s">
        <v>6208</v>
      </c>
      <c r="F2413" s="4" t="s">
        <v>6200</v>
      </c>
    </row>
    <row r="2414" customFormat="false" ht="15" hidden="false" customHeight="true" outlineLevel="0" collapsed="false">
      <c r="A2414" s="4" t="s">
        <v>2590</v>
      </c>
      <c r="B2414" s="13" t="n">
        <v>45325</v>
      </c>
      <c r="C2414" s="4" t="s">
        <v>6213</v>
      </c>
      <c r="D2414" s="4" t="s">
        <v>6203</v>
      </c>
      <c r="E2414" s="4" t="s">
        <v>6195</v>
      </c>
      <c r="F2414" s="4"/>
    </row>
    <row r="2415" customFormat="false" ht="15" hidden="false" customHeight="true" outlineLevel="0" collapsed="false">
      <c r="A2415" s="4" t="s">
        <v>2591</v>
      </c>
      <c r="B2415" s="13" t="n">
        <v>45562</v>
      </c>
      <c r="C2415" s="4" t="s">
        <v>6198</v>
      </c>
      <c r="D2415" s="4" t="s">
        <v>6196</v>
      </c>
      <c r="E2415" s="4" t="s">
        <v>6203</v>
      </c>
      <c r="F2415" s="4" t="s">
        <v>6197</v>
      </c>
    </row>
    <row r="2416" customFormat="false" ht="15" hidden="false" customHeight="true" outlineLevel="0" collapsed="false">
      <c r="A2416" s="4" t="s">
        <v>2592</v>
      </c>
      <c r="B2416" s="13" t="n">
        <v>45175</v>
      </c>
      <c r="C2416" s="4" t="s">
        <v>6215</v>
      </c>
      <c r="D2416" s="4" t="s">
        <v>6199</v>
      </c>
      <c r="E2416" s="4" t="s">
        <v>6208</v>
      </c>
      <c r="F2416" s="4" t="s">
        <v>6216</v>
      </c>
    </row>
    <row r="2417" customFormat="false" ht="15" hidden="false" customHeight="true" outlineLevel="0" collapsed="false">
      <c r="A2417" s="4" t="s">
        <v>2593</v>
      </c>
      <c r="B2417" s="13" t="n">
        <v>45407</v>
      </c>
      <c r="C2417" s="4" t="s">
        <v>6213</v>
      </c>
      <c r="D2417" s="4" t="s">
        <v>6208</v>
      </c>
      <c r="E2417" s="4" t="s">
        <v>6195</v>
      </c>
      <c r="F2417" s="4" t="s">
        <v>6200</v>
      </c>
    </row>
    <row r="2418" customFormat="false" ht="15" hidden="false" customHeight="true" outlineLevel="0" collapsed="false">
      <c r="A2418" s="4" t="s">
        <v>2594</v>
      </c>
      <c r="B2418" s="13" t="n">
        <v>45153</v>
      </c>
      <c r="C2418" s="4" t="s">
        <v>6209</v>
      </c>
      <c r="D2418" s="4" t="s">
        <v>6208</v>
      </c>
      <c r="E2418" s="4" t="s">
        <v>6211</v>
      </c>
      <c r="F2418" s="4" t="s">
        <v>6204</v>
      </c>
    </row>
    <row r="2419" customFormat="false" ht="15" hidden="false" customHeight="true" outlineLevel="0" collapsed="false">
      <c r="A2419" s="4" t="s">
        <v>2595</v>
      </c>
      <c r="B2419" s="13" t="n">
        <v>45090</v>
      </c>
      <c r="C2419" s="4" t="s">
        <v>6209</v>
      </c>
      <c r="D2419" s="4" t="s">
        <v>6207</v>
      </c>
      <c r="E2419" s="4" t="s">
        <v>6205</v>
      </c>
      <c r="F2419" s="4"/>
    </row>
    <row r="2420" customFormat="false" ht="15" hidden="false" customHeight="true" outlineLevel="0" collapsed="false">
      <c r="A2420" s="4" t="s">
        <v>2596</v>
      </c>
      <c r="B2420" s="13" t="n">
        <v>45077</v>
      </c>
      <c r="C2420" s="4" t="s">
        <v>6201</v>
      </c>
      <c r="D2420" s="4" t="s">
        <v>6208</v>
      </c>
      <c r="E2420" s="4" t="s">
        <v>6206</v>
      </c>
      <c r="F2420" s="4"/>
    </row>
    <row r="2421" customFormat="false" ht="15" hidden="false" customHeight="true" outlineLevel="0" collapsed="false">
      <c r="A2421" s="4" t="s">
        <v>2597</v>
      </c>
      <c r="B2421" s="13" t="n">
        <v>45543</v>
      </c>
      <c r="C2421" s="4" t="s">
        <v>6198</v>
      </c>
      <c r="D2421" s="4" t="s">
        <v>6208</v>
      </c>
      <c r="E2421" s="4" t="s">
        <v>6199</v>
      </c>
      <c r="F2421" s="4" t="s">
        <v>6204</v>
      </c>
    </row>
    <row r="2422" customFormat="false" ht="15" hidden="false" customHeight="true" outlineLevel="0" collapsed="false">
      <c r="A2422" s="4" t="s">
        <v>2598</v>
      </c>
      <c r="B2422" s="13" t="n">
        <v>45352</v>
      </c>
      <c r="C2422" s="4" t="s">
        <v>6198</v>
      </c>
      <c r="D2422" s="4" t="s">
        <v>6203</v>
      </c>
      <c r="E2422" s="4" t="s">
        <v>6195</v>
      </c>
      <c r="F2422" s="4" t="s">
        <v>6197</v>
      </c>
    </row>
    <row r="2423" customFormat="false" ht="15" hidden="false" customHeight="true" outlineLevel="0" collapsed="false">
      <c r="A2423" s="4" t="s">
        <v>2599</v>
      </c>
      <c r="B2423" s="13" t="n">
        <v>45537</v>
      </c>
      <c r="C2423" s="4" t="s">
        <v>6215</v>
      </c>
      <c r="D2423" s="4" t="s">
        <v>6211</v>
      </c>
      <c r="E2423" s="4" t="s">
        <v>6195</v>
      </c>
      <c r="F2423" s="4" t="s">
        <v>6197</v>
      </c>
    </row>
    <row r="2424" customFormat="false" ht="15" hidden="false" customHeight="true" outlineLevel="0" collapsed="false">
      <c r="A2424" s="4" t="s">
        <v>2600</v>
      </c>
      <c r="B2424" s="13" t="n">
        <v>45399</v>
      </c>
      <c r="C2424" s="4" t="s">
        <v>6215</v>
      </c>
      <c r="D2424" s="4" t="s">
        <v>6211</v>
      </c>
      <c r="E2424" s="4" t="s">
        <v>6207</v>
      </c>
      <c r="F2424" s="4"/>
    </row>
    <row r="2425" customFormat="false" ht="15" hidden="false" customHeight="true" outlineLevel="0" collapsed="false">
      <c r="A2425" s="4" t="s">
        <v>2601</v>
      </c>
      <c r="B2425" s="13" t="n">
        <v>44941</v>
      </c>
      <c r="C2425" s="4" t="s">
        <v>6194</v>
      </c>
      <c r="D2425" s="4" t="s">
        <v>6206</v>
      </c>
      <c r="E2425" s="4" t="s">
        <v>6203</v>
      </c>
      <c r="F2425" s="4"/>
    </row>
    <row r="2426" customFormat="false" ht="15" hidden="false" customHeight="true" outlineLevel="0" collapsed="false">
      <c r="A2426" s="4" t="s">
        <v>2602</v>
      </c>
      <c r="B2426" s="13" t="n">
        <v>45651</v>
      </c>
      <c r="C2426" s="4" t="s">
        <v>6215</v>
      </c>
      <c r="D2426" s="4" t="s">
        <v>6199</v>
      </c>
      <c r="E2426" s="4" t="s">
        <v>6202</v>
      </c>
      <c r="F2426" s="4" t="s">
        <v>6216</v>
      </c>
    </row>
    <row r="2427" customFormat="false" ht="15" hidden="false" customHeight="true" outlineLevel="0" collapsed="false">
      <c r="A2427" s="4" t="s">
        <v>2603</v>
      </c>
      <c r="B2427" s="13" t="n">
        <v>45410</v>
      </c>
      <c r="C2427" s="4" t="s">
        <v>6215</v>
      </c>
      <c r="D2427" s="4" t="s">
        <v>6202</v>
      </c>
      <c r="E2427" s="4" t="s">
        <v>6195</v>
      </c>
      <c r="F2427" s="4"/>
    </row>
    <row r="2428" customFormat="false" ht="15" hidden="false" customHeight="true" outlineLevel="0" collapsed="false">
      <c r="A2428" s="4" t="s">
        <v>2604</v>
      </c>
      <c r="B2428" s="13" t="n">
        <v>45036</v>
      </c>
      <c r="C2428" s="4" t="s">
        <v>6215</v>
      </c>
      <c r="D2428" s="4" t="s">
        <v>6202</v>
      </c>
      <c r="E2428" s="4" t="s">
        <v>6196</v>
      </c>
      <c r="F2428" s="4" t="s">
        <v>6204</v>
      </c>
    </row>
    <row r="2429" customFormat="false" ht="15" hidden="false" customHeight="true" outlineLevel="0" collapsed="false">
      <c r="A2429" s="4" t="s">
        <v>2605</v>
      </c>
      <c r="B2429" s="13" t="n">
        <v>45641</v>
      </c>
      <c r="C2429" s="4" t="s">
        <v>6213</v>
      </c>
      <c r="D2429" s="4" t="s">
        <v>6205</v>
      </c>
      <c r="E2429" s="4" t="s">
        <v>6205</v>
      </c>
      <c r="F2429" s="4" t="s">
        <v>6204</v>
      </c>
    </row>
    <row r="2430" customFormat="false" ht="15" hidden="false" customHeight="true" outlineLevel="0" collapsed="false">
      <c r="A2430" s="4" t="s">
        <v>2606</v>
      </c>
      <c r="B2430" s="13" t="n">
        <v>45377</v>
      </c>
      <c r="C2430" s="4" t="s">
        <v>6201</v>
      </c>
      <c r="D2430" s="4" t="s">
        <v>6205</v>
      </c>
      <c r="E2430" s="4" t="s">
        <v>6208</v>
      </c>
      <c r="F2430" s="4" t="s">
        <v>6204</v>
      </c>
    </row>
    <row r="2431" customFormat="false" ht="15" hidden="false" customHeight="true" outlineLevel="0" collapsed="false">
      <c r="A2431" s="4" t="s">
        <v>2607</v>
      </c>
      <c r="B2431" s="13" t="n">
        <v>45047</v>
      </c>
      <c r="C2431" s="4" t="s">
        <v>6201</v>
      </c>
      <c r="D2431" s="4" t="s">
        <v>6206</v>
      </c>
      <c r="E2431" s="4" t="s">
        <v>6199</v>
      </c>
      <c r="F2431" s="4" t="s">
        <v>6200</v>
      </c>
    </row>
    <row r="2432" customFormat="false" ht="15" hidden="false" customHeight="true" outlineLevel="0" collapsed="false">
      <c r="A2432" s="4" t="s">
        <v>2608</v>
      </c>
      <c r="B2432" s="13" t="n">
        <v>45078</v>
      </c>
      <c r="C2432" s="4" t="s">
        <v>6201</v>
      </c>
      <c r="D2432" s="4" t="s">
        <v>6206</v>
      </c>
      <c r="E2432" s="4" t="s">
        <v>6196</v>
      </c>
      <c r="F2432" s="4" t="s">
        <v>6200</v>
      </c>
    </row>
    <row r="2433" customFormat="false" ht="15" hidden="false" customHeight="true" outlineLevel="0" collapsed="false">
      <c r="A2433" s="4" t="s">
        <v>2609</v>
      </c>
      <c r="B2433" s="13" t="n">
        <v>45367</v>
      </c>
      <c r="C2433" s="4" t="s">
        <v>6215</v>
      </c>
      <c r="D2433" s="4" t="s">
        <v>6196</v>
      </c>
      <c r="E2433" s="4" t="s">
        <v>6203</v>
      </c>
      <c r="F2433" s="4"/>
    </row>
    <row r="2434" customFormat="false" ht="15" hidden="false" customHeight="true" outlineLevel="0" collapsed="false">
      <c r="A2434" s="4" t="s">
        <v>2610</v>
      </c>
      <c r="B2434" s="13" t="n">
        <v>45628</v>
      </c>
      <c r="C2434" s="4" t="s">
        <v>6201</v>
      </c>
      <c r="D2434" s="4" t="s">
        <v>6205</v>
      </c>
      <c r="E2434" s="4" t="s">
        <v>6199</v>
      </c>
      <c r="F2434" s="4"/>
    </row>
    <row r="2435" customFormat="false" ht="15" hidden="false" customHeight="true" outlineLevel="0" collapsed="false">
      <c r="A2435" s="4" t="s">
        <v>2611</v>
      </c>
      <c r="B2435" s="13" t="n">
        <v>44940</v>
      </c>
      <c r="C2435" s="4" t="s">
        <v>6194</v>
      </c>
      <c r="D2435" s="4" t="s">
        <v>6208</v>
      </c>
      <c r="E2435" s="4" t="s">
        <v>6211</v>
      </c>
      <c r="F2435" s="4" t="s">
        <v>6204</v>
      </c>
    </row>
    <row r="2436" customFormat="false" ht="15" hidden="false" customHeight="true" outlineLevel="0" collapsed="false">
      <c r="A2436" s="4" t="s">
        <v>2612</v>
      </c>
      <c r="B2436" s="13" t="n">
        <v>44952</v>
      </c>
      <c r="C2436" s="4" t="s">
        <v>6201</v>
      </c>
      <c r="D2436" s="4" t="s">
        <v>6206</v>
      </c>
      <c r="E2436" s="4" t="s">
        <v>6202</v>
      </c>
      <c r="F2436" s="4" t="s">
        <v>6216</v>
      </c>
    </row>
    <row r="2437" customFormat="false" ht="15" hidden="false" customHeight="true" outlineLevel="0" collapsed="false">
      <c r="A2437" s="4" t="s">
        <v>2613</v>
      </c>
      <c r="B2437" s="13" t="n">
        <v>45406</v>
      </c>
      <c r="C2437" s="4" t="s">
        <v>6209</v>
      </c>
      <c r="D2437" s="4" t="s">
        <v>6195</v>
      </c>
      <c r="E2437" s="4" t="s">
        <v>6199</v>
      </c>
      <c r="F2437" s="4" t="s">
        <v>6200</v>
      </c>
    </row>
    <row r="2438" customFormat="false" ht="15" hidden="false" customHeight="true" outlineLevel="0" collapsed="false">
      <c r="A2438" s="4" t="s">
        <v>2614</v>
      </c>
      <c r="B2438" s="13" t="n">
        <v>45145</v>
      </c>
      <c r="C2438" s="4" t="s">
        <v>6213</v>
      </c>
      <c r="D2438" s="4" t="s">
        <v>6202</v>
      </c>
      <c r="E2438" s="4" t="s">
        <v>6202</v>
      </c>
      <c r="F2438" s="4" t="s">
        <v>6216</v>
      </c>
    </row>
    <row r="2439" customFormat="false" ht="15" hidden="false" customHeight="true" outlineLevel="0" collapsed="false">
      <c r="A2439" s="4" t="s">
        <v>2615</v>
      </c>
      <c r="B2439" s="13" t="n">
        <v>45341</v>
      </c>
      <c r="C2439" s="4" t="s">
        <v>6198</v>
      </c>
      <c r="D2439" s="4" t="s">
        <v>6196</v>
      </c>
      <c r="E2439" s="4" t="s">
        <v>6202</v>
      </c>
      <c r="F2439" s="4" t="s">
        <v>6212</v>
      </c>
    </row>
    <row r="2440" customFormat="false" ht="15" hidden="false" customHeight="true" outlineLevel="0" collapsed="false">
      <c r="A2440" s="4" t="s">
        <v>2616</v>
      </c>
      <c r="B2440" s="13" t="n">
        <v>45425</v>
      </c>
      <c r="C2440" s="4" t="s">
        <v>6209</v>
      </c>
      <c r="D2440" s="4" t="s">
        <v>6207</v>
      </c>
      <c r="E2440" s="4" t="s">
        <v>6208</v>
      </c>
      <c r="F2440" s="4" t="s">
        <v>6216</v>
      </c>
    </row>
    <row r="2441" customFormat="false" ht="15" hidden="false" customHeight="true" outlineLevel="0" collapsed="false">
      <c r="A2441" s="4" t="s">
        <v>2617</v>
      </c>
      <c r="B2441" s="13" t="n">
        <v>44951</v>
      </c>
      <c r="C2441" s="4" t="s">
        <v>6215</v>
      </c>
      <c r="D2441" s="4" t="s">
        <v>6202</v>
      </c>
      <c r="E2441" s="4" t="s">
        <v>6195</v>
      </c>
      <c r="F2441" s="4" t="s">
        <v>6197</v>
      </c>
    </row>
    <row r="2442" customFormat="false" ht="15" hidden="false" customHeight="true" outlineLevel="0" collapsed="false">
      <c r="A2442" s="4" t="s">
        <v>2618</v>
      </c>
      <c r="B2442" s="13" t="n">
        <v>45093</v>
      </c>
      <c r="C2442" s="4" t="s">
        <v>6198</v>
      </c>
      <c r="D2442" s="4" t="s">
        <v>6203</v>
      </c>
      <c r="E2442" s="4" t="s">
        <v>6208</v>
      </c>
      <c r="F2442" s="4" t="s">
        <v>6214</v>
      </c>
    </row>
    <row r="2443" customFormat="false" ht="15" hidden="false" customHeight="true" outlineLevel="0" collapsed="false">
      <c r="A2443" s="4" t="s">
        <v>2619</v>
      </c>
      <c r="B2443" s="13" t="n">
        <v>45328</v>
      </c>
      <c r="C2443" s="4" t="s">
        <v>6198</v>
      </c>
      <c r="D2443" s="4" t="s">
        <v>6199</v>
      </c>
      <c r="E2443" s="4" t="s">
        <v>6207</v>
      </c>
      <c r="F2443" s="4" t="s">
        <v>6200</v>
      </c>
    </row>
    <row r="2444" customFormat="false" ht="15" hidden="false" customHeight="true" outlineLevel="0" collapsed="false">
      <c r="A2444" s="4" t="s">
        <v>2620</v>
      </c>
      <c r="B2444" s="13" t="n">
        <v>45190</v>
      </c>
      <c r="C2444" s="4" t="s">
        <v>6201</v>
      </c>
      <c r="D2444" s="4" t="s">
        <v>6206</v>
      </c>
      <c r="E2444" s="4" t="s">
        <v>6205</v>
      </c>
      <c r="F2444" s="4" t="s">
        <v>6214</v>
      </c>
    </row>
    <row r="2445" customFormat="false" ht="15" hidden="false" customHeight="true" outlineLevel="0" collapsed="false">
      <c r="A2445" s="4" t="s">
        <v>2621</v>
      </c>
      <c r="B2445" s="13" t="n">
        <v>44936</v>
      </c>
      <c r="C2445" s="4" t="s">
        <v>6201</v>
      </c>
      <c r="D2445" s="4" t="s">
        <v>6195</v>
      </c>
      <c r="E2445" s="4" t="s">
        <v>6206</v>
      </c>
      <c r="F2445" s="4" t="s">
        <v>6197</v>
      </c>
    </row>
    <row r="2446" customFormat="false" ht="15" hidden="false" customHeight="true" outlineLevel="0" collapsed="false">
      <c r="A2446" s="4" t="s">
        <v>2622</v>
      </c>
      <c r="B2446" s="13" t="n">
        <v>45387</v>
      </c>
      <c r="C2446" s="4" t="s">
        <v>6209</v>
      </c>
      <c r="D2446" s="4" t="s">
        <v>6205</v>
      </c>
      <c r="E2446" s="4" t="s">
        <v>6202</v>
      </c>
      <c r="F2446" s="4"/>
    </row>
    <row r="2447" customFormat="false" ht="15" hidden="false" customHeight="true" outlineLevel="0" collapsed="false">
      <c r="A2447" s="4" t="s">
        <v>2623</v>
      </c>
      <c r="B2447" s="13" t="n">
        <v>45660</v>
      </c>
      <c r="C2447" s="4" t="s">
        <v>6194</v>
      </c>
      <c r="D2447" s="4" t="s">
        <v>6207</v>
      </c>
      <c r="E2447" s="4" t="s">
        <v>6211</v>
      </c>
      <c r="F2447" s="4"/>
    </row>
    <row r="2448" customFormat="false" ht="15" hidden="false" customHeight="true" outlineLevel="0" collapsed="false">
      <c r="A2448" s="4" t="s">
        <v>2624</v>
      </c>
      <c r="B2448" s="13" t="n">
        <v>45026</v>
      </c>
      <c r="C2448" s="4" t="s">
        <v>6210</v>
      </c>
      <c r="D2448" s="4" t="s">
        <v>6203</v>
      </c>
      <c r="E2448" s="4" t="s">
        <v>6207</v>
      </c>
      <c r="F2448" s="4" t="s">
        <v>6197</v>
      </c>
    </row>
    <row r="2449" customFormat="false" ht="15" hidden="false" customHeight="true" outlineLevel="0" collapsed="false">
      <c r="A2449" s="4" t="s">
        <v>2625</v>
      </c>
      <c r="B2449" s="13" t="n">
        <v>45071</v>
      </c>
      <c r="C2449" s="4" t="s">
        <v>6201</v>
      </c>
      <c r="D2449" s="4" t="s">
        <v>6196</v>
      </c>
      <c r="E2449" s="4" t="s">
        <v>6199</v>
      </c>
      <c r="F2449" s="4"/>
    </row>
    <row r="2450" customFormat="false" ht="15" hidden="false" customHeight="true" outlineLevel="0" collapsed="false">
      <c r="A2450" s="4" t="s">
        <v>2626</v>
      </c>
      <c r="B2450" s="13" t="n">
        <v>44978</v>
      </c>
      <c r="C2450" s="4" t="s">
        <v>6209</v>
      </c>
      <c r="D2450" s="4" t="s">
        <v>6207</v>
      </c>
      <c r="E2450" s="4" t="s">
        <v>6207</v>
      </c>
      <c r="F2450" s="4"/>
    </row>
    <row r="2451" customFormat="false" ht="15" hidden="false" customHeight="true" outlineLevel="0" collapsed="false">
      <c r="A2451" s="4" t="s">
        <v>2627</v>
      </c>
      <c r="B2451" s="13" t="n">
        <v>45569</v>
      </c>
      <c r="C2451" s="4" t="s">
        <v>6209</v>
      </c>
      <c r="D2451" s="4" t="s">
        <v>6211</v>
      </c>
      <c r="E2451" s="4" t="s">
        <v>6199</v>
      </c>
      <c r="F2451" s="4" t="s">
        <v>6197</v>
      </c>
    </row>
    <row r="2452" customFormat="false" ht="15" hidden="false" customHeight="true" outlineLevel="0" collapsed="false">
      <c r="A2452" s="4" t="s">
        <v>2628</v>
      </c>
      <c r="B2452" s="13" t="n">
        <v>45306</v>
      </c>
      <c r="C2452" s="4" t="s">
        <v>6201</v>
      </c>
      <c r="D2452" s="4" t="s">
        <v>6196</v>
      </c>
      <c r="E2452" s="4" t="s">
        <v>6208</v>
      </c>
      <c r="F2452" s="4" t="s">
        <v>6197</v>
      </c>
    </row>
    <row r="2453" customFormat="false" ht="15" hidden="false" customHeight="true" outlineLevel="0" collapsed="false">
      <c r="A2453" s="4" t="s">
        <v>2629</v>
      </c>
      <c r="B2453" s="13" t="n">
        <v>45444</v>
      </c>
      <c r="C2453" s="4" t="s">
        <v>6201</v>
      </c>
      <c r="D2453" s="4" t="s">
        <v>6211</v>
      </c>
      <c r="E2453" s="4" t="s">
        <v>6206</v>
      </c>
      <c r="F2453" s="4" t="s">
        <v>6214</v>
      </c>
    </row>
    <row r="2454" customFormat="false" ht="15" hidden="false" customHeight="true" outlineLevel="0" collapsed="false">
      <c r="A2454" s="4" t="s">
        <v>2630</v>
      </c>
      <c r="B2454" s="13" t="n">
        <v>45157</v>
      </c>
      <c r="C2454" s="4" t="s">
        <v>6198</v>
      </c>
      <c r="D2454" s="4" t="s">
        <v>6199</v>
      </c>
      <c r="E2454" s="4" t="s">
        <v>6208</v>
      </c>
      <c r="F2454" s="4" t="s">
        <v>6216</v>
      </c>
    </row>
    <row r="2455" customFormat="false" ht="15" hidden="false" customHeight="true" outlineLevel="0" collapsed="false">
      <c r="A2455" s="4" t="s">
        <v>2631</v>
      </c>
      <c r="B2455" s="13" t="n">
        <v>45256</v>
      </c>
      <c r="C2455" s="4" t="s">
        <v>6213</v>
      </c>
      <c r="D2455" s="4" t="s">
        <v>6196</v>
      </c>
      <c r="E2455" s="4" t="s">
        <v>6203</v>
      </c>
      <c r="F2455" s="4" t="s">
        <v>6212</v>
      </c>
    </row>
    <row r="2456" customFormat="false" ht="15" hidden="false" customHeight="true" outlineLevel="0" collapsed="false">
      <c r="A2456" s="4" t="s">
        <v>2632</v>
      </c>
      <c r="B2456" s="13" t="n">
        <v>45231</v>
      </c>
      <c r="C2456" s="4" t="s">
        <v>6213</v>
      </c>
      <c r="D2456" s="4" t="s">
        <v>6202</v>
      </c>
      <c r="E2456" s="4" t="s">
        <v>6211</v>
      </c>
      <c r="F2456" s="4"/>
    </row>
    <row r="2457" customFormat="false" ht="15" hidden="false" customHeight="true" outlineLevel="0" collapsed="false">
      <c r="A2457" s="4" t="s">
        <v>2633</v>
      </c>
      <c r="B2457" s="13" t="n">
        <v>45437</v>
      </c>
      <c r="C2457" s="4" t="s">
        <v>6201</v>
      </c>
      <c r="D2457" s="4" t="s">
        <v>6202</v>
      </c>
      <c r="E2457" s="4" t="s">
        <v>6196</v>
      </c>
      <c r="F2457" s="4" t="s">
        <v>6214</v>
      </c>
    </row>
    <row r="2458" customFormat="false" ht="15" hidden="false" customHeight="true" outlineLevel="0" collapsed="false">
      <c r="A2458" s="4" t="s">
        <v>2634</v>
      </c>
      <c r="B2458" s="13" t="n">
        <v>45379</v>
      </c>
      <c r="C2458" s="4" t="s">
        <v>6215</v>
      </c>
      <c r="D2458" s="4" t="s">
        <v>6208</v>
      </c>
      <c r="E2458" s="4" t="s">
        <v>6196</v>
      </c>
      <c r="F2458" s="4" t="s">
        <v>6197</v>
      </c>
    </row>
    <row r="2459" customFormat="false" ht="15" hidden="false" customHeight="true" outlineLevel="0" collapsed="false">
      <c r="A2459" s="4" t="s">
        <v>2635</v>
      </c>
      <c r="B2459" s="13" t="n">
        <v>45503</v>
      </c>
      <c r="C2459" s="4" t="s">
        <v>6194</v>
      </c>
      <c r="D2459" s="4" t="s">
        <v>6196</v>
      </c>
      <c r="E2459" s="4" t="s">
        <v>6207</v>
      </c>
      <c r="F2459" s="4" t="s">
        <v>6216</v>
      </c>
    </row>
    <row r="2460" customFormat="false" ht="15" hidden="false" customHeight="true" outlineLevel="0" collapsed="false">
      <c r="A2460" s="4" t="s">
        <v>2636</v>
      </c>
      <c r="B2460" s="13" t="n">
        <v>45338</v>
      </c>
      <c r="C2460" s="4" t="s">
        <v>6210</v>
      </c>
      <c r="D2460" s="4" t="s">
        <v>6202</v>
      </c>
      <c r="E2460" s="4" t="s">
        <v>6195</v>
      </c>
      <c r="F2460" s="4" t="s">
        <v>6200</v>
      </c>
    </row>
    <row r="2461" customFormat="false" ht="15" hidden="false" customHeight="true" outlineLevel="0" collapsed="false">
      <c r="A2461" s="4" t="s">
        <v>2637</v>
      </c>
      <c r="B2461" s="13" t="n">
        <v>45249</v>
      </c>
      <c r="C2461" s="4" t="s">
        <v>6215</v>
      </c>
      <c r="D2461" s="4" t="s">
        <v>6208</v>
      </c>
      <c r="E2461" s="4" t="s">
        <v>6199</v>
      </c>
      <c r="F2461" s="4" t="s">
        <v>6204</v>
      </c>
    </row>
    <row r="2462" customFormat="false" ht="15" hidden="false" customHeight="true" outlineLevel="0" collapsed="false">
      <c r="A2462" s="4" t="s">
        <v>2638</v>
      </c>
      <c r="B2462" s="13" t="n">
        <v>45638</v>
      </c>
      <c r="C2462" s="4" t="s">
        <v>6209</v>
      </c>
      <c r="D2462" s="4" t="s">
        <v>6205</v>
      </c>
      <c r="E2462" s="4" t="s">
        <v>6208</v>
      </c>
      <c r="F2462" s="4"/>
    </row>
    <row r="2463" customFormat="false" ht="15" hidden="false" customHeight="true" outlineLevel="0" collapsed="false">
      <c r="A2463" s="4" t="s">
        <v>2639</v>
      </c>
      <c r="B2463" s="13" t="n">
        <v>45117</v>
      </c>
      <c r="C2463" s="4" t="s">
        <v>6210</v>
      </c>
      <c r="D2463" s="4" t="s">
        <v>6195</v>
      </c>
      <c r="E2463" s="4" t="s">
        <v>6202</v>
      </c>
      <c r="F2463" s="4"/>
    </row>
    <row r="2464" customFormat="false" ht="15" hidden="false" customHeight="true" outlineLevel="0" collapsed="false">
      <c r="A2464" s="4" t="s">
        <v>2640</v>
      </c>
      <c r="B2464" s="13" t="n">
        <v>45299</v>
      </c>
      <c r="C2464" s="4" t="s">
        <v>6209</v>
      </c>
      <c r="D2464" s="4" t="s">
        <v>6203</v>
      </c>
      <c r="E2464" s="4" t="s">
        <v>6206</v>
      </c>
      <c r="F2464" s="4"/>
    </row>
    <row r="2465" customFormat="false" ht="15" hidden="false" customHeight="true" outlineLevel="0" collapsed="false">
      <c r="A2465" s="4" t="s">
        <v>2641</v>
      </c>
      <c r="B2465" s="13" t="n">
        <v>45105</v>
      </c>
      <c r="C2465" s="4" t="s">
        <v>6201</v>
      </c>
      <c r="D2465" s="4" t="s">
        <v>6199</v>
      </c>
      <c r="E2465" s="4" t="s">
        <v>6206</v>
      </c>
      <c r="F2465" s="4" t="s">
        <v>6197</v>
      </c>
    </row>
    <row r="2466" customFormat="false" ht="15" hidden="false" customHeight="true" outlineLevel="0" collapsed="false">
      <c r="A2466" s="4" t="s">
        <v>2642</v>
      </c>
      <c r="B2466" s="13" t="n">
        <v>45610</v>
      </c>
      <c r="C2466" s="4" t="s">
        <v>6198</v>
      </c>
      <c r="D2466" s="4" t="s">
        <v>6199</v>
      </c>
      <c r="E2466" s="4" t="s">
        <v>6208</v>
      </c>
      <c r="F2466" s="4" t="s">
        <v>6200</v>
      </c>
    </row>
    <row r="2467" customFormat="false" ht="15" hidden="false" customHeight="true" outlineLevel="0" collapsed="false">
      <c r="A2467" s="4" t="s">
        <v>2643</v>
      </c>
      <c r="B2467" s="13" t="n">
        <v>45278</v>
      </c>
      <c r="C2467" s="4" t="s">
        <v>6209</v>
      </c>
      <c r="D2467" s="4" t="s">
        <v>6195</v>
      </c>
      <c r="E2467" s="4" t="s">
        <v>6207</v>
      </c>
      <c r="F2467" s="4"/>
    </row>
    <row r="2468" customFormat="false" ht="15" hidden="false" customHeight="true" outlineLevel="0" collapsed="false">
      <c r="A2468" s="4" t="s">
        <v>2644</v>
      </c>
      <c r="B2468" s="13" t="n">
        <v>45076</v>
      </c>
      <c r="C2468" s="4" t="s">
        <v>6209</v>
      </c>
      <c r="D2468" s="4" t="s">
        <v>6205</v>
      </c>
      <c r="E2468" s="4" t="s">
        <v>6207</v>
      </c>
      <c r="F2468" s="4" t="s">
        <v>6212</v>
      </c>
    </row>
    <row r="2469" customFormat="false" ht="15" hidden="false" customHeight="true" outlineLevel="0" collapsed="false">
      <c r="A2469" s="4" t="s">
        <v>2645</v>
      </c>
      <c r="B2469" s="13" t="n">
        <v>45431</v>
      </c>
      <c r="C2469" s="4" t="s">
        <v>6201</v>
      </c>
      <c r="D2469" s="4" t="s">
        <v>6202</v>
      </c>
      <c r="E2469" s="4" t="s">
        <v>6202</v>
      </c>
      <c r="F2469" s="4"/>
    </row>
    <row r="2470" customFormat="false" ht="15" hidden="false" customHeight="true" outlineLevel="0" collapsed="false">
      <c r="A2470" s="4" t="s">
        <v>2646</v>
      </c>
      <c r="B2470" s="13" t="n">
        <v>45386</v>
      </c>
      <c r="C2470" s="4" t="s">
        <v>6209</v>
      </c>
      <c r="D2470" s="4" t="s">
        <v>6208</v>
      </c>
      <c r="E2470" s="4" t="s">
        <v>6205</v>
      </c>
      <c r="F2470" s="4" t="s">
        <v>6204</v>
      </c>
    </row>
    <row r="2471" customFormat="false" ht="15" hidden="false" customHeight="true" outlineLevel="0" collapsed="false">
      <c r="A2471" s="4" t="s">
        <v>2647</v>
      </c>
      <c r="B2471" s="13" t="n">
        <v>45633</v>
      </c>
      <c r="C2471" s="4" t="s">
        <v>6213</v>
      </c>
      <c r="D2471" s="4" t="s">
        <v>6196</v>
      </c>
      <c r="E2471" s="4" t="s">
        <v>6195</v>
      </c>
      <c r="F2471" s="4" t="s">
        <v>6200</v>
      </c>
    </row>
    <row r="2472" customFormat="false" ht="15" hidden="false" customHeight="true" outlineLevel="0" collapsed="false">
      <c r="A2472" s="4" t="s">
        <v>2648</v>
      </c>
      <c r="B2472" s="13" t="n">
        <v>45092</v>
      </c>
      <c r="C2472" s="4" t="s">
        <v>6215</v>
      </c>
      <c r="D2472" s="4" t="s">
        <v>6206</v>
      </c>
      <c r="E2472" s="4" t="s">
        <v>6206</v>
      </c>
      <c r="F2472" s="4" t="s">
        <v>6214</v>
      </c>
    </row>
    <row r="2473" customFormat="false" ht="15" hidden="false" customHeight="true" outlineLevel="0" collapsed="false">
      <c r="A2473" s="4" t="s">
        <v>2649</v>
      </c>
      <c r="B2473" s="13" t="n">
        <v>45012</v>
      </c>
      <c r="C2473" s="4" t="s">
        <v>6210</v>
      </c>
      <c r="D2473" s="4" t="s">
        <v>6203</v>
      </c>
      <c r="E2473" s="4" t="s">
        <v>6205</v>
      </c>
      <c r="F2473" s="4" t="s">
        <v>6216</v>
      </c>
    </row>
    <row r="2474" customFormat="false" ht="15" hidden="false" customHeight="true" outlineLevel="0" collapsed="false">
      <c r="A2474" s="4" t="s">
        <v>2650</v>
      </c>
      <c r="B2474" s="13" t="n">
        <v>45638</v>
      </c>
      <c r="C2474" s="4" t="s">
        <v>6215</v>
      </c>
      <c r="D2474" s="4" t="s">
        <v>6208</v>
      </c>
      <c r="E2474" s="4" t="s">
        <v>6208</v>
      </c>
      <c r="F2474" s="4" t="s">
        <v>6200</v>
      </c>
    </row>
    <row r="2475" customFormat="false" ht="15" hidden="false" customHeight="true" outlineLevel="0" collapsed="false">
      <c r="A2475" s="4" t="s">
        <v>2651</v>
      </c>
      <c r="B2475" s="13" t="n">
        <v>45573</v>
      </c>
      <c r="C2475" s="4" t="s">
        <v>6194</v>
      </c>
      <c r="D2475" s="4" t="s">
        <v>6205</v>
      </c>
      <c r="E2475" s="4" t="s">
        <v>6208</v>
      </c>
      <c r="F2475" s="4"/>
    </row>
    <row r="2476" customFormat="false" ht="15" hidden="false" customHeight="true" outlineLevel="0" collapsed="false">
      <c r="A2476" s="4" t="s">
        <v>2652</v>
      </c>
      <c r="B2476" s="13" t="n">
        <v>45355</v>
      </c>
      <c r="C2476" s="4" t="s">
        <v>6215</v>
      </c>
      <c r="D2476" s="4" t="s">
        <v>6196</v>
      </c>
      <c r="E2476" s="4" t="s">
        <v>6208</v>
      </c>
      <c r="F2476" s="4" t="s">
        <v>6197</v>
      </c>
    </row>
    <row r="2477" customFormat="false" ht="15" hidden="false" customHeight="true" outlineLevel="0" collapsed="false">
      <c r="A2477" s="4" t="s">
        <v>2653</v>
      </c>
      <c r="B2477" s="13" t="n">
        <v>45179</v>
      </c>
      <c r="C2477" s="4" t="s">
        <v>6198</v>
      </c>
      <c r="D2477" s="4" t="s">
        <v>6196</v>
      </c>
      <c r="E2477" s="4" t="s">
        <v>6207</v>
      </c>
      <c r="F2477" s="4" t="s">
        <v>6212</v>
      </c>
    </row>
    <row r="2478" customFormat="false" ht="15" hidden="false" customHeight="true" outlineLevel="0" collapsed="false">
      <c r="A2478" s="4" t="s">
        <v>2654</v>
      </c>
      <c r="B2478" s="13" t="n">
        <v>45586</v>
      </c>
      <c r="C2478" s="4" t="s">
        <v>6194</v>
      </c>
      <c r="D2478" s="4" t="s">
        <v>6203</v>
      </c>
      <c r="E2478" s="4" t="s">
        <v>6205</v>
      </c>
      <c r="F2478" s="4" t="s">
        <v>6212</v>
      </c>
    </row>
    <row r="2479" customFormat="false" ht="15" hidden="false" customHeight="true" outlineLevel="0" collapsed="false">
      <c r="A2479" s="4" t="s">
        <v>2655</v>
      </c>
      <c r="B2479" s="13" t="n">
        <v>45324</v>
      </c>
      <c r="C2479" s="4" t="s">
        <v>6209</v>
      </c>
      <c r="D2479" s="4" t="s">
        <v>6196</v>
      </c>
      <c r="E2479" s="4" t="s">
        <v>6203</v>
      </c>
      <c r="F2479" s="4" t="s">
        <v>6212</v>
      </c>
    </row>
    <row r="2480" customFormat="false" ht="15" hidden="false" customHeight="true" outlineLevel="0" collapsed="false">
      <c r="A2480" s="4" t="s">
        <v>2656</v>
      </c>
      <c r="B2480" s="13" t="n">
        <v>45229</v>
      </c>
      <c r="C2480" s="4" t="s">
        <v>6210</v>
      </c>
      <c r="D2480" s="4" t="s">
        <v>6206</v>
      </c>
      <c r="E2480" s="4" t="s">
        <v>6211</v>
      </c>
      <c r="F2480" s="4" t="s">
        <v>6216</v>
      </c>
    </row>
    <row r="2481" customFormat="false" ht="15" hidden="false" customHeight="true" outlineLevel="0" collapsed="false">
      <c r="A2481" s="4" t="s">
        <v>2657</v>
      </c>
      <c r="B2481" s="13" t="n">
        <v>45574</v>
      </c>
      <c r="C2481" s="4" t="s">
        <v>6209</v>
      </c>
      <c r="D2481" s="4" t="s">
        <v>6205</v>
      </c>
      <c r="E2481" s="4" t="s">
        <v>6195</v>
      </c>
      <c r="F2481" s="4"/>
    </row>
    <row r="2482" customFormat="false" ht="15" hidden="false" customHeight="true" outlineLevel="0" collapsed="false">
      <c r="A2482" s="4" t="s">
        <v>2658</v>
      </c>
      <c r="B2482" s="13" t="n">
        <v>45148</v>
      </c>
      <c r="C2482" s="4" t="s">
        <v>6194</v>
      </c>
      <c r="D2482" s="4" t="s">
        <v>6195</v>
      </c>
      <c r="E2482" s="4" t="s">
        <v>6206</v>
      </c>
      <c r="F2482" s="4" t="s">
        <v>6216</v>
      </c>
    </row>
    <row r="2483" customFormat="false" ht="15" hidden="false" customHeight="true" outlineLevel="0" collapsed="false">
      <c r="A2483" s="4" t="s">
        <v>2659</v>
      </c>
      <c r="B2483" s="13" t="n">
        <v>45275</v>
      </c>
      <c r="C2483" s="4" t="s">
        <v>6201</v>
      </c>
      <c r="D2483" s="4" t="s">
        <v>6207</v>
      </c>
      <c r="E2483" s="4" t="s">
        <v>6208</v>
      </c>
      <c r="F2483" s="4" t="s">
        <v>6216</v>
      </c>
    </row>
    <row r="2484" customFormat="false" ht="15" hidden="false" customHeight="true" outlineLevel="0" collapsed="false">
      <c r="A2484" s="4" t="s">
        <v>2660</v>
      </c>
      <c r="B2484" s="13" t="n">
        <v>45425</v>
      </c>
      <c r="C2484" s="4" t="s">
        <v>6215</v>
      </c>
      <c r="D2484" s="4" t="s">
        <v>6207</v>
      </c>
      <c r="E2484" s="4" t="s">
        <v>6202</v>
      </c>
      <c r="F2484" s="4"/>
    </row>
    <row r="2485" customFormat="false" ht="15" hidden="false" customHeight="true" outlineLevel="0" collapsed="false">
      <c r="A2485" s="4" t="s">
        <v>2661</v>
      </c>
      <c r="B2485" s="13" t="n">
        <v>44971</v>
      </c>
      <c r="C2485" s="4" t="s">
        <v>6213</v>
      </c>
      <c r="D2485" s="4" t="s">
        <v>6206</v>
      </c>
      <c r="E2485" s="4" t="s">
        <v>6206</v>
      </c>
      <c r="F2485" s="4" t="s">
        <v>6214</v>
      </c>
    </row>
    <row r="2486" customFormat="false" ht="15" hidden="false" customHeight="true" outlineLevel="0" collapsed="false">
      <c r="A2486" s="4" t="s">
        <v>2662</v>
      </c>
      <c r="B2486" s="13" t="n">
        <v>45187</v>
      </c>
      <c r="C2486" s="4" t="s">
        <v>6209</v>
      </c>
      <c r="D2486" s="4" t="s">
        <v>6202</v>
      </c>
      <c r="E2486" s="4" t="s">
        <v>6205</v>
      </c>
      <c r="F2486" s="4"/>
    </row>
    <row r="2487" customFormat="false" ht="15" hidden="false" customHeight="true" outlineLevel="0" collapsed="false">
      <c r="A2487" s="4" t="s">
        <v>2663</v>
      </c>
      <c r="B2487" s="13" t="n">
        <v>45009</v>
      </c>
      <c r="C2487" s="4" t="s">
        <v>6213</v>
      </c>
      <c r="D2487" s="4" t="s">
        <v>6206</v>
      </c>
      <c r="E2487" s="4" t="s">
        <v>6208</v>
      </c>
      <c r="F2487" s="4"/>
    </row>
    <row r="2488" customFormat="false" ht="15" hidden="false" customHeight="true" outlineLevel="0" collapsed="false">
      <c r="A2488" s="4" t="s">
        <v>2664</v>
      </c>
      <c r="B2488" s="13" t="n">
        <v>45307</v>
      </c>
      <c r="C2488" s="4" t="s">
        <v>6194</v>
      </c>
      <c r="D2488" s="4" t="s">
        <v>6195</v>
      </c>
      <c r="E2488" s="4" t="s">
        <v>6208</v>
      </c>
      <c r="F2488" s="4" t="s">
        <v>6212</v>
      </c>
    </row>
    <row r="2489" customFormat="false" ht="15" hidden="false" customHeight="true" outlineLevel="0" collapsed="false">
      <c r="A2489" s="4" t="s">
        <v>2665</v>
      </c>
      <c r="B2489" s="13" t="n">
        <v>45190</v>
      </c>
      <c r="C2489" s="4" t="s">
        <v>6194</v>
      </c>
      <c r="D2489" s="4" t="s">
        <v>6202</v>
      </c>
      <c r="E2489" s="4" t="s">
        <v>6202</v>
      </c>
      <c r="F2489" s="4" t="s">
        <v>6214</v>
      </c>
    </row>
    <row r="2490" customFormat="false" ht="15" hidden="false" customHeight="true" outlineLevel="0" collapsed="false">
      <c r="A2490" s="4" t="s">
        <v>2666</v>
      </c>
      <c r="B2490" s="13" t="n">
        <v>45104</v>
      </c>
      <c r="C2490" s="4" t="s">
        <v>6201</v>
      </c>
      <c r="D2490" s="4" t="s">
        <v>6195</v>
      </c>
      <c r="E2490" s="4" t="s">
        <v>6211</v>
      </c>
      <c r="F2490" s="4" t="s">
        <v>6204</v>
      </c>
    </row>
    <row r="2491" customFormat="false" ht="15" hidden="false" customHeight="true" outlineLevel="0" collapsed="false">
      <c r="A2491" s="4" t="s">
        <v>2667</v>
      </c>
      <c r="B2491" s="13" t="n">
        <v>45085</v>
      </c>
      <c r="C2491" s="4" t="s">
        <v>6210</v>
      </c>
      <c r="D2491" s="4" t="s">
        <v>6196</v>
      </c>
      <c r="E2491" s="4" t="s">
        <v>6195</v>
      </c>
      <c r="F2491" s="4" t="s">
        <v>6197</v>
      </c>
    </row>
    <row r="2492" customFormat="false" ht="15" hidden="false" customHeight="true" outlineLevel="0" collapsed="false">
      <c r="A2492" s="4" t="s">
        <v>2668</v>
      </c>
      <c r="B2492" s="13" t="n">
        <v>45328</v>
      </c>
      <c r="C2492" s="4" t="s">
        <v>6213</v>
      </c>
      <c r="D2492" s="4" t="s">
        <v>6203</v>
      </c>
      <c r="E2492" s="4" t="s">
        <v>6211</v>
      </c>
      <c r="F2492" s="4" t="s">
        <v>6214</v>
      </c>
    </row>
    <row r="2493" customFormat="false" ht="15" hidden="false" customHeight="true" outlineLevel="0" collapsed="false">
      <c r="A2493" s="4" t="s">
        <v>2669</v>
      </c>
      <c r="B2493" s="13" t="n">
        <v>45103</v>
      </c>
      <c r="C2493" s="4" t="s">
        <v>6209</v>
      </c>
      <c r="D2493" s="4" t="s">
        <v>6208</v>
      </c>
      <c r="E2493" s="4" t="s">
        <v>6196</v>
      </c>
      <c r="F2493" s="4" t="s">
        <v>6200</v>
      </c>
    </row>
    <row r="2494" customFormat="false" ht="15" hidden="false" customHeight="true" outlineLevel="0" collapsed="false">
      <c r="A2494" s="4" t="s">
        <v>2670</v>
      </c>
      <c r="B2494" s="13" t="n">
        <v>45354</v>
      </c>
      <c r="C2494" s="4" t="s">
        <v>6201</v>
      </c>
      <c r="D2494" s="4" t="s">
        <v>6207</v>
      </c>
      <c r="E2494" s="4" t="s">
        <v>6207</v>
      </c>
      <c r="F2494" s="4" t="s">
        <v>6197</v>
      </c>
    </row>
    <row r="2495" customFormat="false" ht="15" hidden="false" customHeight="true" outlineLevel="0" collapsed="false">
      <c r="A2495" s="4" t="s">
        <v>2671</v>
      </c>
      <c r="B2495" s="13" t="n">
        <v>45176</v>
      </c>
      <c r="C2495" s="4" t="s">
        <v>6209</v>
      </c>
      <c r="D2495" s="4" t="s">
        <v>6207</v>
      </c>
      <c r="E2495" s="4" t="s">
        <v>6207</v>
      </c>
      <c r="F2495" s="4" t="s">
        <v>6216</v>
      </c>
    </row>
    <row r="2496" customFormat="false" ht="15" hidden="false" customHeight="true" outlineLevel="0" collapsed="false">
      <c r="A2496" s="4" t="s">
        <v>2672</v>
      </c>
      <c r="B2496" s="13" t="n">
        <v>45235</v>
      </c>
      <c r="C2496" s="4" t="s">
        <v>6215</v>
      </c>
      <c r="D2496" s="4" t="s">
        <v>6211</v>
      </c>
      <c r="E2496" s="4" t="s">
        <v>6196</v>
      </c>
      <c r="F2496" s="4" t="s">
        <v>6204</v>
      </c>
    </row>
    <row r="2497" customFormat="false" ht="15" hidden="false" customHeight="true" outlineLevel="0" collapsed="false">
      <c r="A2497" s="4" t="s">
        <v>2673</v>
      </c>
      <c r="B2497" s="13" t="n">
        <v>45552</v>
      </c>
      <c r="C2497" s="4" t="s">
        <v>6201</v>
      </c>
      <c r="D2497" s="4" t="s">
        <v>6207</v>
      </c>
      <c r="E2497" s="4" t="s">
        <v>6203</v>
      </c>
      <c r="F2497" s="4" t="s">
        <v>6197</v>
      </c>
    </row>
    <row r="2498" customFormat="false" ht="15" hidden="false" customHeight="true" outlineLevel="0" collapsed="false">
      <c r="A2498" s="4" t="s">
        <v>2674</v>
      </c>
      <c r="B2498" s="13" t="n">
        <v>45231</v>
      </c>
      <c r="C2498" s="4" t="s">
        <v>6194</v>
      </c>
      <c r="D2498" s="4" t="s">
        <v>6202</v>
      </c>
      <c r="E2498" s="4" t="s">
        <v>6196</v>
      </c>
      <c r="F2498" s="4" t="s">
        <v>6212</v>
      </c>
    </row>
    <row r="2499" customFormat="false" ht="15" hidden="false" customHeight="true" outlineLevel="0" collapsed="false">
      <c r="A2499" s="4" t="s">
        <v>2675</v>
      </c>
      <c r="B2499" s="13" t="n">
        <v>45342</v>
      </c>
      <c r="C2499" s="4" t="s">
        <v>6194</v>
      </c>
      <c r="D2499" s="4" t="s">
        <v>6208</v>
      </c>
      <c r="E2499" s="4" t="s">
        <v>6206</v>
      </c>
      <c r="F2499" s="4"/>
    </row>
    <row r="2500" customFormat="false" ht="15" hidden="false" customHeight="true" outlineLevel="0" collapsed="false">
      <c r="A2500" s="4" t="s">
        <v>2676</v>
      </c>
      <c r="B2500" s="13" t="n">
        <v>45051</v>
      </c>
      <c r="C2500" s="4" t="s">
        <v>6209</v>
      </c>
      <c r="D2500" s="4" t="s">
        <v>6208</v>
      </c>
      <c r="E2500" s="4" t="s">
        <v>6196</v>
      </c>
      <c r="F2500" s="4" t="s">
        <v>6197</v>
      </c>
    </row>
    <row r="2501" customFormat="false" ht="15" hidden="false" customHeight="true" outlineLevel="0" collapsed="false">
      <c r="A2501" s="4" t="s">
        <v>2677</v>
      </c>
      <c r="B2501" s="13" t="n">
        <v>45582</v>
      </c>
      <c r="C2501" s="4" t="s">
        <v>6215</v>
      </c>
      <c r="D2501" s="4" t="s">
        <v>6206</v>
      </c>
      <c r="E2501" s="4" t="s">
        <v>6199</v>
      </c>
      <c r="F2501" s="4" t="s">
        <v>6197</v>
      </c>
    </row>
    <row r="2502" customFormat="false" ht="15" hidden="false" customHeight="true" outlineLevel="0" collapsed="false">
      <c r="A2502" s="4" t="s">
        <v>2678</v>
      </c>
      <c r="B2502" s="13" t="n">
        <v>45100</v>
      </c>
      <c r="C2502" s="4" t="s">
        <v>6209</v>
      </c>
      <c r="D2502" s="4" t="s">
        <v>6211</v>
      </c>
      <c r="E2502" s="4" t="s">
        <v>6203</v>
      </c>
      <c r="F2502" s="4" t="s">
        <v>6216</v>
      </c>
    </row>
    <row r="2503" customFormat="false" ht="15" hidden="false" customHeight="true" outlineLevel="0" collapsed="false">
      <c r="A2503" s="4" t="s">
        <v>2679</v>
      </c>
      <c r="B2503" s="13" t="n">
        <v>45152</v>
      </c>
      <c r="C2503" s="4" t="s">
        <v>6194</v>
      </c>
      <c r="D2503" s="4" t="s">
        <v>6199</v>
      </c>
      <c r="E2503" s="4" t="s">
        <v>6205</v>
      </c>
      <c r="F2503" s="4" t="s">
        <v>6216</v>
      </c>
    </row>
    <row r="2504" customFormat="false" ht="15" hidden="false" customHeight="true" outlineLevel="0" collapsed="false">
      <c r="A2504" s="4" t="s">
        <v>2680</v>
      </c>
      <c r="B2504" s="13" t="n">
        <v>45174</v>
      </c>
      <c r="C2504" s="4" t="s">
        <v>6201</v>
      </c>
      <c r="D2504" s="4" t="s">
        <v>6206</v>
      </c>
      <c r="E2504" s="4" t="s">
        <v>6211</v>
      </c>
      <c r="F2504" s="4"/>
    </row>
    <row r="2505" customFormat="false" ht="15" hidden="false" customHeight="true" outlineLevel="0" collapsed="false">
      <c r="A2505" s="4" t="s">
        <v>2681</v>
      </c>
      <c r="B2505" s="13" t="n">
        <v>45310</v>
      </c>
      <c r="C2505" s="4" t="s">
        <v>6198</v>
      </c>
      <c r="D2505" s="4" t="s">
        <v>6211</v>
      </c>
      <c r="E2505" s="4" t="s">
        <v>6207</v>
      </c>
      <c r="F2505" s="4"/>
    </row>
    <row r="2506" customFormat="false" ht="15" hidden="false" customHeight="true" outlineLevel="0" collapsed="false">
      <c r="A2506" s="4" t="s">
        <v>2682</v>
      </c>
      <c r="B2506" s="13" t="n">
        <v>44985</v>
      </c>
      <c r="C2506" s="4" t="s">
        <v>6213</v>
      </c>
      <c r="D2506" s="4" t="s">
        <v>6195</v>
      </c>
      <c r="E2506" s="4" t="s">
        <v>6211</v>
      </c>
      <c r="F2506" s="4" t="s">
        <v>6212</v>
      </c>
    </row>
    <row r="2507" customFormat="false" ht="15" hidden="false" customHeight="true" outlineLevel="0" collapsed="false">
      <c r="A2507" s="4" t="s">
        <v>2683</v>
      </c>
      <c r="B2507" s="13" t="n">
        <v>45037</v>
      </c>
      <c r="C2507" s="4" t="s">
        <v>6213</v>
      </c>
      <c r="D2507" s="4" t="s">
        <v>6196</v>
      </c>
      <c r="E2507" s="4" t="s">
        <v>6206</v>
      </c>
      <c r="F2507" s="4" t="s">
        <v>6216</v>
      </c>
    </row>
    <row r="2508" customFormat="false" ht="15" hidden="false" customHeight="true" outlineLevel="0" collapsed="false">
      <c r="A2508" s="4" t="s">
        <v>2684</v>
      </c>
      <c r="B2508" s="13" t="n">
        <v>45633</v>
      </c>
      <c r="C2508" s="4" t="s">
        <v>6209</v>
      </c>
      <c r="D2508" s="4" t="s">
        <v>6205</v>
      </c>
      <c r="E2508" s="4" t="s">
        <v>6199</v>
      </c>
      <c r="F2508" s="4" t="s">
        <v>6212</v>
      </c>
    </row>
    <row r="2509" customFormat="false" ht="15" hidden="false" customHeight="true" outlineLevel="0" collapsed="false">
      <c r="A2509" s="4" t="s">
        <v>2685</v>
      </c>
      <c r="B2509" s="13" t="n">
        <v>45612</v>
      </c>
      <c r="C2509" s="4" t="s">
        <v>6194</v>
      </c>
      <c r="D2509" s="4" t="s">
        <v>6203</v>
      </c>
      <c r="E2509" s="4" t="s">
        <v>6205</v>
      </c>
      <c r="F2509" s="4" t="s">
        <v>6204</v>
      </c>
    </row>
    <row r="2510" customFormat="false" ht="15" hidden="false" customHeight="true" outlineLevel="0" collapsed="false">
      <c r="A2510" s="4" t="s">
        <v>2686</v>
      </c>
      <c r="B2510" s="13" t="n">
        <v>45061</v>
      </c>
      <c r="C2510" s="4" t="s">
        <v>6209</v>
      </c>
      <c r="D2510" s="4" t="s">
        <v>6202</v>
      </c>
      <c r="E2510" s="4" t="s">
        <v>6205</v>
      </c>
      <c r="F2510" s="4" t="s">
        <v>6216</v>
      </c>
    </row>
    <row r="2511" customFormat="false" ht="15" hidden="false" customHeight="true" outlineLevel="0" collapsed="false">
      <c r="A2511" s="4" t="s">
        <v>2687</v>
      </c>
      <c r="B2511" s="13" t="n">
        <v>45445</v>
      </c>
      <c r="C2511" s="4" t="s">
        <v>6215</v>
      </c>
      <c r="D2511" s="4" t="s">
        <v>6208</v>
      </c>
      <c r="E2511" s="4" t="s">
        <v>6202</v>
      </c>
      <c r="F2511" s="4" t="s">
        <v>6197</v>
      </c>
    </row>
    <row r="2512" customFormat="false" ht="15" hidden="false" customHeight="true" outlineLevel="0" collapsed="false">
      <c r="A2512" s="4" t="s">
        <v>2688</v>
      </c>
      <c r="B2512" s="13" t="n">
        <v>45323</v>
      </c>
      <c r="C2512" s="4" t="s">
        <v>6198</v>
      </c>
      <c r="D2512" s="4" t="s">
        <v>6196</v>
      </c>
      <c r="E2512" s="4" t="s">
        <v>6206</v>
      </c>
      <c r="F2512" s="4" t="s">
        <v>6200</v>
      </c>
    </row>
    <row r="2513" customFormat="false" ht="15" hidden="false" customHeight="true" outlineLevel="0" collapsed="false">
      <c r="A2513" s="4" t="s">
        <v>2689</v>
      </c>
      <c r="B2513" s="13" t="n">
        <v>45637</v>
      </c>
      <c r="C2513" s="4" t="s">
        <v>6210</v>
      </c>
      <c r="D2513" s="4" t="s">
        <v>6196</v>
      </c>
      <c r="E2513" s="4" t="s">
        <v>6211</v>
      </c>
      <c r="F2513" s="4"/>
    </row>
    <row r="2514" customFormat="false" ht="15" hidden="false" customHeight="true" outlineLevel="0" collapsed="false">
      <c r="A2514" s="4" t="s">
        <v>2690</v>
      </c>
      <c r="B2514" s="13" t="n">
        <v>45075</v>
      </c>
      <c r="C2514" s="4" t="s">
        <v>6194</v>
      </c>
      <c r="D2514" s="4" t="s">
        <v>6206</v>
      </c>
      <c r="E2514" s="4" t="s">
        <v>6199</v>
      </c>
      <c r="F2514" s="4" t="s">
        <v>6214</v>
      </c>
    </row>
    <row r="2515" customFormat="false" ht="15" hidden="false" customHeight="true" outlineLevel="0" collapsed="false">
      <c r="A2515" s="4" t="s">
        <v>2691</v>
      </c>
      <c r="B2515" s="13" t="n">
        <v>45288</v>
      </c>
      <c r="C2515" s="4" t="s">
        <v>6213</v>
      </c>
      <c r="D2515" s="4" t="s">
        <v>6205</v>
      </c>
      <c r="E2515" s="4" t="s">
        <v>6203</v>
      </c>
      <c r="F2515" s="4"/>
    </row>
    <row r="2516" customFormat="false" ht="15" hidden="false" customHeight="true" outlineLevel="0" collapsed="false">
      <c r="A2516" s="4" t="s">
        <v>2692</v>
      </c>
      <c r="B2516" s="13" t="n">
        <v>45308</v>
      </c>
      <c r="C2516" s="4" t="s">
        <v>6201</v>
      </c>
      <c r="D2516" s="4" t="s">
        <v>6196</v>
      </c>
      <c r="E2516" s="4" t="s">
        <v>6206</v>
      </c>
      <c r="F2516" s="4"/>
    </row>
    <row r="2517" customFormat="false" ht="15" hidden="false" customHeight="true" outlineLevel="0" collapsed="false">
      <c r="A2517" s="4" t="s">
        <v>2693</v>
      </c>
      <c r="B2517" s="13" t="n">
        <v>45354</v>
      </c>
      <c r="C2517" s="4" t="s">
        <v>6210</v>
      </c>
      <c r="D2517" s="4" t="s">
        <v>6202</v>
      </c>
      <c r="E2517" s="4" t="s">
        <v>6206</v>
      </c>
      <c r="F2517" s="4" t="s">
        <v>6214</v>
      </c>
    </row>
    <row r="2518" customFormat="false" ht="15" hidden="false" customHeight="true" outlineLevel="0" collapsed="false">
      <c r="A2518" s="4" t="s">
        <v>2694</v>
      </c>
      <c r="B2518" s="13" t="n">
        <v>45140</v>
      </c>
      <c r="C2518" s="4" t="s">
        <v>6198</v>
      </c>
      <c r="D2518" s="4" t="s">
        <v>6207</v>
      </c>
      <c r="E2518" s="4" t="s">
        <v>6205</v>
      </c>
      <c r="F2518" s="4" t="s">
        <v>6200</v>
      </c>
    </row>
    <row r="2519" customFormat="false" ht="15" hidden="false" customHeight="true" outlineLevel="0" collapsed="false">
      <c r="A2519" s="4" t="s">
        <v>2695</v>
      </c>
      <c r="B2519" s="13" t="n">
        <v>45278</v>
      </c>
      <c r="C2519" s="4" t="s">
        <v>6194</v>
      </c>
      <c r="D2519" s="4" t="s">
        <v>6202</v>
      </c>
      <c r="E2519" s="4" t="s">
        <v>6199</v>
      </c>
      <c r="F2519" s="4" t="s">
        <v>6197</v>
      </c>
    </row>
    <row r="2520" customFormat="false" ht="15" hidden="false" customHeight="true" outlineLevel="0" collapsed="false">
      <c r="A2520" s="4" t="s">
        <v>2696</v>
      </c>
      <c r="B2520" s="13" t="n">
        <v>45649</v>
      </c>
      <c r="C2520" s="4" t="s">
        <v>6209</v>
      </c>
      <c r="D2520" s="4" t="s">
        <v>6199</v>
      </c>
      <c r="E2520" s="4" t="s">
        <v>6199</v>
      </c>
      <c r="F2520" s="4"/>
    </row>
    <row r="2521" customFormat="false" ht="15" hidden="false" customHeight="true" outlineLevel="0" collapsed="false">
      <c r="A2521" s="4" t="s">
        <v>2697</v>
      </c>
      <c r="B2521" s="13" t="n">
        <v>45249</v>
      </c>
      <c r="C2521" s="4" t="s">
        <v>6194</v>
      </c>
      <c r="D2521" s="4" t="s">
        <v>6211</v>
      </c>
      <c r="E2521" s="4" t="s">
        <v>6196</v>
      </c>
      <c r="F2521" s="4"/>
    </row>
    <row r="2522" customFormat="false" ht="15" hidden="false" customHeight="true" outlineLevel="0" collapsed="false">
      <c r="A2522" s="4" t="s">
        <v>2698</v>
      </c>
      <c r="B2522" s="13" t="n">
        <v>45024</v>
      </c>
      <c r="C2522" s="4" t="s">
        <v>6209</v>
      </c>
      <c r="D2522" s="4" t="s">
        <v>6196</v>
      </c>
      <c r="E2522" s="4" t="s">
        <v>6211</v>
      </c>
      <c r="F2522" s="4" t="s">
        <v>6200</v>
      </c>
    </row>
    <row r="2523" customFormat="false" ht="15" hidden="false" customHeight="true" outlineLevel="0" collapsed="false">
      <c r="A2523" s="4" t="s">
        <v>2699</v>
      </c>
      <c r="B2523" s="13" t="n">
        <v>45401</v>
      </c>
      <c r="C2523" s="4" t="s">
        <v>6201</v>
      </c>
      <c r="D2523" s="4" t="s">
        <v>6203</v>
      </c>
      <c r="E2523" s="4" t="s">
        <v>6208</v>
      </c>
      <c r="F2523" s="4" t="s">
        <v>6204</v>
      </c>
    </row>
    <row r="2524" customFormat="false" ht="15" hidden="false" customHeight="true" outlineLevel="0" collapsed="false">
      <c r="A2524" s="4" t="s">
        <v>2700</v>
      </c>
      <c r="B2524" s="13" t="n">
        <v>45162</v>
      </c>
      <c r="C2524" s="4" t="s">
        <v>6194</v>
      </c>
      <c r="D2524" s="4" t="s">
        <v>6211</v>
      </c>
      <c r="E2524" s="4" t="s">
        <v>6211</v>
      </c>
      <c r="F2524" s="4" t="s">
        <v>6204</v>
      </c>
    </row>
    <row r="2525" customFormat="false" ht="15" hidden="false" customHeight="true" outlineLevel="0" collapsed="false">
      <c r="A2525" s="4" t="s">
        <v>2701</v>
      </c>
      <c r="B2525" s="13" t="n">
        <v>45106</v>
      </c>
      <c r="C2525" s="4" t="s">
        <v>6201</v>
      </c>
      <c r="D2525" s="4" t="s">
        <v>6203</v>
      </c>
      <c r="E2525" s="4" t="s">
        <v>6202</v>
      </c>
      <c r="F2525" s="4" t="s">
        <v>6200</v>
      </c>
    </row>
    <row r="2526" customFormat="false" ht="15" hidden="false" customHeight="true" outlineLevel="0" collapsed="false">
      <c r="A2526" s="4" t="s">
        <v>2702</v>
      </c>
      <c r="B2526" s="13" t="n">
        <v>45242</v>
      </c>
      <c r="C2526" s="4" t="s">
        <v>6209</v>
      </c>
      <c r="D2526" s="4" t="s">
        <v>6199</v>
      </c>
      <c r="E2526" s="4" t="s">
        <v>6199</v>
      </c>
      <c r="F2526" s="4"/>
    </row>
    <row r="2527" customFormat="false" ht="15" hidden="false" customHeight="true" outlineLevel="0" collapsed="false">
      <c r="A2527" s="4" t="s">
        <v>2703</v>
      </c>
      <c r="B2527" s="13" t="n">
        <v>45408</v>
      </c>
      <c r="C2527" s="4" t="s">
        <v>6209</v>
      </c>
      <c r="D2527" s="4" t="s">
        <v>6211</v>
      </c>
      <c r="E2527" s="4" t="s">
        <v>6211</v>
      </c>
      <c r="F2527" s="4" t="s">
        <v>6204</v>
      </c>
    </row>
    <row r="2528" customFormat="false" ht="15" hidden="false" customHeight="true" outlineLevel="0" collapsed="false">
      <c r="A2528" s="4" t="s">
        <v>2704</v>
      </c>
      <c r="B2528" s="13" t="n">
        <v>45051</v>
      </c>
      <c r="C2528" s="4" t="s">
        <v>6213</v>
      </c>
      <c r="D2528" s="4" t="s">
        <v>6202</v>
      </c>
      <c r="E2528" s="4" t="s">
        <v>6205</v>
      </c>
      <c r="F2528" s="4"/>
    </row>
    <row r="2529" customFormat="false" ht="15" hidden="false" customHeight="true" outlineLevel="0" collapsed="false">
      <c r="A2529" s="4" t="s">
        <v>2705</v>
      </c>
      <c r="B2529" s="13" t="n">
        <v>45056</v>
      </c>
      <c r="C2529" s="4" t="s">
        <v>6210</v>
      </c>
      <c r="D2529" s="4" t="s">
        <v>6205</v>
      </c>
      <c r="E2529" s="4" t="s">
        <v>6195</v>
      </c>
      <c r="F2529" s="4"/>
    </row>
    <row r="2530" customFormat="false" ht="15" hidden="false" customHeight="true" outlineLevel="0" collapsed="false">
      <c r="A2530" s="4" t="s">
        <v>2706</v>
      </c>
      <c r="B2530" s="13" t="n">
        <v>45502</v>
      </c>
      <c r="C2530" s="4" t="s">
        <v>6194</v>
      </c>
      <c r="D2530" s="4" t="s">
        <v>6199</v>
      </c>
      <c r="E2530" s="4" t="s">
        <v>6208</v>
      </c>
      <c r="F2530" s="4" t="s">
        <v>6204</v>
      </c>
    </row>
    <row r="2531" customFormat="false" ht="15" hidden="false" customHeight="true" outlineLevel="0" collapsed="false">
      <c r="A2531" s="4" t="s">
        <v>2707</v>
      </c>
      <c r="B2531" s="13" t="n">
        <v>45296</v>
      </c>
      <c r="C2531" s="4" t="s">
        <v>6201</v>
      </c>
      <c r="D2531" s="4" t="s">
        <v>6203</v>
      </c>
      <c r="E2531" s="4" t="s">
        <v>6202</v>
      </c>
      <c r="F2531" s="4" t="s">
        <v>6200</v>
      </c>
    </row>
    <row r="2532" customFormat="false" ht="15" hidden="false" customHeight="true" outlineLevel="0" collapsed="false">
      <c r="A2532" s="4" t="s">
        <v>2708</v>
      </c>
      <c r="B2532" s="13" t="n">
        <v>45407</v>
      </c>
      <c r="C2532" s="4" t="s">
        <v>6210</v>
      </c>
      <c r="D2532" s="4" t="s">
        <v>6202</v>
      </c>
      <c r="E2532" s="4" t="s">
        <v>6203</v>
      </c>
      <c r="F2532" s="4"/>
    </row>
    <row r="2533" customFormat="false" ht="15" hidden="false" customHeight="true" outlineLevel="0" collapsed="false">
      <c r="A2533" s="4" t="s">
        <v>2709</v>
      </c>
      <c r="B2533" s="13" t="n">
        <v>45514</v>
      </c>
      <c r="C2533" s="4" t="s">
        <v>6209</v>
      </c>
      <c r="D2533" s="4" t="s">
        <v>6207</v>
      </c>
      <c r="E2533" s="4" t="s">
        <v>6196</v>
      </c>
      <c r="F2533" s="4" t="s">
        <v>6216</v>
      </c>
    </row>
    <row r="2534" customFormat="false" ht="15" hidden="false" customHeight="true" outlineLevel="0" collapsed="false">
      <c r="A2534" s="4" t="s">
        <v>2710</v>
      </c>
      <c r="B2534" s="13" t="n">
        <v>45530</v>
      </c>
      <c r="C2534" s="4" t="s">
        <v>6194</v>
      </c>
      <c r="D2534" s="4" t="s">
        <v>6195</v>
      </c>
      <c r="E2534" s="4" t="s">
        <v>6208</v>
      </c>
      <c r="F2534" s="4" t="s">
        <v>6204</v>
      </c>
    </row>
    <row r="2535" customFormat="false" ht="15" hidden="false" customHeight="true" outlineLevel="0" collapsed="false">
      <c r="A2535" s="4" t="s">
        <v>2711</v>
      </c>
      <c r="B2535" s="13" t="n">
        <v>45594</v>
      </c>
      <c r="C2535" s="4" t="s">
        <v>6201</v>
      </c>
      <c r="D2535" s="4" t="s">
        <v>6199</v>
      </c>
      <c r="E2535" s="4" t="s">
        <v>6206</v>
      </c>
      <c r="F2535" s="4"/>
    </row>
    <row r="2536" customFormat="false" ht="15" hidden="false" customHeight="true" outlineLevel="0" collapsed="false">
      <c r="A2536" s="4" t="s">
        <v>2712</v>
      </c>
      <c r="B2536" s="13" t="n">
        <v>45240</v>
      </c>
      <c r="C2536" s="4" t="s">
        <v>6201</v>
      </c>
      <c r="D2536" s="4" t="s">
        <v>6206</v>
      </c>
      <c r="E2536" s="4" t="s">
        <v>6207</v>
      </c>
      <c r="F2536" s="4" t="s">
        <v>6200</v>
      </c>
    </row>
    <row r="2537" customFormat="false" ht="15" hidden="false" customHeight="true" outlineLevel="0" collapsed="false">
      <c r="A2537" s="4" t="s">
        <v>2713</v>
      </c>
      <c r="B2537" s="13" t="n">
        <v>44995</v>
      </c>
      <c r="C2537" s="4" t="s">
        <v>6215</v>
      </c>
      <c r="D2537" s="4" t="s">
        <v>6208</v>
      </c>
      <c r="E2537" s="4" t="s">
        <v>6202</v>
      </c>
      <c r="F2537" s="4" t="s">
        <v>6204</v>
      </c>
    </row>
    <row r="2538" customFormat="false" ht="15" hidden="false" customHeight="true" outlineLevel="0" collapsed="false">
      <c r="A2538" s="4" t="s">
        <v>2714</v>
      </c>
      <c r="B2538" s="13" t="n">
        <v>45196</v>
      </c>
      <c r="C2538" s="4" t="s">
        <v>6210</v>
      </c>
      <c r="D2538" s="4" t="s">
        <v>6196</v>
      </c>
      <c r="E2538" s="4" t="s">
        <v>6199</v>
      </c>
      <c r="F2538" s="4" t="s">
        <v>6200</v>
      </c>
    </row>
    <row r="2539" customFormat="false" ht="15" hidden="false" customHeight="true" outlineLevel="0" collapsed="false">
      <c r="A2539" s="4" t="s">
        <v>2715</v>
      </c>
      <c r="B2539" s="13" t="n">
        <v>45358</v>
      </c>
      <c r="C2539" s="4" t="s">
        <v>6213</v>
      </c>
      <c r="D2539" s="4" t="s">
        <v>6211</v>
      </c>
      <c r="E2539" s="4" t="s">
        <v>6196</v>
      </c>
      <c r="F2539" s="4" t="s">
        <v>6214</v>
      </c>
    </row>
    <row r="2540" customFormat="false" ht="15" hidden="false" customHeight="true" outlineLevel="0" collapsed="false">
      <c r="A2540" s="4" t="s">
        <v>2716</v>
      </c>
      <c r="B2540" s="13" t="n">
        <v>45084</v>
      </c>
      <c r="C2540" s="4" t="s">
        <v>6209</v>
      </c>
      <c r="D2540" s="4" t="s">
        <v>6202</v>
      </c>
      <c r="E2540" s="4" t="s">
        <v>6206</v>
      </c>
      <c r="F2540" s="4"/>
    </row>
    <row r="2541" customFormat="false" ht="15" hidden="false" customHeight="true" outlineLevel="0" collapsed="false">
      <c r="A2541" s="4" t="s">
        <v>2717</v>
      </c>
      <c r="B2541" s="13" t="n">
        <v>45445</v>
      </c>
      <c r="C2541" s="4" t="s">
        <v>6210</v>
      </c>
      <c r="D2541" s="4" t="s">
        <v>6207</v>
      </c>
      <c r="E2541" s="4" t="s">
        <v>6196</v>
      </c>
      <c r="F2541" s="4"/>
    </row>
    <row r="2542" customFormat="false" ht="15" hidden="false" customHeight="true" outlineLevel="0" collapsed="false">
      <c r="A2542" s="4" t="s">
        <v>2718</v>
      </c>
      <c r="B2542" s="13" t="n">
        <v>45060</v>
      </c>
      <c r="C2542" s="4" t="s">
        <v>6201</v>
      </c>
      <c r="D2542" s="4" t="s">
        <v>6206</v>
      </c>
      <c r="E2542" s="4" t="s">
        <v>6202</v>
      </c>
      <c r="F2542" s="4" t="s">
        <v>6212</v>
      </c>
    </row>
    <row r="2543" customFormat="false" ht="15" hidden="false" customHeight="true" outlineLevel="0" collapsed="false">
      <c r="A2543" s="4" t="s">
        <v>2719</v>
      </c>
      <c r="B2543" s="13" t="n">
        <v>45210</v>
      </c>
      <c r="C2543" s="4" t="s">
        <v>6209</v>
      </c>
      <c r="D2543" s="4" t="s">
        <v>6203</v>
      </c>
      <c r="E2543" s="4" t="s">
        <v>6206</v>
      </c>
      <c r="F2543" s="4"/>
    </row>
    <row r="2544" customFormat="false" ht="15" hidden="false" customHeight="true" outlineLevel="0" collapsed="false">
      <c r="A2544" s="4" t="s">
        <v>2720</v>
      </c>
      <c r="B2544" s="13" t="n">
        <v>45049</v>
      </c>
      <c r="C2544" s="4" t="s">
        <v>6215</v>
      </c>
      <c r="D2544" s="4" t="s">
        <v>6199</v>
      </c>
      <c r="E2544" s="4" t="s">
        <v>6208</v>
      </c>
      <c r="F2544" s="4"/>
    </row>
    <row r="2545" customFormat="false" ht="15" hidden="false" customHeight="true" outlineLevel="0" collapsed="false">
      <c r="A2545" s="4" t="s">
        <v>2721</v>
      </c>
      <c r="B2545" s="13" t="n">
        <v>45385</v>
      </c>
      <c r="C2545" s="4" t="s">
        <v>6194</v>
      </c>
      <c r="D2545" s="4" t="s">
        <v>6202</v>
      </c>
      <c r="E2545" s="4" t="s">
        <v>6207</v>
      </c>
      <c r="F2545" s="4" t="s">
        <v>6212</v>
      </c>
    </row>
    <row r="2546" customFormat="false" ht="15" hidden="false" customHeight="true" outlineLevel="0" collapsed="false">
      <c r="A2546" s="4" t="s">
        <v>2722</v>
      </c>
      <c r="B2546" s="13" t="n">
        <v>45059</v>
      </c>
      <c r="C2546" s="4" t="s">
        <v>6201</v>
      </c>
      <c r="D2546" s="4" t="s">
        <v>6206</v>
      </c>
      <c r="E2546" s="4" t="s">
        <v>6207</v>
      </c>
      <c r="F2546" s="4" t="s">
        <v>6200</v>
      </c>
    </row>
    <row r="2547" customFormat="false" ht="15" hidden="false" customHeight="true" outlineLevel="0" collapsed="false">
      <c r="A2547" s="4" t="s">
        <v>2723</v>
      </c>
      <c r="B2547" s="13" t="n">
        <v>45194</v>
      </c>
      <c r="C2547" s="4" t="s">
        <v>6209</v>
      </c>
      <c r="D2547" s="4" t="s">
        <v>6196</v>
      </c>
      <c r="E2547" s="4" t="s">
        <v>6203</v>
      </c>
      <c r="F2547" s="4" t="s">
        <v>6212</v>
      </c>
    </row>
    <row r="2548" customFormat="false" ht="15" hidden="false" customHeight="true" outlineLevel="0" collapsed="false">
      <c r="A2548" s="4" t="s">
        <v>2724</v>
      </c>
      <c r="B2548" s="13" t="n">
        <v>45379</v>
      </c>
      <c r="C2548" s="4" t="s">
        <v>6210</v>
      </c>
      <c r="D2548" s="4" t="s">
        <v>6196</v>
      </c>
      <c r="E2548" s="4" t="s">
        <v>6199</v>
      </c>
      <c r="F2548" s="4" t="s">
        <v>6212</v>
      </c>
    </row>
    <row r="2549" customFormat="false" ht="15" hidden="false" customHeight="true" outlineLevel="0" collapsed="false">
      <c r="A2549" s="4" t="s">
        <v>2725</v>
      </c>
      <c r="B2549" s="13" t="n">
        <v>45491</v>
      </c>
      <c r="C2549" s="4" t="s">
        <v>6209</v>
      </c>
      <c r="D2549" s="4" t="s">
        <v>6196</v>
      </c>
      <c r="E2549" s="4" t="s">
        <v>6203</v>
      </c>
      <c r="F2549" s="4"/>
    </row>
    <row r="2550" customFormat="false" ht="15" hidden="false" customHeight="true" outlineLevel="0" collapsed="false">
      <c r="A2550" s="4" t="s">
        <v>2726</v>
      </c>
      <c r="B2550" s="13" t="n">
        <v>45036</v>
      </c>
      <c r="C2550" s="4" t="s">
        <v>6198</v>
      </c>
      <c r="D2550" s="4" t="s">
        <v>6196</v>
      </c>
      <c r="E2550" s="4" t="s">
        <v>6205</v>
      </c>
      <c r="F2550" s="4" t="s">
        <v>6212</v>
      </c>
    </row>
    <row r="2551" customFormat="false" ht="15" hidden="false" customHeight="true" outlineLevel="0" collapsed="false">
      <c r="A2551" s="4" t="s">
        <v>2727</v>
      </c>
      <c r="B2551" s="13" t="n">
        <v>45438</v>
      </c>
      <c r="C2551" s="4" t="s">
        <v>6198</v>
      </c>
      <c r="D2551" s="4" t="s">
        <v>6207</v>
      </c>
      <c r="E2551" s="4" t="s">
        <v>6203</v>
      </c>
      <c r="F2551" s="4" t="s">
        <v>6216</v>
      </c>
    </row>
    <row r="2552" customFormat="false" ht="15" hidden="false" customHeight="true" outlineLevel="0" collapsed="false">
      <c r="A2552" s="4" t="s">
        <v>2728</v>
      </c>
      <c r="B2552" s="13" t="n">
        <v>45539</v>
      </c>
      <c r="C2552" s="4" t="s">
        <v>6194</v>
      </c>
      <c r="D2552" s="4" t="s">
        <v>6203</v>
      </c>
      <c r="E2552" s="4" t="s">
        <v>6207</v>
      </c>
      <c r="F2552" s="4"/>
    </row>
    <row r="2553" customFormat="false" ht="15" hidden="false" customHeight="true" outlineLevel="0" collapsed="false">
      <c r="A2553" s="4" t="s">
        <v>2729</v>
      </c>
      <c r="B2553" s="13" t="n">
        <v>45102</v>
      </c>
      <c r="C2553" s="4" t="s">
        <v>6210</v>
      </c>
      <c r="D2553" s="4" t="s">
        <v>6208</v>
      </c>
      <c r="E2553" s="4" t="s">
        <v>6211</v>
      </c>
      <c r="F2553" s="4" t="s">
        <v>6204</v>
      </c>
    </row>
    <row r="2554" customFormat="false" ht="15" hidden="false" customHeight="true" outlineLevel="0" collapsed="false">
      <c r="A2554" s="4" t="s">
        <v>2730</v>
      </c>
      <c r="B2554" s="13" t="n">
        <v>45523</v>
      </c>
      <c r="C2554" s="4" t="s">
        <v>6210</v>
      </c>
      <c r="D2554" s="4" t="s">
        <v>6199</v>
      </c>
      <c r="E2554" s="4" t="s">
        <v>6207</v>
      </c>
      <c r="F2554" s="4" t="s">
        <v>6212</v>
      </c>
    </row>
    <row r="2555" customFormat="false" ht="15" hidden="false" customHeight="true" outlineLevel="0" collapsed="false">
      <c r="A2555" s="4" t="s">
        <v>2731</v>
      </c>
      <c r="B2555" s="13" t="n">
        <v>45593</v>
      </c>
      <c r="C2555" s="4" t="s">
        <v>6194</v>
      </c>
      <c r="D2555" s="4" t="s">
        <v>6208</v>
      </c>
      <c r="E2555" s="4" t="s">
        <v>6205</v>
      </c>
      <c r="F2555" s="4" t="s">
        <v>6212</v>
      </c>
    </row>
    <row r="2556" customFormat="false" ht="15" hidden="false" customHeight="true" outlineLevel="0" collapsed="false">
      <c r="A2556" s="4" t="s">
        <v>2732</v>
      </c>
      <c r="B2556" s="13" t="n">
        <v>45519</v>
      </c>
      <c r="C2556" s="4" t="s">
        <v>6215</v>
      </c>
      <c r="D2556" s="4" t="s">
        <v>6206</v>
      </c>
      <c r="E2556" s="4" t="s">
        <v>6205</v>
      </c>
      <c r="F2556" s="4" t="s">
        <v>6212</v>
      </c>
    </row>
    <row r="2557" customFormat="false" ht="15" hidden="false" customHeight="true" outlineLevel="0" collapsed="false">
      <c r="A2557" s="4" t="s">
        <v>2733</v>
      </c>
      <c r="B2557" s="13" t="n">
        <v>44955</v>
      </c>
      <c r="C2557" s="4" t="s">
        <v>6198</v>
      </c>
      <c r="D2557" s="4" t="s">
        <v>6207</v>
      </c>
      <c r="E2557" s="4" t="s">
        <v>6206</v>
      </c>
      <c r="F2557" s="4" t="s">
        <v>6197</v>
      </c>
    </row>
    <row r="2558" customFormat="false" ht="15" hidden="false" customHeight="true" outlineLevel="0" collapsed="false">
      <c r="A2558" s="4" t="s">
        <v>2734</v>
      </c>
      <c r="B2558" s="13" t="n">
        <v>44990</v>
      </c>
      <c r="C2558" s="4" t="s">
        <v>6210</v>
      </c>
      <c r="D2558" s="4" t="s">
        <v>6196</v>
      </c>
      <c r="E2558" s="4" t="s">
        <v>6196</v>
      </c>
      <c r="F2558" s="4" t="s">
        <v>6214</v>
      </c>
    </row>
    <row r="2559" customFormat="false" ht="15" hidden="false" customHeight="true" outlineLevel="0" collapsed="false">
      <c r="A2559" s="4" t="s">
        <v>2735</v>
      </c>
      <c r="B2559" s="13" t="n">
        <v>45343</v>
      </c>
      <c r="C2559" s="4" t="s">
        <v>6198</v>
      </c>
      <c r="D2559" s="4" t="s">
        <v>6195</v>
      </c>
      <c r="E2559" s="4" t="s">
        <v>6206</v>
      </c>
      <c r="F2559" s="4" t="s">
        <v>6204</v>
      </c>
    </row>
    <row r="2560" customFormat="false" ht="15" hidden="false" customHeight="true" outlineLevel="0" collapsed="false">
      <c r="A2560" s="4" t="s">
        <v>2736</v>
      </c>
      <c r="B2560" s="13" t="n">
        <v>45568</v>
      </c>
      <c r="C2560" s="4" t="s">
        <v>6198</v>
      </c>
      <c r="D2560" s="4" t="s">
        <v>6199</v>
      </c>
      <c r="E2560" s="4" t="s">
        <v>6199</v>
      </c>
      <c r="F2560" s="4"/>
    </row>
    <row r="2561" customFormat="false" ht="15" hidden="false" customHeight="true" outlineLevel="0" collapsed="false">
      <c r="A2561" s="4" t="s">
        <v>2737</v>
      </c>
      <c r="B2561" s="13" t="n">
        <v>45558</v>
      </c>
      <c r="C2561" s="4" t="s">
        <v>6194</v>
      </c>
      <c r="D2561" s="4" t="s">
        <v>6207</v>
      </c>
      <c r="E2561" s="4" t="s">
        <v>6195</v>
      </c>
      <c r="F2561" s="4"/>
    </row>
    <row r="2562" customFormat="false" ht="15" hidden="false" customHeight="true" outlineLevel="0" collapsed="false">
      <c r="A2562" s="4" t="s">
        <v>2738</v>
      </c>
      <c r="B2562" s="13" t="n">
        <v>45493</v>
      </c>
      <c r="C2562" s="4" t="s">
        <v>6194</v>
      </c>
      <c r="D2562" s="4" t="s">
        <v>6195</v>
      </c>
      <c r="E2562" s="4" t="s">
        <v>6195</v>
      </c>
      <c r="F2562" s="4" t="s">
        <v>6212</v>
      </c>
    </row>
    <row r="2563" customFormat="false" ht="15" hidden="false" customHeight="true" outlineLevel="0" collapsed="false">
      <c r="A2563" s="4" t="s">
        <v>2739</v>
      </c>
      <c r="B2563" s="13" t="n">
        <v>45541</v>
      </c>
      <c r="C2563" s="4" t="s">
        <v>6209</v>
      </c>
      <c r="D2563" s="4" t="s">
        <v>6208</v>
      </c>
      <c r="E2563" s="4" t="s">
        <v>6196</v>
      </c>
      <c r="F2563" s="4" t="s">
        <v>6212</v>
      </c>
    </row>
    <row r="2564" customFormat="false" ht="15" hidden="false" customHeight="true" outlineLevel="0" collapsed="false">
      <c r="A2564" s="4" t="s">
        <v>2740</v>
      </c>
      <c r="B2564" s="13" t="n">
        <v>45348</v>
      </c>
      <c r="C2564" s="4" t="s">
        <v>6194</v>
      </c>
      <c r="D2564" s="4" t="s">
        <v>6206</v>
      </c>
      <c r="E2564" s="4" t="s">
        <v>6196</v>
      </c>
      <c r="F2564" s="4" t="s">
        <v>6212</v>
      </c>
    </row>
    <row r="2565" customFormat="false" ht="15" hidden="false" customHeight="true" outlineLevel="0" collapsed="false">
      <c r="A2565" s="4" t="s">
        <v>2741</v>
      </c>
      <c r="B2565" s="13" t="n">
        <v>45281</v>
      </c>
      <c r="C2565" s="4" t="s">
        <v>6201</v>
      </c>
      <c r="D2565" s="4" t="s">
        <v>6195</v>
      </c>
      <c r="E2565" s="4" t="s">
        <v>6211</v>
      </c>
      <c r="F2565" s="4"/>
    </row>
    <row r="2566" customFormat="false" ht="15" hidden="false" customHeight="true" outlineLevel="0" collapsed="false">
      <c r="A2566" s="4" t="s">
        <v>2742</v>
      </c>
      <c r="B2566" s="13" t="n">
        <v>45508</v>
      </c>
      <c r="C2566" s="4" t="s">
        <v>6201</v>
      </c>
      <c r="D2566" s="4" t="s">
        <v>6206</v>
      </c>
      <c r="E2566" s="4" t="s">
        <v>6202</v>
      </c>
      <c r="F2566" s="4" t="s">
        <v>6204</v>
      </c>
    </row>
    <row r="2567" customFormat="false" ht="15" hidden="false" customHeight="true" outlineLevel="0" collapsed="false">
      <c r="A2567" s="4" t="s">
        <v>2743</v>
      </c>
      <c r="B2567" s="13" t="n">
        <v>45127</v>
      </c>
      <c r="C2567" s="4" t="s">
        <v>6215</v>
      </c>
      <c r="D2567" s="4" t="s">
        <v>6203</v>
      </c>
      <c r="E2567" s="4" t="s">
        <v>6207</v>
      </c>
      <c r="F2567" s="4"/>
    </row>
    <row r="2568" customFormat="false" ht="15" hidden="false" customHeight="true" outlineLevel="0" collapsed="false">
      <c r="A2568" s="4" t="s">
        <v>2744</v>
      </c>
      <c r="B2568" s="13" t="n">
        <v>45649</v>
      </c>
      <c r="C2568" s="4" t="s">
        <v>6209</v>
      </c>
      <c r="D2568" s="4" t="s">
        <v>6202</v>
      </c>
      <c r="E2568" s="4" t="s">
        <v>6205</v>
      </c>
      <c r="F2568" s="4" t="s">
        <v>6216</v>
      </c>
    </row>
    <row r="2569" customFormat="false" ht="15" hidden="false" customHeight="true" outlineLevel="0" collapsed="false">
      <c r="A2569" s="4" t="s">
        <v>2745</v>
      </c>
      <c r="B2569" s="13" t="n">
        <v>45400</v>
      </c>
      <c r="C2569" s="4" t="s">
        <v>6198</v>
      </c>
      <c r="D2569" s="4" t="s">
        <v>6206</v>
      </c>
      <c r="E2569" s="4" t="s">
        <v>6211</v>
      </c>
      <c r="F2569" s="4" t="s">
        <v>6200</v>
      </c>
    </row>
    <row r="2570" customFormat="false" ht="15" hidden="false" customHeight="true" outlineLevel="0" collapsed="false">
      <c r="A2570" s="4" t="s">
        <v>2746</v>
      </c>
      <c r="B2570" s="13" t="n">
        <v>44980</v>
      </c>
      <c r="C2570" s="4" t="s">
        <v>6201</v>
      </c>
      <c r="D2570" s="4" t="s">
        <v>6207</v>
      </c>
      <c r="E2570" s="4" t="s">
        <v>6205</v>
      </c>
      <c r="F2570" s="4"/>
    </row>
    <row r="2571" customFormat="false" ht="15" hidden="false" customHeight="true" outlineLevel="0" collapsed="false">
      <c r="A2571" s="4" t="s">
        <v>2747</v>
      </c>
      <c r="B2571" s="13" t="n">
        <v>45580</v>
      </c>
      <c r="C2571" s="4" t="s">
        <v>6209</v>
      </c>
      <c r="D2571" s="4" t="s">
        <v>6195</v>
      </c>
      <c r="E2571" s="4" t="s">
        <v>6206</v>
      </c>
      <c r="F2571" s="4"/>
    </row>
    <row r="2572" customFormat="false" ht="15" hidden="false" customHeight="true" outlineLevel="0" collapsed="false">
      <c r="A2572" s="4" t="s">
        <v>2748</v>
      </c>
      <c r="B2572" s="13" t="n">
        <v>45282</v>
      </c>
      <c r="C2572" s="4" t="s">
        <v>6209</v>
      </c>
      <c r="D2572" s="4" t="s">
        <v>6196</v>
      </c>
      <c r="E2572" s="4" t="s">
        <v>6211</v>
      </c>
      <c r="F2572" s="4" t="s">
        <v>6200</v>
      </c>
    </row>
    <row r="2573" customFormat="false" ht="15" hidden="false" customHeight="true" outlineLevel="0" collapsed="false">
      <c r="A2573" s="4" t="s">
        <v>2749</v>
      </c>
      <c r="B2573" s="13" t="n">
        <v>45447</v>
      </c>
      <c r="C2573" s="4" t="s">
        <v>6210</v>
      </c>
      <c r="D2573" s="4" t="s">
        <v>6199</v>
      </c>
      <c r="E2573" s="4" t="s">
        <v>6205</v>
      </c>
      <c r="F2573" s="4" t="s">
        <v>6197</v>
      </c>
    </row>
    <row r="2574" customFormat="false" ht="15" hidden="false" customHeight="true" outlineLevel="0" collapsed="false">
      <c r="A2574" s="4" t="s">
        <v>2750</v>
      </c>
      <c r="B2574" s="13" t="n">
        <v>45618</v>
      </c>
      <c r="C2574" s="4" t="s">
        <v>6194</v>
      </c>
      <c r="D2574" s="4" t="s">
        <v>6206</v>
      </c>
      <c r="E2574" s="4" t="s">
        <v>6199</v>
      </c>
      <c r="F2574" s="4" t="s">
        <v>6197</v>
      </c>
    </row>
    <row r="2575" customFormat="false" ht="15" hidden="false" customHeight="true" outlineLevel="0" collapsed="false">
      <c r="A2575" s="4" t="s">
        <v>2751</v>
      </c>
      <c r="B2575" s="13" t="n">
        <v>45207</v>
      </c>
      <c r="C2575" s="4" t="s">
        <v>6210</v>
      </c>
      <c r="D2575" s="4" t="s">
        <v>6208</v>
      </c>
      <c r="E2575" s="4" t="s">
        <v>6211</v>
      </c>
      <c r="F2575" s="4"/>
    </row>
    <row r="2576" customFormat="false" ht="15" hidden="false" customHeight="true" outlineLevel="0" collapsed="false">
      <c r="A2576" s="4" t="s">
        <v>2752</v>
      </c>
      <c r="B2576" s="13" t="n">
        <v>45340</v>
      </c>
      <c r="C2576" s="4" t="s">
        <v>6213</v>
      </c>
      <c r="D2576" s="4" t="s">
        <v>6202</v>
      </c>
      <c r="E2576" s="4" t="s">
        <v>6211</v>
      </c>
      <c r="F2576" s="4"/>
    </row>
    <row r="2577" customFormat="false" ht="15" hidden="false" customHeight="true" outlineLevel="0" collapsed="false">
      <c r="A2577" s="4" t="s">
        <v>2753</v>
      </c>
      <c r="B2577" s="13" t="n">
        <v>45106</v>
      </c>
      <c r="C2577" s="4" t="s">
        <v>6194</v>
      </c>
      <c r="D2577" s="4" t="s">
        <v>6208</v>
      </c>
      <c r="E2577" s="4" t="s">
        <v>6195</v>
      </c>
      <c r="F2577" s="4" t="s">
        <v>6200</v>
      </c>
    </row>
    <row r="2578" customFormat="false" ht="15" hidden="false" customHeight="true" outlineLevel="0" collapsed="false">
      <c r="A2578" s="4" t="s">
        <v>2754</v>
      </c>
      <c r="B2578" s="13" t="n">
        <v>45255</v>
      </c>
      <c r="C2578" s="4" t="s">
        <v>6210</v>
      </c>
      <c r="D2578" s="4" t="s">
        <v>6205</v>
      </c>
      <c r="E2578" s="4" t="s">
        <v>6196</v>
      </c>
      <c r="F2578" s="4" t="s">
        <v>6197</v>
      </c>
    </row>
    <row r="2579" customFormat="false" ht="15" hidden="false" customHeight="true" outlineLevel="0" collapsed="false">
      <c r="A2579" s="4" t="s">
        <v>2755</v>
      </c>
      <c r="B2579" s="13" t="n">
        <v>44967</v>
      </c>
      <c r="C2579" s="4" t="s">
        <v>6213</v>
      </c>
      <c r="D2579" s="4" t="s">
        <v>6199</v>
      </c>
      <c r="E2579" s="4" t="s">
        <v>6199</v>
      </c>
      <c r="F2579" s="4"/>
    </row>
    <row r="2580" customFormat="false" ht="15" hidden="false" customHeight="true" outlineLevel="0" collapsed="false">
      <c r="A2580" s="4" t="s">
        <v>2756</v>
      </c>
      <c r="B2580" s="13" t="n">
        <v>45178</v>
      </c>
      <c r="C2580" s="4" t="s">
        <v>6201</v>
      </c>
      <c r="D2580" s="4" t="s">
        <v>6196</v>
      </c>
      <c r="E2580" s="4" t="s">
        <v>6205</v>
      </c>
      <c r="F2580" s="4" t="s">
        <v>6197</v>
      </c>
    </row>
    <row r="2581" customFormat="false" ht="15" hidden="false" customHeight="true" outlineLevel="0" collapsed="false">
      <c r="A2581" s="4" t="s">
        <v>2757</v>
      </c>
      <c r="B2581" s="13" t="n">
        <v>45039</v>
      </c>
      <c r="C2581" s="4" t="s">
        <v>6198</v>
      </c>
      <c r="D2581" s="4" t="s">
        <v>6206</v>
      </c>
      <c r="E2581" s="4" t="s">
        <v>6206</v>
      </c>
      <c r="F2581" s="4" t="s">
        <v>6214</v>
      </c>
    </row>
    <row r="2582" customFormat="false" ht="15" hidden="false" customHeight="true" outlineLevel="0" collapsed="false">
      <c r="A2582" s="4" t="s">
        <v>2758</v>
      </c>
      <c r="B2582" s="13" t="n">
        <v>45560</v>
      </c>
      <c r="C2582" s="4" t="s">
        <v>6198</v>
      </c>
      <c r="D2582" s="4" t="s">
        <v>6202</v>
      </c>
      <c r="E2582" s="4" t="s">
        <v>6208</v>
      </c>
      <c r="F2582" s="4" t="s">
        <v>6204</v>
      </c>
    </row>
    <row r="2583" customFormat="false" ht="15" hidden="false" customHeight="true" outlineLevel="0" collapsed="false">
      <c r="A2583" s="4" t="s">
        <v>2759</v>
      </c>
      <c r="B2583" s="13" t="n">
        <v>45522</v>
      </c>
      <c r="C2583" s="4" t="s">
        <v>6210</v>
      </c>
      <c r="D2583" s="4" t="s">
        <v>6196</v>
      </c>
      <c r="E2583" s="4" t="s">
        <v>6208</v>
      </c>
      <c r="F2583" s="4" t="s">
        <v>6214</v>
      </c>
    </row>
    <row r="2584" customFormat="false" ht="15" hidden="false" customHeight="true" outlineLevel="0" collapsed="false">
      <c r="A2584" s="4" t="s">
        <v>2760</v>
      </c>
      <c r="B2584" s="13" t="n">
        <v>45142</v>
      </c>
      <c r="C2584" s="4" t="s">
        <v>6215</v>
      </c>
      <c r="D2584" s="4" t="s">
        <v>6203</v>
      </c>
      <c r="E2584" s="4" t="s">
        <v>6203</v>
      </c>
      <c r="F2584" s="4" t="s">
        <v>6216</v>
      </c>
    </row>
    <row r="2585" customFormat="false" ht="15" hidden="false" customHeight="true" outlineLevel="0" collapsed="false">
      <c r="A2585" s="4" t="s">
        <v>2761</v>
      </c>
      <c r="B2585" s="13" t="n">
        <v>44960</v>
      </c>
      <c r="C2585" s="4" t="s">
        <v>6198</v>
      </c>
      <c r="D2585" s="4" t="s">
        <v>6206</v>
      </c>
      <c r="E2585" s="4" t="s">
        <v>6205</v>
      </c>
      <c r="F2585" s="4" t="s">
        <v>6200</v>
      </c>
    </row>
    <row r="2586" customFormat="false" ht="15" hidden="false" customHeight="true" outlineLevel="0" collapsed="false">
      <c r="A2586" s="4" t="s">
        <v>2762</v>
      </c>
      <c r="B2586" s="13" t="n">
        <v>45602</v>
      </c>
      <c r="C2586" s="4" t="s">
        <v>6201</v>
      </c>
      <c r="D2586" s="4" t="s">
        <v>6199</v>
      </c>
      <c r="E2586" s="4" t="s">
        <v>6208</v>
      </c>
      <c r="F2586" s="4" t="s">
        <v>6216</v>
      </c>
    </row>
    <row r="2587" customFormat="false" ht="15" hidden="false" customHeight="true" outlineLevel="0" collapsed="false">
      <c r="A2587" s="4" t="s">
        <v>2763</v>
      </c>
      <c r="B2587" s="13" t="n">
        <v>44953</v>
      </c>
      <c r="C2587" s="4" t="s">
        <v>6198</v>
      </c>
      <c r="D2587" s="4" t="s">
        <v>6205</v>
      </c>
      <c r="E2587" s="4" t="s">
        <v>6208</v>
      </c>
      <c r="F2587" s="4" t="s">
        <v>6212</v>
      </c>
    </row>
    <row r="2588" customFormat="false" ht="15" hidden="false" customHeight="true" outlineLevel="0" collapsed="false">
      <c r="A2588" s="4" t="s">
        <v>2764</v>
      </c>
      <c r="B2588" s="13" t="n">
        <v>45591</v>
      </c>
      <c r="C2588" s="4" t="s">
        <v>6210</v>
      </c>
      <c r="D2588" s="4" t="s">
        <v>6203</v>
      </c>
      <c r="E2588" s="4" t="s">
        <v>6208</v>
      </c>
      <c r="F2588" s="4" t="s">
        <v>6204</v>
      </c>
    </row>
    <row r="2589" customFormat="false" ht="15" hidden="false" customHeight="true" outlineLevel="0" collapsed="false">
      <c r="A2589" s="4" t="s">
        <v>2765</v>
      </c>
      <c r="B2589" s="13" t="n">
        <v>45179</v>
      </c>
      <c r="C2589" s="4" t="s">
        <v>6194</v>
      </c>
      <c r="D2589" s="4" t="s">
        <v>6205</v>
      </c>
      <c r="E2589" s="4" t="s">
        <v>6207</v>
      </c>
      <c r="F2589" s="4" t="s">
        <v>6197</v>
      </c>
    </row>
    <row r="2590" customFormat="false" ht="15" hidden="false" customHeight="true" outlineLevel="0" collapsed="false">
      <c r="A2590" s="4" t="s">
        <v>2766</v>
      </c>
      <c r="B2590" s="13" t="n">
        <v>45389</v>
      </c>
      <c r="C2590" s="4" t="s">
        <v>6209</v>
      </c>
      <c r="D2590" s="4" t="s">
        <v>6199</v>
      </c>
      <c r="E2590" s="4" t="s">
        <v>6208</v>
      </c>
      <c r="F2590" s="4"/>
    </row>
    <row r="2591" customFormat="false" ht="15" hidden="false" customHeight="true" outlineLevel="0" collapsed="false">
      <c r="A2591" s="4" t="s">
        <v>2767</v>
      </c>
      <c r="B2591" s="13" t="n">
        <v>45030</v>
      </c>
      <c r="C2591" s="4" t="s">
        <v>6209</v>
      </c>
      <c r="D2591" s="4" t="s">
        <v>6202</v>
      </c>
      <c r="E2591" s="4" t="s">
        <v>6199</v>
      </c>
      <c r="F2591" s="4"/>
    </row>
    <row r="2592" customFormat="false" ht="15" hidden="false" customHeight="true" outlineLevel="0" collapsed="false">
      <c r="A2592" s="4" t="s">
        <v>2768</v>
      </c>
      <c r="B2592" s="13" t="n">
        <v>45092</v>
      </c>
      <c r="C2592" s="4" t="s">
        <v>6201</v>
      </c>
      <c r="D2592" s="4" t="s">
        <v>6211</v>
      </c>
      <c r="E2592" s="4" t="s">
        <v>6206</v>
      </c>
      <c r="F2592" s="4" t="s">
        <v>6214</v>
      </c>
    </row>
    <row r="2593" customFormat="false" ht="15" hidden="false" customHeight="true" outlineLevel="0" collapsed="false">
      <c r="A2593" s="4" t="s">
        <v>2769</v>
      </c>
      <c r="B2593" s="13" t="n">
        <v>45564</v>
      </c>
      <c r="C2593" s="4" t="s">
        <v>6201</v>
      </c>
      <c r="D2593" s="4" t="s">
        <v>6202</v>
      </c>
      <c r="E2593" s="4" t="s">
        <v>6207</v>
      </c>
      <c r="F2593" s="4"/>
    </row>
    <row r="2594" customFormat="false" ht="15" hidden="false" customHeight="true" outlineLevel="0" collapsed="false">
      <c r="A2594" s="4" t="s">
        <v>2770</v>
      </c>
      <c r="B2594" s="13" t="n">
        <v>45213</v>
      </c>
      <c r="C2594" s="4" t="s">
        <v>6215</v>
      </c>
      <c r="D2594" s="4" t="s">
        <v>6199</v>
      </c>
      <c r="E2594" s="4" t="s">
        <v>6206</v>
      </c>
      <c r="F2594" s="4" t="s">
        <v>6216</v>
      </c>
    </row>
    <row r="2595" customFormat="false" ht="15" hidden="false" customHeight="true" outlineLevel="0" collapsed="false">
      <c r="A2595" s="4" t="s">
        <v>2771</v>
      </c>
      <c r="B2595" s="13" t="n">
        <v>45424</v>
      </c>
      <c r="C2595" s="4" t="s">
        <v>6198</v>
      </c>
      <c r="D2595" s="4" t="s">
        <v>6195</v>
      </c>
      <c r="E2595" s="4" t="s">
        <v>6206</v>
      </c>
      <c r="F2595" s="4"/>
    </row>
    <row r="2596" customFormat="false" ht="15" hidden="false" customHeight="true" outlineLevel="0" collapsed="false">
      <c r="A2596" s="4" t="s">
        <v>2772</v>
      </c>
      <c r="B2596" s="13" t="n">
        <v>44967</v>
      </c>
      <c r="C2596" s="4" t="s">
        <v>6194</v>
      </c>
      <c r="D2596" s="4" t="s">
        <v>6195</v>
      </c>
      <c r="E2596" s="4" t="s">
        <v>6199</v>
      </c>
      <c r="F2596" s="4" t="s">
        <v>6197</v>
      </c>
    </row>
    <row r="2597" customFormat="false" ht="15" hidden="false" customHeight="true" outlineLevel="0" collapsed="false">
      <c r="A2597" s="4" t="s">
        <v>2773</v>
      </c>
      <c r="B2597" s="13" t="n">
        <v>45409</v>
      </c>
      <c r="C2597" s="4" t="s">
        <v>6198</v>
      </c>
      <c r="D2597" s="4" t="s">
        <v>6207</v>
      </c>
      <c r="E2597" s="4" t="s">
        <v>6199</v>
      </c>
      <c r="F2597" s="4" t="s">
        <v>6204</v>
      </c>
    </row>
    <row r="2598" customFormat="false" ht="15" hidden="false" customHeight="true" outlineLevel="0" collapsed="false">
      <c r="A2598" s="4" t="s">
        <v>2774</v>
      </c>
      <c r="B2598" s="13" t="n">
        <v>45476</v>
      </c>
      <c r="C2598" s="4" t="s">
        <v>6213</v>
      </c>
      <c r="D2598" s="4" t="s">
        <v>6211</v>
      </c>
      <c r="E2598" s="4" t="s">
        <v>6202</v>
      </c>
      <c r="F2598" s="4" t="s">
        <v>6216</v>
      </c>
    </row>
    <row r="2599" customFormat="false" ht="15" hidden="false" customHeight="true" outlineLevel="0" collapsed="false">
      <c r="A2599" s="4" t="s">
        <v>2775</v>
      </c>
      <c r="B2599" s="13" t="n">
        <v>45307</v>
      </c>
      <c r="C2599" s="4" t="s">
        <v>6194</v>
      </c>
      <c r="D2599" s="4" t="s">
        <v>6207</v>
      </c>
      <c r="E2599" s="4" t="s">
        <v>6199</v>
      </c>
      <c r="F2599" s="4" t="s">
        <v>6197</v>
      </c>
    </row>
    <row r="2600" customFormat="false" ht="15" hidden="false" customHeight="true" outlineLevel="0" collapsed="false">
      <c r="A2600" s="4" t="s">
        <v>2776</v>
      </c>
      <c r="B2600" s="13" t="n">
        <v>45013</v>
      </c>
      <c r="C2600" s="4" t="s">
        <v>6198</v>
      </c>
      <c r="D2600" s="4" t="s">
        <v>6206</v>
      </c>
      <c r="E2600" s="4" t="s">
        <v>6203</v>
      </c>
      <c r="F2600" s="4" t="s">
        <v>6197</v>
      </c>
    </row>
    <row r="2601" customFormat="false" ht="15" hidden="false" customHeight="true" outlineLevel="0" collapsed="false">
      <c r="A2601" s="4" t="s">
        <v>2777</v>
      </c>
      <c r="B2601" s="13" t="n">
        <v>45133</v>
      </c>
      <c r="C2601" s="4" t="s">
        <v>6201</v>
      </c>
      <c r="D2601" s="4" t="s">
        <v>6206</v>
      </c>
      <c r="E2601" s="4" t="s">
        <v>6203</v>
      </c>
      <c r="F2601" s="4" t="s">
        <v>6197</v>
      </c>
    </row>
    <row r="2602" customFormat="false" ht="15" hidden="false" customHeight="true" outlineLevel="0" collapsed="false">
      <c r="A2602" s="4" t="s">
        <v>2778</v>
      </c>
      <c r="B2602" s="13" t="n">
        <v>45086</v>
      </c>
      <c r="C2602" s="4" t="s">
        <v>6215</v>
      </c>
      <c r="D2602" s="4" t="s">
        <v>6196</v>
      </c>
      <c r="E2602" s="4" t="s">
        <v>6206</v>
      </c>
      <c r="F2602" s="4" t="s">
        <v>6204</v>
      </c>
    </row>
    <row r="2603" customFormat="false" ht="15" hidden="false" customHeight="true" outlineLevel="0" collapsed="false">
      <c r="A2603" s="4" t="s">
        <v>2779</v>
      </c>
      <c r="B2603" s="13" t="n">
        <v>45015</v>
      </c>
      <c r="C2603" s="4" t="s">
        <v>6198</v>
      </c>
      <c r="D2603" s="4" t="s">
        <v>6199</v>
      </c>
      <c r="E2603" s="4" t="s">
        <v>6196</v>
      </c>
      <c r="F2603" s="4" t="s">
        <v>6214</v>
      </c>
    </row>
    <row r="2604" customFormat="false" ht="15" hidden="false" customHeight="true" outlineLevel="0" collapsed="false">
      <c r="A2604" s="4" t="s">
        <v>2780</v>
      </c>
      <c r="B2604" s="13" t="n">
        <v>44996</v>
      </c>
      <c r="C2604" s="4" t="s">
        <v>6209</v>
      </c>
      <c r="D2604" s="4" t="s">
        <v>6199</v>
      </c>
      <c r="E2604" s="4" t="s">
        <v>6206</v>
      </c>
      <c r="F2604" s="4" t="s">
        <v>6204</v>
      </c>
    </row>
    <row r="2605" customFormat="false" ht="15" hidden="false" customHeight="true" outlineLevel="0" collapsed="false">
      <c r="A2605" s="4" t="s">
        <v>2781</v>
      </c>
      <c r="B2605" s="13" t="n">
        <v>45388</v>
      </c>
      <c r="C2605" s="4" t="s">
        <v>6194</v>
      </c>
      <c r="D2605" s="4" t="s">
        <v>6206</v>
      </c>
      <c r="E2605" s="4" t="s">
        <v>6202</v>
      </c>
      <c r="F2605" s="4" t="s">
        <v>6204</v>
      </c>
    </row>
    <row r="2606" customFormat="false" ht="15" hidden="false" customHeight="true" outlineLevel="0" collapsed="false">
      <c r="A2606" s="4" t="s">
        <v>2782</v>
      </c>
      <c r="B2606" s="13" t="n">
        <v>45659</v>
      </c>
      <c r="C2606" s="4" t="s">
        <v>6194</v>
      </c>
      <c r="D2606" s="4" t="s">
        <v>6211</v>
      </c>
      <c r="E2606" s="4" t="s">
        <v>6195</v>
      </c>
      <c r="F2606" s="4"/>
    </row>
    <row r="2607" customFormat="false" ht="15" hidden="false" customHeight="true" outlineLevel="0" collapsed="false">
      <c r="A2607" s="4" t="s">
        <v>2783</v>
      </c>
      <c r="B2607" s="13" t="n">
        <v>45277</v>
      </c>
      <c r="C2607" s="4" t="s">
        <v>6201</v>
      </c>
      <c r="D2607" s="4" t="s">
        <v>6207</v>
      </c>
      <c r="E2607" s="4" t="s">
        <v>6207</v>
      </c>
      <c r="F2607" s="4"/>
    </row>
    <row r="2608" customFormat="false" ht="15" hidden="false" customHeight="true" outlineLevel="0" collapsed="false">
      <c r="A2608" s="4" t="s">
        <v>2784</v>
      </c>
      <c r="B2608" s="13" t="n">
        <v>45037</v>
      </c>
      <c r="C2608" s="4" t="s">
        <v>6210</v>
      </c>
      <c r="D2608" s="4" t="s">
        <v>6195</v>
      </c>
      <c r="E2608" s="4" t="s">
        <v>6203</v>
      </c>
      <c r="F2608" s="4" t="s">
        <v>6200</v>
      </c>
    </row>
    <row r="2609" customFormat="false" ht="15" hidden="false" customHeight="true" outlineLevel="0" collapsed="false">
      <c r="A2609" s="4" t="s">
        <v>2785</v>
      </c>
      <c r="B2609" s="13" t="n">
        <v>44982</v>
      </c>
      <c r="C2609" s="4" t="s">
        <v>6194</v>
      </c>
      <c r="D2609" s="4" t="s">
        <v>6203</v>
      </c>
      <c r="E2609" s="4" t="s">
        <v>6211</v>
      </c>
      <c r="F2609" s="4"/>
    </row>
    <row r="2610" customFormat="false" ht="15" hidden="false" customHeight="true" outlineLevel="0" collapsed="false">
      <c r="A2610" s="4" t="s">
        <v>2786</v>
      </c>
      <c r="B2610" s="13" t="n">
        <v>45430</v>
      </c>
      <c r="C2610" s="4" t="s">
        <v>6210</v>
      </c>
      <c r="D2610" s="4" t="s">
        <v>6195</v>
      </c>
      <c r="E2610" s="4" t="s">
        <v>6211</v>
      </c>
      <c r="F2610" s="4" t="s">
        <v>6204</v>
      </c>
    </row>
    <row r="2611" customFormat="false" ht="15" hidden="false" customHeight="true" outlineLevel="0" collapsed="false">
      <c r="A2611" s="4" t="s">
        <v>2787</v>
      </c>
      <c r="B2611" s="13" t="n">
        <v>45023</v>
      </c>
      <c r="C2611" s="4" t="s">
        <v>6209</v>
      </c>
      <c r="D2611" s="4" t="s">
        <v>6205</v>
      </c>
      <c r="E2611" s="4" t="s">
        <v>6195</v>
      </c>
      <c r="F2611" s="4" t="s">
        <v>6212</v>
      </c>
    </row>
    <row r="2612" customFormat="false" ht="15" hidden="false" customHeight="true" outlineLevel="0" collapsed="false">
      <c r="A2612" s="4" t="s">
        <v>2788</v>
      </c>
      <c r="B2612" s="13" t="n">
        <v>45247</v>
      </c>
      <c r="C2612" s="4" t="s">
        <v>6194</v>
      </c>
      <c r="D2612" s="4" t="s">
        <v>6199</v>
      </c>
      <c r="E2612" s="4" t="s">
        <v>6202</v>
      </c>
      <c r="F2612" s="4" t="s">
        <v>6212</v>
      </c>
    </row>
    <row r="2613" customFormat="false" ht="15" hidden="false" customHeight="true" outlineLevel="0" collapsed="false">
      <c r="A2613" s="4" t="s">
        <v>2789</v>
      </c>
      <c r="B2613" s="13" t="n">
        <v>45043</v>
      </c>
      <c r="C2613" s="4" t="s">
        <v>6210</v>
      </c>
      <c r="D2613" s="4" t="s">
        <v>6208</v>
      </c>
      <c r="E2613" s="4" t="s">
        <v>6211</v>
      </c>
      <c r="F2613" s="4" t="s">
        <v>6197</v>
      </c>
    </row>
    <row r="2614" customFormat="false" ht="15" hidden="false" customHeight="true" outlineLevel="0" collapsed="false">
      <c r="A2614" s="4" t="s">
        <v>2790</v>
      </c>
      <c r="B2614" s="13" t="n">
        <v>45174</v>
      </c>
      <c r="C2614" s="4" t="s">
        <v>6194</v>
      </c>
      <c r="D2614" s="4" t="s">
        <v>6203</v>
      </c>
      <c r="E2614" s="4" t="s">
        <v>6199</v>
      </c>
      <c r="F2614" s="4"/>
    </row>
    <row r="2615" customFormat="false" ht="15" hidden="false" customHeight="true" outlineLevel="0" collapsed="false">
      <c r="A2615" s="4" t="s">
        <v>2791</v>
      </c>
      <c r="B2615" s="13" t="n">
        <v>44988</v>
      </c>
      <c r="C2615" s="4" t="s">
        <v>6210</v>
      </c>
      <c r="D2615" s="4" t="s">
        <v>6202</v>
      </c>
      <c r="E2615" s="4" t="s">
        <v>6202</v>
      </c>
      <c r="F2615" s="4"/>
    </row>
    <row r="2616" customFormat="false" ht="15" hidden="false" customHeight="true" outlineLevel="0" collapsed="false">
      <c r="A2616" s="4" t="s">
        <v>2792</v>
      </c>
      <c r="B2616" s="13" t="n">
        <v>45216</v>
      </c>
      <c r="C2616" s="4" t="s">
        <v>6213</v>
      </c>
      <c r="D2616" s="4" t="s">
        <v>6196</v>
      </c>
      <c r="E2616" s="4" t="s">
        <v>6208</v>
      </c>
      <c r="F2616" s="4" t="s">
        <v>6197</v>
      </c>
    </row>
    <row r="2617" customFormat="false" ht="15" hidden="false" customHeight="true" outlineLevel="0" collapsed="false">
      <c r="A2617" s="4" t="s">
        <v>2793</v>
      </c>
      <c r="B2617" s="13" t="n">
        <v>45574</v>
      </c>
      <c r="C2617" s="4" t="s">
        <v>6213</v>
      </c>
      <c r="D2617" s="4" t="s">
        <v>6203</v>
      </c>
      <c r="E2617" s="4" t="s">
        <v>6207</v>
      </c>
      <c r="F2617" s="4"/>
    </row>
    <row r="2618" customFormat="false" ht="15" hidden="false" customHeight="true" outlineLevel="0" collapsed="false">
      <c r="A2618" s="4" t="s">
        <v>2794</v>
      </c>
      <c r="B2618" s="13" t="n">
        <v>45218</v>
      </c>
      <c r="C2618" s="4" t="s">
        <v>6215</v>
      </c>
      <c r="D2618" s="4" t="s">
        <v>6195</v>
      </c>
      <c r="E2618" s="4" t="s">
        <v>6199</v>
      </c>
      <c r="F2618" s="4" t="s">
        <v>6216</v>
      </c>
    </row>
    <row r="2619" customFormat="false" ht="15" hidden="false" customHeight="true" outlineLevel="0" collapsed="false">
      <c r="A2619" s="4" t="s">
        <v>2795</v>
      </c>
      <c r="B2619" s="13" t="n">
        <v>45052</v>
      </c>
      <c r="C2619" s="4" t="s">
        <v>6210</v>
      </c>
      <c r="D2619" s="4" t="s">
        <v>6208</v>
      </c>
      <c r="E2619" s="4" t="s">
        <v>6206</v>
      </c>
      <c r="F2619" s="4" t="s">
        <v>6216</v>
      </c>
    </row>
    <row r="2620" customFormat="false" ht="15" hidden="false" customHeight="true" outlineLevel="0" collapsed="false">
      <c r="A2620" s="4" t="s">
        <v>2796</v>
      </c>
      <c r="B2620" s="13" t="n">
        <v>45088</v>
      </c>
      <c r="C2620" s="4" t="s">
        <v>6210</v>
      </c>
      <c r="D2620" s="4" t="s">
        <v>6207</v>
      </c>
      <c r="E2620" s="4" t="s">
        <v>6208</v>
      </c>
      <c r="F2620" s="4"/>
    </row>
    <row r="2621" customFormat="false" ht="15" hidden="false" customHeight="true" outlineLevel="0" collapsed="false">
      <c r="A2621" s="4" t="s">
        <v>2797</v>
      </c>
      <c r="B2621" s="13" t="n">
        <v>45101</v>
      </c>
      <c r="C2621" s="4" t="s">
        <v>6215</v>
      </c>
      <c r="D2621" s="4" t="s">
        <v>6207</v>
      </c>
      <c r="E2621" s="4" t="s">
        <v>6211</v>
      </c>
      <c r="F2621" s="4" t="s">
        <v>6212</v>
      </c>
    </row>
    <row r="2622" customFormat="false" ht="15" hidden="false" customHeight="true" outlineLevel="0" collapsed="false">
      <c r="A2622" s="4" t="s">
        <v>2798</v>
      </c>
      <c r="B2622" s="13" t="n">
        <v>45571</v>
      </c>
      <c r="C2622" s="4" t="s">
        <v>6194</v>
      </c>
      <c r="D2622" s="4" t="s">
        <v>6195</v>
      </c>
      <c r="E2622" s="4" t="s">
        <v>6195</v>
      </c>
      <c r="F2622" s="4" t="s">
        <v>6212</v>
      </c>
    </row>
    <row r="2623" customFormat="false" ht="15" hidden="false" customHeight="true" outlineLevel="0" collapsed="false">
      <c r="A2623" s="4" t="s">
        <v>2799</v>
      </c>
      <c r="B2623" s="13" t="n">
        <v>45644</v>
      </c>
      <c r="C2623" s="4" t="s">
        <v>6215</v>
      </c>
      <c r="D2623" s="4" t="s">
        <v>6208</v>
      </c>
      <c r="E2623" s="4" t="s">
        <v>6208</v>
      </c>
      <c r="F2623" s="4" t="s">
        <v>6216</v>
      </c>
    </row>
    <row r="2624" customFormat="false" ht="15" hidden="false" customHeight="true" outlineLevel="0" collapsed="false">
      <c r="A2624" s="4" t="s">
        <v>2800</v>
      </c>
      <c r="B2624" s="13" t="n">
        <v>45318</v>
      </c>
      <c r="C2624" s="4" t="s">
        <v>6215</v>
      </c>
      <c r="D2624" s="4" t="s">
        <v>6199</v>
      </c>
      <c r="E2624" s="4" t="s">
        <v>6208</v>
      </c>
      <c r="F2624" s="4" t="s">
        <v>6204</v>
      </c>
    </row>
    <row r="2625" customFormat="false" ht="15" hidden="false" customHeight="true" outlineLevel="0" collapsed="false">
      <c r="A2625" s="4" t="s">
        <v>2801</v>
      </c>
      <c r="B2625" s="13" t="n">
        <v>45141</v>
      </c>
      <c r="C2625" s="4" t="s">
        <v>6209</v>
      </c>
      <c r="D2625" s="4" t="s">
        <v>6196</v>
      </c>
      <c r="E2625" s="4" t="s">
        <v>6211</v>
      </c>
      <c r="F2625" s="4"/>
    </row>
    <row r="2626" customFormat="false" ht="15" hidden="false" customHeight="true" outlineLevel="0" collapsed="false">
      <c r="A2626" s="4" t="s">
        <v>2802</v>
      </c>
      <c r="B2626" s="13" t="n">
        <v>45448</v>
      </c>
      <c r="C2626" s="4" t="s">
        <v>6213</v>
      </c>
      <c r="D2626" s="4" t="s">
        <v>6195</v>
      </c>
      <c r="E2626" s="4" t="s">
        <v>6208</v>
      </c>
      <c r="F2626" s="4" t="s">
        <v>6204</v>
      </c>
    </row>
    <row r="2627" customFormat="false" ht="15" hidden="false" customHeight="true" outlineLevel="0" collapsed="false">
      <c r="A2627" s="4" t="s">
        <v>2803</v>
      </c>
      <c r="B2627" s="13" t="n">
        <v>44940</v>
      </c>
      <c r="C2627" s="4" t="s">
        <v>6213</v>
      </c>
      <c r="D2627" s="4" t="s">
        <v>6208</v>
      </c>
      <c r="E2627" s="4" t="s">
        <v>6207</v>
      </c>
      <c r="F2627" s="4" t="s">
        <v>6200</v>
      </c>
    </row>
    <row r="2628" customFormat="false" ht="15" hidden="false" customHeight="true" outlineLevel="0" collapsed="false">
      <c r="A2628" s="4" t="s">
        <v>2804</v>
      </c>
      <c r="B2628" s="13" t="n">
        <v>45454</v>
      </c>
      <c r="C2628" s="4" t="s">
        <v>6198</v>
      </c>
      <c r="D2628" s="4" t="s">
        <v>6202</v>
      </c>
      <c r="E2628" s="4" t="s">
        <v>6206</v>
      </c>
      <c r="F2628" s="4"/>
    </row>
    <row r="2629" customFormat="false" ht="15" hidden="false" customHeight="true" outlineLevel="0" collapsed="false">
      <c r="A2629" s="4" t="s">
        <v>2805</v>
      </c>
      <c r="B2629" s="13" t="n">
        <v>45220</v>
      </c>
      <c r="C2629" s="4" t="s">
        <v>6213</v>
      </c>
      <c r="D2629" s="4" t="s">
        <v>6196</v>
      </c>
      <c r="E2629" s="4" t="s">
        <v>6203</v>
      </c>
      <c r="F2629" s="4"/>
    </row>
    <row r="2630" customFormat="false" ht="15" hidden="false" customHeight="true" outlineLevel="0" collapsed="false">
      <c r="A2630" s="4" t="s">
        <v>2806</v>
      </c>
      <c r="B2630" s="13" t="n">
        <v>45413</v>
      </c>
      <c r="C2630" s="4" t="s">
        <v>6213</v>
      </c>
      <c r="D2630" s="4" t="s">
        <v>6202</v>
      </c>
      <c r="E2630" s="4" t="s">
        <v>6203</v>
      </c>
      <c r="F2630" s="4" t="s">
        <v>6204</v>
      </c>
    </row>
    <row r="2631" customFormat="false" ht="15" hidden="false" customHeight="true" outlineLevel="0" collapsed="false">
      <c r="A2631" s="4" t="s">
        <v>2807</v>
      </c>
      <c r="B2631" s="13" t="n">
        <v>45495</v>
      </c>
      <c r="C2631" s="4" t="s">
        <v>6194</v>
      </c>
      <c r="D2631" s="4" t="s">
        <v>6195</v>
      </c>
      <c r="E2631" s="4" t="s">
        <v>6205</v>
      </c>
      <c r="F2631" s="4"/>
    </row>
    <row r="2632" customFormat="false" ht="15" hidden="false" customHeight="true" outlineLevel="0" collapsed="false">
      <c r="A2632" s="4" t="s">
        <v>2808</v>
      </c>
      <c r="B2632" s="13" t="n">
        <v>45524</v>
      </c>
      <c r="C2632" s="4" t="s">
        <v>6215</v>
      </c>
      <c r="D2632" s="4" t="s">
        <v>6206</v>
      </c>
      <c r="E2632" s="4" t="s">
        <v>6199</v>
      </c>
      <c r="F2632" s="4" t="s">
        <v>6204</v>
      </c>
    </row>
    <row r="2633" customFormat="false" ht="15" hidden="false" customHeight="true" outlineLevel="0" collapsed="false">
      <c r="A2633" s="4" t="s">
        <v>2809</v>
      </c>
      <c r="B2633" s="13" t="n">
        <v>45227</v>
      </c>
      <c r="C2633" s="4" t="s">
        <v>6194</v>
      </c>
      <c r="D2633" s="4" t="s">
        <v>6207</v>
      </c>
      <c r="E2633" s="4" t="s">
        <v>6195</v>
      </c>
      <c r="F2633" s="4" t="s">
        <v>6216</v>
      </c>
    </row>
    <row r="2634" customFormat="false" ht="15" hidden="false" customHeight="true" outlineLevel="0" collapsed="false">
      <c r="A2634" s="4" t="s">
        <v>2810</v>
      </c>
      <c r="B2634" s="13" t="n">
        <v>45117</v>
      </c>
      <c r="C2634" s="4" t="s">
        <v>6198</v>
      </c>
      <c r="D2634" s="4" t="s">
        <v>6206</v>
      </c>
      <c r="E2634" s="4" t="s">
        <v>6195</v>
      </c>
      <c r="F2634" s="4" t="s">
        <v>6204</v>
      </c>
    </row>
    <row r="2635" customFormat="false" ht="15" hidden="false" customHeight="true" outlineLevel="0" collapsed="false">
      <c r="A2635" s="4" t="s">
        <v>2811</v>
      </c>
      <c r="B2635" s="13" t="n">
        <v>45334</v>
      </c>
      <c r="C2635" s="4" t="s">
        <v>6215</v>
      </c>
      <c r="D2635" s="4" t="s">
        <v>6211</v>
      </c>
      <c r="E2635" s="4" t="s">
        <v>6203</v>
      </c>
      <c r="F2635" s="4" t="s">
        <v>6204</v>
      </c>
    </row>
    <row r="2636" customFormat="false" ht="15" hidden="false" customHeight="true" outlineLevel="0" collapsed="false">
      <c r="A2636" s="4" t="s">
        <v>2812</v>
      </c>
      <c r="B2636" s="13" t="n">
        <v>45040</v>
      </c>
      <c r="C2636" s="4" t="s">
        <v>6201</v>
      </c>
      <c r="D2636" s="4" t="s">
        <v>6202</v>
      </c>
      <c r="E2636" s="4" t="s">
        <v>6211</v>
      </c>
      <c r="F2636" s="4" t="s">
        <v>6197</v>
      </c>
    </row>
    <row r="2637" customFormat="false" ht="15" hidden="false" customHeight="true" outlineLevel="0" collapsed="false">
      <c r="A2637" s="4" t="s">
        <v>2813</v>
      </c>
      <c r="B2637" s="13" t="n">
        <v>45325</v>
      </c>
      <c r="C2637" s="4" t="s">
        <v>6213</v>
      </c>
      <c r="D2637" s="4" t="s">
        <v>6211</v>
      </c>
      <c r="E2637" s="4" t="s">
        <v>6196</v>
      </c>
      <c r="F2637" s="4"/>
    </row>
    <row r="2638" customFormat="false" ht="15" hidden="false" customHeight="true" outlineLevel="0" collapsed="false">
      <c r="A2638" s="4" t="s">
        <v>2814</v>
      </c>
      <c r="B2638" s="13" t="n">
        <v>45146</v>
      </c>
      <c r="C2638" s="4" t="s">
        <v>6210</v>
      </c>
      <c r="D2638" s="4" t="s">
        <v>6207</v>
      </c>
      <c r="E2638" s="4" t="s">
        <v>6196</v>
      </c>
      <c r="F2638" s="4"/>
    </row>
    <row r="2639" customFormat="false" ht="15" hidden="false" customHeight="true" outlineLevel="0" collapsed="false">
      <c r="A2639" s="4" t="s">
        <v>2815</v>
      </c>
      <c r="B2639" s="13" t="n">
        <v>45502</v>
      </c>
      <c r="C2639" s="4" t="s">
        <v>6215</v>
      </c>
      <c r="D2639" s="4" t="s">
        <v>6203</v>
      </c>
      <c r="E2639" s="4" t="s">
        <v>6207</v>
      </c>
      <c r="F2639" s="4" t="s">
        <v>6216</v>
      </c>
    </row>
    <row r="2640" customFormat="false" ht="15" hidden="false" customHeight="true" outlineLevel="0" collapsed="false">
      <c r="A2640" s="4" t="s">
        <v>2816</v>
      </c>
      <c r="B2640" s="13" t="n">
        <v>44946</v>
      </c>
      <c r="C2640" s="4" t="s">
        <v>6209</v>
      </c>
      <c r="D2640" s="4" t="s">
        <v>6199</v>
      </c>
      <c r="E2640" s="4" t="s">
        <v>6196</v>
      </c>
      <c r="F2640" s="4" t="s">
        <v>6204</v>
      </c>
    </row>
    <row r="2641" customFormat="false" ht="15" hidden="false" customHeight="true" outlineLevel="0" collapsed="false">
      <c r="A2641" s="4" t="s">
        <v>2817</v>
      </c>
      <c r="B2641" s="13" t="n">
        <v>45142</v>
      </c>
      <c r="C2641" s="4" t="s">
        <v>6210</v>
      </c>
      <c r="D2641" s="4" t="s">
        <v>6196</v>
      </c>
      <c r="E2641" s="4" t="s">
        <v>6199</v>
      </c>
      <c r="F2641" s="4"/>
    </row>
    <row r="2642" customFormat="false" ht="15" hidden="false" customHeight="true" outlineLevel="0" collapsed="false">
      <c r="A2642" s="4" t="s">
        <v>2818</v>
      </c>
      <c r="B2642" s="13" t="n">
        <v>45650</v>
      </c>
      <c r="C2642" s="4" t="s">
        <v>6209</v>
      </c>
      <c r="D2642" s="4" t="s">
        <v>6195</v>
      </c>
      <c r="E2642" s="4" t="s">
        <v>6199</v>
      </c>
      <c r="F2642" s="4" t="s">
        <v>6200</v>
      </c>
    </row>
    <row r="2643" customFormat="false" ht="15" hidden="false" customHeight="true" outlineLevel="0" collapsed="false">
      <c r="A2643" s="4" t="s">
        <v>2819</v>
      </c>
      <c r="B2643" s="13" t="n">
        <v>45485</v>
      </c>
      <c r="C2643" s="4" t="s">
        <v>6213</v>
      </c>
      <c r="D2643" s="4" t="s">
        <v>6206</v>
      </c>
      <c r="E2643" s="4" t="s">
        <v>6208</v>
      </c>
      <c r="F2643" s="4" t="s">
        <v>6216</v>
      </c>
    </row>
    <row r="2644" customFormat="false" ht="15" hidden="false" customHeight="true" outlineLevel="0" collapsed="false">
      <c r="A2644" s="4" t="s">
        <v>2820</v>
      </c>
      <c r="B2644" s="13" t="n">
        <v>45644</v>
      </c>
      <c r="C2644" s="4" t="s">
        <v>6209</v>
      </c>
      <c r="D2644" s="4" t="s">
        <v>6208</v>
      </c>
      <c r="E2644" s="4" t="s">
        <v>6196</v>
      </c>
      <c r="F2644" s="4" t="s">
        <v>6200</v>
      </c>
    </row>
    <row r="2645" customFormat="false" ht="15" hidden="false" customHeight="true" outlineLevel="0" collapsed="false">
      <c r="A2645" s="4" t="s">
        <v>2821</v>
      </c>
      <c r="B2645" s="13" t="n">
        <v>45254</v>
      </c>
      <c r="C2645" s="4" t="s">
        <v>6209</v>
      </c>
      <c r="D2645" s="4" t="s">
        <v>6206</v>
      </c>
      <c r="E2645" s="4" t="s">
        <v>6196</v>
      </c>
      <c r="F2645" s="4" t="s">
        <v>6200</v>
      </c>
    </row>
    <row r="2646" customFormat="false" ht="15" hidden="false" customHeight="true" outlineLevel="0" collapsed="false">
      <c r="A2646" s="4" t="s">
        <v>2822</v>
      </c>
      <c r="B2646" s="13" t="n">
        <v>45040</v>
      </c>
      <c r="C2646" s="4" t="s">
        <v>6210</v>
      </c>
      <c r="D2646" s="4" t="s">
        <v>6208</v>
      </c>
      <c r="E2646" s="4" t="s">
        <v>6206</v>
      </c>
      <c r="F2646" s="4"/>
    </row>
    <row r="2647" customFormat="false" ht="15" hidden="false" customHeight="true" outlineLevel="0" collapsed="false">
      <c r="A2647" s="4" t="s">
        <v>2823</v>
      </c>
      <c r="B2647" s="13" t="n">
        <v>45283</v>
      </c>
      <c r="C2647" s="4" t="s">
        <v>6198</v>
      </c>
      <c r="D2647" s="4" t="s">
        <v>6207</v>
      </c>
      <c r="E2647" s="4" t="s">
        <v>6195</v>
      </c>
      <c r="F2647" s="4" t="s">
        <v>6197</v>
      </c>
    </row>
    <row r="2648" customFormat="false" ht="15" hidden="false" customHeight="true" outlineLevel="0" collapsed="false">
      <c r="A2648" s="4" t="s">
        <v>2824</v>
      </c>
      <c r="B2648" s="13" t="n">
        <v>44980</v>
      </c>
      <c r="C2648" s="4" t="s">
        <v>6201</v>
      </c>
      <c r="D2648" s="4" t="s">
        <v>6211</v>
      </c>
      <c r="E2648" s="4" t="s">
        <v>6196</v>
      </c>
      <c r="F2648" s="4" t="s">
        <v>6214</v>
      </c>
    </row>
    <row r="2649" customFormat="false" ht="15" hidden="false" customHeight="true" outlineLevel="0" collapsed="false">
      <c r="A2649" s="4" t="s">
        <v>2825</v>
      </c>
      <c r="B2649" s="13" t="n">
        <v>44973</v>
      </c>
      <c r="C2649" s="4" t="s">
        <v>6198</v>
      </c>
      <c r="D2649" s="4" t="s">
        <v>6205</v>
      </c>
      <c r="E2649" s="4" t="s">
        <v>6196</v>
      </c>
      <c r="F2649" s="4" t="s">
        <v>6200</v>
      </c>
    </row>
    <row r="2650" customFormat="false" ht="15" hidden="false" customHeight="true" outlineLevel="0" collapsed="false">
      <c r="A2650" s="4" t="s">
        <v>2826</v>
      </c>
      <c r="B2650" s="13" t="n">
        <v>45533</v>
      </c>
      <c r="C2650" s="4" t="s">
        <v>6201</v>
      </c>
      <c r="D2650" s="4" t="s">
        <v>6205</v>
      </c>
      <c r="E2650" s="4" t="s">
        <v>6199</v>
      </c>
      <c r="F2650" s="4" t="s">
        <v>6200</v>
      </c>
    </row>
    <row r="2651" customFormat="false" ht="15" hidden="false" customHeight="true" outlineLevel="0" collapsed="false">
      <c r="A2651" s="4" t="s">
        <v>2827</v>
      </c>
      <c r="B2651" s="13" t="n">
        <v>45426</v>
      </c>
      <c r="C2651" s="4" t="s">
        <v>6194</v>
      </c>
      <c r="D2651" s="4" t="s">
        <v>6195</v>
      </c>
      <c r="E2651" s="4" t="s">
        <v>6206</v>
      </c>
      <c r="F2651" s="4" t="s">
        <v>6204</v>
      </c>
    </row>
    <row r="2652" customFormat="false" ht="15" hidden="false" customHeight="true" outlineLevel="0" collapsed="false">
      <c r="A2652" s="4" t="s">
        <v>2828</v>
      </c>
      <c r="B2652" s="13" t="n">
        <v>45434</v>
      </c>
      <c r="C2652" s="4" t="s">
        <v>6201</v>
      </c>
      <c r="D2652" s="4" t="s">
        <v>6207</v>
      </c>
      <c r="E2652" s="4" t="s">
        <v>6203</v>
      </c>
      <c r="F2652" s="4" t="s">
        <v>6214</v>
      </c>
    </row>
    <row r="2653" customFormat="false" ht="15" hidden="false" customHeight="true" outlineLevel="0" collapsed="false">
      <c r="A2653" s="4" t="s">
        <v>2829</v>
      </c>
      <c r="B2653" s="13" t="n">
        <v>45495</v>
      </c>
      <c r="C2653" s="4" t="s">
        <v>6201</v>
      </c>
      <c r="D2653" s="4" t="s">
        <v>6203</v>
      </c>
      <c r="E2653" s="4" t="s">
        <v>6205</v>
      </c>
      <c r="F2653" s="4" t="s">
        <v>6204</v>
      </c>
    </row>
    <row r="2654" customFormat="false" ht="15" hidden="false" customHeight="true" outlineLevel="0" collapsed="false">
      <c r="A2654" s="4" t="s">
        <v>2830</v>
      </c>
      <c r="B2654" s="13" t="n">
        <v>45587</v>
      </c>
      <c r="C2654" s="4" t="s">
        <v>6215</v>
      </c>
      <c r="D2654" s="4" t="s">
        <v>6211</v>
      </c>
      <c r="E2654" s="4" t="s">
        <v>6196</v>
      </c>
      <c r="F2654" s="4" t="s">
        <v>6204</v>
      </c>
    </row>
    <row r="2655" customFormat="false" ht="15" hidden="false" customHeight="true" outlineLevel="0" collapsed="false">
      <c r="A2655" s="4" t="s">
        <v>2831</v>
      </c>
      <c r="B2655" s="13" t="n">
        <v>45227</v>
      </c>
      <c r="C2655" s="4" t="s">
        <v>6210</v>
      </c>
      <c r="D2655" s="4" t="s">
        <v>6195</v>
      </c>
      <c r="E2655" s="4" t="s">
        <v>6211</v>
      </c>
      <c r="F2655" s="4"/>
    </row>
    <row r="2656" customFormat="false" ht="15" hidden="false" customHeight="true" outlineLevel="0" collapsed="false">
      <c r="A2656" s="4" t="s">
        <v>2832</v>
      </c>
      <c r="B2656" s="13" t="n">
        <v>45034</v>
      </c>
      <c r="C2656" s="4" t="s">
        <v>6201</v>
      </c>
      <c r="D2656" s="4" t="s">
        <v>6211</v>
      </c>
      <c r="E2656" s="4" t="s">
        <v>6207</v>
      </c>
      <c r="F2656" s="4"/>
    </row>
    <row r="2657" customFormat="false" ht="15" hidden="false" customHeight="true" outlineLevel="0" collapsed="false">
      <c r="A2657" s="4" t="s">
        <v>2833</v>
      </c>
      <c r="B2657" s="13" t="n">
        <v>45419</v>
      </c>
      <c r="C2657" s="4" t="s">
        <v>6210</v>
      </c>
      <c r="D2657" s="4" t="s">
        <v>6207</v>
      </c>
      <c r="E2657" s="4" t="s">
        <v>6211</v>
      </c>
      <c r="F2657" s="4" t="s">
        <v>6204</v>
      </c>
    </row>
    <row r="2658" customFormat="false" ht="15" hidden="false" customHeight="true" outlineLevel="0" collapsed="false">
      <c r="A2658" s="4" t="s">
        <v>2834</v>
      </c>
      <c r="B2658" s="13" t="n">
        <v>45299</v>
      </c>
      <c r="C2658" s="4" t="s">
        <v>6210</v>
      </c>
      <c r="D2658" s="4" t="s">
        <v>6199</v>
      </c>
      <c r="E2658" s="4" t="s">
        <v>6206</v>
      </c>
      <c r="F2658" s="4" t="s">
        <v>6216</v>
      </c>
    </row>
    <row r="2659" customFormat="false" ht="15" hidden="false" customHeight="true" outlineLevel="0" collapsed="false">
      <c r="A2659" s="4" t="s">
        <v>2835</v>
      </c>
      <c r="B2659" s="13" t="n">
        <v>45488</v>
      </c>
      <c r="C2659" s="4" t="s">
        <v>6215</v>
      </c>
      <c r="D2659" s="4" t="s">
        <v>6208</v>
      </c>
      <c r="E2659" s="4" t="s">
        <v>6196</v>
      </c>
      <c r="F2659" s="4" t="s">
        <v>6197</v>
      </c>
    </row>
    <row r="2660" customFormat="false" ht="15" hidden="false" customHeight="true" outlineLevel="0" collapsed="false">
      <c r="A2660" s="4" t="s">
        <v>2836</v>
      </c>
      <c r="B2660" s="13" t="n">
        <v>45202</v>
      </c>
      <c r="C2660" s="4" t="s">
        <v>6201</v>
      </c>
      <c r="D2660" s="4" t="s">
        <v>6205</v>
      </c>
      <c r="E2660" s="4" t="s">
        <v>6205</v>
      </c>
      <c r="F2660" s="4" t="s">
        <v>6214</v>
      </c>
    </row>
    <row r="2661" customFormat="false" ht="15" hidden="false" customHeight="true" outlineLevel="0" collapsed="false">
      <c r="A2661" s="4" t="s">
        <v>2837</v>
      </c>
      <c r="B2661" s="13" t="n">
        <v>45020</v>
      </c>
      <c r="C2661" s="4" t="s">
        <v>6201</v>
      </c>
      <c r="D2661" s="4" t="s">
        <v>6211</v>
      </c>
      <c r="E2661" s="4" t="s">
        <v>6203</v>
      </c>
      <c r="F2661" s="4"/>
    </row>
    <row r="2662" customFormat="false" ht="15" hidden="false" customHeight="true" outlineLevel="0" collapsed="false">
      <c r="A2662" s="4" t="s">
        <v>2838</v>
      </c>
      <c r="B2662" s="13" t="n">
        <v>45522</v>
      </c>
      <c r="C2662" s="4" t="s">
        <v>6198</v>
      </c>
      <c r="D2662" s="4" t="s">
        <v>6208</v>
      </c>
      <c r="E2662" s="4" t="s">
        <v>6203</v>
      </c>
      <c r="F2662" s="4" t="s">
        <v>6214</v>
      </c>
    </row>
    <row r="2663" customFormat="false" ht="15" hidden="false" customHeight="true" outlineLevel="0" collapsed="false">
      <c r="A2663" s="4" t="s">
        <v>2839</v>
      </c>
      <c r="B2663" s="13" t="n">
        <v>45536</v>
      </c>
      <c r="C2663" s="4" t="s">
        <v>6194</v>
      </c>
      <c r="D2663" s="4" t="s">
        <v>6195</v>
      </c>
      <c r="E2663" s="4" t="s">
        <v>6199</v>
      </c>
      <c r="F2663" s="4"/>
    </row>
    <row r="2664" customFormat="false" ht="15" hidden="false" customHeight="true" outlineLevel="0" collapsed="false">
      <c r="A2664" s="4" t="s">
        <v>2840</v>
      </c>
      <c r="B2664" s="13" t="n">
        <v>45009</v>
      </c>
      <c r="C2664" s="4" t="s">
        <v>6213</v>
      </c>
      <c r="D2664" s="4" t="s">
        <v>6211</v>
      </c>
      <c r="E2664" s="4" t="s">
        <v>6195</v>
      </c>
      <c r="F2664" s="4"/>
    </row>
    <row r="2665" customFormat="false" ht="15" hidden="false" customHeight="true" outlineLevel="0" collapsed="false">
      <c r="A2665" s="4" t="s">
        <v>2841</v>
      </c>
      <c r="B2665" s="13" t="n">
        <v>45074</v>
      </c>
      <c r="C2665" s="4" t="s">
        <v>6215</v>
      </c>
      <c r="D2665" s="4" t="s">
        <v>6199</v>
      </c>
      <c r="E2665" s="4" t="s">
        <v>6211</v>
      </c>
      <c r="F2665" s="4"/>
    </row>
    <row r="2666" customFormat="false" ht="15" hidden="false" customHeight="true" outlineLevel="0" collapsed="false">
      <c r="A2666" s="4" t="s">
        <v>2842</v>
      </c>
      <c r="B2666" s="13" t="n">
        <v>45150</v>
      </c>
      <c r="C2666" s="4" t="s">
        <v>6201</v>
      </c>
      <c r="D2666" s="4" t="s">
        <v>6195</v>
      </c>
      <c r="E2666" s="4" t="s">
        <v>6199</v>
      </c>
      <c r="F2666" s="4"/>
    </row>
    <row r="2667" customFormat="false" ht="15" hidden="false" customHeight="true" outlineLevel="0" collapsed="false">
      <c r="A2667" s="4" t="s">
        <v>2843</v>
      </c>
      <c r="B2667" s="13" t="n">
        <v>44969</v>
      </c>
      <c r="C2667" s="4" t="s">
        <v>6213</v>
      </c>
      <c r="D2667" s="4" t="s">
        <v>6203</v>
      </c>
      <c r="E2667" s="4" t="s">
        <v>6196</v>
      </c>
      <c r="F2667" s="4" t="s">
        <v>6216</v>
      </c>
    </row>
    <row r="2668" customFormat="false" ht="15" hidden="false" customHeight="true" outlineLevel="0" collapsed="false">
      <c r="A2668" s="4" t="s">
        <v>2844</v>
      </c>
      <c r="B2668" s="13" t="n">
        <v>45596</v>
      </c>
      <c r="C2668" s="4" t="s">
        <v>6210</v>
      </c>
      <c r="D2668" s="4" t="s">
        <v>6208</v>
      </c>
      <c r="E2668" s="4" t="s">
        <v>6211</v>
      </c>
      <c r="F2668" s="4" t="s">
        <v>6204</v>
      </c>
    </row>
    <row r="2669" customFormat="false" ht="15" hidden="false" customHeight="true" outlineLevel="0" collapsed="false">
      <c r="A2669" s="4" t="s">
        <v>2845</v>
      </c>
      <c r="B2669" s="13" t="n">
        <v>45016</v>
      </c>
      <c r="C2669" s="4" t="s">
        <v>6209</v>
      </c>
      <c r="D2669" s="4" t="s">
        <v>6206</v>
      </c>
      <c r="E2669" s="4" t="s">
        <v>6208</v>
      </c>
      <c r="F2669" s="4" t="s">
        <v>6200</v>
      </c>
    </row>
    <row r="2670" customFormat="false" ht="15" hidden="false" customHeight="true" outlineLevel="0" collapsed="false">
      <c r="A2670" s="4" t="s">
        <v>2846</v>
      </c>
      <c r="B2670" s="13" t="n">
        <v>45406</v>
      </c>
      <c r="C2670" s="4" t="s">
        <v>6194</v>
      </c>
      <c r="D2670" s="4" t="s">
        <v>6206</v>
      </c>
      <c r="E2670" s="4" t="s">
        <v>6196</v>
      </c>
      <c r="F2670" s="4" t="s">
        <v>6216</v>
      </c>
    </row>
    <row r="2671" customFormat="false" ht="15" hidden="false" customHeight="true" outlineLevel="0" collapsed="false">
      <c r="A2671" s="4" t="s">
        <v>2847</v>
      </c>
      <c r="B2671" s="13" t="n">
        <v>45604</v>
      </c>
      <c r="C2671" s="4" t="s">
        <v>6213</v>
      </c>
      <c r="D2671" s="4" t="s">
        <v>6206</v>
      </c>
      <c r="E2671" s="4" t="s">
        <v>6208</v>
      </c>
      <c r="F2671" s="4"/>
    </row>
    <row r="2672" customFormat="false" ht="15" hidden="false" customHeight="true" outlineLevel="0" collapsed="false">
      <c r="A2672" s="4" t="s">
        <v>2848</v>
      </c>
      <c r="B2672" s="13" t="n">
        <v>45113</v>
      </c>
      <c r="C2672" s="4" t="s">
        <v>6201</v>
      </c>
      <c r="D2672" s="4" t="s">
        <v>6205</v>
      </c>
      <c r="E2672" s="4" t="s">
        <v>6202</v>
      </c>
      <c r="F2672" s="4" t="s">
        <v>6216</v>
      </c>
    </row>
    <row r="2673" customFormat="false" ht="15" hidden="false" customHeight="true" outlineLevel="0" collapsed="false">
      <c r="A2673" s="4" t="s">
        <v>2849</v>
      </c>
      <c r="B2673" s="13" t="n">
        <v>45238</v>
      </c>
      <c r="C2673" s="4" t="s">
        <v>6198</v>
      </c>
      <c r="D2673" s="4" t="s">
        <v>6202</v>
      </c>
      <c r="E2673" s="4" t="s">
        <v>6211</v>
      </c>
      <c r="F2673" s="4" t="s">
        <v>6212</v>
      </c>
    </row>
    <row r="2674" customFormat="false" ht="15" hidden="false" customHeight="true" outlineLevel="0" collapsed="false">
      <c r="A2674" s="4" t="s">
        <v>2850</v>
      </c>
      <c r="B2674" s="13" t="n">
        <v>45502</v>
      </c>
      <c r="C2674" s="4" t="s">
        <v>6198</v>
      </c>
      <c r="D2674" s="4" t="s">
        <v>6203</v>
      </c>
      <c r="E2674" s="4" t="s">
        <v>6211</v>
      </c>
      <c r="F2674" s="4" t="s">
        <v>6200</v>
      </c>
    </row>
    <row r="2675" customFormat="false" ht="15" hidden="false" customHeight="true" outlineLevel="0" collapsed="false">
      <c r="A2675" s="4" t="s">
        <v>2851</v>
      </c>
      <c r="B2675" s="13" t="n">
        <v>45071</v>
      </c>
      <c r="C2675" s="4" t="s">
        <v>6215</v>
      </c>
      <c r="D2675" s="4" t="s">
        <v>6195</v>
      </c>
      <c r="E2675" s="4" t="s">
        <v>6203</v>
      </c>
      <c r="F2675" s="4"/>
    </row>
    <row r="2676" customFormat="false" ht="15" hidden="false" customHeight="true" outlineLevel="0" collapsed="false">
      <c r="A2676" s="4" t="s">
        <v>2852</v>
      </c>
      <c r="B2676" s="13" t="n">
        <v>45308</v>
      </c>
      <c r="C2676" s="4" t="s">
        <v>6201</v>
      </c>
      <c r="D2676" s="4" t="s">
        <v>6211</v>
      </c>
      <c r="E2676" s="4" t="s">
        <v>6195</v>
      </c>
      <c r="F2676" s="4" t="s">
        <v>6197</v>
      </c>
    </row>
    <row r="2677" customFormat="false" ht="15" hidden="false" customHeight="true" outlineLevel="0" collapsed="false">
      <c r="A2677" s="4" t="s">
        <v>2853</v>
      </c>
      <c r="B2677" s="13" t="n">
        <v>45008</v>
      </c>
      <c r="C2677" s="4" t="s">
        <v>6209</v>
      </c>
      <c r="D2677" s="4" t="s">
        <v>6195</v>
      </c>
      <c r="E2677" s="4" t="s">
        <v>6199</v>
      </c>
      <c r="F2677" s="4"/>
    </row>
    <row r="2678" customFormat="false" ht="15" hidden="false" customHeight="true" outlineLevel="0" collapsed="false">
      <c r="A2678" s="4" t="s">
        <v>2854</v>
      </c>
      <c r="B2678" s="13" t="n">
        <v>45393</v>
      </c>
      <c r="C2678" s="4" t="s">
        <v>6194</v>
      </c>
      <c r="D2678" s="4" t="s">
        <v>6207</v>
      </c>
      <c r="E2678" s="4" t="s">
        <v>6196</v>
      </c>
      <c r="F2678" s="4"/>
    </row>
    <row r="2679" customFormat="false" ht="15" hidden="false" customHeight="true" outlineLevel="0" collapsed="false">
      <c r="A2679" s="4" t="s">
        <v>2855</v>
      </c>
      <c r="B2679" s="13" t="n">
        <v>45627</v>
      </c>
      <c r="C2679" s="4" t="s">
        <v>6213</v>
      </c>
      <c r="D2679" s="4" t="s">
        <v>6208</v>
      </c>
      <c r="E2679" s="4" t="s">
        <v>6208</v>
      </c>
      <c r="F2679" s="4" t="s">
        <v>6204</v>
      </c>
    </row>
    <row r="2680" customFormat="false" ht="15" hidden="false" customHeight="true" outlineLevel="0" collapsed="false">
      <c r="A2680" s="4" t="s">
        <v>2856</v>
      </c>
      <c r="B2680" s="13" t="n">
        <v>45324</v>
      </c>
      <c r="C2680" s="4" t="s">
        <v>6210</v>
      </c>
      <c r="D2680" s="4" t="s">
        <v>6207</v>
      </c>
      <c r="E2680" s="4" t="s">
        <v>6195</v>
      </c>
      <c r="F2680" s="4"/>
    </row>
    <row r="2681" customFormat="false" ht="15" hidden="false" customHeight="true" outlineLevel="0" collapsed="false">
      <c r="A2681" s="4" t="s">
        <v>2857</v>
      </c>
      <c r="B2681" s="13" t="n">
        <v>45300</v>
      </c>
      <c r="C2681" s="4" t="s">
        <v>6213</v>
      </c>
      <c r="D2681" s="4" t="s">
        <v>6211</v>
      </c>
      <c r="E2681" s="4" t="s">
        <v>6195</v>
      </c>
      <c r="F2681" s="4"/>
    </row>
    <row r="2682" customFormat="false" ht="15" hidden="false" customHeight="true" outlineLevel="0" collapsed="false">
      <c r="A2682" s="4" t="s">
        <v>2858</v>
      </c>
      <c r="B2682" s="13" t="n">
        <v>45175</v>
      </c>
      <c r="C2682" s="4" t="s">
        <v>6209</v>
      </c>
      <c r="D2682" s="4" t="s">
        <v>6196</v>
      </c>
      <c r="E2682" s="4" t="s">
        <v>6205</v>
      </c>
      <c r="F2682" s="4" t="s">
        <v>6200</v>
      </c>
    </row>
    <row r="2683" customFormat="false" ht="15" hidden="false" customHeight="true" outlineLevel="0" collapsed="false">
      <c r="A2683" s="4" t="s">
        <v>2859</v>
      </c>
      <c r="B2683" s="13" t="n">
        <v>45533</v>
      </c>
      <c r="C2683" s="4" t="s">
        <v>6215</v>
      </c>
      <c r="D2683" s="4" t="s">
        <v>6195</v>
      </c>
      <c r="E2683" s="4" t="s">
        <v>6207</v>
      </c>
      <c r="F2683" s="4"/>
    </row>
    <row r="2684" customFormat="false" ht="15" hidden="false" customHeight="true" outlineLevel="0" collapsed="false">
      <c r="A2684" s="4" t="s">
        <v>2860</v>
      </c>
      <c r="B2684" s="13" t="n">
        <v>45081</v>
      </c>
      <c r="C2684" s="4" t="s">
        <v>6210</v>
      </c>
      <c r="D2684" s="4" t="s">
        <v>6203</v>
      </c>
      <c r="E2684" s="4" t="s">
        <v>6205</v>
      </c>
      <c r="F2684" s="4" t="s">
        <v>6200</v>
      </c>
    </row>
    <row r="2685" customFormat="false" ht="15" hidden="false" customHeight="true" outlineLevel="0" collapsed="false">
      <c r="A2685" s="4" t="s">
        <v>2861</v>
      </c>
      <c r="B2685" s="13" t="n">
        <v>45553</v>
      </c>
      <c r="C2685" s="4" t="s">
        <v>6194</v>
      </c>
      <c r="D2685" s="4" t="s">
        <v>6196</v>
      </c>
      <c r="E2685" s="4" t="s">
        <v>6208</v>
      </c>
      <c r="F2685" s="4" t="s">
        <v>6197</v>
      </c>
    </row>
    <row r="2686" customFormat="false" ht="15" hidden="false" customHeight="true" outlineLevel="0" collapsed="false">
      <c r="A2686" s="4" t="s">
        <v>2862</v>
      </c>
      <c r="B2686" s="13" t="n">
        <v>44944</v>
      </c>
      <c r="C2686" s="4" t="s">
        <v>6201</v>
      </c>
      <c r="D2686" s="4" t="s">
        <v>6203</v>
      </c>
      <c r="E2686" s="4" t="s">
        <v>6196</v>
      </c>
      <c r="F2686" s="4" t="s">
        <v>6200</v>
      </c>
    </row>
    <row r="2687" customFormat="false" ht="15" hidden="false" customHeight="true" outlineLevel="0" collapsed="false">
      <c r="A2687" s="4" t="s">
        <v>2863</v>
      </c>
      <c r="B2687" s="13" t="n">
        <v>45524</v>
      </c>
      <c r="C2687" s="4" t="s">
        <v>6201</v>
      </c>
      <c r="D2687" s="4" t="s">
        <v>6196</v>
      </c>
      <c r="E2687" s="4" t="s">
        <v>6195</v>
      </c>
      <c r="F2687" s="4" t="s">
        <v>6204</v>
      </c>
    </row>
    <row r="2688" customFormat="false" ht="15" hidden="false" customHeight="true" outlineLevel="0" collapsed="false">
      <c r="A2688" s="4" t="s">
        <v>2864</v>
      </c>
      <c r="B2688" s="13" t="n">
        <v>45273</v>
      </c>
      <c r="C2688" s="4" t="s">
        <v>6194</v>
      </c>
      <c r="D2688" s="4" t="s">
        <v>6195</v>
      </c>
      <c r="E2688" s="4" t="s">
        <v>6203</v>
      </c>
      <c r="F2688" s="4" t="s">
        <v>6216</v>
      </c>
    </row>
    <row r="2689" customFormat="false" ht="15" hidden="false" customHeight="true" outlineLevel="0" collapsed="false">
      <c r="A2689" s="4" t="s">
        <v>2865</v>
      </c>
      <c r="B2689" s="13" t="n">
        <v>45650</v>
      </c>
      <c r="C2689" s="4" t="s">
        <v>6210</v>
      </c>
      <c r="D2689" s="4" t="s">
        <v>6195</v>
      </c>
      <c r="E2689" s="4" t="s">
        <v>6206</v>
      </c>
      <c r="F2689" s="4" t="s">
        <v>6200</v>
      </c>
    </row>
    <row r="2690" customFormat="false" ht="15" hidden="false" customHeight="true" outlineLevel="0" collapsed="false">
      <c r="A2690" s="4" t="s">
        <v>2866</v>
      </c>
      <c r="B2690" s="13" t="n">
        <v>45344</v>
      </c>
      <c r="C2690" s="4" t="s">
        <v>6213</v>
      </c>
      <c r="D2690" s="4" t="s">
        <v>6202</v>
      </c>
      <c r="E2690" s="4" t="s">
        <v>6206</v>
      </c>
      <c r="F2690" s="4" t="s">
        <v>6197</v>
      </c>
    </row>
    <row r="2691" customFormat="false" ht="15" hidden="false" customHeight="true" outlineLevel="0" collapsed="false">
      <c r="A2691" s="4" t="s">
        <v>2867</v>
      </c>
      <c r="B2691" s="13" t="n">
        <v>45081</v>
      </c>
      <c r="C2691" s="4" t="s">
        <v>6194</v>
      </c>
      <c r="D2691" s="4" t="s">
        <v>6202</v>
      </c>
      <c r="E2691" s="4" t="s">
        <v>6195</v>
      </c>
      <c r="F2691" s="4" t="s">
        <v>6197</v>
      </c>
    </row>
    <row r="2692" customFormat="false" ht="15" hidden="false" customHeight="true" outlineLevel="0" collapsed="false">
      <c r="A2692" s="4" t="s">
        <v>2868</v>
      </c>
      <c r="B2692" s="13" t="n">
        <v>44960</v>
      </c>
      <c r="C2692" s="4" t="s">
        <v>6201</v>
      </c>
      <c r="D2692" s="4" t="s">
        <v>6208</v>
      </c>
      <c r="E2692" s="4" t="s">
        <v>6211</v>
      </c>
      <c r="F2692" s="4"/>
    </row>
    <row r="2693" customFormat="false" ht="15" hidden="false" customHeight="true" outlineLevel="0" collapsed="false">
      <c r="A2693" s="4" t="s">
        <v>2869</v>
      </c>
      <c r="B2693" s="13" t="n">
        <v>45305</v>
      </c>
      <c r="C2693" s="4" t="s">
        <v>6201</v>
      </c>
      <c r="D2693" s="4" t="s">
        <v>6208</v>
      </c>
      <c r="E2693" s="4" t="s">
        <v>6207</v>
      </c>
      <c r="F2693" s="4" t="s">
        <v>6216</v>
      </c>
    </row>
    <row r="2694" customFormat="false" ht="15" hidden="false" customHeight="true" outlineLevel="0" collapsed="false">
      <c r="A2694" s="4" t="s">
        <v>2870</v>
      </c>
      <c r="B2694" s="13" t="n">
        <v>45201</v>
      </c>
      <c r="C2694" s="4" t="s">
        <v>6209</v>
      </c>
      <c r="D2694" s="4" t="s">
        <v>6211</v>
      </c>
      <c r="E2694" s="4" t="s">
        <v>6205</v>
      </c>
      <c r="F2694" s="4" t="s">
        <v>6200</v>
      </c>
    </row>
    <row r="2695" customFormat="false" ht="15" hidden="false" customHeight="true" outlineLevel="0" collapsed="false">
      <c r="A2695" s="4" t="s">
        <v>2871</v>
      </c>
      <c r="B2695" s="13" t="n">
        <v>45381</v>
      </c>
      <c r="C2695" s="4" t="s">
        <v>6201</v>
      </c>
      <c r="D2695" s="4" t="s">
        <v>6207</v>
      </c>
      <c r="E2695" s="4" t="s">
        <v>6195</v>
      </c>
      <c r="F2695" s="4"/>
    </row>
    <row r="2696" customFormat="false" ht="15" hidden="false" customHeight="true" outlineLevel="0" collapsed="false">
      <c r="A2696" s="4" t="s">
        <v>2872</v>
      </c>
      <c r="B2696" s="13" t="n">
        <v>45191</v>
      </c>
      <c r="C2696" s="4" t="s">
        <v>6194</v>
      </c>
      <c r="D2696" s="4" t="s">
        <v>6195</v>
      </c>
      <c r="E2696" s="4" t="s">
        <v>6203</v>
      </c>
      <c r="F2696" s="4" t="s">
        <v>6197</v>
      </c>
    </row>
    <row r="2697" customFormat="false" ht="15" hidden="false" customHeight="true" outlineLevel="0" collapsed="false">
      <c r="A2697" s="4" t="s">
        <v>2873</v>
      </c>
      <c r="B2697" s="13" t="n">
        <v>45450</v>
      </c>
      <c r="C2697" s="4" t="s">
        <v>6201</v>
      </c>
      <c r="D2697" s="4" t="s">
        <v>6211</v>
      </c>
      <c r="E2697" s="4" t="s">
        <v>6208</v>
      </c>
      <c r="F2697" s="4" t="s">
        <v>6216</v>
      </c>
    </row>
    <row r="2698" customFormat="false" ht="15" hidden="false" customHeight="true" outlineLevel="0" collapsed="false">
      <c r="A2698" s="4" t="s">
        <v>2874</v>
      </c>
      <c r="B2698" s="13" t="n">
        <v>45372</v>
      </c>
      <c r="C2698" s="4" t="s">
        <v>6201</v>
      </c>
      <c r="D2698" s="4" t="s">
        <v>6211</v>
      </c>
      <c r="E2698" s="4" t="s">
        <v>6207</v>
      </c>
      <c r="F2698" s="4" t="s">
        <v>6200</v>
      </c>
    </row>
    <row r="2699" customFormat="false" ht="15" hidden="false" customHeight="true" outlineLevel="0" collapsed="false">
      <c r="A2699" s="4" t="s">
        <v>2875</v>
      </c>
      <c r="B2699" s="13" t="n">
        <v>44938</v>
      </c>
      <c r="C2699" s="4" t="s">
        <v>6198</v>
      </c>
      <c r="D2699" s="4" t="s">
        <v>6205</v>
      </c>
      <c r="E2699" s="4" t="s">
        <v>6199</v>
      </c>
      <c r="F2699" s="4" t="s">
        <v>6200</v>
      </c>
    </row>
    <row r="2700" customFormat="false" ht="15" hidden="false" customHeight="true" outlineLevel="0" collapsed="false">
      <c r="A2700" s="4" t="s">
        <v>2876</v>
      </c>
      <c r="B2700" s="13" t="n">
        <v>45649</v>
      </c>
      <c r="C2700" s="4" t="s">
        <v>6210</v>
      </c>
      <c r="D2700" s="4" t="s">
        <v>6208</v>
      </c>
      <c r="E2700" s="4" t="s">
        <v>6202</v>
      </c>
      <c r="F2700" s="4" t="s">
        <v>6214</v>
      </c>
    </row>
    <row r="2701" customFormat="false" ht="15" hidden="false" customHeight="true" outlineLevel="0" collapsed="false">
      <c r="A2701" s="4" t="s">
        <v>2877</v>
      </c>
      <c r="B2701" s="13" t="n">
        <v>45132</v>
      </c>
      <c r="C2701" s="4" t="s">
        <v>6201</v>
      </c>
      <c r="D2701" s="4" t="s">
        <v>6203</v>
      </c>
      <c r="E2701" s="4" t="s">
        <v>6199</v>
      </c>
      <c r="F2701" s="4" t="s">
        <v>6216</v>
      </c>
    </row>
    <row r="2702" customFormat="false" ht="15" hidden="false" customHeight="true" outlineLevel="0" collapsed="false">
      <c r="A2702" s="4" t="s">
        <v>2878</v>
      </c>
      <c r="B2702" s="13" t="n">
        <v>45098</v>
      </c>
      <c r="C2702" s="4" t="s">
        <v>6198</v>
      </c>
      <c r="D2702" s="4" t="s">
        <v>6205</v>
      </c>
      <c r="E2702" s="4" t="s">
        <v>6199</v>
      </c>
      <c r="F2702" s="4" t="s">
        <v>6200</v>
      </c>
    </row>
    <row r="2703" customFormat="false" ht="15" hidden="false" customHeight="true" outlineLevel="0" collapsed="false">
      <c r="A2703" s="4" t="s">
        <v>2879</v>
      </c>
      <c r="B2703" s="13" t="n">
        <v>45403</v>
      </c>
      <c r="C2703" s="4" t="s">
        <v>6201</v>
      </c>
      <c r="D2703" s="4" t="s">
        <v>6207</v>
      </c>
      <c r="E2703" s="4" t="s">
        <v>6202</v>
      </c>
      <c r="F2703" s="4"/>
    </row>
    <row r="2704" customFormat="false" ht="15" hidden="false" customHeight="true" outlineLevel="0" collapsed="false">
      <c r="A2704" s="4" t="s">
        <v>2880</v>
      </c>
      <c r="B2704" s="13" t="n">
        <v>45129</v>
      </c>
      <c r="C2704" s="4" t="s">
        <v>6209</v>
      </c>
      <c r="D2704" s="4" t="s">
        <v>6199</v>
      </c>
      <c r="E2704" s="4" t="s">
        <v>6196</v>
      </c>
      <c r="F2704" s="4"/>
    </row>
    <row r="2705" customFormat="false" ht="15" hidden="false" customHeight="true" outlineLevel="0" collapsed="false">
      <c r="A2705" s="4" t="s">
        <v>2881</v>
      </c>
      <c r="B2705" s="13" t="n">
        <v>45575</v>
      </c>
      <c r="C2705" s="4" t="s">
        <v>6201</v>
      </c>
      <c r="D2705" s="4" t="s">
        <v>6206</v>
      </c>
      <c r="E2705" s="4" t="s">
        <v>6195</v>
      </c>
      <c r="F2705" s="4"/>
    </row>
    <row r="2706" customFormat="false" ht="15" hidden="false" customHeight="true" outlineLevel="0" collapsed="false">
      <c r="A2706" s="4" t="s">
        <v>2882</v>
      </c>
      <c r="B2706" s="13" t="n">
        <v>45045</v>
      </c>
      <c r="C2706" s="4" t="s">
        <v>6210</v>
      </c>
      <c r="D2706" s="4" t="s">
        <v>6208</v>
      </c>
      <c r="E2706" s="4" t="s">
        <v>6207</v>
      </c>
      <c r="F2706" s="4"/>
    </row>
    <row r="2707" customFormat="false" ht="15" hidden="false" customHeight="true" outlineLevel="0" collapsed="false">
      <c r="A2707" s="4" t="s">
        <v>2883</v>
      </c>
      <c r="B2707" s="13" t="n">
        <v>45061</v>
      </c>
      <c r="C2707" s="4" t="s">
        <v>6209</v>
      </c>
      <c r="D2707" s="4" t="s">
        <v>6206</v>
      </c>
      <c r="E2707" s="4" t="s">
        <v>6208</v>
      </c>
      <c r="F2707" s="4" t="s">
        <v>6197</v>
      </c>
    </row>
    <row r="2708" customFormat="false" ht="15" hidden="false" customHeight="true" outlineLevel="0" collapsed="false">
      <c r="A2708" s="4" t="s">
        <v>2884</v>
      </c>
      <c r="B2708" s="13" t="n">
        <v>45349</v>
      </c>
      <c r="C2708" s="4" t="s">
        <v>6198</v>
      </c>
      <c r="D2708" s="4" t="s">
        <v>6202</v>
      </c>
      <c r="E2708" s="4" t="s">
        <v>6196</v>
      </c>
      <c r="F2708" s="4" t="s">
        <v>6216</v>
      </c>
    </row>
    <row r="2709" customFormat="false" ht="15" hidden="false" customHeight="true" outlineLevel="0" collapsed="false">
      <c r="A2709" s="4" t="s">
        <v>2885</v>
      </c>
      <c r="B2709" s="13" t="n">
        <v>45322</v>
      </c>
      <c r="C2709" s="4" t="s">
        <v>6213</v>
      </c>
      <c r="D2709" s="4" t="s">
        <v>6196</v>
      </c>
      <c r="E2709" s="4" t="s">
        <v>6196</v>
      </c>
      <c r="F2709" s="4"/>
    </row>
    <row r="2710" customFormat="false" ht="15" hidden="false" customHeight="true" outlineLevel="0" collapsed="false">
      <c r="A2710" s="4" t="s">
        <v>2886</v>
      </c>
      <c r="B2710" s="13" t="n">
        <v>44970</v>
      </c>
      <c r="C2710" s="4" t="s">
        <v>6198</v>
      </c>
      <c r="D2710" s="4" t="s">
        <v>6199</v>
      </c>
      <c r="E2710" s="4" t="s">
        <v>6206</v>
      </c>
      <c r="F2710" s="4"/>
    </row>
    <row r="2711" customFormat="false" ht="15" hidden="false" customHeight="true" outlineLevel="0" collapsed="false">
      <c r="A2711" s="4" t="s">
        <v>2887</v>
      </c>
      <c r="B2711" s="13" t="n">
        <v>45040</v>
      </c>
      <c r="C2711" s="4" t="s">
        <v>6213</v>
      </c>
      <c r="D2711" s="4" t="s">
        <v>6202</v>
      </c>
      <c r="E2711" s="4" t="s">
        <v>6202</v>
      </c>
      <c r="F2711" s="4"/>
    </row>
    <row r="2712" customFormat="false" ht="15" hidden="false" customHeight="true" outlineLevel="0" collapsed="false">
      <c r="A2712" s="4" t="s">
        <v>2888</v>
      </c>
      <c r="B2712" s="13" t="n">
        <v>45569</v>
      </c>
      <c r="C2712" s="4" t="s">
        <v>6194</v>
      </c>
      <c r="D2712" s="4" t="s">
        <v>6208</v>
      </c>
      <c r="E2712" s="4" t="s">
        <v>6206</v>
      </c>
      <c r="F2712" s="4" t="s">
        <v>6216</v>
      </c>
    </row>
    <row r="2713" customFormat="false" ht="15" hidden="false" customHeight="true" outlineLevel="0" collapsed="false">
      <c r="A2713" s="4" t="s">
        <v>2889</v>
      </c>
      <c r="B2713" s="13" t="n">
        <v>45007</v>
      </c>
      <c r="C2713" s="4" t="s">
        <v>6210</v>
      </c>
      <c r="D2713" s="4" t="s">
        <v>6211</v>
      </c>
      <c r="E2713" s="4" t="s">
        <v>6207</v>
      </c>
      <c r="F2713" s="4"/>
    </row>
    <row r="2714" customFormat="false" ht="15" hidden="false" customHeight="true" outlineLevel="0" collapsed="false">
      <c r="A2714" s="4" t="s">
        <v>2890</v>
      </c>
      <c r="B2714" s="13" t="n">
        <v>45279</v>
      </c>
      <c r="C2714" s="4" t="s">
        <v>6213</v>
      </c>
      <c r="D2714" s="4" t="s">
        <v>6203</v>
      </c>
      <c r="E2714" s="4" t="s">
        <v>6195</v>
      </c>
      <c r="F2714" s="4" t="s">
        <v>6214</v>
      </c>
    </row>
    <row r="2715" customFormat="false" ht="15" hidden="false" customHeight="true" outlineLevel="0" collapsed="false">
      <c r="A2715" s="4" t="s">
        <v>2891</v>
      </c>
      <c r="B2715" s="13" t="n">
        <v>45150</v>
      </c>
      <c r="C2715" s="4" t="s">
        <v>6210</v>
      </c>
      <c r="D2715" s="4" t="s">
        <v>6195</v>
      </c>
      <c r="E2715" s="4" t="s">
        <v>6206</v>
      </c>
      <c r="F2715" s="4"/>
    </row>
    <row r="2716" customFormat="false" ht="15" hidden="false" customHeight="true" outlineLevel="0" collapsed="false">
      <c r="A2716" s="4" t="s">
        <v>2892</v>
      </c>
      <c r="B2716" s="13" t="n">
        <v>44988</v>
      </c>
      <c r="C2716" s="4" t="s">
        <v>6201</v>
      </c>
      <c r="D2716" s="4" t="s">
        <v>6207</v>
      </c>
      <c r="E2716" s="4" t="s">
        <v>6199</v>
      </c>
      <c r="F2716" s="4" t="s">
        <v>6212</v>
      </c>
    </row>
    <row r="2717" customFormat="false" ht="15" hidden="false" customHeight="true" outlineLevel="0" collapsed="false">
      <c r="A2717" s="4" t="s">
        <v>2893</v>
      </c>
      <c r="B2717" s="13" t="n">
        <v>45580</v>
      </c>
      <c r="C2717" s="4" t="s">
        <v>6213</v>
      </c>
      <c r="D2717" s="4" t="s">
        <v>6202</v>
      </c>
      <c r="E2717" s="4" t="s">
        <v>6207</v>
      </c>
      <c r="F2717" s="4" t="s">
        <v>6200</v>
      </c>
    </row>
    <row r="2718" customFormat="false" ht="15" hidden="false" customHeight="true" outlineLevel="0" collapsed="false">
      <c r="A2718" s="4" t="s">
        <v>2894</v>
      </c>
      <c r="B2718" s="13" t="n">
        <v>45246</v>
      </c>
      <c r="C2718" s="4" t="s">
        <v>6198</v>
      </c>
      <c r="D2718" s="4" t="s">
        <v>6207</v>
      </c>
      <c r="E2718" s="4" t="s">
        <v>6205</v>
      </c>
      <c r="F2718" s="4"/>
    </row>
    <row r="2719" customFormat="false" ht="15" hidden="false" customHeight="true" outlineLevel="0" collapsed="false">
      <c r="A2719" s="4" t="s">
        <v>2895</v>
      </c>
      <c r="B2719" s="13" t="n">
        <v>45115</v>
      </c>
      <c r="C2719" s="4" t="s">
        <v>6194</v>
      </c>
      <c r="D2719" s="4" t="s">
        <v>6195</v>
      </c>
      <c r="E2719" s="4" t="s">
        <v>6205</v>
      </c>
      <c r="F2719" s="4" t="s">
        <v>6212</v>
      </c>
    </row>
    <row r="2720" customFormat="false" ht="15" hidden="false" customHeight="true" outlineLevel="0" collapsed="false">
      <c r="A2720" s="4" t="s">
        <v>2896</v>
      </c>
      <c r="B2720" s="13" t="n">
        <v>45464</v>
      </c>
      <c r="C2720" s="4" t="s">
        <v>6209</v>
      </c>
      <c r="D2720" s="4" t="s">
        <v>6203</v>
      </c>
      <c r="E2720" s="4" t="s">
        <v>6195</v>
      </c>
      <c r="F2720" s="4" t="s">
        <v>6204</v>
      </c>
    </row>
    <row r="2721" customFormat="false" ht="15" hidden="false" customHeight="true" outlineLevel="0" collapsed="false">
      <c r="A2721" s="4" t="s">
        <v>2897</v>
      </c>
      <c r="B2721" s="13" t="n">
        <v>45570</v>
      </c>
      <c r="C2721" s="4" t="s">
        <v>6194</v>
      </c>
      <c r="D2721" s="4" t="s">
        <v>6205</v>
      </c>
      <c r="E2721" s="4" t="s">
        <v>6203</v>
      </c>
      <c r="F2721" s="4"/>
    </row>
    <row r="2722" customFormat="false" ht="15" hidden="false" customHeight="true" outlineLevel="0" collapsed="false">
      <c r="A2722" s="4" t="s">
        <v>2898</v>
      </c>
      <c r="B2722" s="13" t="n">
        <v>45339</v>
      </c>
      <c r="C2722" s="4" t="s">
        <v>6194</v>
      </c>
      <c r="D2722" s="4" t="s">
        <v>6205</v>
      </c>
      <c r="E2722" s="4" t="s">
        <v>6199</v>
      </c>
      <c r="F2722" s="4" t="s">
        <v>6216</v>
      </c>
    </row>
    <row r="2723" customFormat="false" ht="15" hidden="false" customHeight="true" outlineLevel="0" collapsed="false">
      <c r="A2723" s="4" t="s">
        <v>2899</v>
      </c>
      <c r="B2723" s="13" t="n">
        <v>45102</v>
      </c>
      <c r="C2723" s="4" t="s">
        <v>6201</v>
      </c>
      <c r="D2723" s="4" t="s">
        <v>6199</v>
      </c>
      <c r="E2723" s="4" t="s">
        <v>6208</v>
      </c>
      <c r="F2723" s="4" t="s">
        <v>6200</v>
      </c>
    </row>
    <row r="2724" customFormat="false" ht="15" hidden="false" customHeight="true" outlineLevel="0" collapsed="false">
      <c r="A2724" s="4" t="s">
        <v>2900</v>
      </c>
      <c r="B2724" s="13" t="n">
        <v>45078</v>
      </c>
      <c r="C2724" s="4" t="s">
        <v>6213</v>
      </c>
      <c r="D2724" s="4" t="s">
        <v>6208</v>
      </c>
      <c r="E2724" s="4" t="s">
        <v>6202</v>
      </c>
      <c r="F2724" s="4"/>
    </row>
    <row r="2725" customFormat="false" ht="15" hidden="false" customHeight="true" outlineLevel="0" collapsed="false">
      <c r="A2725" s="4" t="s">
        <v>2901</v>
      </c>
      <c r="B2725" s="13" t="n">
        <v>45409</v>
      </c>
      <c r="C2725" s="4" t="s">
        <v>6215</v>
      </c>
      <c r="D2725" s="4" t="s">
        <v>6211</v>
      </c>
      <c r="E2725" s="4" t="s">
        <v>6203</v>
      </c>
      <c r="F2725" s="4" t="s">
        <v>6204</v>
      </c>
    </row>
    <row r="2726" customFormat="false" ht="15" hidden="false" customHeight="true" outlineLevel="0" collapsed="false">
      <c r="A2726" s="4" t="s">
        <v>2902</v>
      </c>
      <c r="B2726" s="13" t="n">
        <v>45264</v>
      </c>
      <c r="C2726" s="4" t="s">
        <v>6213</v>
      </c>
      <c r="D2726" s="4" t="s">
        <v>6195</v>
      </c>
      <c r="E2726" s="4" t="s">
        <v>6196</v>
      </c>
      <c r="F2726" s="4" t="s">
        <v>6197</v>
      </c>
    </row>
    <row r="2727" customFormat="false" ht="15" hidden="false" customHeight="true" outlineLevel="0" collapsed="false">
      <c r="A2727" s="4" t="s">
        <v>2903</v>
      </c>
      <c r="B2727" s="13" t="n">
        <v>45108</v>
      </c>
      <c r="C2727" s="4" t="s">
        <v>6198</v>
      </c>
      <c r="D2727" s="4" t="s">
        <v>6207</v>
      </c>
      <c r="E2727" s="4" t="s">
        <v>6206</v>
      </c>
      <c r="F2727" s="4" t="s">
        <v>6214</v>
      </c>
    </row>
    <row r="2728" customFormat="false" ht="15" hidden="false" customHeight="true" outlineLevel="0" collapsed="false">
      <c r="A2728" s="4" t="s">
        <v>2904</v>
      </c>
      <c r="B2728" s="13" t="n">
        <v>45511</v>
      </c>
      <c r="C2728" s="4" t="s">
        <v>6194</v>
      </c>
      <c r="D2728" s="4" t="s">
        <v>6203</v>
      </c>
      <c r="E2728" s="4" t="s">
        <v>6202</v>
      </c>
      <c r="F2728" s="4" t="s">
        <v>6204</v>
      </c>
    </row>
    <row r="2729" customFormat="false" ht="15" hidden="false" customHeight="true" outlineLevel="0" collapsed="false">
      <c r="A2729" s="4" t="s">
        <v>2905</v>
      </c>
      <c r="B2729" s="13" t="n">
        <v>45274</v>
      </c>
      <c r="C2729" s="4" t="s">
        <v>6210</v>
      </c>
      <c r="D2729" s="4" t="s">
        <v>6211</v>
      </c>
      <c r="E2729" s="4" t="s">
        <v>6205</v>
      </c>
      <c r="F2729" s="4"/>
    </row>
    <row r="2730" customFormat="false" ht="15" hidden="false" customHeight="true" outlineLevel="0" collapsed="false">
      <c r="A2730" s="4" t="s">
        <v>2906</v>
      </c>
      <c r="B2730" s="13" t="n">
        <v>45188</v>
      </c>
      <c r="C2730" s="4" t="s">
        <v>6210</v>
      </c>
      <c r="D2730" s="4" t="s">
        <v>6203</v>
      </c>
      <c r="E2730" s="4" t="s">
        <v>6202</v>
      </c>
      <c r="F2730" s="4" t="s">
        <v>6212</v>
      </c>
    </row>
    <row r="2731" customFormat="false" ht="15" hidden="false" customHeight="true" outlineLevel="0" collapsed="false">
      <c r="A2731" s="4" t="s">
        <v>2907</v>
      </c>
      <c r="B2731" s="13" t="n">
        <v>45463</v>
      </c>
      <c r="C2731" s="4" t="s">
        <v>6209</v>
      </c>
      <c r="D2731" s="4" t="s">
        <v>6199</v>
      </c>
      <c r="E2731" s="4" t="s">
        <v>6211</v>
      </c>
      <c r="F2731" s="4" t="s">
        <v>6216</v>
      </c>
    </row>
    <row r="2732" customFormat="false" ht="15" hidden="false" customHeight="true" outlineLevel="0" collapsed="false">
      <c r="A2732" s="4" t="s">
        <v>2908</v>
      </c>
      <c r="B2732" s="13" t="n">
        <v>45489</v>
      </c>
      <c r="C2732" s="4" t="s">
        <v>6198</v>
      </c>
      <c r="D2732" s="4" t="s">
        <v>6199</v>
      </c>
      <c r="E2732" s="4" t="s">
        <v>6199</v>
      </c>
      <c r="F2732" s="4"/>
    </row>
    <row r="2733" customFormat="false" ht="15" hidden="false" customHeight="true" outlineLevel="0" collapsed="false">
      <c r="A2733" s="4" t="s">
        <v>2909</v>
      </c>
      <c r="B2733" s="13" t="n">
        <v>45208</v>
      </c>
      <c r="C2733" s="4" t="s">
        <v>6198</v>
      </c>
      <c r="D2733" s="4" t="s">
        <v>6195</v>
      </c>
      <c r="E2733" s="4" t="s">
        <v>6196</v>
      </c>
      <c r="F2733" s="4" t="s">
        <v>6200</v>
      </c>
    </row>
    <row r="2734" customFormat="false" ht="15" hidden="false" customHeight="true" outlineLevel="0" collapsed="false">
      <c r="A2734" s="4" t="s">
        <v>2910</v>
      </c>
      <c r="B2734" s="13" t="n">
        <v>45530</v>
      </c>
      <c r="C2734" s="4" t="s">
        <v>6209</v>
      </c>
      <c r="D2734" s="4" t="s">
        <v>6208</v>
      </c>
      <c r="E2734" s="4" t="s">
        <v>6202</v>
      </c>
      <c r="F2734" s="4" t="s">
        <v>6200</v>
      </c>
    </row>
    <row r="2735" customFormat="false" ht="15" hidden="false" customHeight="true" outlineLevel="0" collapsed="false">
      <c r="A2735" s="4" t="s">
        <v>2911</v>
      </c>
      <c r="B2735" s="13" t="n">
        <v>45178</v>
      </c>
      <c r="C2735" s="4" t="s">
        <v>6209</v>
      </c>
      <c r="D2735" s="4" t="s">
        <v>6211</v>
      </c>
      <c r="E2735" s="4" t="s">
        <v>6207</v>
      </c>
      <c r="F2735" s="4" t="s">
        <v>6200</v>
      </c>
    </row>
    <row r="2736" customFormat="false" ht="15" hidden="false" customHeight="true" outlineLevel="0" collapsed="false">
      <c r="A2736" s="4" t="s">
        <v>2912</v>
      </c>
      <c r="B2736" s="13" t="n">
        <v>44973</v>
      </c>
      <c r="C2736" s="4" t="s">
        <v>6213</v>
      </c>
      <c r="D2736" s="4" t="s">
        <v>6196</v>
      </c>
      <c r="E2736" s="4" t="s">
        <v>6211</v>
      </c>
      <c r="F2736" s="4" t="s">
        <v>6214</v>
      </c>
    </row>
    <row r="2737" customFormat="false" ht="15" hidden="false" customHeight="true" outlineLevel="0" collapsed="false">
      <c r="A2737" s="4" t="s">
        <v>2913</v>
      </c>
      <c r="B2737" s="13" t="n">
        <v>45340</v>
      </c>
      <c r="C2737" s="4" t="s">
        <v>6194</v>
      </c>
      <c r="D2737" s="4" t="s">
        <v>6203</v>
      </c>
      <c r="E2737" s="4" t="s">
        <v>6205</v>
      </c>
      <c r="F2737" s="4" t="s">
        <v>6216</v>
      </c>
    </row>
    <row r="2738" customFormat="false" ht="15" hidden="false" customHeight="true" outlineLevel="0" collapsed="false">
      <c r="A2738" s="4" t="s">
        <v>2914</v>
      </c>
      <c r="B2738" s="13" t="n">
        <v>45362</v>
      </c>
      <c r="C2738" s="4" t="s">
        <v>6209</v>
      </c>
      <c r="D2738" s="4" t="s">
        <v>6211</v>
      </c>
      <c r="E2738" s="4" t="s">
        <v>6205</v>
      </c>
      <c r="F2738" s="4" t="s">
        <v>6212</v>
      </c>
    </row>
    <row r="2739" customFormat="false" ht="15" hidden="false" customHeight="true" outlineLevel="0" collapsed="false">
      <c r="A2739" s="4" t="s">
        <v>2915</v>
      </c>
      <c r="B2739" s="13" t="n">
        <v>45001</v>
      </c>
      <c r="C2739" s="4" t="s">
        <v>6213</v>
      </c>
      <c r="D2739" s="4" t="s">
        <v>6211</v>
      </c>
      <c r="E2739" s="4" t="s">
        <v>6203</v>
      </c>
      <c r="F2739" s="4" t="s">
        <v>6212</v>
      </c>
    </row>
    <row r="2740" customFormat="false" ht="15" hidden="false" customHeight="true" outlineLevel="0" collapsed="false">
      <c r="A2740" s="4" t="s">
        <v>2916</v>
      </c>
      <c r="B2740" s="13" t="n">
        <v>45502</v>
      </c>
      <c r="C2740" s="4" t="s">
        <v>6209</v>
      </c>
      <c r="D2740" s="4" t="s">
        <v>6205</v>
      </c>
      <c r="E2740" s="4" t="s">
        <v>6207</v>
      </c>
      <c r="F2740" s="4" t="s">
        <v>6216</v>
      </c>
    </row>
    <row r="2741" customFormat="false" ht="15" hidden="false" customHeight="true" outlineLevel="0" collapsed="false">
      <c r="A2741" s="4" t="s">
        <v>2917</v>
      </c>
      <c r="B2741" s="13" t="n">
        <v>45537</v>
      </c>
      <c r="C2741" s="4" t="s">
        <v>6215</v>
      </c>
      <c r="D2741" s="4" t="s">
        <v>6196</v>
      </c>
      <c r="E2741" s="4" t="s">
        <v>6199</v>
      </c>
      <c r="F2741" s="4" t="s">
        <v>6212</v>
      </c>
    </row>
    <row r="2742" customFormat="false" ht="15" hidden="false" customHeight="true" outlineLevel="0" collapsed="false">
      <c r="A2742" s="4" t="s">
        <v>2918</v>
      </c>
      <c r="B2742" s="13" t="n">
        <v>45097</v>
      </c>
      <c r="C2742" s="4" t="s">
        <v>6201</v>
      </c>
      <c r="D2742" s="4" t="s">
        <v>6207</v>
      </c>
      <c r="E2742" s="4" t="s">
        <v>6203</v>
      </c>
      <c r="F2742" s="4"/>
    </row>
    <row r="2743" customFormat="false" ht="15" hidden="false" customHeight="true" outlineLevel="0" collapsed="false">
      <c r="A2743" s="4" t="s">
        <v>2919</v>
      </c>
      <c r="B2743" s="13" t="n">
        <v>45628</v>
      </c>
      <c r="C2743" s="4" t="s">
        <v>6215</v>
      </c>
      <c r="D2743" s="4" t="s">
        <v>6206</v>
      </c>
      <c r="E2743" s="4" t="s">
        <v>6195</v>
      </c>
      <c r="F2743" s="4" t="s">
        <v>6214</v>
      </c>
    </row>
    <row r="2744" customFormat="false" ht="15" hidden="false" customHeight="true" outlineLevel="0" collapsed="false">
      <c r="A2744" s="4" t="s">
        <v>2920</v>
      </c>
      <c r="B2744" s="13" t="n">
        <v>45015</v>
      </c>
      <c r="C2744" s="4" t="s">
        <v>6194</v>
      </c>
      <c r="D2744" s="4" t="s">
        <v>6206</v>
      </c>
      <c r="E2744" s="4" t="s">
        <v>6211</v>
      </c>
      <c r="F2744" s="4"/>
    </row>
    <row r="2745" customFormat="false" ht="15" hidden="false" customHeight="true" outlineLevel="0" collapsed="false">
      <c r="A2745" s="4" t="s">
        <v>2921</v>
      </c>
      <c r="B2745" s="13" t="n">
        <v>45160</v>
      </c>
      <c r="C2745" s="4" t="s">
        <v>6201</v>
      </c>
      <c r="D2745" s="4" t="s">
        <v>6206</v>
      </c>
      <c r="E2745" s="4" t="s">
        <v>6199</v>
      </c>
      <c r="F2745" s="4" t="s">
        <v>6212</v>
      </c>
    </row>
    <row r="2746" customFormat="false" ht="15" hidden="false" customHeight="true" outlineLevel="0" collapsed="false">
      <c r="A2746" s="4" t="s">
        <v>2922</v>
      </c>
      <c r="B2746" s="13" t="n">
        <v>45572</v>
      </c>
      <c r="C2746" s="4" t="s">
        <v>6210</v>
      </c>
      <c r="D2746" s="4" t="s">
        <v>6206</v>
      </c>
      <c r="E2746" s="4" t="s">
        <v>6206</v>
      </c>
      <c r="F2746" s="4" t="s">
        <v>6204</v>
      </c>
    </row>
    <row r="2747" customFormat="false" ht="15" hidden="false" customHeight="true" outlineLevel="0" collapsed="false">
      <c r="A2747" s="4" t="s">
        <v>2923</v>
      </c>
      <c r="B2747" s="13" t="n">
        <v>45362</v>
      </c>
      <c r="C2747" s="4" t="s">
        <v>6210</v>
      </c>
      <c r="D2747" s="4" t="s">
        <v>6203</v>
      </c>
      <c r="E2747" s="4" t="s">
        <v>6203</v>
      </c>
      <c r="F2747" s="4" t="s">
        <v>6200</v>
      </c>
    </row>
    <row r="2748" customFormat="false" ht="15" hidden="false" customHeight="true" outlineLevel="0" collapsed="false">
      <c r="A2748" s="4" t="s">
        <v>2924</v>
      </c>
      <c r="B2748" s="13" t="n">
        <v>44993</v>
      </c>
      <c r="C2748" s="4" t="s">
        <v>6194</v>
      </c>
      <c r="D2748" s="4" t="s">
        <v>6195</v>
      </c>
      <c r="E2748" s="4" t="s">
        <v>6207</v>
      </c>
      <c r="F2748" s="4" t="s">
        <v>6197</v>
      </c>
    </row>
    <row r="2749" customFormat="false" ht="15" hidden="false" customHeight="true" outlineLevel="0" collapsed="false">
      <c r="A2749" s="4" t="s">
        <v>2925</v>
      </c>
      <c r="B2749" s="13" t="n">
        <v>45444</v>
      </c>
      <c r="C2749" s="4" t="s">
        <v>6194</v>
      </c>
      <c r="D2749" s="4" t="s">
        <v>6208</v>
      </c>
      <c r="E2749" s="4" t="s">
        <v>6199</v>
      </c>
      <c r="F2749" s="4" t="s">
        <v>6216</v>
      </c>
    </row>
    <row r="2750" customFormat="false" ht="15" hidden="false" customHeight="true" outlineLevel="0" collapsed="false">
      <c r="A2750" s="4" t="s">
        <v>2926</v>
      </c>
      <c r="B2750" s="13" t="n">
        <v>45611</v>
      </c>
      <c r="C2750" s="4" t="s">
        <v>6201</v>
      </c>
      <c r="D2750" s="4" t="s">
        <v>6211</v>
      </c>
      <c r="E2750" s="4" t="s">
        <v>6211</v>
      </c>
      <c r="F2750" s="4"/>
    </row>
    <row r="2751" customFormat="false" ht="15" hidden="false" customHeight="true" outlineLevel="0" collapsed="false">
      <c r="A2751" s="4" t="s">
        <v>2927</v>
      </c>
      <c r="B2751" s="13" t="n">
        <v>45199</v>
      </c>
      <c r="C2751" s="4" t="s">
        <v>6198</v>
      </c>
      <c r="D2751" s="4" t="s">
        <v>6207</v>
      </c>
      <c r="E2751" s="4" t="s">
        <v>6208</v>
      </c>
      <c r="F2751" s="4"/>
    </row>
    <row r="2752" customFormat="false" ht="15" hidden="false" customHeight="true" outlineLevel="0" collapsed="false">
      <c r="A2752" s="4" t="s">
        <v>2928</v>
      </c>
      <c r="B2752" s="13" t="n">
        <v>44998</v>
      </c>
      <c r="C2752" s="4" t="s">
        <v>6213</v>
      </c>
      <c r="D2752" s="4" t="s">
        <v>6195</v>
      </c>
      <c r="E2752" s="4" t="s">
        <v>6208</v>
      </c>
      <c r="F2752" s="4" t="s">
        <v>6200</v>
      </c>
    </row>
    <row r="2753" customFormat="false" ht="15" hidden="false" customHeight="true" outlineLevel="0" collapsed="false">
      <c r="A2753" s="4" t="s">
        <v>2929</v>
      </c>
      <c r="B2753" s="13" t="n">
        <v>45369</v>
      </c>
      <c r="C2753" s="4" t="s">
        <v>6215</v>
      </c>
      <c r="D2753" s="4" t="s">
        <v>6206</v>
      </c>
      <c r="E2753" s="4" t="s">
        <v>6208</v>
      </c>
      <c r="F2753" s="4" t="s">
        <v>6197</v>
      </c>
    </row>
    <row r="2754" customFormat="false" ht="15" hidden="false" customHeight="true" outlineLevel="0" collapsed="false">
      <c r="A2754" s="4" t="s">
        <v>2930</v>
      </c>
      <c r="B2754" s="13" t="n">
        <v>45477</v>
      </c>
      <c r="C2754" s="4" t="s">
        <v>6213</v>
      </c>
      <c r="D2754" s="4" t="s">
        <v>6205</v>
      </c>
      <c r="E2754" s="4" t="s">
        <v>6211</v>
      </c>
      <c r="F2754" s="4"/>
    </row>
    <row r="2755" customFormat="false" ht="15" hidden="false" customHeight="true" outlineLevel="0" collapsed="false">
      <c r="A2755" s="4" t="s">
        <v>2931</v>
      </c>
      <c r="B2755" s="13" t="n">
        <v>45060</v>
      </c>
      <c r="C2755" s="4" t="s">
        <v>6213</v>
      </c>
      <c r="D2755" s="4" t="s">
        <v>6205</v>
      </c>
      <c r="E2755" s="4" t="s">
        <v>6199</v>
      </c>
      <c r="F2755" s="4"/>
    </row>
    <row r="2756" customFormat="false" ht="15" hidden="false" customHeight="true" outlineLevel="0" collapsed="false">
      <c r="A2756" s="4" t="s">
        <v>2932</v>
      </c>
      <c r="B2756" s="13" t="n">
        <v>45569</v>
      </c>
      <c r="C2756" s="4" t="s">
        <v>6215</v>
      </c>
      <c r="D2756" s="4" t="s">
        <v>6206</v>
      </c>
      <c r="E2756" s="4" t="s">
        <v>6211</v>
      </c>
      <c r="F2756" s="4" t="s">
        <v>6197</v>
      </c>
    </row>
    <row r="2757" customFormat="false" ht="15" hidden="false" customHeight="true" outlineLevel="0" collapsed="false">
      <c r="A2757" s="4" t="s">
        <v>2933</v>
      </c>
      <c r="B2757" s="13" t="n">
        <v>45382</v>
      </c>
      <c r="C2757" s="4" t="s">
        <v>6209</v>
      </c>
      <c r="D2757" s="4" t="s">
        <v>6211</v>
      </c>
      <c r="E2757" s="4" t="s">
        <v>6199</v>
      </c>
      <c r="F2757" s="4"/>
    </row>
    <row r="2758" customFormat="false" ht="15" hidden="false" customHeight="true" outlineLevel="0" collapsed="false">
      <c r="A2758" s="4" t="s">
        <v>2934</v>
      </c>
      <c r="B2758" s="13" t="n">
        <v>45126</v>
      </c>
      <c r="C2758" s="4" t="s">
        <v>6209</v>
      </c>
      <c r="D2758" s="4" t="s">
        <v>6205</v>
      </c>
      <c r="E2758" s="4" t="s">
        <v>6208</v>
      </c>
      <c r="F2758" s="4"/>
    </row>
    <row r="2759" customFormat="false" ht="15" hidden="false" customHeight="true" outlineLevel="0" collapsed="false">
      <c r="A2759" s="4" t="s">
        <v>2935</v>
      </c>
      <c r="B2759" s="13" t="n">
        <v>45230</v>
      </c>
      <c r="C2759" s="4" t="s">
        <v>6198</v>
      </c>
      <c r="D2759" s="4" t="s">
        <v>6208</v>
      </c>
      <c r="E2759" s="4" t="s">
        <v>6195</v>
      </c>
      <c r="F2759" s="4" t="s">
        <v>6197</v>
      </c>
    </row>
    <row r="2760" customFormat="false" ht="15" hidden="false" customHeight="true" outlineLevel="0" collapsed="false">
      <c r="A2760" s="4" t="s">
        <v>2936</v>
      </c>
      <c r="B2760" s="13" t="n">
        <v>44986</v>
      </c>
      <c r="C2760" s="4" t="s">
        <v>6213</v>
      </c>
      <c r="D2760" s="4" t="s">
        <v>6203</v>
      </c>
      <c r="E2760" s="4" t="s">
        <v>6199</v>
      </c>
      <c r="F2760" s="4" t="s">
        <v>6216</v>
      </c>
    </row>
    <row r="2761" customFormat="false" ht="15" hidden="false" customHeight="true" outlineLevel="0" collapsed="false">
      <c r="A2761" s="4" t="s">
        <v>2937</v>
      </c>
      <c r="B2761" s="13" t="n">
        <v>45605</v>
      </c>
      <c r="C2761" s="4" t="s">
        <v>6198</v>
      </c>
      <c r="D2761" s="4" t="s">
        <v>6206</v>
      </c>
      <c r="E2761" s="4" t="s">
        <v>6195</v>
      </c>
      <c r="F2761" s="4"/>
    </row>
    <row r="2762" customFormat="false" ht="15" hidden="false" customHeight="true" outlineLevel="0" collapsed="false">
      <c r="A2762" s="4" t="s">
        <v>2938</v>
      </c>
      <c r="B2762" s="13" t="n">
        <v>45412</v>
      </c>
      <c r="C2762" s="4" t="s">
        <v>6201</v>
      </c>
      <c r="D2762" s="4" t="s">
        <v>6208</v>
      </c>
      <c r="E2762" s="4" t="s">
        <v>6203</v>
      </c>
      <c r="F2762" s="4" t="s">
        <v>6214</v>
      </c>
    </row>
    <row r="2763" customFormat="false" ht="15" hidden="false" customHeight="true" outlineLevel="0" collapsed="false">
      <c r="A2763" s="4" t="s">
        <v>2939</v>
      </c>
      <c r="B2763" s="13" t="n">
        <v>45155</v>
      </c>
      <c r="C2763" s="4" t="s">
        <v>6201</v>
      </c>
      <c r="D2763" s="4" t="s">
        <v>6211</v>
      </c>
      <c r="E2763" s="4" t="s">
        <v>6205</v>
      </c>
      <c r="F2763" s="4"/>
    </row>
    <row r="2764" customFormat="false" ht="15" hidden="false" customHeight="true" outlineLevel="0" collapsed="false">
      <c r="A2764" s="4" t="s">
        <v>2940</v>
      </c>
      <c r="B2764" s="13" t="n">
        <v>45180</v>
      </c>
      <c r="C2764" s="4" t="s">
        <v>6194</v>
      </c>
      <c r="D2764" s="4" t="s">
        <v>6206</v>
      </c>
      <c r="E2764" s="4" t="s">
        <v>6208</v>
      </c>
      <c r="F2764" s="4"/>
    </row>
    <row r="2765" customFormat="false" ht="15" hidden="false" customHeight="true" outlineLevel="0" collapsed="false">
      <c r="A2765" s="4" t="s">
        <v>2941</v>
      </c>
      <c r="B2765" s="13" t="n">
        <v>45236</v>
      </c>
      <c r="C2765" s="4" t="s">
        <v>6198</v>
      </c>
      <c r="D2765" s="4" t="s">
        <v>6207</v>
      </c>
      <c r="E2765" s="4" t="s">
        <v>6205</v>
      </c>
      <c r="F2765" s="4" t="s">
        <v>6204</v>
      </c>
    </row>
    <row r="2766" customFormat="false" ht="15" hidden="false" customHeight="true" outlineLevel="0" collapsed="false">
      <c r="A2766" s="4" t="s">
        <v>2942</v>
      </c>
      <c r="B2766" s="13" t="n">
        <v>45071</v>
      </c>
      <c r="C2766" s="4" t="s">
        <v>6198</v>
      </c>
      <c r="D2766" s="4" t="s">
        <v>6207</v>
      </c>
      <c r="E2766" s="4" t="s">
        <v>6196</v>
      </c>
      <c r="F2766" s="4" t="s">
        <v>6214</v>
      </c>
    </row>
    <row r="2767" customFormat="false" ht="15" hidden="false" customHeight="true" outlineLevel="0" collapsed="false">
      <c r="A2767" s="4" t="s">
        <v>2943</v>
      </c>
      <c r="B2767" s="13" t="n">
        <v>45104</v>
      </c>
      <c r="C2767" s="4" t="s">
        <v>6201</v>
      </c>
      <c r="D2767" s="4" t="s">
        <v>6205</v>
      </c>
      <c r="E2767" s="4" t="s">
        <v>6205</v>
      </c>
      <c r="F2767" s="4" t="s">
        <v>6214</v>
      </c>
    </row>
    <row r="2768" customFormat="false" ht="15" hidden="false" customHeight="true" outlineLevel="0" collapsed="false">
      <c r="A2768" s="4" t="s">
        <v>2944</v>
      </c>
      <c r="B2768" s="13" t="n">
        <v>45092</v>
      </c>
      <c r="C2768" s="4" t="s">
        <v>6210</v>
      </c>
      <c r="D2768" s="4" t="s">
        <v>6203</v>
      </c>
      <c r="E2768" s="4" t="s">
        <v>6205</v>
      </c>
      <c r="F2768" s="4" t="s">
        <v>6197</v>
      </c>
    </row>
    <row r="2769" customFormat="false" ht="15" hidden="false" customHeight="true" outlineLevel="0" collapsed="false">
      <c r="A2769" s="4" t="s">
        <v>2945</v>
      </c>
      <c r="B2769" s="13" t="n">
        <v>45307</v>
      </c>
      <c r="C2769" s="4" t="s">
        <v>6198</v>
      </c>
      <c r="D2769" s="4" t="s">
        <v>6203</v>
      </c>
      <c r="E2769" s="4" t="s">
        <v>6203</v>
      </c>
      <c r="F2769" s="4"/>
    </row>
    <row r="2770" customFormat="false" ht="15" hidden="false" customHeight="true" outlineLevel="0" collapsed="false">
      <c r="A2770" s="4" t="s">
        <v>2946</v>
      </c>
      <c r="B2770" s="13" t="n">
        <v>45514</v>
      </c>
      <c r="C2770" s="4" t="s">
        <v>6213</v>
      </c>
      <c r="D2770" s="4" t="s">
        <v>6208</v>
      </c>
      <c r="E2770" s="4" t="s">
        <v>6207</v>
      </c>
      <c r="F2770" s="4" t="s">
        <v>6200</v>
      </c>
    </row>
    <row r="2771" customFormat="false" ht="15" hidden="false" customHeight="true" outlineLevel="0" collapsed="false">
      <c r="A2771" s="4" t="s">
        <v>2947</v>
      </c>
      <c r="B2771" s="13" t="n">
        <v>45114</v>
      </c>
      <c r="C2771" s="4" t="s">
        <v>6198</v>
      </c>
      <c r="D2771" s="4" t="s">
        <v>6205</v>
      </c>
      <c r="E2771" s="4" t="s">
        <v>6207</v>
      </c>
      <c r="F2771" s="4" t="s">
        <v>6200</v>
      </c>
    </row>
    <row r="2772" customFormat="false" ht="15" hidden="false" customHeight="true" outlineLevel="0" collapsed="false">
      <c r="A2772" s="4" t="s">
        <v>2948</v>
      </c>
      <c r="B2772" s="13" t="n">
        <v>45667</v>
      </c>
      <c r="C2772" s="4" t="s">
        <v>6209</v>
      </c>
      <c r="D2772" s="4" t="s">
        <v>6203</v>
      </c>
      <c r="E2772" s="4" t="s">
        <v>6199</v>
      </c>
      <c r="F2772" s="4" t="s">
        <v>6212</v>
      </c>
    </row>
    <row r="2773" customFormat="false" ht="15" hidden="false" customHeight="true" outlineLevel="0" collapsed="false">
      <c r="A2773" s="4" t="s">
        <v>2949</v>
      </c>
      <c r="B2773" s="13" t="n">
        <v>45658</v>
      </c>
      <c r="C2773" s="4" t="s">
        <v>6209</v>
      </c>
      <c r="D2773" s="4" t="s">
        <v>6208</v>
      </c>
      <c r="E2773" s="4" t="s">
        <v>6208</v>
      </c>
      <c r="F2773" s="4" t="s">
        <v>6204</v>
      </c>
    </row>
    <row r="2774" customFormat="false" ht="15" hidden="false" customHeight="true" outlineLevel="0" collapsed="false">
      <c r="A2774" s="4" t="s">
        <v>2950</v>
      </c>
      <c r="B2774" s="13" t="n">
        <v>45256</v>
      </c>
      <c r="C2774" s="4" t="s">
        <v>6215</v>
      </c>
      <c r="D2774" s="4" t="s">
        <v>6195</v>
      </c>
      <c r="E2774" s="4" t="s">
        <v>6202</v>
      </c>
      <c r="F2774" s="4"/>
    </row>
    <row r="2775" customFormat="false" ht="15" hidden="false" customHeight="true" outlineLevel="0" collapsed="false">
      <c r="A2775" s="4" t="s">
        <v>2951</v>
      </c>
      <c r="B2775" s="13" t="n">
        <v>45640</v>
      </c>
      <c r="C2775" s="4" t="s">
        <v>6198</v>
      </c>
      <c r="D2775" s="4" t="s">
        <v>6196</v>
      </c>
      <c r="E2775" s="4" t="s">
        <v>6211</v>
      </c>
      <c r="F2775" s="4" t="s">
        <v>6197</v>
      </c>
    </row>
    <row r="2776" customFormat="false" ht="15" hidden="false" customHeight="true" outlineLevel="0" collapsed="false">
      <c r="A2776" s="4" t="s">
        <v>2952</v>
      </c>
      <c r="B2776" s="13" t="n">
        <v>45362</v>
      </c>
      <c r="C2776" s="4" t="s">
        <v>6210</v>
      </c>
      <c r="D2776" s="4" t="s">
        <v>6202</v>
      </c>
      <c r="E2776" s="4" t="s">
        <v>6207</v>
      </c>
      <c r="F2776" s="4"/>
    </row>
    <row r="2777" customFormat="false" ht="15" hidden="false" customHeight="true" outlineLevel="0" collapsed="false">
      <c r="A2777" s="4" t="s">
        <v>2953</v>
      </c>
      <c r="B2777" s="13" t="n">
        <v>45374</v>
      </c>
      <c r="C2777" s="4" t="s">
        <v>6194</v>
      </c>
      <c r="D2777" s="4" t="s">
        <v>6195</v>
      </c>
      <c r="E2777" s="4" t="s">
        <v>6206</v>
      </c>
      <c r="F2777" s="4" t="s">
        <v>6204</v>
      </c>
    </row>
    <row r="2778" customFormat="false" ht="15" hidden="false" customHeight="true" outlineLevel="0" collapsed="false">
      <c r="A2778" s="4" t="s">
        <v>2954</v>
      </c>
      <c r="B2778" s="13" t="n">
        <v>45131</v>
      </c>
      <c r="C2778" s="4" t="s">
        <v>6209</v>
      </c>
      <c r="D2778" s="4" t="s">
        <v>6196</v>
      </c>
      <c r="E2778" s="4" t="s">
        <v>6211</v>
      </c>
      <c r="F2778" s="4"/>
    </row>
    <row r="2779" customFormat="false" ht="15" hidden="false" customHeight="true" outlineLevel="0" collapsed="false">
      <c r="A2779" s="4" t="s">
        <v>2955</v>
      </c>
      <c r="B2779" s="13" t="n">
        <v>45172</v>
      </c>
      <c r="C2779" s="4" t="s">
        <v>6215</v>
      </c>
      <c r="D2779" s="4" t="s">
        <v>6207</v>
      </c>
      <c r="E2779" s="4" t="s">
        <v>6208</v>
      </c>
      <c r="F2779" s="4" t="s">
        <v>6212</v>
      </c>
    </row>
    <row r="2780" customFormat="false" ht="15" hidden="false" customHeight="true" outlineLevel="0" collapsed="false">
      <c r="A2780" s="4" t="s">
        <v>2956</v>
      </c>
      <c r="B2780" s="13" t="n">
        <v>45427</v>
      </c>
      <c r="C2780" s="4" t="s">
        <v>6198</v>
      </c>
      <c r="D2780" s="4" t="s">
        <v>6206</v>
      </c>
      <c r="E2780" s="4" t="s">
        <v>6208</v>
      </c>
      <c r="F2780" s="4" t="s">
        <v>6197</v>
      </c>
    </row>
    <row r="2781" customFormat="false" ht="15" hidden="false" customHeight="true" outlineLevel="0" collapsed="false">
      <c r="A2781" s="4" t="s">
        <v>2957</v>
      </c>
      <c r="B2781" s="13" t="n">
        <v>45054</v>
      </c>
      <c r="C2781" s="4" t="s">
        <v>6194</v>
      </c>
      <c r="D2781" s="4" t="s">
        <v>6196</v>
      </c>
      <c r="E2781" s="4" t="s">
        <v>6199</v>
      </c>
      <c r="F2781" s="4" t="s">
        <v>6214</v>
      </c>
    </row>
    <row r="2782" customFormat="false" ht="15" hidden="false" customHeight="true" outlineLevel="0" collapsed="false">
      <c r="A2782" s="4" t="s">
        <v>2958</v>
      </c>
      <c r="B2782" s="13" t="n">
        <v>45072</v>
      </c>
      <c r="C2782" s="4" t="s">
        <v>6201</v>
      </c>
      <c r="D2782" s="4" t="s">
        <v>6202</v>
      </c>
      <c r="E2782" s="4" t="s">
        <v>6202</v>
      </c>
      <c r="F2782" s="4"/>
    </row>
    <row r="2783" customFormat="false" ht="15" hidden="false" customHeight="true" outlineLevel="0" collapsed="false">
      <c r="A2783" s="4" t="s">
        <v>2959</v>
      </c>
      <c r="B2783" s="13" t="n">
        <v>45144</v>
      </c>
      <c r="C2783" s="4" t="s">
        <v>6215</v>
      </c>
      <c r="D2783" s="4" t="s">
        <v>6202</v>
      </c>
      <c r="E2783" s="4" t="s">
        <v>6207</v>
      </c>
      <c r="F2783" s="4" t="s">
        <v>6212</v>
      </c>
    </row>
    <row r="2784" customFormat="false" ht="15" hidden="false" customHeight="true" outlineLevel="0" collapsed="false">
      <c r="A2784" s="4" t="s">
        <v>2960</v>
      </c>
      <c r="B2784" s="13" t="n">
        <v>45376</v>
      </c>
      <c r="C2784" s="4" t="s">
        <v>6201</v>
      </c>
      <c r="D2784" s="4" t="s">
        <v>6205</v>
      </c>
      <c r="E2784" s="4" t="s">
        <v>6196</v>
      </c>
      <c r="F2784" s="4" t="s">
        <v>6197</v>
      </c>
    </row>
    <row r="2785" customFormat="false" ht="15" hidden="false" customHeight="true" outlineLevel="0" collapsed="false">
      <c r="A2785" s="4" t="s">
        <v>2961</v>
      </c>
      <c r="B2785" s="13" t="n">
        <v>45588</v>
      </c>
      <c r="C2785" s="4" t="s">
        <v>6209</v>
      </c>
      <c r="D2785" s="4" t="s">
        <v>6208</v>
      </c>
      <c r="E2785" s="4" t="s">
        <v>6202</v>
      </c>
      <c r="F2785" s="4" t="s">
        <v>6214</v>
      </c>
    </row>
    <row r="2786" customFormat="false" ht="15" hidden="false" customHeight="true" outlineLevel="0" collapsed="false">
      <c r="A2786" s="4" t="s">
        <v>2962</v>
      </c>
      <c r="B2786" s="13" t="n">
        <v>45045</v>
      </c>
      <c r="C2786" s="4" t="s">
        <v>6210</v>
      </c>
      <c r="D2786" s="4" t="s">
        <v>6196</v>
      </c>
      <c r="E2786" s="4" t="s">
        <v>6199</v>
      </c>
      <c r="F2786" s="4" t="s">
        <v>6200</v>
      </c>
    </row>
    <row r="2787" customFormat="false" ht="15" hidden="false" customHeight="true" outlineLevel="0" collapsed="false">
      <c r="A2787" s="4" t="s">
        <v>2963</v>
      </c>
      <c r="B2787" s="13" t="n">
        <v>45159</v>
      </c>
      <c r="C2787" s="4" t="s">
        <v>6215</v>
      </c>
      <c r="D2787" s="4" t="s">
        <v>6203</v>
      </c>
      <c r="E2787" s="4" t="s">
        <v>6199</v>
      </c>
      <c r="F2787" s="4" t="s">
        <v>6204</v>
      </c>
    </row>
    <row r="2788" customFormat="false" ht="15" hidden="false" customHeight="true" outlineLevel="0" collapsed="false">
      <c r="A2788" s="4" t="s">
        <v>2964</v>
      </c>
      <c r="B2788" s="13" t="n">
        <v>45139</v>
      </c>
      <c r="C2788" s="4" t="s">
        <v>6194</v>
      </c>
      <c r="D2788" s="4" t="s">
        <v>6206</v>
      </c>
      <c r="E2788" s="4" t="s">
        <v>6195</v>
      </c>
      <c r="F2788" s="4" t="s">
        <v>6204</v>
      </c>
    </row>
    <row r="2789" customFormat="false" ht="15" hidden="false" customHeight="true" outlineLevel="0" collapsed="false">
      <c r="A2789" s="4" t="s">
        <v>2965</v>
      </c>
      <c r="B2789" s="13" t="n">
        <v>45483</v>
      </c>
      <c r="C2789" s="4" t="s">
        <v>6194</v>
      </c>
      <c r="D2789" s="4" t="s">
        <v>6205</v>
      </c>
      <c r="E2789" s="4" t="s">
        <v>6205</v>
      </c>
      <c r="F2789" s="4" t="s">
        <v>6200</v>
      </c>
    </row>
    <row r="2790" customFormat="false" ht="15" hidden="false" customHeight="true" outlineLevel="0" collapsed="false">
      <c r="A2790" s="4" t="s">
        <v>2966</v>
      </c>
      <c r="B2790" s="13" t="n">
        <v>45303</v>
      </c>
      <c r="C2790" s="4" t="s">
        <v>6209</v>
      </c>
      <c r="D2790" s="4" t="s">
        <v>6199</v>
      </c>
      <c r="E2790" s="4" t="s">
        <v>6206</v>
      </c>
      <c r="F2790" s="4" t="s">
        <v>6197</v>
      </c>
    </row>
    <row r="2791" customFormat="false" ht="15" hidden="false" customHeight="true" outlineLevel="0" collapsed="false">
      <c r="A2791" s="4" t="s">
        <v>2967</v>
      </c>
      <c r="B2791" s="13" t="n">
        <v>45171</v>
      </c>
      <c r="C2791" s="4" t="s">
        <v>6215</v>
      </c>
      <c r="D2791" s="4" t="s">
        <v>6207</v>
      </c>
      <c r="E2791" s="4" t="s">
        <v>6199</v>
      </c>
      <c r="F2791" s="4"/>
    </row>
    <row r="2792" customFormat="false" ht="15" hidden="false" customHeight="true" outlineLevel="0" collapsed="false">
      <c r="A2792" s="4" t="s">
        <v>2968</v>
      </c>
      <c r="B2792" s="13" t="n">
        <v>45362</v>
      </c>
      <c r="C2792" s="4" t="s">
        <v>6213</v>
      </c>
      <c r="D2792" s="4" t="s">
        <v>6206</v>
      </c>
      <c r="E2792" s="4" t="s">
        <v>6199</v>
      </c>
      <c r="F2792" s="4"/>
    </row>
    <row r="2793" customFormat="false" ht="15" hidden="false" customHeight="true" outlineLevel="0" collapsed="false">
      <c r="A2793" s="4" t="s">
        <v>2969</v>
      </c>
      <c r="B2793" s="13" t="n">
        <v>45613</v>
      </c>
      <c r="C2793" s="4" t="s">
        <v>6194</v>
      </c>
      <c r="D2793" s="4" t="s">
        <v>6211</v>
      </c>
      <c r="E2793" s="4" t="s">
        <v>6208</v>
      </c>
      <c r="F2793" s="4"/>
    </row>
    <row r="2794" customFormat="false" ht="15" hidden="false" customHeight="true" outlineLevel="0" collapsed="false">
      <c r="A2794" s="4" t="s">
        <v>2970</v>
      </c>
      <c r="B2794" s="13" t="n">
        <v>45034</v>
      </c>
      <c r="C2794" s="4" t="s">
        <v>6210</v>
      </c>
      <c r="D2794" s="4" t="s">
        <v>6208</v>
      </c>
      <c r="E2794" s="4" t="s">
        <v>6207</v>
      </c>
      <c r="F2794" s="4" t="s">
        <v>6204</v>
      </c>
    </row>
    <row r="2795" customFormat="false" ht="15" hidden="false" customHeight="true" outlineLevel="0" collapsed="false">
      <c r="A2795" s="4" t="s">
        <v>2971</v>
      </c>
      <c r="B2795" s="13" t="n">
        <v>45049</v>
      </c>
      <c r="C2795" s="4" t="s">
        <v>6201</v>
      </c>
      <c r="D2795" s="4" t="s">
        <v>6207</v>
      </c>
      <c r="E2795" s="4" t="s">
        <v>6195</v>
      </c>
      <c r="F2795" s="4"/>
    </row>
    <row r="2796" customFormat="false" ht="15" hidden="false" customHeight="true" outlineLevel="0" collapsed="false">
      <c r="A2796" s="4" t="s">
        <v>2972</v>
      </c>
      <c r="B2796" s="13" t="n">
        <v>45101</v>
      </c>
      <c r="C2796" s="4" t="s">
        <v>6215</v>
      </c>
      <c r="D2796" s="4" t="s">
        <v>6203</v>
      </c>
      <c r="E2796" s="4" t="s">
        <v>6207</v>
      </c>
      <c r="F2796" s="4" t="s">
        <v>6204</v>
      </c>
    </row>
    <row r="2797" customFormat="false" ht="15" hidden="false" customHeight="true" outlineLevel="0" collapsed="false">
      <c r="A2797" s="4" t="s">
        <v>2973</v>
      </c>
      <c r="B2797" s="13" t="n">
        <v>45639</v>
      </c>
      <c r="C2797" s="4" t="s">
        <v>6194</v>
      </c>
      <c r="D2797" s="4" t="s">
        <v>6208</v>
      </c>
      <c r="E2797" s="4" t="s">
        <v>6206</v>
      </c>
      <c r="F2797" s="4" t="s">
        <v>6204</v>
      </c>
    </row>
    <row r="2798" customFormat="false" ht="15" hidden="false" customHeight="true" outlineLevel="0" collapsed="false">
      <c r="A2798" s="4" t="s">
        <v>2974</v>
      </c>
      <c r="B2798" s="13" t="n">
        <v>45139</v>
      </c>
      <c r="C2798" s="4" t="s">
        <v>6198</v>
      </c>
      <c r="D2798" s="4" t="s">
        <v>6196</v>
      </c>
      <c r="E2798" s="4" t="s">
        <v>6211</v>
      </c>
      <c r="F2798" s="4" t="s">
        <v>6204</v>
      </c>
    </row>
    <row r="2799" customFormat="false" ht="15" hidden="false" customHeight="true" outlineLevel="0" collapsed="false">
      <c r="A2799" s="4" t="s">
        <v>2975</v>
      </c>
      <c r="B2799" s="13" t="n">
        <v>45281</v>
      </c>
      <c r="C2799" s="4" t="s">
        <v>6213</v>
      </c>
      <c r="D2799" s="4" t="s">
        <v>6211</v>
      </c>
      <c r="E2799" s="4" t="s">
        <v>6206</v>
      </c>
      <c r="F2799" s="4"/>
    </row>
    <row r="2800" customFormat="false" ht="15" hidden="false" customHeight="true" outlineLevel="0" collapsed="false">
      <c r="A2800" s="4" t="s">
        <v>2976</v>
      </c>
      <c r="B2800" s="13" t="n">
        <v>45425</v>
      </c>
      <c r="C2800" s="4" t="s">
        <v>6194</v>
      </c>
      <c r="D2800" s="4" t="s">
        <v>6206</v>
      </c>
      <c r="E2800" s="4" t="s">
        <v>6206</v>
      </c>
      <c r="F2800" s="4" t="s">
        <v>6200</v>
      </c>
    </row>
    <row r="2801" customFormat="false" ht="15" hidden="false" customHeight="true" outlineLevel="0" collapsed="false">
      <c r="A2801" s="4" t="s">
        <v>2977</v>
      </c>
      <c r="B2801" s="13" t="n">
        <v>45322</v>
      </c>
      <c r="C2801" s="4" t="s">
        <v>6215</v>
      </c>
      <c r="D2801" s="4" t="s">
        <v>6206</v>
      </c>
      <c r="E2801" s="4" t="s">
        <v>6203</v>
      </c>
      <c r="F2801" s="4" t="s">
        <v>6197</v>
      </c>
    </row>
    <row r="2802" customFormat="false" ht="15" hidden="false" customHeight="true" outlineLevel="0" collapsed="false">
      <c r="A2802" s="4" t="s">
        <v>2978</v>
      </c>
      <c r="B2802" s="13" t="n">
        <v>45044</v>
      </c>
      <c r="C2802" s="4" t="s">
        <v>6213</v>
      </c>
      <c r="D2802" s="4" t="s">
        <v>6208</v>
      </c>
      <c r="E2802" s="4" t="s">
        <v>6203</v>
      </c>
      <c r="F2802" s="4" t="s">
        <v>6212</v>
      </c>
    </row>
    <row r="2803" customFormat="false" ht="15" hidden="false" customHeight="true" outlineLevel="0" collapsed="false">
      <c r="A2803" s="4" t="s">
        <v>2979</v>
      </c>
      <c r="B2803" s="13" t="n">
        <v>45408</v>
      </c>
      <c r="C2803" s="4" t="s">
        <v>6210</v>
      </c>
      <c r="D2803" s="4" t="s">
        <v>6208</v>
      </c>
      <c r="E2803" s="4" t="s">
        <v>6203</v>
      </c>
      <c r="F2803" s="4"/>
    </row>
    <row r="2804" customFormat="false" ht="15" hidden="false" customHeight="true" outlineLevel="0" collapsed="false">
      <c r="A2804" s="4" t="s">
        <v>2980</v>
      </c>
      <c r="B2804" s="13" t="n">
        <v>45023</v>
      </c>
      <c r="C2804" s="4" t="s">
        <v>6201</v>
      </c>
      <c r="D2804" s="4" t="s">
        <v>6207</v>
      </c>
      <c r="E2804" s="4" t="s">
        <v>6196</v>
      </c>
      <c r="F2804" s="4" t="s">
        <v>6214</v>
      </c>
    </row>
    <row r="2805" customFormat="false" ht="15" hidden="false" customHeight="true" outlineLevel="0" collapsed="false">
      <c r="A2805" s="4" t="s">
        <v>2981</v>
      </c>
      <c r="B2805" s="13" t="n">
        <v>45262</v>
      </c>
      <c r="C2805" s="4" t="s">
        <v>6215</v>
      </c>
      <c r="D2805" s="4" t="s">
        <v>6195</v>
      </c>
      <c r="E2805" s="4" t="s">
        <v>6207</v>
      </c>
      <c r="F2805" s="4"/>
    </row>
    <row r="2806" customFormat="false" ht="15" hidden="false" customHeight="true" outlineLevel="0" collapsed="false">
      <c r="A2806" s="4" t="s">
        <v>2982</v>
      </c>
      <c r="B2806" s="13" t="n">
        <v>45410</v>
      </c>
      <c r="C2806" s="4" t="s">
        <v>6209</v>
      </c>
      <c r="D2806" s="4" t="s">
        <v>6207</v>
      </c>
      <c r="E2806" s="4" t="s">
        <v>6208</v>
      </c>
      <c r="F2806" s="4"/>
    </row>
    <row r="2807" customFormat="false" ht="15" hidden="false" customHeight="true" outlineLevel="0" collapsed="false">
      <c r="A2807" s="4" t="s">
        <v>2983</v>
      </c>
      <c r="B2807" s="13" t="n">
        <v>44985</v>
      </c>
      <c r="C2807" s="4" t="s">
        <v>6194</v>
      </c>
      <c r="D2807" s="4" t="s">
        <v>6211</v>
      </c>
      <c r="E2807" s="4" t="s">
        <v>6195</v>
      </c>
      <c r="F2807" s="4" t="s">
        <v>6214</v>
      </c>
    </row>
    <row r="2808" customFormat="false" ht="15" hidden="false" customHeight="true" outlineLevel="0" collapsed="false">
      <c r="A2808" s="4" t="s">
        <v>2984</v>
      </c>
      <c r="B2808" s="13" t="n">
        <v>45153</v>
      </c>
      <c r="C2808" s="4" t="s">
        <v>6210</v>
      </c>
      <c r="D2808" s="4" t="s">
        <v>6195</v>
      </c>
      <c r="E2808" s="4" t="s">
        <v>6211</v>
      </c>
      <c r="F2808" s="4" t="s">
        <v>6200</v>
      </c>
    </row>
    <row r="2809" customFormat="false" ht="15" hidden="false" customHeight="true" outlineLevel="0" collapsed="false">
      <c r="A2809" s="4" t="s">
        <v>2985</v>
      </c>
      <c r="B2809" s="13" t="n">
        <v>45275</v>
      </c>
      <c r="C2809" s="4" t="s">
        <v>6194</v>
      </c>
      <c r="D2809" s="4" t="s">
        <v>6208</v>
      </c>
      <c r="E2809" s="4" t="s">
        <v>6195</v>
      </c>
      <c r="F2809" s="4"/>
    </row>
    <row r="2810" customFormat="false" ht="15" hidden="false" customHeight="true" outlineLevel="0" collapsed="false">
      <c r="A2810" s="4" t="s">
        <v>2986</v>
      </c>
      <c r="B2810" s="13" t="n">
        <v>45424</v>
      </c>
      <c r="C2810" s="4" t="s">
        <v>6201</v>
      </c>
      <c r="D2810" s="4" t="s">
        <v>6208</v>
      </c>
      <c r="E2810" s="4" t="s">
        <v>6196</v>
      </c>
      <c r="F2810" s="4"/>
    </row>
    <row r="2811" customFormat="false" ht="15" hidden="false" customHeight="true" outlineLevel="0" collapsed="false">
      <c r="A2811" s="4" t="s">
        <v>2987</v>
      </c>
      <c r="B2811" s="13" t="n">
        <v>45461</v>
      </c>
      <c r="C2811" s="4" t="s">
        <v>6201</v>
      </c>
      <c r="D2811" s="4" t="s">
        <v>6195</v>
      </c>
      <c r="E2811" s="4" t="s">
        <v>6202</v>
      </c>
      <c r="F2811" s="4" t="s">
        <v>6200</v>
      </c>
    </row>
    <row r="2812" customFormat="false" ht="15" hidden="false" customHeight="true" outlineLevel="0" collapsed="false">
      <c r="A2812" s="4" t="s">
        <v>2988</v>
      </c>
      <c r="B2812" s="13" t="n">
        <v>45063</v>
      </c>
      <c r="C2812" s="4" t="s">
        <v>6215</v>
      </c>
      <c r="D2812" s="4" t="s">
        <v>6208</v>
      </c>
      <c r="E2812" s="4" t="s">
        <v>6195</v>
      </c>
      <c r="F2812" s="4" t="s">
        <v>6212</v>
      </c>
    </row>
    <row r="2813" customFormat="false" ht="15" hidden="false" customHeight="true" outlineLevel="0" collapsed="false">
      <c r="A2813" s="4" t="s">
        <v>2989</v>
      </c>
      <c r="B2813" s="13" t="n">
        <v>45293</v>
      </c>
      <c r="C2813" s="4" t="s">
        <v>6201</v>
      </c>
      <c r="D2813" s="4" t="s">
        <v>6195</v>
      </c>
      <c r="E2813" s="4" t="s">
        <v>6208</v>
      </c>
      <c r="F2813" s="4" t="s">
        <v>6200</v>
      </c>
    </row>
    <row r="2814" customFormat="false" ht="15" hidden="false" customHeight="true" outlineLevel="0" collapsed="false">
      <c r="A2814" s="4" t="s">
        <v>2990</v>
      </c>
      <c r="B2814" s="13" t="n">
        <v>45359</v>
      </c>
      <c r="C2814" s="4" t="s">
        <v>6213</v>
      </c>
      <c r="D2814" s="4" t="s">
        <v>6211</v>
      </c>
      <c r="E2814" s="4" t="s">
        <v>6211</v>
      </c>
      <c r="F2814" s="4" t="s">
        <v>6197</v>
      </c>
    </row>
    <row r="2815" customFormat="false" ht="15" hidden="false" customHeight="true" outlineLevel="0" collapsed="false">
      <c r="A2815" s="4" t="s">
        <v>2991</v>
      </c>
      <c r="B2815" s="13" t="n">
        <v>45643</v>
      </c>
      <c r="C2815" s="4" t="s">
        <v>6210</v>
      </c>
      <c r="D2815" s="4" t="s">
        <v>6202</v>
      </c>
      <c r="E2815" s="4" t="s">
        <v>6211</v>
      </c>
      <c r="F2815" s="4"/>
    </row>
    <row r="2816" customFormat="false" ht="15" hidden="false" customHeight="true" outlineLevel="0" collapsed="false">
      <c r="A2816" s="4" t="s">
        <v>2992</v>
      </c>
      <c r="B2816" s="13" t="n">
        <v>45450</v>
      </c>
      <c r="C2816" s="4" t="s">
        <v>6215</v>
      </c>
      <c r="D2816" s="4" t="s">
        <v>6208</v>
      </c>
      <c r="E2816" s="4" t="s">
        <v>6199</v>
      </c>
      <c r="F2816" s="4" t="s">
        <v>6212</v>
      </c>
    </row>
    <row r="2817" customFormat="false" ht="15" hidden="false" customHeight="true" outlineLevel="0" collapsed="false">
      <c r="A2817" s="4" t="s">
        <v>2993</v>
      </c>
      <c r="B2817" s="13" t="n">
        <v>45644</v>
      </c>
      <c r="C2817" s="4" t="s">
        <v>6215</v>
      </c>
      <c r="D2817" s="4" t="s">
        <v>6205</v>
      </c>
      <c r="E2817" s="4" t="s">
        <v>6202</v>
      </c>
      <c r="F2817" s="4" t="s">
        <v>6214</v>
      </c>
    </row>
    <row r="2818" customFormat="false" ht="15" hidden="false" customHeight="true" outlineLevel="0" collapsed="false">
      <c r="A2818" s="4" t="s">
        <v>2994</v>
      </c>
      <c r="B2818" s="13" t="n">
        <v>45148</v>
      </c>
      <c r="C2818" s="4" t="s">
        <v>6194</v>
      </c>
      <c r="D2818" s="4" t="s">
        <v>6202</v>
      </c>
      <c r="E2818" s="4" t="s">
        <v>6205</v>
      </c>
      <c r="F2818" s="4"/>
    </row>
    <row r="2819" customFormat="false" ht="15" hidden="false" customHeight="true" outlineLevel="0" collapsed="false">
      <c r="A2819" s="4" t="s">
        <v>2995</v>
      </c>
      <c r="B2819" s="13" t="n">
        <v>45360</v>
      </c>
      <c r="C2819" s="4" t="s">
        <v>6213</v>
      </c>
      <c r="D2819" s="4" t="s">
        <v>6195</v>
      </c>
      <c r="E2819" s="4" t="s">
        <v>6202</v>
      </c>
      <c r="F2819" s="4"/>
    </row>
    <row r="2820" customFormat="false" ht="15" hidden="false" customHeight="true" outlineLevel="0" collapsed="false">
      <c r="A2820" s="4" t="s">
        <v>2996</v>
      </c>
      <c r="B2820" s="13" t="n">
        <v>45118</v>
      </c>
      <c r="C2820" s="4" t="s">
        <v>6201</v>
      </c>
      <c r="D2820" s="4" t="s">
        <v>6207</v>
      </c>
      <c r="E2820" s="4" t="s">
        <v>6199</v>
      </c>
      <c r="F2820" s="4" t="s">
        <v>6204</v>
      </c>
    </row>
    <row r="2821" customFormat="false" ht="15" hidden="false" customHeight="true" outlineLevel="0" collapsed="false">
      <c r="A2821" s="4" t="s">
        <v>2997</v>
      </c>
      <c r="B2821" s="13" t="n">
        <v>45454</v>
      </c>
      <c r="C2821" s="4" t="s">
        <v>6194</v>
      </c>
      <c r="D2821" s="4" t="s">
        <v>6195</v>
      </c>
      <c r="E2821" s="4" t="s">
        <v>6205</v>
      </c>
      <c r="F2821" s="4" t="s">
        <v>6214</v>
      </c>
    </row>
    <row r="2822" customFormat="false" ht="15" hidden="false" customHeight="true" outlineLevel="0" collapsed="false">
      <c r="A2822" s="4" t="s">
        <v>2998</v>
      </c>
      <c r="B2822" s="13" t="n">
        <v>45309</v>
      </c>
      <c r="C2822" s="4" t="s">
        <v>6198</v>
      </c>
      <c r="D2822" s="4" t="s">
        <v>6195</v>
      </c>
      <c r="E2822" s="4" t="s">
        <v>6195</v>
      </c>
      <c r="F2822" s="4" t="s">
        <v>6200</v>
      </c>
    </row>
    <row r="2823" customFormat="false" ht="15" hidden="false" customHeight="true" outlineLevel="0" collapsed="false">
      <c r="A2823" s="4" t="s">
        <v>2999</v>
      </c>
      <c r="B2823" s="13" t="n">
        <v>45452</v>
      </c>
      <c r="C2823" s="4" t="s">
        <v>6194</v>
      </c>
      <c r="D2823" s="4" t="s">
        <v>6199</v>
      </c>
      <c r="E2823" s="4" t="s">
        <v>6203</v>
      </c>
      <c r="F2823" s="4"/>
    </row>
    <row r="2824" customFormat="false" ht="15" hidden="false" customHeight="true" outlineLevel="0" collapsed="false">
      <c r="A2824" s="4" t="s">
        <v>3000</v>
      </c>
      <c r="B2824" s="13" t="n">
        <v>45647</v>
      </c>
      <c r="C2824" s="4" t="s">
        <v>6201</v>
      </c>
      <c r="D2824" s="4" t="s">
        <v>6195</v>
      </c>
      <c r="E2824" s="4" t="s">
        <v>6196</v>
      </c>
      <c r="F2824" s="4"/>
    </row>
    <row r="2825" customFormat="false" ht="15" hidden="false" customHeight="true" outlineLevel="0" collapsed="false">
      <c r="A2825" s="4" t="s">
        <v>3001</v>
      </c>
      <c r="B2825" s="13" t="n">
        <v>45477</v>
      </c>
      <c r="C2825" s="4" t="s">
        <v>6213</v>
      </c>
      <c r="D2825" s="4" t="s">
        <v>6211</v>
      </c>
      <c r="E2825" s="4" t="s">
        <v>6196</v>
      </c>
      <c r="F2825" s="4" t="s">
        <v>6204</v>
      </c>
    </row>
    <row r="2826" customFormat="false" ht="15" hidden="false" customHeight="true" outlineLevel="0" collapsed="false">
      <c r="A2826" s="4" t="s">
        <v>3002</v>
      </c>
      <c r="B2826" s="13" t="n">
        <v>45080</v>
      </c>
      <c r="C2826" s="4" t="s">
        <v>6201</v>
      </c>
      <c r="D2826" s="4" t="s">
        <v>6208</v>
      </c>
      <c r="E2826" s="4" t="s">
        <v>6196</v>
      </c>
      <c r="F2826" s="4" t="s">
        <v>6212</v>
      </c>
    </row>
    <row r="2827" customFormat="false" ht="15" hidden="false" customHeight="true" outlineLevel="0" collapsed="false">
      <c r="A2827" s="4" t="s">
        <v>3003</v>
      </c>
      <c r="B2827" s="13" t="n">
        <v>45573</v>
      </c>
      <c r="C2827" s="4" t="s">
        <v>6209</v>
      </c>
      <c r="D2827" s="4" t="s">
        <v>6211</v>
      </c>
      <c r="E2827" s="4" t="s">
        <v>6195</v>
      </c>
      <c r="F2827" s="4"/>
    </row>
    <row r="2828" customFormat="false" ht="15" hidden="false" customHeight="true" outlineLevel="0" collapsed="false">
      <c r="A2828" s="4" t="s">
        <v>3004</v>
      </c>
      <c r="B2828" s="13" t="n">
        <v>45243</v>
      </c>
      <c r="C2828" s="4" t="s">
        <v>6210</v>
      </c>
      <c r="D2828" s="4" t="s">
        <v>6195</v>
      </c>
      <c r="E2828" s="4" t="s">
        <v>6202</v>
      </c>
      <c r="F2828" s="4"/>
    </row>
    <row r="2829" customFormat="false" ht="15" hidden="false" customHeight="true" outlineLevel="0" collapsed="false">
      <c r="A2829" s="4" t="s">
        <v>3005</v>
      </c>
      <c r="B2829" s="13" t="n">
        <v>45215</v>
      </c>
      <c r="C2829" s="4" t="s">
        <v>6198</v>
      </c>
      <c r="D2829" s="4" t="s">
        <v>6195</v>
      </c>
      <c r="E2829" s="4" t="s">
        <v>6202</v>
      </c>
      <c r="F2829" s="4" t="s">
        <v>6200</v>
      </c>
    </row>
    <row r="2830" customFormat="false" ht="15" hidden="false" customHeight="true" outlineLevel="0" collapsed="false">
      <c r="A2830" s="4" t="s">
        <v>3006</v>
      </c>
      <c r="B2830" s="13" t="n">
        <v>45216</v>
      </c>
      <c r="C2830" s="4" t="s">
        <v>6213</v>
      </c>
      <c r="D2830" s="4" t="s">
        <v>6211</v>
      </c>
      <c r="E2830" s="4" t="s">
        <v>6199</v>
      </c>
      <c r="F2830" s="4" t="s">
        <v>6204</v>
      </c>
    </row>
    <row r="2831" customFormat="false" ht="15" hidden="false" customHeight="true" outlineLevel="0" collapsed="false">
      <c r="A2831" s="4" t="s">
        <v>3007</v>
      </c>
      <c r="B2831" s="13" t="n">
        <v>45292</v>
      </c>
      <c r="C2831" s="4" t="s">
        <v>6210</v>
      </c>
      <c r="D2831" s="4" t="s">
        <v>6211</v>
      </c>
      <c r="E2831" s="4" t="s">
        <v>6206</v>
      </c>
      <c r="F2831" s="4"/>
    </row>
    <row r="2832" customFormat="false" ht="15" hidden="false" customHeight="true" outlineLevel="0" collapsed="false">
      <c r="A2832" s="4" t="s">
        <v>3008</v>
      </c>
      <c r="B2832" s="13" t="n">
        <v>44963</v>
      </c>
      <c r="C2832" s="4" t="s">
        <v>6213</v>
      </c>
      <c r="D2832" s="4" t="s">
        <v>6206</v>
      </c>
      <c r="E2832" s="4" t="s">
        <v>6207</v>
      </c>
      <c r="F2832" s="4" t="s">
        <v>6214</v>
      </c>
    </row>
    <row r="2833" customFormat="false" ht="15" hidden="false" customHeight="true" outlineLevel="0" collapsed="false">
      <c r="A2833" s="4" t="s">
        <v>3009</v>
      </c>
      <c r="B2833" s="13" t="n">
        <v>44957</v>
      </c>
      <c r="C2833" s="4" t="s">
        <v>6198</v>
      </c>
      <c r="D2833" s="4" t="s">
        <v>6208</v>
      </c>
      <c r="E2833" s="4" t="s">
        <v>6195</v>
      </c>
      <c r="F2833" s="4" t="s">
        <v>6216</v>
      </c>
    </row>
    <row r="2834" customFormat="false" ht="15" hidden="false" customHeight="true" outlineLevel="0" collapsed="false">
      <c r="A2834" s="4" t="s">
        <v>3010</v>
      </c>
      <c r="B2834" s="13" t="n">
        <v>45024</v>
      </c>
      <c r="C2834" s="4" t="s">
        <v>6209</v>
      </c>
      <c r="D2834" s="4" t="s">
        <v>6207</v>
      </c>
      <c r="E2834" s="4" t="s">
        <v>6206</v>
      </c>
      <c r="F2834" s="4" t="s">
        <v>6197</v>
      </c>
    </row>
    <row r="2835" customFormat="false" ht="15" hidden="false" customHeight="true" outlineLevel="0" collapsed="false">
      <c r="A2835" s="4" t="s">
        <v>3011</v>
      </c>
      <c r="B2835" s="13" t="n">
        <v>45523</v>
      </c>
      <c r="C2835" s="4" t="s">
        <v>6210</v>
      </c>
      <c r="D2835" s="4" t="s">
        <v>6205</v>
      </c>
      <c r="E2835" s="4" t="s">
        <v>6208</v>
      </c>
      <c r="F2835" s="4" t="s">
        <v>6214</v>
      </c>
    </row>
    <row r="2836" customFormat="false" ht="15" hidden="false" customHeight="true" outlineLevel="0" collapsed="false">
      <c r="A2836" s="4" t="s">
        <v>3012</v>
      </c>
      <c r="B2836" s="13" t="n">
        <v>45357</v>
      </c>
      <c r="C2836" s="4" t="s">
        <v>6194</v>
      </c>
      <c r="D2836" s="4" t="s">
        <v>6199</v>
      </c>
      <c r="E2836" s="4" t="s">
        <v>6211</v>
      </c>
      <c r="F2836" s="4" t="s">
        <v>6204</v>
      </c>
    </row>
    <row r="2837" customFormat="false" ht="15" hidden="false" customHeight="true" outlineLevel="0" collapsed="false">
      <c r="A2837" s="4" t="s">
        <v>3013</v>
      </c>
      <c r="B2837" s="13" t="n">
        <v>45061</v>
      </c>
      <c r="C2837" s="4" t="s">
        <v>6213</v>
      </c>
      <c r="D2837" s="4" t="s">
        <v>6206</v>
      </c>
      <c r="E2837" s="4" t="s">
        <v>6203</v>
      </c>
      <c r="F2837" s="4" t="s">
        <v>6214</v>
      </c>
    </row>
    <row r="2838" customFormat="false" ht="15" hidden="false" customHeight="true" outlineLevel="0" collapsed="false">
      <c r="A2838" s="4" t="s">
        <v>3014</v>
      </c>
      <c r="B2838" s="13" t="n">
        <v>45377</v>
      </c>
      <c r="C2838" s="4" t="s">
        <v>6215</v>
      </c>
      <c r="D2838" s="4" t="s">
        <v>6199</v>
      </c>
      <c r="E2838" s="4" t="s">
        <v>6205</v>
      </c>
      <c r="F2838" s="4"/>
    </row>
    <row r="2839" customFormat="false" ht="15" hidden="false" customHeight="true" outlineLevel="0" collapsed="false">
      <c r="A2839" s="4" t="s">
        <v>3015</v>
      </c>
      <c r="B2839" s="13" t="n">
        <v>44959</v>
      </c>
      <c r="C2839" s="4" t="s">
        <v>6210</v>
      </c>
      <c r="D2839" s="4" t="s">
        <v>6206</v>
      </c>
      <c r="E2839" s="4" t="s">
        <v>6195</v>
      </c>
      <c r="F2839" s="4" t="s">
        <v>6197</v>
      </c>
    </row>
    <row r="2840" customFormat="false" ht="15" hidden="false" customHeight="true" outlineLevel="0" collapsed="false">
      <c r="A2840" s="4" t="s">
        <v>3016</v>
      </c>
      <c r="B2840" s="13" t="n">
        <v>45395</v>
      </c>
      <c r="C2840" s="4" t="s">
        <v>6215</v>
      </c>
      <c r="D2840" s="4" t="s">
        <v>6202</v>
      </c>
      <c r="E2840" s="4" t="s">
        <v>6211</v>
      </c>
      <c r="F2840" s="4" t="s">
        <v>6200</v>
      </c>
    </row>
    <row r="2841" customFormat="false" ht="15" hidden="false" customHeight="true" outlineLevel="0" collapsed="false">
      <c r="A2841" s="4" t="s">
        <v>3017</v>
      </c>
      <c r="B2841" s="13" t="n">
        <v>45258</v>
      </c>
      <c r="C2841" s="4" t="s">
        <v>6210</v>
      </c>
      <c r="D2841" s="4" t="s">
        <v>6207</v>
      </c>
      <c r="E2841" s="4" t="s">
        <v>6202</v>
      </c>
      <c r="F2841" s="4" t="s">
        <v>6216</v>
      </c>
    </row>
    <row r="2842" customFormat="false" ht="15" hidden="false" customHeight="true" outlineLevel="0" collapsed="false">
      <c r="A2842" s="4" t="s">
        <v>3018</v>
      </c>
      <c r="B2842" s="13" t="n">
        <v>45209</v>
      </c>
      <c r="C2842" s="4" t="s">
        <v>6210</v>
      </c>
      <c r="D2842" s="4" t="s">
        <v>6208</v>
      </c>
      <c r="E2842" s="4" t="s">
        <v>6202</v>
      </c>
      <c r="F2842" s="4" t="s">
        <v>6197</v>
      </c>
    </row>
    <row r="2843" customFormat="false" ht="15" hidden="false" customHeight="true" outlineLevel="0" collapsed="false">
      <c r="A2843" s="4" t="s">
        <v>3019</v>
      </c>
      <c r="B2843" s="13" t="n">
        <v>45392</v>
      </c>
      <c r="C2843" s="4" t="s">
        <v>6194</v>
      </c>
      <c r="D2843" s="4" t="s">
        <v>6203</v>
      </c>
      <c r="E2843" s="4" t="s">
        <v>6208</v>
      </c>
      <c r="F2843" s="4" t="s">
        <v>6204</v>
      </c>
    </row>
    <row r="2844" customFormat="false" ht="15" hidden="false" customHeight="true" outlineLevel="0" collapsed="false">
      <c r="A2844" s="4" t="s">
        <v>3020</v>
      </c>
      <c r="B2844" s="13" t="n">
        <v>44973</v>
      </c>
      <c r="C2844" s="4" t="s">
        <v>6198</v>
      </c>
      <c r="D2844" s="4" t="s">
        <v>6199</v>
      </c>
      <c r="E2844" s="4" t="s">
        <v>6211</v>
      </c>
      <c r="F2844" s="4"/>
    </row>
    <row r="2845" customFormat="false" ht="15" hidden="false" customHeight="true" outlineLevel="0" collapsed="false">
      <c r="A2845" s="4" t="s">
        <v>3021</v>
      </c>
      <c r="B2845" s="13" t="n">
        <v>45634</v>
      </c>
      <c r="C2845" s="4" t="s">
        <v>6201</v>
      </c>
      <c r="D2845" s="4" t="s">
        <v>6208</v>
      </c>
      <c r="E2845" s="4" t="s">
        <v>6211</v>
      </c>
      <c r="F2845" s="4"/>
    </row>
    <row r="2846" customFormat="false" ht="15" hidden="false" customHeight="true" outlineLevel="0" collapsed="false">
      <c r="A2846" s="4" t="s">
        <v>3022</v>
      </c>
      <c r="B2846" s="13" t="n">
        <v>45097</v>
      </c>
      <c r="C2846" s="4" t="s">
        <v>6201</v>
      </c>
      <c r="D2846" s="4" t="s">
        <v>6196</v>
      </c>
      <c r="E2846" s="4" t="s">
        <v>6195</v>
      </c>
      <c r="F2846" s="4"/>
    </row>
    <row r="2847" customFormat="false" ht="15" hidden="false" customHeight="true" outlineLevel="0" collapsed="false">
      <c r="A2847" s="4" t="s">
        <v>3023</v>
      </c>
      <c r="B2847" s="13" t="n">
        <v>45458</v>
      </c>
      <c r="C2847" s="4" t="s">
        <v>6209</v>
      </c>
      <c r="D2847" s="4" t="s">
        <v>6207</v>
      </c>
      <c r="E2847" s="4" t="s">
        <v>6208</v>
      </c>
      <c r="F2847" s="4" t="s">
        <v>6212</v>
      </c>
    </row>
    <row r="2848" customFormat="false" ht="15" hidden="false" customHeight="true" outlineLevel="0" collapsed="false">
      <c r="A2848" s="4" t="s">
        <v>3024</v>
      </c>
      <c r="B2848" s="13" t="n">
        <v>45075</v>
      </c>
      <c r="C2848" s="4" t="s">
        <v>6201</v>
      </c>
      <c r="D2848" s="4" t="s">
        <v>6207</v>
      </c>
      <c r="E2848" s="4" t="s">
        <v>6203</v>
      </c>
      <c r="F2848" s="4" t="s">
        <v>6216</v>
      </c>
    </row>
    <row r="2849" customFormat="false" ht="15" hidden="false" customHeight="true" outlineLevel="0" collapsed="false">
      <c r="A2849" s="4" t="s">
        <v>3025</v>
      </c>
      <c r="B2849" s="13" t="n">
        <v>45207</v>
      </c>
      <c r="C2849" s="4" t="s">
        <v>6194</v>
      </c>
      <c r="D2849" s="4" t="s">
        <v>6206</v>
      </c>
      <c r="E2849" s="4" t="s">
        <v>6203</v>
      </c>
      <c r="F2849" s="4" t="s">
        <v>6197</v>
      </c>
    </row>
    <row r="2850" customFormat="false" ht="15" hidden="false" customHeight="true" outlineLevel="0" collapsed="false">
      <c r="A2850" s="4" t="s">
        <v>3026</v>
      </c>
      <c r="B2850" s="13" t="n">
        <v>45233</v>
      </c>
      <c r="C2850" s="4" t="s">
        <v>6201</v>
      </c>
      <c r="D2850" s="4" t="s">
        <v>6199</v>
      </c>
      <c r="E2850" s="4" t="s">
        <v>6202</v>
      </c>
      <c r="F2850" s="4" t="s">
        <v>6200</v>
      </c>
    </row>
    <row r="2851" customFormat="false" ht="15" hidden="false" customHeight="true" outlineLevel="0" collapsed="false">
      <c r="A2851" s="4" t="s">
        <v>3027</v>
      </c>
      <c r="B2851" s="13" t="n">
        <v>45650</v>
      </c>
      <c r="C2851" s="4" t="s">
        <v>6194</v>
      </c>
      <c r="D2851" s="4" t="s">
        <v>6202</v>
      </c>
      <c r="E2851" s="4" t="s">
        <v>6211</v>
      </c>
      <c r="F2851" s="4" t="s">
        <v>6200</v>
      </c>
    </row>
    <row r="2852" customFormat="false" ht="15" hidden="false" customHeight="true" outlineLevel="0" collapsed="false">
      <c r="A2852" s="4" t="s">
        <v>3028</v>
      </c>
      <c r="B2852" s="13" t="n">
        <v>45418</v>
      </c>
      <c r="C2852" s="4" t="s">
        <v>6215</v>
      </c>
      <c r="D2852" s="4" t="s">
        <v>6211</v>
      </c>
      <c r="E2852" s="4" t="s">
        <v>6196</v>
      </c>
      <c r="F2852" s="4" t="s">
        <v>6214</v>
      </c>
    </row>
    <row r="2853" customFormat="false" ht="15" hidden="false" customHeight="true" outlineLevel="0" collapsed="false">
      <c r="A2853" s="4" t="s">
        <v>3029</v>
      </c>
      <c r="B2853" s="13" t="n">
        <v>45553</v>
      </c>
      <c r="C2853" s="4" t="s">
        <v>6210</v>
      </c>
      <c r="D2853" s="4" t="s">
        <v>6207</v>
      </c>
      <c r="E2853" s="4" t="s">
        <v>6199</v>
      </c>
      <c r="F2853" s="4" t="s">
        <v>6204</v>
      </c>
    </row>
    <row r="2854" customFormat="false" ht="15" hidden="false" customHeight="true" outlineLevel="0" collapsed="false">
      <c r="A2854" s="4" t="s">
        <v>3030</v>
      </c>
      <c r="B2854" s="13" t="n">
        <v>45373</v>
      </c>
      <c r="C2854" s="4" t="s">
        <v>6194</v>
      </c>
      <c r="D2854" s="4" t="s">
        <v>6203</v>
      </c>
      <c r="E2854" s="4" t="s">
        <v>6207</v>
      </c>
      <c r="F2854" s="4" t="s">
        <v>6214</v>
      </c>
    </row>
    <row r="2855" customFormat="false" ht="15" hidden="false" customHeight="true" outlineLevel="0" collapsed="false">
      <c r="A2855" s="4" t="s">
        <v>3031</v>
      </c>
      <c r="B2855" s="13" t="n">
        <v>45165</v>
      </c>
      <c r="C2855" s="4" t="s">
        <v>6213</v>
      </c>
      <c r="D2855" s="4" t="s">
        <v>6202</v>
      </c>
      <c r="E2855" s="4" t="s">
        <v>6208</v>
      </c>
      <c r="F2855" s="4" t="s">
        <v>6214</v>
      </c>
    </row>
    <row r="2856" customFormat="false" ht="15" hidden="false" customHeight="true" outlineLevel="0" collapsed="false">
      <c r="A2856" s="4" t="s">
        <v>3032</v>
      </c>
      <c r="B2856" s="13" t="n">
        <v>45588</v>
      </c>
      <c r="C2856" s="4" t="s">
        <v>6201</v>
      </c>
      <c r="D2856" s="4" t="s">
        <v>6199</v>
      </c>
      <c r="E2856" s="4" t="s">
        <v>6205</v>
      </c>
      <c r="F2856" s="4"/>
    </row>
    <row r="2857" customFormat="false" ht="15" hidden="false" customHeight="true" outlineLevel="0" collapsed="false">
      <c r="A2857" s="4" t="s">
        <v>3033</v>
      </c>
      <c r="B2857" s="13" t="n">
        <v>45452</v>
      </c>
      <c r="C2857" s="4" t="s">
        <v>6210</v>
      </c>
      <c r="D2857" s="4" t="s">
        <v>6211</v>
      </c>
      <c r="E2857" s="4" t="s">
        <v>6205</v>
      </c>
      <c r="F2857" s="4" t="s">
        <v>6214</v>
      </c>
    </row>
    <row r="2858" customFormat="false" ht="15" hidden="false" customHeight="true" outlineLevel="0" collapsed="false">
      <c r="A2858" s="4" t="s">
        <v>3034</v>
      </c>
      <c r="B2858" s="13" t="n">
        <v>45450</v>
      </c>
      <c r="C2858" s="4" t="s">
        <v>6210</v>
      </c>
      <c r="D2858" s="4" t="s">
        <v>6195</v>
      </c>
      <c r="E2858" s="4" t="s">
        <v>6205</v>
      </c>
      <c r="F2858" s="4" t="s">
        <v>6216</v>
      </c>
    </row>
    <row r="2859" customFormat="false" ht="15" hidden="false" customHeight="true" outlineLevel="0" collapsed="false">
      <c r="A2859" s="4" t="s">
        <v>3035</v>
      </c>
      <c r="B2859" s="13" t="n">
        <v>45455</v>
      </c>
      <c r="C2859" s="4" t="s">
        <v>6194</v>
      </c>
      <c r="D2859" s="4" t="s">
        <v>6203</v>
      </c>
      <c r="E2859" s="4" t="s">
        <v>6211</v>
      </c>
      <c r="F2859" s="4"/>
    </row>
    <row r="2860" customFormat="false" ht="15" hidden="false" customHeight="true" outlineLevel="0" collapsed="false">
      <c r="A2860" s="4" t="s">
        <v>3036</v>
      </c>
      <c r="B2860" s="13" t="n">
        <v>45519</v>
      </c>
      <c r="C2860" s="4" t="s">
        <v>6198</v>
      </c>
      <c r="D2860" s="4" t="s">
        <v>6205</v>
      </c>
      <c r="E2860" s="4" t="s">
        <v>6205</v>
      </c>
      <c r="F2860" s="4"/>
    </row>
    <row r="2861" customFormat="false" ht="15" hidden="false" customHeight="true" outlineLevel="0" collapsed="false">
      <c r="A2861" s="4" t="s">
        <v>3037</v>
      </c>
      <c r="B2861" s="13" t="n">
        <v>45155</v>
      </c>
      <c r="C2861" s="4" t="s">
        <v>6201</v>
      </c>
      <c r="D2861" s="4" t="s">
        <v>6208</v>
      </c>
      <c r="E2861" s="4" t="s">
        <v>6207</v>
      </c>
      <c r="F2861" s="4" t="s">
        <v>6200</v>
      </c>
    </row>
    <row r="2862" customFormat="false" ht="15" hidden="false" customHeight="true" outlineLevel="0" collapsed="false">
      <c r="A2862" s="4" t="s">
        <v>3038</v>
      </c>
      <c r="B2862" s="13" t="n">
        <v>45637</v>
      </c>
      <c r="C2862" s="4" t="s">
        <v>6210</v>
      </c>
      <c r="D2862" s="4" t="s">
        <v>6207</v>
      </c>
      <c r="E2862" s="4" t="s">
        <v>6195</v>
      </c>
      <c r="F2862" s="4" t="s">
        <v>6214</v>
      </c>
    </row>
    <row r="2863" customFormat="false" ht="15" hidden="false" customHeight="true" outlineLevel="0" collapsed="false">
      <c r="A2863" s="4" t="s">
        <v>3039</v>
      </c>
      <c r="B2863" s="13" t="n">
        <v>45452</v>
      </c>
      <c r="C2863" s="4" t="s">
        <v>6194</v>
      </c>
      <c r="D2863" s="4" t="s">
        <v>6199</v>
      </c>
      <c r="E2863" s="4" t="s">
        <v>6203</v>
      </c>
      <c r="F2863" s="4" t="s">
        <v>6216</v>
      </c>
    </row>
    <row r="2864" customFormat="false" ht="15" hidden="false" customHeight="true" outlineLevel="0" collapsed="false">
      <c r="A2864" s="4" t="s">
        <v>3040</v>
      </c>
      <c r="B2864" s="13" t="n">
        <v>45427</v>
      </c>
      <c r="C2864" s="4" t="s">
        <v>6213</v>
      </c>
      <c r="D2864" s="4" t="s">
        <v>6208</v>
      </c>
      <c r="E2864" s="4" t="s">
        <v>6205</v>
      </c>
      <c r="F2864" s="4" t="s">
        <v>6197</v>
      </c>
    </row>
    <row r="2865" customFormat="false" ht="15" hidden="false" customHeight="true" outlineLevel="0" collapsed="false">
      <c r="A2865" s="4" t="s">
        <v>3041</v>
      </c>
      <c r="B2865" s="13" t="n">
        <v>45039</v>
      </c>
      <c r="C2865" s="4" t="s">
        <v>6209</v>
      </c>
      <c r="D2865" s="4" t="s">
        <v>6199</v>
      </c>
      <c r="E2865" s="4" t="s">
        <v>6205</v>
      </c>
      <c r="F2865" s="4" t="s">
        <v>6216</v>
      </c>
    </row>
    <row r="2866" customFormat="false" ht="15" hidden="false" customHeight="true" outlineLevel="0" collapsed="false">
      <c r="A2866" s="4" t="s">
        <v>3042</v>
      </c>
      <c r="B2866" s="13" t="n">
        <v>45391</v>
      </c>
      <c r="C2866" s="4" t="s">
        <v>6198</v>
      </c>
      <c r="D2866" s="4" t="s">
        <v>6195</v>
      </c>
      <c r="E2866" s="4" t="s">
        <v>6205</v>
      </c>
      <c r="F2866" s="4"/>
    </row>
    <row r="2867" customFormat="false" ht="15" hidden="false" customHeight="true" outlineLevel="0" collapsed="false">
      <c r="A2867" s="4" t="s">
        <v>3043</v>
      </c>
      <c r="B2867" s="13" t="n">
        <v>45280</v>
      </c>
      <c r="C2867" s="4" t="s">
        <v>6194</v>
      </c>
      <c r="D2867" s="4" t="s">
        <v>6211</v>
      </c>
      <c r="E2867" s="4" t="s">
        <v>6203</v>
      </c>
      <c r="F2867" s="4" t="s">
        <v>6212</v>
      </c>
    </row>
    <row r="2868" customFormat="false" ht="15" hidden="false" customHeight="true" outlineLevel="0" collapsed="false">
      <c r="A2868" s="4" t="s">
        <v>3044</v>
      </c>
      <c r="B2868" s="13" t="n">
        <v>45116</v>
      </c>
      <c r="C2868" s="4" t="s">
        <v>6213</v>
      </c>
      <c r="D2868" s="4" t="s">
        <v>6211</v>
      </c>
      <c r="E2868" s="4" t="s">
        <v>6207</v>
      </c>
      <c r="F2868" s="4"/>
    </row>
    <row r="2869" customFormat="false" ht="15" hidden="false" customHeight="true" outlineLevel="0" collapsed="false">
      <c r="A2869" s="4" t="s">
        <v>3045</v>
      </c>
      <c r="B2869" s="13" t="n">
        <v>45283</v>
      </c>
      <c r="C2869" s="4" t="s">
        <v>6210</v>
      </c>
      <c r="D2869" s="4" t="s">
        <v>6199</v>
      </c>
      <c r="E2869" s="4" t="s">
        <v>6206</v>
      </c>
      <c r="F2869" s="4" t="s">
        <v>6216</v>
      </c>
    </row>
    <row r="2870" customFormat="false" ht="15" hidden="false" customHeight="true" outlineLevel="0" collapsed="false">
      <c r="A2870" s="4" t="s">
        <v>3046</v>
      </c>
      <c r="B2870" s="13" t="n">
        <v>45213</v>
      </c>
      <c r="C2870" s="4" t="s">
        <v>6201</v>
      </c>
      <c r="D2870" s="4" t="s">
        <v>6207</v>
      </c>
      <c r="E2870" s="4" t="s">
        <v>6199</v>
      </c>
      <c r="F2870" s="4" t="s">
        <v>6216</v>
      </c>
    </row>
    <row r="2871" customFormat="false" ht="15" hidden="false" customHeight="true" outlineLevel="0" collapsed="false">
      <c r="A2871" s="4" t="s">
        <v>3047</v>
      </c>
      <c r="B2871" s="13" t="n">
        <v>45042</v>
      </c>
      <c r="C2871" s="4" t="s">
        <v>6198</v>
      </c>
      <c r="D2871" s="4" t="s">
        <v>6207</v>
      </c>
      <c r="E2871" s="4" t="s">
        <v>6199</v>
      </c>
      <c r="F2871" s="4"/>
    </row>
    <row r="2872" customFormat="false" ht="15" hidden="false" customHeight="true" outlineLevel="0" collapsed="false">
      <c r="A2872" s="4" t="s">
        <v>3048</v>
      </c>
      <c r="B2872" s="13" t="n">
        <v>45295</v>
      </c>
      <c r="C2872" s="4" t="s">
        <v>6201</v>
      </c>
      <c r="D2872" s="4" t="s">
        <v>6202</v>
      </c>
      <c r="E2872" s="4" t="s">
        <v>6195</v>
      </c>
      <c r="F2872" s="4"/>
    </row>
    <row r="2873" customFormat="false" ht="15" hidden="false" customHeight="true" outlineLevel="0" collapsed="false">
      <c r="A2873" s="4" t="s">
        <v>3049</v>
      </c>
      <c r="B2873" s="13" t="n">
        <v>45601</v>
      </c>
      <c r="C2873" s="4" t="s">
        <v>6194</v>
      </c>
      <c r="D2873" s="4" t="s">
        <v>6205</v>
      </c>
      <c r="E2873" s="4" t="s">
        <v>6195</v>
      </c>
      <c r="F2873" s="4"/>
    </row>
    <row r="2874" customFormat="false" ht="15" hidden="false" customHeight="true" outlineLevel="0" collapsed="false">
      <c r="A2874" s="4" t="s">
        <v>3050</v>
      </c>
      <c r="B2874" s="13" t="n">
        <v>45338</v>
      </c>
      <c r="C2874" s="4" t="s">
        <v>6210</v>
      </c>
      <c r="D2874" s="4" t="s">
        <v>6207</v>
      </c>
      <c r="E2874" s="4" t="s">
        <v>6203</v>
      </c>
      <c r="F2874" s="4" t="s">
        <v>6200</v>
      </c>
    </row>
    <row r="2875" customFormat="false" ht="15" hidden="false" customHeight="true" outlineLevel="0" collapsed="false">
      <c r="A2875" s="4" t="s">
        <v>3051</v>
      </c>
      <c r="B2875" s="13" t="n">
        <v>45104</v>
      </c>
      <c r="C2875" s="4" t="s">
        <v>6210</v>
      </c>
      <c r="D2875" s="4" t="s">
        <v>6203</v>
      </c>
      <c r="E2875" s="4" t="s">
        <v>6206</v>
      </c>
      <c r="F2875" s="4" t="s">
        <v>6197</v>
      </c>
    </row>
    <row r="2876" customFormat="false" ht="15" hidden="false" customHeight="true" outlineLevel="0" collapsed="false">
      <c r="A2876" s="4" t="s">
        <v>3052</v>
      </c>
      <c r="B2876" s="13" t="n">
        <v>45329</v>
      </c>
      <c r="C2876" s="4" t="s">
        <v>6209</v>
      </c>
      <c r="D2876" s="4" t="s">
        <v>6196</v>
      </c>
      <c r="E2876" s="4" t="s">
        <v>6195</v>
      </c>
      <c r="F2876" s="4" t="s">
        <v>6212</v>
      </c>
    </row>
    <row r="2877" customFormat="false" ht="15" hidden="false" customHeight="true" outlineLevel="0" collapsed="false">
      <c r="A2877" s="4" t="s">
        <v>3053</v>
      </c>
      <c r="B2877" s="13" t="n">
        <v>45057</v>
      </c>
      <c r="C2877" s="4" t="s">
        <v>6209</v>
      </c>
      <c r="D2877" s="4" t="s">
        <v>6202</v>
      </c>
      <c r="E2877" s="4" t="s">
        <v>6196</v>
      </c>
      <c r="F2877" s="4" t="s">
        <v>6214</v>
      </c>
    </row>
    <row r="2878" customFormat="false" ht="15" hidden="false" customHeight="true" outlineLevel="0" collapsed="false">
      <c r="A2878" s="4" t="s">
        <v>3054</v>
      </c>
      <c r="B2878" s="13" t="n">
        <v>45500</v>
      </c>
      <c r="C2878" s="4" t="s">
        <v>6210</v>
      </c>
      <c r="D2878" s="4" t="s">
        <v>6211</v>
      </c>
      <c r="E2878" s="4" t="s">
        <v>6211</v>
      </c>
      <c r="F2878" s="4" t="s">
        <v>6216</v>
      </c>
    </row>
    <row r="2879" customFormat="false" ht="15" hidden="false" customHeight="true" outlineLevel="0" collapsed="false">
      <c r="A2879" s="4" t="s">
        <v>3055</v>
      </c>
      <c r="B2879" s="13" t="n">
        <v>45353</v>
      </c>
      <c r="C2879" s="4" t="s">
        <v>6210</v>
      </c>
      <c r="D2879" s="4" t="s">
        <v>6208</v>
      </c>
      <c r="E2879" s="4" t="s">
        <v>6195</v>
      </c>
      <c r="F2879" s="4"/>
    </row>
    <row r="2880" customFormat="false" ht="15" hidden="false" customHeight="true" outlineLevel="0" collapsed="false">
      <c r="A2880" s="4" t="s">
        <v>3056</v>
      </c>
      <c r="B2880" s="13" t="n">
        <v>45309</v>
      </c>
      <c r="C2880" s="4" t="s">
        <v>6194</v>
      </c>
      <c r="D2880" s="4" t="s">
        <v>6207</v>
      </c>
      <c r="E2880" s="4" t="s">
        <v>6206</v>
      </c>
      <c r="F2880" s="4" t="s">
        <v>6214</v>
      </c>
    </row>
    <row r="2881" customFormat="false" ht="15" hidden="false" customHeight="true" outlineLevel="0" collapsed="false">
      <c r="A2881" s="4" t="s">
        <v>3057</v>
      </c>
      <c r="B2881" s="13" t="n">
        <v>44956</v>
      </c>
      <c r="C2881" s="4" t="s">
        <v>6215</v>
      </c>
      <c r="D2881" s="4" t="s">
        <v>6203</v>
      </c>
      <c r="E2881" s="4" t="s">
        <v>6208</v>
      </c>
      <c r="F2881" s="4"/>
    </row>
    <row r="2882" customFormat="false" ht="15" hidden="false" customHeight="true" outlineLevel="0" collapsed="false">
      <c r="A2882" s="4" t="s">
        <v>3058</v>
      </c>
      <c r="B2882" s="13" t="n">
        <v>45631</v>
      </c>
      <c r="C2882" s="4" t="s">
        <v>6194</v>
      </c>
      <c r="D2882" s="4" t="s">
        <v>6196</v>
      </c>
      <c r="E2882" s="4" t="s">
        <v>6203</v>
      </c>
      <c r="F2882" s="4" t="s">
        <v>6200</v>
      </c>
    </row>
    <row r="2883" customFormat="false" ht="15" hidden="false" customHeight="true" outlineLevel="0" collapsed="false">
      <c r="A2883" s="4" t="s">
        <v>3059</v>
      </c>
      <c r="B2883" s="13" t="n">
        <v>45205</v>
      </c>
      <c r="C2883" s="4" t="s">
        <v>6198</v>
      </c>
      <c r="D2883" s="4" t="s">
        <v>6208</v>
      </c>
      <c r="E2883" s="4" t="s">
        <v>6199</v>
      </c>
      <c r="F2883" s="4"/>
    </row>
    <row r="2884" customFormat="false" ht="15" hidden="false" customHeight="true" outlineLevel="0" collapsed="false">
      <c r="A2884" s="4" t="s">
        <v>3060</v>
      </c>
      <c r="B2884" s="13" t="n">
        <v>45339</v>
      </c>
      <c r="C2884" s="4" t="s">
        <v>6209</v>
      </c>
      <c r="D2884" s="4" t="s">
        <v>6196</v>
      </c>
      <c r="E2884" s="4" t="s">
        <v>6207</v>
      </c>
      <c r="F2884" s="4" t="s">
        <v>6200</v>
      </c>
    </row>
    <row r="2885" customFormat="false" ht="15" hidden="false" customHeight="true" outlineLevel="0" collapsed="false">
      <c r="A2885" s="4" t="s">
        <v>3061</v>
      </c>
      <c r="B2885" s="13" t="n">
        <v>45276</v>
      </c>
      <c r="C2885" s="4" t="s">
        <v>6209</v>
      </c>
      <c r="D2885" s="4" t="s">
        <v>6206</v>
      </c>
      <c r="E2885" s="4" t="s">
        <v>6205</v>
      </c>
      <c r="F2885" s="4" t="s">
        <v>6216</v>
      </c>
    </row>
    <row r="2886" customFormat="false" ht="15" hidden="false" customHeight="true" outlineLevel="0" collapsed="false">
      <c r="A2886" s="4" t="s">
        <v>3062</v>
      </c>
      <c r="B2886" s="13" t="n">
        <v>45181</v>
      </c>
      <c r="C2886" s="4" t="s">
        <v>6198</v>
      </c>
      <c r="D2886" s="4" t="s">
        <v>6207</v>
      </c>
      <c r="E2886" s="4" t="s">
        <v>6207</v>
      </c>
      <c r="F2886" s="4" t="s">
        <v>6204</v>
      </c>
    </row>
    <row r="2887" customFormat="false" ht="15" hidden="false" customHeight="true" outlineLevel="0" collapsed="false">
      <c r="A2887" s="4" t="s">
        <v>3063</v>
      </c>
      <c r="B2887" s="13" t="n">
        <v>45433</v>
      </c>
      <c r="C2887" s="4" t="s">
        <v>6215</v>
      </c>
      <c r="D2887" s="4" t="s">
        <v>6203</v>
      </c>
      <c r="E2887" s="4" t="s">
        <v>6199</v>
      </c>
      <c r="F2887" s="4" t="s">
        <v>6197</v>
      </c>
    </row>
    <row r="2888" customFormat="false" ht="15" hidden="false" customHeight="true" outlineLevel="0" collapsed="false">
      <c r="A2888" s="4" t="s">
        <v>3064</v>
      </c>
      <c r="B2888" s="13" t="n">
        <v>45570</v>
      </c>
      <c r="C2888" s="4" t="s">
        <v>6201</v>
      </c>
      <c r="D2888" s="4" t="s">
        <v>6206</v>
      </c>
      <c r="E2888" s="4" t="s">
        <v>6203</v>
      </c>
      <c r="F2888" s="4"/>
    </row>
    <row r="2889" customFormat="false" ht="15" hidden="false" customHeight="true" outlineLevel="0" collapsed="false">
      <c r="A2889" s="4" t="s">
        <v>3065</v>
      </c>
      <c r="B2889" s="13" t="n">
        <v>45409</v>
      </c>
      <c r="C2889" s="4" t="s">
        <v>6215</v>
      </c>
      <c r="D2889" s="4" t="s">
        <v>6211</v>
      </c>
      <c r="E2889" s="4" t="s">
        <v>6205</v>
      </c>
      <c r="F2889" s="4"/>
    </row>
    <row r="2890" customFormat="false" ht="15" hidden="false" customHeight="true" outlineLevel="0" collapsed="false">
      <c r="A2890" s="4" t="s">
        <v>3066</v>
      </c>
      <c r="B2890" s="13" t="n">
        <v>45639</v>
      </c>
      <c r="C2890" s="4" t="s">
        <v>6210</v>
      </c>
      <c r="D2890" s="4" t="s">
        <v>6207</v>
      </c>
      <c r="E2890" s="4" t="s">
        <v>6203</v>
      </c>
      <c r="F2890" s="4" t="s">
        <v>6212</v>
      </c>
    </row>
    <row r="2891" customFormat="false" ht="15" hidden="false" customHeight="true" outlineLevel="0" collapsed="false">
      <c r="A2891" s="4" t="s">
        <v>3067</v>
      </c>
      <c r="B2891" s="13" t="n">
        <v>45220</v>
      </c>
      <c r="C2891" s="4" t="s">
        <v>6194</v>
      </c>
      <c r="D2891" s="4" t="s">
        <v>6211</v>
      </c>
      <c r="E2891" s="4" t="s">
        <v>6195</v>
      </c>
      <c r="F2891" s="4" t="s">
        <v>6204</v>
      </c>
    </row>
    <row r="2892" customFormat="false" ht="15" hidden="false" customHeight="true" outlineLevel="0" collapsed="false">
      <c r="A2892" s="4" t="s">
        <v>3068</v>
      </c>
      <c r="B2892" s="13" t="n">
        <v>45035</v>
      </c>
      <c r="C2892" s="4" t="s">
        <v>6213</v>
      </c>
      <c r="D2892" s="4" t="s">
        <v>6195</v>
      </c>
      <c r="E2892" s="4" t="s">
        <v>6205</v>
      </c>
      <c r="F2892" s="4" t="s">
        <v>6200</v>
      </c>
    </row>
    <row r="2893" customFormat="false" ht="15" hidden="false" customHeight="true" outlineLevel="0" collapsed="false">
      <c r="A2893" s="4" t="s">
        <v>3069</v>
      </c>
      <c r="B2893" s="13" t="n">
        <v>45447</v>
      </c>
      <c r="C2893" s="4" t="s">
        <v>6201</v>
      </c>
      <c r="D2893" s="4" t="s">
        <v>6205</v>
      </c>
      <c r="E2893" s="4" t="s">
        <v>6199</v>
      </c>
      <c r="F2893" s="4" t="s">
        <v>6204</v>
      </c>
    </row>
    <row r="2894" customFormat="false" ht="15" hidden="false" customHeight="true" outlineLevel="0" collapsed="false">
      <c r="A2894" s="4" t="s">
        <v>3070</v>
      </c>
      <c r="B2894" s="13" t="n">
        <v>45398</v>
      </c>
      <c r="C2894" s="4" t="s">
        <v>6198</v>
      </c>
      <c r="D2894" s="4" t="s">
        <v>6203</v>
      </c>
      <c r="E2894" s="4" t="s">
        <v>6196</v>
      </c>
      <c r="F2894" s="4" t="s">
        <v>6216</v>
      </c>
    </row>
    <row r="2895" customFormat="false" ht="15" hidden="false" customHeight="true" outlineLevel="0" collapsed="false">
      <c r="A2895" s="4" t="s">
        <v>3071</v>
      </c>
      <c r="B2895" s="13" t="n">
        <v>44957</v>
      </c>
      <c r="C2895" s="4" t="s">
        <v>6209</v>
      </c>
      <c r="D2895" s="4" t="s">
        <v>6207</v>
      </c>
      <c r="E2895" s="4" t="s">
        <v>6202</v>
      </c>
      <c r="F2895" s="4" t="s">
        <v>6200</v>
      </c>
    </row>
    <row r="2896" customFormat="false" ht="15" hidden="false" customHeight="true" outlineLevel="0" collapsed="false">
      <c r="A2896" s="4" t="s">
        <v>3072</v>
      </c>
      <c r="B2896" s="13" t="n">
        <v>45262</v>
      </c>
      <c r="C2896" s="4" t="s">
        <v>6201</v>
      </c>
      <c r="D2896" s="4" t="s">
        <v>6195</v>
      </c>
      <c r="E2896" s="4" t="s">
        <v>6196</v>
      </c>
      <c r="F2896" s="4" t="s">
        <v>6214</v>
      </c>
    </row>
    <row r="2897" customFormat="false" ht="15" hidden="false" customHeight="true" outlineLevel="0" collapsed="false">
      <c r="A2897" s="4" t="s">
        <v>3073</v>
      </c>
      <c r="B2897" s="13" t="n">
        <v>45402</v>
      </c>
      <c r="C2897" s="4" t="s">
        <v>6209</v>
      </c>
      <c r="D2897" s="4" t="s">
        <v>6196</v>
      </c>
      <c r="E2897" s="4" t="s">
        <v>6206</v>
      </c>
      <c r="F2897" s="4"/>
    </row>
    <row r="2898" customFormat="false" ht="15" hidden="false" customHeight="true" outlineLevel="0" collapsed="false">
      <c r="A2898" s="4" t="s">
        <v>3074</v>
      </c>
      <c r="B2898" s="13" t="n">
        <v>45655</v>
      </c>
      <c r="C2898" s="4" t="s">
        <v>6215</v>
      </c>
      <c r="D2898" s="4" t="s">
        <v>6199</v>
      </c>
      <c r="E2898" s="4" t="s">
        <v>6195</v>
      </c>
      <c r="F2898" s="4"/>
    </row>
    <row r="2899" customFormat="false" ht="15" hidden="false" customHeight="true" outlineLevel="0" collapsed="false">
      <c r="A2899" s="4" t="s">
        <v>3075</v>
      </c>
      <c r="B2899" s="13" t="n">
        <v>45376</v>
      </c>
      <c r="C2899" s="4" t="s">
        <v>6213</v>
      </c>
      <c r="D2899" s="4" t="s">
        <v>6195</v>
      </c>
      <c r="E2899" s="4" t="s">
        <v>6208</v>
      </c>
      <c r="F2899" s="4" t="s">
        <v>6214</v>
      </c>
    </row>
    <row r="2900" customFormat="false" ht="15" hidden="false" customHeight="true" outlineLevel="0" collapsed="false">
      <c r="A2900" s="4" t="s">
        <v>3076</v>
      </c>
      <c r="B2900" s="13" t="n">
        <v>45516</v>
      </c>
      <c r="C2900" s="4" t="s">
        <v>6215</v>
      </c>
      <c r="D2900" s="4" t="s">
        <v>6199</v>
      </c>
      <c r="E2900" s="4" t="s">
        <v>6206</v>
      </c>
      <c r="F2900" s="4" t="s">
        <v>6200</v>
      </c>
    </row>
    <row r="2901" customFormat="false" ht="15" hidden="false" customHeight="true" outlineLevel="0" collapsed="false">
      <c r="A2901" s="4" t="s">
        <v>3077</v>
      </c>
      <c r="B2901" s="13" t="n">
        <v>45262</v>
      </c>
      <c r="C2901" s="4" t="s">
        <v>6210</v>
      </c>
      <c r="D2901" s="4" t="s">
        <v>6203</v>
      </c>
      <c r="E2901" s="4" t="s">
        <v>6206</v>
      </c>
      <c r="F2901" s="4" t="s">
        <v>6214</v>
      </c>
    </row>
    <row r="2902" customFormat="false" ht="15" hidden="false" customHeight="true" outlineLevel="0" collapsed="false">
      <c r="A2902" s="4" t="s">
        <v>3078</v>
      </c>
      <c r="B2902" s="13" t="n">
        <v>45577</v>
      </c>
      <c r="C2902" s="4" t="s">
        <v>6210</v>
      </c>
      <c r="D2902" s="4" t="s">
        <v>6195</v>
      </c>
      <c r="E2902" s="4" t="s">
        <v>6199</v>
      </c>
      <c r="F2902" s="4" t="s">
        <v>6216</v>
      </c>
    </row>
    <row r="2903" customFormat="false" ht="15" hidden="false" customHeight="true" outlineLevel="0" collapsed="false">
      <c r="A2903" s="4" t="s">
        <v>3079</v>
      </c>
      <c r="B2903" s="13" t="n">
        <v>45529</v>
      </c>
      <c r="C2903" s="4" t="s">
        <v>6213</v>
      </c>
      <c r="D2903" s="4" t="s">
        <v>6202</v>
      </c>
      <c r="E2903" s="4" t="s">
        <v>6203</v>
      </c>
      <c r="F2903" s="4"/>
    </row>
    <row r="2904" customFormat="false" ht="15" hidden="false" customHeight="true" outlineLevel="0" collapsed="false">
      <c r="A2904" s="4" t="s">
        <v>3080</v>
      </c>
      <c r="B2904" s="13" t="n">
        <v>45585</v>
      </c>
      <c r="C2904" s="4" t="s">
        <v>6194</v>
      </c>
      <c r="D2904" s="4" t="s">
        <v>6196</v>
      </c>
      <c r="E2904" s="4" t="s">
        <v>6203</v>
      </c>
      <c r="F2904" s="4" t="s">
        <v>6204</v>
      </c>
    </row>
    <row r="2905" customFormat="false" ht="15" hidden="false" customHeight="true" outlineLevel="0" collapsed="false">
      <c r="A2905" s="4" t="s">
        <v>3081</v>
      </c>
      <c r="B2905" s="13" t="n">
        <v>45527</v>
      </c>
      <c r="C2905" s="4" t="s">
        <v>6209</v>
      </c>
      <c r="D2905" s="4" t="s">
        <v>6202</v>
      </c>
      <c r="E2905" s="4" t="s">
        <v>6207</v>
      </c>
      <c r="F2905" s="4"/>
    </row>
    <row r="2906" customFormat="false" ht="15" hidden="false" customHeight="true" outlineLevel="0" collapsed="false">
      <c r="A2906" s="4" t="s">
        <v>3082</v>
      </c>
      <c r="B2906" s="13" t="n">
        <v>45508</v>
      </c>
      <c r="C2906" s="4" t="s">
        <v>6209</v>
      </c>
      <c r="D2906" s="4" t="s">
        <v>6195</v>
      </c>
      <c r="E2906" s="4" t="s">
        <v>6211</v>
      </c>
      <c r="F2906" s="4" t="s">
        <v>6216</v>
      </c>
    </row>
    <row r="2907" customFormat="false" ht="15" hidden="false" customHeight="true" outlineLevel="0" collapsed="false">
      <c r="A2907" s="4" t="s">
        <v>3083</v>
      </c>
      <c r="B2907" s="13" t="n">
        <v>45619</v>
      </c>
      <c r="C2907" s="4" t="s">
        <v>6194</v>
      </c>
      <c r="D2907" s="4" t="s">
        <v>6195</v>
      </c>
      <c r="E2907" s="4" t="s">
        <v>6195</v>
      </c>
      <c r="F2907" s="4" t="s">
        <v>6200</v>
      </c>
    </row>
    <row r="2908" customFormat="false" ht="15" hidden="false" customHeight="true" outlineLevel="0" collapsed="false">
      <c r="A2908" s="4" t="s">
        <v>3084</v>
      </c>
      <c r="B2908" s="13" t="n">
        <v>45201</v>
      </c>
      <c r="C2908" s="4" t="s">
        <v>6215</v>
      </c>
      <c r="D2908" s="4" t="s">
        <v>6195</v>
      </c>
      <c r="E2908" s="4" t="s">
        <v>6211</v>
      </c>
      <c r="F2908" s="4" t="s">
        <v>6212</v>
      </c>
    </row>
    <row r="2909" customFormat="false" ht="15" hidden="false" customHeight="true" outlineLevel="0" collapsed="false">
      <c r="A2909" s="4" t="s">
        <v>3085</v>
      </c>
      <c r="B2909" s="13" t="n">
        <v>45296</v>
      </c>
      <c r="C2909" s="4" t="s">
        <v>6215</v>
      </c>
      <c r="D2909" s="4" t="s">
        <v>6202</v>
      </c>
      <c r="E2909" s="4" t="s">
        <v>6208</v>
      </c>
      <c r="F2909" s="4"/>
    </row>
    <row r="2910" customFormat="false" ht="15" hidden="false" customHeight="true" outlineLevel="0" collapsed="false">
      <c r="A2910" s="4" t="s">
        <v>3086</v>
      </c>
      <c r="B2910" s="13" t="n">
        <v>45510</v>
      </c>
      <c r="C2910" s="4" t="s">
        <v>6201</v>
      </c>
      <c r="D2910" s="4" t="s">
        <v>6202</v>
      </c>
      <c r="E2910" s="4" t="s">
        <v>6203</v>
      </c>
      <c r="F2910" s="4"/>
    </row>
    <row r="2911" customFormat="false" ht="15" hidden="false" customHeight="true" outlineLevel="0" collapsed="false">
      <c r="A2911" s="4" t="s">
        <v>3087</v>
      </c>
      <c r="B2911" s="13" t="n">
        <v>45635</v>
      </c>
      <c r="C2911" s="4" t="s">
        <v>6198</v>
      </c>
      <c r="D2911" s="4" t="s">
        <v>6206</v>
      </c>
      <c r="E2911" s="4" t="s">
        <v>6196</v>
      </c>
      <c r="F2911" s="4" t="s">
        <v>6212</v>
      </c>
    </row>
    <row r="2912" customFormat="false" ht="15" hidden="false" customHeight="true" outlineLevel="0" collapsed="false">
      <c r="A2912" s="4" t="s">
        <v>3088</v>
      </c>
      <c r="B2912" s="13" t="n">
        <v>45111</v>
      </c>
      <c r="C2912" s="4" t="s">
        <v>6198</v>
      </c>
      <c r="D2912" s="4" t="s">
        <v>6208</v>
      </c>
      <c r="E2912" s="4" t="s">
        <v>6196</v>
      </c>
      <c r="F2912" s="4" t="s">
        <v>6197</v>
      </c>
    </row>
    <row r="2913" customFormat="false" ht="15" hidden="false" customHeight="true" outlineLevel="0" collapsed="false">
      <c r="A2913" s="4" t="s">
        <v>3089</v>
      </c>
      <c r="B2913" s="13" t="n">
        <v>45207</v>
      </c>
      <c r="C2913" s="4" t="s">
        <v>6215</v>
      </c>
      <c r="D2913" s="4" t="s">
        <v>6202</v>
      </c>
      <c r="E2913" s="4" t="s">
        <v>6202</v>
      </c>
      <c r="F2913" s="4"/>
    </row>
    <row r="2914" customFormat="false" ht="15" hidden="false" customHeight="true" outlineLevel="0" collapsed="false">
      <c r="A2914" s="4" t="s">
        <v>3090</v>
      </c>
      <c r="B2914" s="13" t="n">
        <v>45349</v>
      </c>
      <c r="C2914" s="4" t="s">
        <v>6213</v>
      </c>
      <c r="D2914" s="4" t="s">
        <v>6199</v>
      </c>
      <c r="E2914" s="4" t="s">
        <v>6203</v>
      </c>
      <c r="F2914" s="4" t="s">
        <v>6200</v>
      </c>
    </row>
    <row r="2915" customFormat="false" ht="15" hidden="false" customHeight="true" outlineLevel="0" collapsed="false">
      <c r="A2915" s="4" t="s">
        <v>3091</v>
      </c>
      <c r="B2915" s="13" t="n">
        <v>45119</v>
      </c>
      <c r="C2915" s="4" t="s">
        <v>6209</v>
      </c>
      <c r="D2915" s="4" t="s">
        <v>6199</v>
      </c>
      <c r="E2915" s="4" t="s">
        <v>6203</v>
      </c>
      <c r="F2915" s="4"/>
    </row>
    <row r="2916" customFormat="false" ht="15" hidden="false" customHeight="true" outlineLevel="0" collapsed="false">
      <c r="A2916" s="4" t="s">
        <v>3092</v>
      </c>
      <c r="B2916" s="13" t="n">
        <v>45213</v>
      </c>
      <c r="C2916" s="4" t="s">
        <v>6198</v>
      </c>
      <c r="D2916" s="4" t="s">
        <v>6208</v>
      </c>
      <c r="E2916" s="4" t="s">
        <v>6208</v>
      </c>
      <c r="F2916" s="4" t="s">
        <v>6197</v>
      </c>
    </row>
    <row r="2917" customFormat="false" ht="15" hidden="false" customHeight="true" outlineLevel="0" collapsed="false">
      <c r="A2917" s="4" t="s">
        <v>3093</v>
      </c>
      <c r="B2917" s="13" t="n">
        <v>45425</v>
      </c>
      <c r="C2917" s="4" t="s">
        <v>6198</v>
      </c>
      <c r="D2917" s="4" t="s">
        <v>6208</v>
      </c>
      <c r="E2917" s="4" t="s">
        <v>6203</v>
      </c>
      <c r="F2917" s="4" t="s">
        <v>6200</v>
      </c>
    </row>
    <row r="2918" customFormat="false" ht="15" hidden="false" customHeight="true" outlineLevel="0" collapsed="false">
      <c r="A2918" s="4" t="s">
        <v>3094</v>
      </c>
      <c r="B2918" s="13" t="n">
        <v>45478</v>
      </c>
      <c r="C2918" s="4" t="s">
        <v>6209</v>
      </c>
      <c r="D2918" s="4" t="s">
        <v>6195</v>
      </c>
      <c r="E2918" s="4" t="s">
        <v>6199</v>
      </c>
      <c r="F2918" s="4" t="s">
        <v>6200</v>
      </c>
    </row>
    <row r="2919" customFormat="false" ht="15" hidden="false" customHeight="true" outlineLevel="0" collapsed="false">
      <c r="A2919" s="4" t="s">
        <v>3095</v>
      </c>
      <c r="B2919" s="13" t="n">
        <v>45636</v>
      </c>
      <c r="C2919" s="4" t="s">
        <v>6198</v>
      </c>
      <c r="D2919" s="4" t="s">
        <v>6199</v>
      </c>
      <c r="E2919" s="4" t="s">
        <v>6203</v>
      </c>
      <c r="F2919" s="4" t="s">
        <v>6212</v>
      </c>
    </row>
    <row r="2920" customFormat="false" ht="15" hidden="false" customHeight="true" outlineLevel="0" collapsed="false">
      <c r="A2920" s="4" t="s">
        <v>3096</v>
      </c>
      <c r="B2920" s="13" t="n">
        <v>45096</v>
      </c>
      <c r="C2920" s="4" t="s">
        <v>6213</v>
      </c>
      <c r="D2920" s="4" t="s">
        <v>6196</v>
      </c>
      <c r="E2920" s="4" t="s">
        <v>6211</v>
      </c>
      <c r="F2920" s="4" t="s">
        <v>6216</v>
      </c>
    </row>
    <row r="2921" customFormat="false" ht="15" hidden="false" customHeight="true" outlineLevel="0" collapsed="false">
      <c r="A2921" s="4" t="s">
        <v>3097</v>
      </c>
      <c r="B2921" s="13" t="n">
        <v>44939</v>
      </c>
      <c r="C2921" s="4" t="s">
        <v>6209</v>
      </c>
      <c r="D2921" s="4" t="s">
        <v>6199</v>
      </c>
      <c r="E2921" s="4" t="s">
        <v>6202</v>
      </c>
      <c r="F2921" s="4" t="s">
        <v>6200</v>
      </c>
    </row>
    <row r="2922" customFormat="false" ht="15" hidden="false" customHeight="true" outlineLevel="0" collapsed="false">
      <c r="A2922" s="4" t="s">
        <v>3098</v>
      </c>
      <c r="B2922" s="13" t="n">
        <v>45353</v>
      </c>
      <c r="C2922" s="4" t="s">
        <v>6215</v>
      </c>
      <c r="D2922" s="4" t="s">
        <v>6195</v>
      </c>
      <c r="E2922" s="4" t="s">
        <v>6199</v>
      </c>
      <c r="F2922" s="4" t="s">
        <v>6197</v>
      </c>
    </row>
    <row r="2923" customFormat="false" ht="15" hidden="false" customHeight="true" outlineLevel="0" collapsed="false">
      <c r="A2923" s="4" t="s">
        <v>3099</v>
      </c>
      <c r="B2923" s="13" t="n">
        <v>45001</v>
      </c>
      <c r="C2923" s="4" t="s">
        <v>6213</v>
      </c>
      <c r="D2923" s="4" t="s">
        <v>6206</v>
      </c>
      <c r="E2923" s="4" t="s">
        <v>6207</v>
      </c>
      <c r="F2923" s="4" t="s">
        <v>6197</v>
      </c>
    </row>
    <row r="2924" customFormat="false" ht="15" hidden="false" customHeight="true" outlineLevel="0" collapsed="false">
      <c r="A2924" s="4" t="s">
        <v>3100</v>
      </c>
      <c r="B2924" s="13" t="n">
        <v>45182</v>
      </c>
      <c r="C2924" s="4" t="s">
        <v>6215</v>
      </c>
      <c r="D2924" s="4" t="s">
        <v>6195</v>
      </c>
      <c r="E2924" s="4" t="s">
        <v>6208</v>
      </c>
      <c r="F2924" s="4" t="s">
        <v>6216</v>
      </c>
    </row>
    <row r="2925" customFormat="false" ht="15" hidden="false" customHeight="true" outlineLevel="0" collapsed="false">
      <c r="A2925" s="4" t="s">
        <v>3101</v>
      </c>
      <c r="B2925" s="13" t="n">
        <v>45389</v>
      </c>
      <c r="C2925" s="4" t="s">
        <v>6198</v>
      </c>
      <c r="D2925" s="4" t="s">
        <v>6207</v>
      </c>
      <c r="E2925" s="4" t="s">
        <v>6205</v>
      </c>
      <c r="F2925" s="4" t="s">
        <v>6197</v>
      </c>
    </row>
    <row r="2926" customFormat="false" ht="15" hidden="false" customHeight="true" outlineLevel="0" collapsed="false">
      <c r="A2926" s="4" t="s">
        <v>3102</v>
      </c>
      <c r="B2926" s="13" t="n">
        <v>44940</v>
      </c>
      <c r="C2926" s="4" t="s">
        <v>6194</v>
      </c>
      <c r="D2926" s="4" t="s">
        <v>6196</v>
      </c>
      <c r="E2926" s="4" t="s">
        <v>6206</v>
      </c>
      <c r="F2926" s="4" t="s">
        <v>6204</v>
      </c>
    </row>
    <row r="2927" customFormat="false" ht="15" hidden="false" customHeight="true" outlineLevel="0" collapsed="false">
      <c r="A2927" s="4" t="s">
        <v>3103</v>
      </c>
      <c r="B2927" s="13" t="n">
        <v>45348</v>
      </c>
      <c r="C2927" s="4" t="s">
        <v>6198</v>
      </c>
      <c r="D2927" s="4" t="s">
        <v>6207</v>
      </c>
      <c r="E2927" s="4" t="s">
        <v>6211</v>
      </c>
      <c r="F2927" s="4"/>
    </row>
    <row r="2928" customFormat="false" ht="15" hidden="false" customHeight="true" outlineLevel="0" collapsed="false">
      <c r="A2928" s="4" t="s">
        <v>3104</v>
      </c>
      <c r="B2928" s="13" t="n">
        <v>45107</v>
      </c>
      <c r="C2928" s="4" t="s">
        <v>6209</v>
      </c>
      <c r="D2928" s="4" t="s">
        <v>6208</v>
      </c>
      <c r="E2928" s="4" t="s">
        <v>6202</v>
      </c>
      <c r="F2928" s="4" t="s">
        <v>6216</v>
      </c>
    </row>
    <row r="2929" customFormat="false" ht="15" hidden="false" customHeight="true" outlineLevel="0" collapsed="false">
      <c r="A2929" s="4" t="s">
        <v>3105</v>
      </c>
      <c r="B2929" s="13" t="n">
        <v>45444</v>
      </c>
      <c r="C2929" s="4" t="s">
        <v>6194</v>
      </c>
      <c r="D2929" s="4" t="s">
        <v>6208</v>
      </c>
      <c r="E2929" s="4" t="s">
        <v>6195</v>
      </c>
      <c r="F2929" s="4" t="s">
        <v>6216</v>
      </c>
    </row>
    <row r="2930" customFormat="false" ht="15" hidden="false" customHeight="true" outlineLevel="0" collapsed="false">
      <c r="A2930" s="4" t="s">
        <v>3106</v>
      </c>
      <c r="B2930" s="13" t="n">
        <v>45408</v>
      </c>
      <c r="C2930" s="4" t="s">
        <v>6198</v>
      </c>
      <c r="D2930" s="4" t="s">
        <v>6205</v>
      </c>
      <c r="E2930" s="4" t="s">
        <v>6208</v>
      </c>
      <c r="F2930" s="4"/>
    </row>
    <row r="2931" customFormat="false" ht="15" hidden="false" customHeight="true" outlineLevel="0" collapsed="false">
      <c r="A2931" s="4" t="s">
        <v>3107</v>
      </c>
      <c r="B2931" s="13" t="n">
        <v>45504</v>
      </c>
      <c r="C2931" s="4" t="s">
        <v>6210</v>
      </c>
      <c r="D2931" s="4" t="s">
        <v>6199</v>
      </c>
      <c r="E2931" s="4" t="s">
        <v>6202</v>
      </c>
      <c r="F2931" s="4" t="s">
        <v>6214</v>
      </c>
    </row>
    <row r="2932" customFormat="false" ht="15" hidden="false" customHeight="true" outlineLevel="0" collapsed="false">
      <c r="A2932" s="4" t="s">
        <v>3108</v>
      </c>
      <c r="B2932" s="13" t="n">
        <v>45466</v>
      </c>
      <c r="C2932" s="4" t="s">
        <v>6213</v>
      </c>
      <c r="D2932" s="4" t="s">
        <v>6199</v>
      </c>
      <c r="E2932" s="4" t="s">
        <v>6211</v>
      </c>
      <c r="F2932" s="4" t="s">
        <v>6212</v>
      </c>
    </row>
    <row r="2933" customFormat="false" ht="15" hidden="false" customHeight="true" outlineLevel="0" collapsed="false">
      <c r="A2933" s="4" t="s">
        <v>3109</v>
      </c>
      <c r="B2933" s="13" t="n">
        <v>45173</v>
      </c>
      <c r="C2933" s="4" t="s">
        <v>6210</v>
      </c>
      <c r="D2933" s="4" t="s">
        <v>6207</v>
      </c>
      <c r="E2933" s="4" t="s">
        <v>6203</v>
      </c>
      <c r="F2933" s="4" t="s">
        <v>6204</v>
      </c>
    </row>
    <row r="2934" customFormat="false" ht="15" hidden="false" customHeight="true" outlineLevel="0" collapsed="false">
      <c r="A2934" s="4" t="s">
        <v>3110</v>
      </c>
      <c r="B2934" s="13" t="n">
        <v>45340</v>
      </c>
      <c r="C2934" s="4" t="s">
        <v>6215</v>
      </c>
      <c r="D2934" s="4" t="s">
        <v>6206</v>
      </c>
      <c r="E2934" s="4" t="s">
        <v>6195</v>
      </c>
      <c r="F2934" s="4" t="s">
        <v>6212</v>
      </c>
    </row>
    <row r="2935" customFormat="false" ht="15" hidden="false" customHeight="true" outlineLevel="0" collapsed="false">
      <c r="A2935" s="4" t="s">
        <v>3111</v>
      </c>
      <c r="B2935" s="13" t="n">
        <v>45139</v>
      </c>
      <c r="C2935" s="4" t="s">
        <v>6201</v>
      </c>
      <c r="D2935" s="4" t="s">
        <v>6207</v>
      </c>
      <c r="E2935" s="4" t="s">
        <v>6207</v>
      </c>
      <c r="F2935" s="4" t="s">
        <v>6200</v>
      </c>
    </row>
    <row r="2936" customFormat="false" ht="15" hidden="false" customHeight="true" outlineLevel="0" collapsed="false">
      <c r="A2936" s="4" t="s">
        <v>3112</v>
      </c>
      <c r="B2936" s="13" t="n">
        <v>45634</v>
      </c>
      <c r="C2936" s="4" t="s">
        <v>6215</v>
      </c>
      <c r="D2936" s="4" t="s">
        <v>6203</v>
      </c>
      <c r="E2936" s="4" t="s">
        <v>6207</v>
      </c>
      <c r="F2936" s="4"/>
    </row>
    <row r="2937" customFormat="false" ht="15" hidden="false" customHeight="true" outlineLevel="0" collapsed="false">
      <c r="A2937" s="4" t="s">
        <v>3113</v>
      </c>
      <c r="B2937" s="13" t="n">
        <v>45032</v>
      </c>
      <c r="C2937" s="4" t="s">
        <v>6210</v>
      </c>
      <c r="D2937" s="4" t="s">
        <v>6206</v>
      </c>
      <c r="E2937" s="4" t="s">
        <v>6207</v>
      </c>
      <c r="F2937" s="4"/>
    </row>
    <row r="2938" customFormat="false" ht="15" hidden="false" customHeight="true" outlineLevel="0" collapsed="false">
      <c r="A2938" s="4" t="s">
        <v>3114</v>
      </c>
      <c r="B2938" s="13" t="n">
        <v>45564</v>
      </c>
      <c r="C2938" s="4" t="s">
        <v>6213</v>
      </c>
      <c r="D2938" s="4" t="s">
        <v>6208</v>
      </c>
      <c r="E2938" s="4" t="s">
        <v>6203</v>
      </c>
      <c r="F2938" s="4" t="s">
        <v>6204</v>
      </c>
    </row>
    <row r="2939" customFormat="false" ht="15" hidden="false" customHeight="true" outlineLevel="0" collapsed="false">
      <c r="A2939" s="4" t="s">
        <v>3115</v>
      </c>
      <c r="B2939" s="13" t="n">
        <v>45110</v>
      </c>
      <c r="C2939" s="4" t="s">
        <v>6210</v>
      </c>
      <c r="D2939" s="4" t="s">
        <v>6199</v>
      </c>
      <c r="E2939" s="4" t="s">
        <v>6196</v>
      </c>
      <c r="F2939" s="4" t="s">
        <v>6204</v>
      </c>
    </row>
    <row r="2940" customFormat="false" ht="15" hidden="false" customHeight="true" outlineLevel="0" collapsed="false">
      <c r="A2940" s="4" t="s">
        <v>3116</v>
      </c>
      <c r="B2940" s="13" t="n">
        <v>45503</v>
      </c>
      <c r="C2940" s="4" t="s">
        <v>6215</v>
      </c>
      <c r="D2940" s="4" t="s">
        <v>6196</v>
      </c>
      <c r="E2940" s="4" t="s">
        <v>6207</v>
      </c>
      <c r="F2940" s="4" t="s">
        <v>6214</v>
      </c>
    </row>
    <row r="2941" customFormat="false" ht="15" hidden="false" customHeight="true" outlineLevel="0" collapsed="false">
      <c r="A2941" s="4" t="s">
        <v>3117</v>
      </c>
      <c r="B2941" s="13" t="n">
        <v>45507</v>
      </c>
      <c r="C2941" s="4" t="s">
        <v>6209</v>
      </c>
      <c r="D2941" s="4" t="s">
        <v>6202</v>
      </c>
      <c r="E2941" s="4" t="s">
        <v>6208</v>
      </c>
      <c r="F2941" s="4" t="s">
        <v>6216</v>
      </c>
    </row>
    <row r="2942" customFormat="false" ht="15" hidden="false" customHeight="true" outlineLevel="0" collapsed="false">
      <c r="A2942" s="4" t="s">
        <v>3118</v>
      </c>
      <c r="B2942" s="13" t="n">
        <v>45186</v>
      </c>
      <c r="C2942" s="4" t="s">
        <v>6210</v>
      </c>
      <c r="D2942" s="4" t="s">
        <v>6207</v>
      </c>
      <c r="E2942" s="4" t="s">
        <v>6196</v>
      </c>
      <c r="F2942" s="4" t="s">
        <v>6216</v>
      </c>
    </row>
    <row r="2943" customFormat="false" ht="15" hidden="false" customHeight="true" outlineLevel="0" collapsed="false">
      <c r="A2943" s="4" t="s">
        <v>3119</v>
      </c>
      <c r="B2943" s="13" t="n">
        <v>45486</v>
      </c>
      <c r="C2943" s="4" t="s">
        <v>6194</v>
      </c>
      <c r="D2943" s="4" t="s">
        <v>6211</v>
      </c>
      <c r="E2943" s="4" t="s">
        <v>6207</v>
      </c>
      <c r="F2943" s="4" t="s">
        <v>6200</v>
      </c>
    </row>
    <row r="2944" customFormat="false" ht="15" hidden="false" customHeight="true" outlineLevel="0" collapsed="false">
      <c r="A2944" s="4" t="s">
        <v>3120</v>
      </c>
      <c r="B2944" s="13" t="n">
        <v>45581</v>
      </c>
      <c r="C2944" s="4" t="s">
        <v>6210</v>
      </c>
      <c r="D2944" s="4" t="s">
        <v>6202</v>
      </c>
      <c r="E2944" s="4" t="s">
        <v>6206</v>
      </c>
      <c r="F2944" s="4"/>
    </row>
    <row r="2945" customFormat="false" ht="15" hidden="false" customHeight="true" outlineLevel="0" collapsed="false">
      <c r="A2945" s="4" t="s">
        <v>3121</v>
      </c>
      <c r="B2945" s="13" t="n">
        <v>45292</v>
      </c>
      <c r="C2945" s="4" t="s">
        <v>6194</v>
      </c>
      <c r="D2945" s="4" t="s">
        <v>6196</v>
      </c>
      <c r="E2945" s="4" t="s">
        <v>6195</v>
      </c>
      <c r="F2945" s="4" t="s">
        <v>6216</v>
      </c>
    </row>
    <row r="2946" customFormat="false" ht="15" hidden="false" customHeight="true" outlineLevel="0" collapsed="false">
      <c r="A2946" s="4" t="s">
        <v>3122</v>
      </c>
      <c r="B2946" s="13" t="n">
        <v>45483</v>
      </c>
      <c r="C2946" s="4" t="s">
        <v>6201</v>
      </c>
      <c r="D2946" s="4" t="s">
        <v>6205</v>
      </c>
      <c r="E2946" s="4" t="s">
        <v>6202</v>
      </c>
      <c r="F2946" s="4"/>
    </row>
    <row r="2947" customFormat="false" ht="15" hidden="false" customHeight="true" outlineLevel="0" collapsed="false">
      <c r="A2947" s="4" t="s">
        <v>3123</v>
      </c>
      <c r="B2947" s="13" t="n">
        <v>45559</v>
      </c>
      <c r="C2947" s="4" t="s">
        <v>6209</v>
      </c>
      <c r="D2947" s="4" t="s">
        <v>6207</v>
      </c>
      <c r="E2947" s="4" t="s">
        <v>6203</v>
      </c>
      <c r="F2947" s="4"/>
    </row>
    <row r="2948" customFormat="false" ht="15" hidden="false" customHeight="true" outlineLevel="0" collapsed="false">
      <c r="A2948" s="4" t="s">
        <v>3124</v>
      </c>
      <c r="B2948" s="13" t="n">
        <v>45622</v>
      </c>
      <c r="C2948" s="4" t="s">
        <v>6215</v>
      </c>
      <c r="D2948" s="4" t="s">
        <v>6211</v>
      </c>
      <c r="E2948" s="4" t="s">
        <v>6199</v>
      </c>
      <c r="F2948" s="4" t="s">
        <v>6214</v>
      </c>
    </row>
    <row r="2949" customFormat="false" ht="15" hidden="false" customHeight="true" outlineLevel="0" collapsed="false">
      <c r="A2949" s="4" t="s">
        <v>3125</v>
      </c>
      <c r="B2949" s="13" t="n">
        <v>45509</v>
      </c>
      <c r="C2949" s="4" t="s">
        <v>6210</v>
      </c>
      <c r="D2949" s="4" t="s">
        <v>6205</v>
      </c>
      <c r="E2949" s="4" t="s">
        <v>6195</v>
      </c>
      <c r="F2949" s="4" t="s">
        <v>6212</v>
      </c>
    </row>
    <row r="2950" customFormat="false" ht="15" hidden="false" customHeight="true" outlineLevel="0" collapsed="false">
      <c r="A2950" s="4" t="s">
        <v>3126</v>
      </c>
      <c r="B2950" s="13" t="n">
        <v>45400</v>
      </c>
      <c r="C2950" s="4" t="s">
        <v>6201</v>
      </c>
      <c r="D2950" s="4" t="s">
        <v>6205</v>
      </c>
      <c r="E2950" s="4" t="s">
        <v>6206</v>
      </c>
      <c r="F2950" s="4" t="s">
        <v>6214</v>
      </c>
    </row>
    <row r="2951" customFormat="false" ht="15" hidden="false" customHeight="true" outlineLevel="0" collapsed="false">
      <c r="A2951" s="4" t="s">
        <v>3127</v>
      </c>
      <c r="B2951" s="13" t="n">
        <v>45343</v>
      </c>
      <c r="C2951" s="4" t="s">
        <v>6201</v>
      </c>
      <c r="D2951" s="4" t="s">
        <v>6202</v>
      </c>
      <c r="E2951" s="4" t="s">
        <v>6206</v>
      </c>
      <c r="F2951" s="4"/>
    </row>
    <row r="2952" customFormat="false" ht="15" hidden="false" customHeight="true" outlineLevel="0" collapsed="false">
      <c r="A2952" s="4" t="s">
        <v>3128</v>
      </c>
      <c r="B2952" s="13" t="n">
        <v>45129</v>
      </c>
      <c r="C2952" s="4" t="s">
        <v>6201</v>
      </c>
      <c r="D2952" s="4" t="s">
        <v>6207</v>
      </c>
      <c r="E2952" s="4" t="s">
        <v>6208</v>
      </c>
      <c r="F2952" s="4" t="s">
        <v>6200</v>
      </c>
    </row>
    <row r="2953" customFormat="false" ht="15" hidden="false" customHeight="true" outlineLevel="0" collapsed="false">
      <c r="A2953" s="4" t="s">
        <v>3129</v>
      </c>
      <c r="B2953" s="13" t="n">
        <v>45317</v>
      </c>
      <c r="C2953" s="4" t="s">
        <v>6215</v>
      </c>
      <c r="D2953" s="4" t="s">
        <v>6205</v>
      </c>
      <c r="E2953" s="4" t="s">
        <v>6195</v>
      </c>
      <c r="F2953" s="4" t="s">
        <v>6204</v>
      </c>
    </row>
    <row r="2954" customFormat="false" ht="15" hidden="false" customHeight="true" outlineLevel="0" collapsed="false">
      <c r="A2954" s="4" t="s">
        <v>3130</v>
      </c>
      <c r="B2954" s="13" t="n">
        <v>45106</v>
      </c>
      <c r="C2954" s="4" t="s">
        <v>6194</v>
      </c>
      <c r="D2954" s="4" t="s">
        <v>6211</v>
      </c>
      <c r="E2954" s="4" t="s">
        <v>6203</v>
      </c>
      <c r="F2954" s="4" t="s">
        <v>6197</v>
      </c>
    </row>
    <row r="2955" customFormat="false" ht="15" hidden="false" customHeight="true" outlineLevel="0" collapsed="false">
      <c r="A2955" s="4" t="s">
        <v>3131</v>
      </c>
      <c r="B2955" s="13" t="n">
        <v>45545</v>
      </c>
      <c r="C2955" s="4" t="s">
        <v>6201</v>
      </c>
      <c r="D2955" s="4" t="s">
        <v>6205</v>
      </c>
      <c r="E2955" s="4" t="s">
        <v>6205</v>
      </c>
      <c r="F2955" s="4" t="s">
        <v>6212</v>
      </c>
    </row>
    <row r="2956" customFormat="false" ht="15" hidden="false" customHeight="true" outlineLevel="0" collapsed="false">
      <c r="A2956" s="4" t="s">
        <v>3132</v>
      </c>
      <c r="B2956" s="13" t="n">
        <v>45563</v>
      </c>
      <c r="C2956" s="4" t="s">
        <v>6198</v>
      </c>
      <c r="D2956" s="4" t="s">
        <v>6195</v>
      </c>
      <c r="E2956" s="4" t="s">
        <v>6202</v>
      </c>
      <c r="F2956" s="4"/>
    </row>
    <row r="2957" customFormat="false" ht="15" hidden="false" customHeight="true" outlineLevel="0" collapsed="false">
      <c r="A2957" s="4" t="s">
        <v>3133</v>
      </c>
      <c r="B2957" s="13" t="n">
        <v>45602</v>
      </c>
      <c r="C2957" s="4" t="s">
        <v>6210</v>
      </c>
      <c r="D2957" s="4" t="s">
        <v>6195</v>
      </c>
      <c r="E2957" s="4" t="s">
        <v>6211</v>
      </c>
      <c r="F2957" s="4" t="s">
        <v>6214</v>
      </c>
    </row>
    <row r="2958" customFormat="false" ht="15" hidden="false" customHeight="true" outlineLevel="0" collapsed="false">
      <c r="A2958" s="4" t="s">
        <v>3134</v>
      </c>
      <c r="B2958" s="13" t="n">
        <v>45558</v>
      </c>
      <c r="C2958" s="4" t="s">
        <v>6210</v>
      </c>
      <c r="D2958" s="4" t="s">
        <v>6205</v>
      </c>
      <c r="E2958" s="4" t="s">
        <v>6205</v>
      </c>
      <c r="F2958" s="4"/>
    </row>
    <row r="2959" customFormat="false" ht="15" hidden="false" customHeight="true" outlineLevel="0" collapsed="false">
      <c r="A2959" s="4" t="s">
        <v>3135</v>
      </c>
      <c r="B2959" s="13" t="n">
        <v>45001</v>
      </c>
      <c r="C2959" s="4" t="s">
        <v>6201</v>
      </c>
      <c r="D2959" s="4" t="s">
        <v>6211</v>
      </c>
      <c r="E2959" s="4" t="s">
        <v>6211</v>
      </c>
      <c r="F2959" s="4" t="s">
        <v>6216</v>
      </c>
    </row>
    <row r="2960" customFormat="false" ht="15" hidden="false" customHeight="true" outlineLevel="0" collapsed="false">
      <c r="A2960" s="4" t="s">
        <v>3136</v>
      </c>
      <c r="B2960" s="13" t="n">
        <v>44941</v>
      </c>
      <c r="C2960" s="4" t="s">
        <v>6201</v>
      </c>
      <c r="D2960" s="4" t="s">
        <v>6208</v>
      </c>
      <c r="E2960" s="4" t="s">
        <v>6207</v>
      </c>
      <c r="F2960" s="4" t="s">
        <v>6214</v>
      </c>
    </row>
    <row r="2961" customFormat="false" ht="15" hidden="false" customHeight="true" outlineLevel="0" collapsed="false">
      <c r="A2961" s="4" t="s">
        <v>3137</v>
      </c>
      <c r="B2961" s="13" t="n">
        <v>45230</v>
      </c>
      <c r="C2961" s="4" t="s">
        <v>6194</v>
      </c>
      <c r="D2961" s="4" t="s">
        <v>6203</v>
      </c>
      <c r="E2961" s="4" t="s">
        <v>6205</v>
      </c>
      <c r="F2961" s="4"/>
    </row>
    <row r="2962" customFormat="false" ht="15" hidden="false" customHeight="true" outlineLevel="0" collapsed="false">
      <c r="A2962" s="4" t="s">
        <v>3138</v>
      </c>
      <c r="B2962" s="13" t="n">
        <v>45376</v>
      </c>
      <c r="C2962" s="4" t="s">
        <v>6201</v>
      </c>
      <c r="D2962" s="4" t="s">
        <v>6208</v>
      </c>
      <c r="E2962" s="4" t="s">
        <v>6199</v>
      </c>
      <c r="F2962" s="4" t="s">
        <v>6212</v>
      </c>
    </row>
    <row r="2963" customFormat="false" ht="15" hidden="false" customHeight="true" outlineLevel="0" collapsed="false">
      <c r="A2963" s="4" t="s">
        <v>3139</v>
      </c>
      <c r="B2963" s="13" t="n">
        <v>45087</v>
      </c>
      <c r="C2963" s="4" t="s">
        <v>6215</v>
      </c>
      <c r="D2963" s="4" t="s">
        <v>6202</v>
      </c>
      <c r="E2963" s="4" t="s">
        <v>6211</v>
      </c>
      <c r="F2963" s="4" t="s">
        <v>6214</v>
      </c>
    </row>
    <row r="2964" customFormat="false" ht="15" hidden="false" customHeight="true" outlineLevel="0" collapsed="false">
      <c r="A2964" s="4" t="s">
        <v>3140</v>
      </c>
      <c r="B2964" s="13" t="n">
        <v>45243</v>
      </c>
      <c r="C2964" s="4" t="s">
        <v>6215</v>
      </c>
      <c r="D2964" s="4" t="s">
        <v>6203</v>
      </c>
      <c r="E2964" s="4" t="s">
        <v>6196</v>
      </c>
      <c r="F2964" s="4" t="s">
        <v>6200</v>
      </c>
    </row>
    <row r="2965" customFormat="false" ht="15" hidden="false" customHeight="true" outlineLevel="0" collapsed="false">
      <c r="A2965" s="4" t="s">
        <v>3141</v>
      </c>
      <c r="B2965" s="13" t="n">
        <v>45398</v>
      </c>
      <c r="C2965" s="4" t="s">
        <v>6209</v>
      </c>
      <c r="D2965" s="4" t="s">
        <v>6211</v>
      </c>
      <c r="E2965" s="4" t="s">
        <v>6211</v>
      </c>
      <c r="F2965" s="4"/>
    </row>
    <row r="2966" customFormat="false" ht="15" hidden="false" customHeight="true" outlineLevel="0" collapsed="false">
      <c r="A2966" s="4" t="s">
        <v>3142</v>
      </c>
      <c r="B2966" s="13" t="n">
        <v>45000</v>
      </c>
      <c r="C2966" s="4" t="s">
        <v>6215</v>
      </c>
      <c r="D2966" s="4" t="s">
        <v>6211</v>
      </c>
      <c r="E2966" s="4" t="s">
        <v>6195</v>
      </c>
      <c r="F2966" s="4"/>
    </row>
    <row r="2967" customFormat="false" ht="15" hidden="false" customHeight="true" outlineLevel="0" collapsed="false">
      <c r="A2967" s="4" t="s">
        <v>3143</v>
      </c>
      <c r="B2967" s="13" t="n">
        <v>45341</v>
      </c>
      <c r="C2967" s="4" t="s">
        <v>6210</v>
      </c>
      <c r="D2967" s="4" t="s">
        <v>6206</v>
      </c>
      <c r="E2967" s="4" t="s">
        <v>6202</v>
      </c>
      <c r="F2967" s="4" t="s">
        <v>6200</v>
      </c>
    </row>
    <row r="2968" customFormat="false" ht="15" hidden="false" customHeight="true" outlineLevel="0" collapsed="false">
      <c r="A2968" s="4" t="s">
        <v>3144</v>
      </c>
      <c r="B2968" s="13" t="n">
        <v>44990</v>
      </c>
      <c r="C2968" s="4" t="s">
        <v>6209</v>
      </c>
      <c r="D2968" s="4" t="s">
        <v>6211</v>
      </c>
      <c r="E2968" s="4" t="s">
        <v>6195</v>
      </c>
      <c r="F2968" s="4" t="s">
        <v>6204</v>
      </c>
    </row>
    <row r="2969" customFormat="false" ht="15" hidden="false" customHeight="true" outlineLevel="0" collapsed="false">
      <c r="A2969" s="4" t="s">
        <v>3145</v>
      </c>
      <c r="B2969" s="13" t="n">
        <v>45476</v>
      </c>
      <c r="C2969" s="4" t="s">
        <v>6213</v>
      </c>
      <c r="D2969" s="4" t="s">
        <v>6206</v>
      </c>
      <c r="E2969" s="4" t="s">
        <v>6206</v>
      </c>
      <c r="F2969" s="4"/>
    </row>
    <row r="2970" customFormat="false" ht="15" hidden="false" customHeight="true" outlineLevel="0" collapsed="false">
      <c r="A2970" s="4" t="s">
        <v>3146</v>
      </c>
      <c r="B2970" s="13" t="n">
        <v>45542</v>
      </c>
      <c r="C2970" s="4" t="s">
        <v>6213</v>
      </c>
      <c r="D2970" s="4" t="s">
        <v>6202</v>
      </c>
      <c r="E2970" s="4" t="s">
        <v>6205</v>
      </c>
      <c r="F2970" s="4"/>
    </row>
    <row r="2971" customFormat="false" ht="15" hidden="false" customHeight="true" outlineLevel="0" collapsed="false">
      <c r="A2971" s="4" t="s">
        <v>3147</v>
      </c>
      <c r="B2971" s="13" t="n">
        <v>44995</v>
      </c>
      <c r="C2971" s="4" t="s">
        <v>6194</v>
      </c>
      <c r="D2971" s="4" t="s">
        <v>6203</v>
      </c>
      <c r="E2971" s="4" t="s">
        <v>6205</v>
      </c>
      <c r="F2971" s="4" t="s">
        <v>6214</v>
      </c>
    </row>
    <row r="2972" customFormat="false" ht="15" hidden="false" customHeight="true" outlineLevel="0" collapsed="false">
      <c r="A2972" s="4" t="s">
        <v>3148</v>
      </c>
      <c r="B2972" s="13" t="n">
        <v>45587</v>
      </c>
      <c r="C2972" s="4" t="s">
        <v>6198</v>
      </c>
      <c r="D2972" s="4" t="s">
        <v>6199</v>
      </c>
      <c r="E2972" s="4" t="s">
        <v>6205</v>
      </c>
      <c r="F2972" s="4"/>
    </row>
    <row r="2973" customFormat="false" ht="15" hidden="false" customHeight="true" outlineLevel="0" collapsed="false">
      <c r="A2973" s="4" t="s">
        <v>3149</v>
      </c>
      <c r="B2973" s="13" t="n">
        <v>45183</v>
      </c>
      <c r="C2973" s="4" t="s">
        <v>6194</v>
      </c>
      <c r="D2973" s="4" t="s">
        <v>6208</v>
      </c>
      <c r="E2973" s="4" t="s">
        <v>6211</v>
      </c>
      <c r="F2973" s="4" t="s">
        <v>6197</v>
      </c>
    </row>
    <row r="2974" customFormat="false" ht="15" hidden="false" customHeight="true" outlineLevel="0" collapsed="false">
      <c r="A2974" s="4" t="s">
        <v>3150</v>
      </c>
      <c r="B2974" s="13" t="n">
        <v>45101</v>
      </c>
      <c r="C2974" s="4" t="s">
        <v>6194</v>
      </c>
      <c r="D2974" s="4" t="s">
        <v>6205</v>
      </c>
      <c r="E2974" s="4" t="s">
        <v>6205</v>
      </c>
      <c r="F2974" s="4" t="s">
        <v>6214</v>
      </c>
    </row>
    <row r="2975" customFormat="false" ht="15" hidden="false" customHeight="true" outlineLevel="0" collapsed="false">
      <c r="A2975" s="4" t="s">
        <v>3151</v>
      </c>
      <c r="B2975" s="13" t="n">
        <v>44987</v>
      </c>
      <c r="C2975" s="4" t="s">
        <v>6198</v>
      </c>
      <c r="D2975" s="4" t="s">
        <v>6196</v>
      </c>
      <c r="E2975" s="4" t="s">
        <v>6202</v>
      </c>
      <c r="F2975" s="4" t="s">
        <v>6200</v>
      </c>
    </row>
    <row r="2976" customFormat="false" ht="15" hidden="false" customHeight="true" outlineLevel="0" collapsed="false">
      <c r="A2976" s="4" t="s">
        <v>3152</v>
      </c>
      <c r="B2976" s="13" t="n">
        <v>44942</v>
      </c>
      <c r="C2976" s="4" t="s">
        <v>6209</v>
      </c>
      <c r="D2976" s="4" t="s">
        <v>6205</v>
      </c>
      <c r="E2976" s="4" t="s">
        <v>6203</v>
      </c>
      <c r="F2976" s="4"/>
    </row>
    <row r="2977" customFormat="false" ht="15" hidden="false" customHeight="true" outlineLevel="0" collapsed="false">
      <c r="A2977" s="4" t="s">
        <v>3153</v>
      </c>
      <c r="B2977" s="13" t="n">
        <v>45046</v>
      </c>
      <c r="C2977" s="4" t="s">
        <v>6194</v>
      </c>
      <c r="D2977" s="4" t="s">
        <v>6208</v>
      </c>
      <c r="E2977" s="4" t="s">
        <v>6199</v>
      </c>
      <c r="F2977" s="4" t="s">
        <v>6212</v>
      </c>
    </row>
    <row r="2978" customFormat="false" ht="15" hidden="false" customHeight="true" outlineLevel="0" collapsed="false">
      <c r="A2978" s="4" t="s">
        <v>3154</v>
      </c>
      <c r="B2978" s="13" t="n">
        <v>45607</v>
      </c>
      <c r="C2978" s="4" t="s">
        <v>6215</v>
      </c>
      <c r="D2978" s="4" t="s">
        <v>6199</v>
      </c>
      <c r="E2978" s="4" t="s">
        <v>6208</v>
      </c>
      <c r="F2978" s="4" t="s">
        <v>6212</v>
      </c>
    </row>
    <row r="2979" customFormat="false" ht="15" hidden="false" customHeight="true" outlineLevel="0" collapsed="false">
      <c r="A2979" s="4" t="s">
        <v>3155</v>
      </c>
      <c r="B2979" s="13" t="n">
        <v>45572</v>
      </c>
      <c r="C2979" s="4" t="s">
        <v>6194</v>
      </c>
      <c r="D2979" s="4" t="s">
        <v>6199</v>
      </c>
      <c r="E2979" s="4" t="s">
        <v>6199</v>
      </c>
      <c r="F2979" s="4" t="s">
        <v>6212</v>
      </c>
    </row>
    <row r="2980" customFormat="false" ht="15" hidden="false" customHeight="true" outlineLevel="0" collapsed="false">
      <c r="A2980" s="4" t="s">
        <v>3156</v>
      </c>
      <c r="B2980" s="13" t="n">
        <v>45573</v>
      </c>
      <c r="C2980" s="4" t="s">
        <v>6201</v>
      </c>
      <c r="D2980" s="4" t="s">
        <v>6195</v>
      </c>
      <c r="E2980" s="4" t="s">
        <v>6207</v>
      </c>
      <c r="F2980" s="4" t="s">
        <v>6216</v>
      </c>
    </row>
    <row r="2981" customFormat="false" ht="15" hidden="false" customHeight="true" outlineLevel="0" collapsed="false">
      <c r="A2981" s="4" t="s">
        <v>3157</v>
      </c>
      <c r="B2981" s="13" t="n">
        <v>45551</v>
      </c>
      <c r="C2981" s="4" t="s">
        <v>6215</v>
      </c>
      <c r="D2981" s="4" t="s">
        <v>6207</v>
      </c>
      <c r="E2981" s="4" t="s">
        <v>6202</v>
      </c>
      <c r="F2981" s="4" t="s">
        <v>6214</v>
      </c>
    </row>
    <row r="2982" customFormat="false" ht="15" hidden="false" customHeight="true" outlineLevel="0" collapsed="false">
      <c r="A2982" s="4" t="s">
        <v>3158</v>
      </c>
      <c r="B2982" s="13" t="n">
        <v>45202</v>
      </c>
      <c r="C2982" s="4" t="s">
        <v>6210</v>
      </c>
      <c r="D2982" s="4" t="s">
        <v>6206</v>
      </c>
      <c r="E2982" s="4" t="s">
        <v>6211</v>
      </c>
      <c r="F2982" s="4" t="s">
        <v>6216</v>
      </c>
    </row>
    <row r="2983" customFormat="false" ht="15" hidden="false" customHeight="true" outlineLevel="0" collapsed="false">
      <c r="A2983" s="4" t="s">
        <v>3159</v>
      </c>
      <c r="B2983" s="13" t="n">
        <v>45556</v>
      </c>
      <c r="C2983" s="4" t="s">
        <v>6213</v>
      </c>
      <c r="D2983" s="4" t="s">
        <v>6199</v>
      </c>
      <c r="E2983" s="4" t="s">
        <v>6205</v>
      </c>
      <c r="F2983" s="4" t="s">
        <v>6216</v>
      </c>
    </row>
    <row r="2984" customFormat="false" ht="15" hidden="false" customHeight="true" outlineLevel="0" collapsed="false">
      <c r="A2984" s="4" t="s">
        <v>3160</v>
      </c>
      <c r="B2984" s="13" t="n">
        <v>45460</v>
      </c>
      <c r="C2984" s="4" t="s">
        <v>6210</v>
      </c>
      <c r="D2984" s="4" t="s">
        <v>6206</v>
      </c>
      <c r="E2984" s="4" t="s">
        <v>6203</v>
      </c>
      <c r="F2984" s="4"/>
    </row>
    <row r="2985" customFormat="false" ht="15" hidden="false" customHeight="true" outlineLevel="0" collapsed="false">
      <c r="A2985" s="4" t="s">
        <v>3161</v>
      </c>
      <c r="B2985" s="13" t="n">
        <v>45403</v>
      </c>
      <c r="C2985" s="4" t="s">
        <v>6213</v>
      </c>
      <c r="D2985" s="4" t="s">
        <v>6208</v>
      </c>
      <c r="E2985" s="4" t="s">
        <v>6195</v>
      </c>
      <c r="F2985" s="4" t="s">
        <v>6214</v>
      </c>
    </row>
    <row r="2986" customFormat="false" ht="15" hidden="false" customHeight="true" outlineLevel="0" collapsed="false">
      <c r="A2986" s="4" t="s">
        <v>3162</v>
      </c>
      <c r="B2986" s="13" t="n">
        <v>45073</v>
      </c>
      <c r="C2986" s="4" t="s">
        <v>6201</v>
      </c>
      <c r="D2986" s="4" t="s">
        <v>6207</v>
      </c>
      <c r="E2986" s="4" t="s">
        <v>6206</v>
      </c>
      <c r="F2986" s="4" t="s">
        <v>6200</v>
      </c>
    </row>
    <row r="2987" customFormat="false" ht="15" hidden="false" customHeight="true" outlineLevel="0" collapsed="false">
      <c r="A2987" s="4" t="s">
        <v>3163</v>
      </c>
      <c r="B2987" s="13" t="n">
        <v>44950</v>
      </c>
      <c r="C2987" s="4" t="s">
        <v>6198</v>
      </c>
      <c r="D2987" s="4" t="s">
        <v>6205</v>
      </c>
      <c r="E2987" s="4" t="s">
        <v>6203</v>
      </c>
      <c r="F2987" s="4" t="s">
        <v>6216</v>
      </c>
    </row>
    <row r="2988" customFormat="false" ht="15" hidden="false" customHeight="true" outlineLevel="0" collapsed="false">
      <c r="A2988" s="4" t="s">
        <v>3164</v>
      </c>
      <c r="B2988" s="13" t="n">
        <v>45123</v>
      </c>
      <c r="C2988" s="4" t="s">
        <v>6213</v>
      </c>
      <c r="D2988" s="4" t="s">
        <v>6196</v>
      </c>
      <c r="E2988" s="4" t="s">
        <v>6199</v>
      </c>
      <c r="F2988" s="4" t="s">
        <v>6214</v>
      </c>
    </row>
    <row r="2989" customFormat="false" ht="15" hidden="false" customHeight="true" outlineLevel="0" collapsed="false">
      <c r="A2989" s="4" t="s">
        <v>3165</v>
      </c>
      <c r="B2989" s="13" t="n">
        <v>45281</v>
      </c>
      <c r="C2989" s="4" t="s">
        <v>6215</v>
      </c>
      <c r="D2989" s="4" t="s">
        <v>6203</v>
      </c>
      <c r="E2989" s="4" t="s">
        <v>6199</v>
      </c>
      <c r="F2989" s="4" t="s">
        <v>6216</v>
      </c>
    </row>
    <row r="2990" customFormat="false" ht="15" hidden="false" customHeight="true" outlineLevel="0" collapsed="false">
      <c r="A2990" s="4" t="s">
        <v>3166</v>
      </c>
      <c r="B2990" s="13" t="n">
        <v>45370</v>
      </c>
      <c r="C2990" s="4" t="s">
        <v>6213</v>
      </c>
      <c r="D2990" s="4" t="s">
        <v>6196</v>
      </c>
      <c r="E2990" s="4" t="s">
        <v>6208</v>
      </c>
      <c r="F2990" s="4" t="s">
        <v>6197</v>
      </c>
    </row>
    <row r="2991" customFormat="false" ht="15" hidden="false" customHeight="true" outlineLevel="0" collapsed="false">
      <c r="A2991" s="4" t="s">
        <v>3167</v>
      </c>
      <c r="B2991" s="13" t="n">
        <v>45204</v>
      </c>
      <c r="C2991" s="4" t="s">
        <v>6213</v>
      </c>
      <c r="D2991" s="4" t="s">
        <v>6211</v>
      </c>
      <c r="E2991" s="4" t="s">
        <v>6208</v>
      </c>
      <c r="F2991" s="4" t="s">
        <v>6214</v>
      </c>
    </row>
    <row r="2992" customFormat="false" ht="15" hidden="false" customHeight="true" outlineLevel="0" collapsed="false">
      <c r="A2992" s="4" t="s">
        <v>3168</v>
      </c>
      <c r="B2992" s="13" t="n">
        <v>45195</v>
      </c>
      <c r="C2992" s="4" t="s">
        <v>6210</v>
      </c>
      <c r="D2992" s="4" t="s">
        <v>6211</v>
      </c>
      <c r="E2992" s="4" t="s">
        <v>6196</v>
      </c>
      <c r="F2992" s="4" t="s">
        <v>6204</v>
      </c>
    </row>
    <row r="2993" customFormat="false" ht="15" hidden="false" customHeight="true" outlineLevel="0" collapsed="false">
      <c r="A2993" s="4" t="s">
        <v>3169</v>
      </c>
      <c r="B2993" s="13" t="n">
        <v>45219</v>
      </c>
      <c r="C2993" s="4" t="s">
        <v>6198</v>
      </c>
      <c r="D2993" s="4" t="s">
        <v>6203</v>
      </c>
      <c r="E2993" s="4" t="s">
        <v>6211</v>
      </c>
      <c r="F2993" s="4" t="s">
        <v>6200</v>
      </c>
    </row>
    <row r="2994" customFormat="false" ht="15" hidden="false" customHeight="true" outlineLevel="0" collapsed="false">
      <c r="A2994" s="4" t="s">
        <v>3170</v>
      </c>
      <c r="B2994" s="13" t="n">
        <v>44945</v>
      </c>
      <c r="C2994" s="4" t="s">
        <v>6213</v>
      </c>
      <c r="D2994" s="4" t="s">
        <v>6208</v>
      </c>
      <c r="E2994" s="4" t="s">
        <v>6202</v>
      </c>
      <c r="F2994" s="4" t="s">
        <v>6214</v>
      </c>
    </row>
    <row r="2995" customFormat="false" ht="15" hidden="false" customHeight="true" outlineLevel="0" collapsed="false">
      <c r="A2995" s="4" t="s">
        <v>3171</v>
      </c>
      <c r="B2995" s="13" t="n">
        <v>45625</v>
      </c>
      <c r="C2995" s="4" t="s">
        <v>6198</v>
      </c>
      <c r="D2995" s="4" t="s">
        <v>6195</v>
      </c>
      <c r="E2995" s="4" t="s">
        <v>6211</v>
      </c>
      <c r="F2995" s="4" t="s">
        <v>6197</v>
      </c>
    </row>
    <row r="2996" customFormat="false" ht="15" hidden="false" customHeight="true" outlineLevel="0" collapsed="false">
      <c r="A2996" s="4" t="s">
        <v>3172</v>
      </c>
      <c r="B2996" s="13" t="n">
        <v>45346</v>
      </c>
      <c r="C2996" s="4" t="s">
        <v>6198</v>
      </c>
      <c r="D2996" s="4" t="s">
        <v>6202</v>
      </c>
      <c r="E2996" s="4" t="s">
        <v>6205</v>
      </c>
      <c r="F2996" s="4" t="s">
        <v>6216</v>
      </c>
    </row>
    <row r="2997" customFormat="false" ht="15" hidden="false" customHeight="true" outlineLevel="0" collapsed="false">
      <c r="A2997" s="4" t="s">
        <v>3173</v>
      </c>
      <c r="B2997" s="13" t="n">
        <v>45244</v>
      </c>
      <c r="C2997" s="4" t="s">
        <v>6198</v>
      </c>
      <c r="D2997" s="4" t="s">
        <v>6205</v>
      </c>
      <c r="E2997" s="4" t="s">
        <v>6205</v>
      </c>
      <c r="F2997" s="4"/>
    </row>
    <row r="2998" customFormat="false" ht="15" hidden="false" customHeight="true" outlineLevel="0" collapsed="false">
      <c r="A2998" s="4" t="s">
        <v>3174</v>
      </c>
      <c r="B2998" s="13" t="n">
        <v>45381</v>
      </c>
      <c r="C2998" s="4" t="s">
        <v>6210</v>
      </c>
      <c r="D2998" s="4" t="s">
        <v>6211</v>
      </c>
      <c r="E2998" s="4" t="s">
        <v>6202</v>
      </c>
      <c r="F2998" s="4"/>
    </row>
    <row r="2999" customFormat="false" ht="15" hidden="false" customHeight="true" outlineLevel="0" collapsed="false">
      <c r="A2999" s="4" t="s">
        <v>3175</v>
      </c>
      <c r="B2999" s="13" t="n">
        <v>45647</v>
      </c>
      <c r="C2999" s="4" t="s">
        <v>6194</v>
      </c>
      <c r="D2999" s="4" t="s">
        <v>6195</v>
      </c>
      <c r="E2999" s="4" t="s">
        <v>6208</v>
      </c>
      <c r="F2999" s="4"/>
    </row>
    <row r="3000" customFormat="false" ht="15" hidden="false" customHeight="true" outlineLevel="0" collapsed="false">
      <c r="A3000" s="4" t="s">
        <v>3176</v>
      </c>
      <c r="B3000" s="13" t="n">
        <v>45592</v>
      </c>
      <c r="C3000" s="4" t="s">
        <v>6209</v>
      </c>
      <c r="D3000" s="4" t="s">
        <v>6199</v>
      </c>
      <c r="E3000" s="4" t="s">
        <v>6207</v>
      </c>
      <c r="F3000" s="4" t="s">
        <v>6204</v>
      </c>
    </row>
    <row r="3001" customFormat="false" ht="15" hidden="false" customHeight="true" outlineLevel="0" collapsed="false">
      <c r="A3001" s="4" t="s">
        <v>3177</v>
      </c>
      <c r="B3001" s="13" t="n">
        <v>45150</v>
      </c>
      <c r="C3001" s="4" t="s">
        <v>6215</v>
      </c>
      <c r="D3001" s="4" t="s">
        <v>6196</v>
      </c>
      <c r="E3001" s="4" t="s">
        <v>6208</v>
      </c>
      <c r="F3001" s="4" t="s">
        <v>6200</v>
      </c>
    </row>
  </sheetData>
  <autoFilter ref="A1:F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4"/>
    <col collapsed="false" customWidth="true" hidden="false" outlineLevel="0" max="3" min="3" style="1" width="12"/>
  </cols>
  <sheetData>
    <row r="1" customFormat="false" ht="15.75" hidden="false" customHeight="true" outlineLevel="0" collapsed="false">
      <c r="A1" s="17" t="s">
        <v>6217</v>
      </c>
      <c r="B1" s="17"/>
      <c r="C1" s="17"/>
    </row>
    <row r="3" customFormat="false" ht="15" hidden="false" customHeight="true" outlineLevel="0" collapsed="false">
      <c r="A3" s="18" t="s">
        <v>6218</v>
      </c>
      <c r="B3" s="18" t="s">
        <v>6219</v>
      </c>
      <c r="C3" s="18" t="s">
        <v>6220</v>
      </c>
    </row>
    <row r="4" customFormat="false" ht="15" hidden="false" customHeight="true" outlineLevel="0" collapsed="false">
      <c r="A4" s="4" t="s">
        <v>6221</v>
      </c>
      <c r="B4" s="19" t="n">
        <f aca="false">SUMPRODUCT((COUNTIF(PurchaseOrders!A2:A3001,PurchaseOrders!A2:A3001)&gt;1)*1)</f>
        <v>0</v>
      </c>
      <c r="C4" s="19" t="str">
        <f aca="false">IF(B4=0,"OK","REVIEW")</f>
        <v>OK</v>
      </c>
    </row>
    <row r="5" customFormat="false" ht="15" hidden="false" customHeight="true" outlineLevel="0" collapsed="false">
      <c r="A5" s="4" t="s">
        <v>6222</v>
      </c>
      <c r="B5" s="19" t="n">
        <f aca="false">COUNTBLANK(PurchaseOrders!B2:B3001)</f>
        <v>0</v>
      </c>
      <c r="C5" s="19" t="str">
        <f aca="false">IF(B5=0,"OK","REVIEW")</f>
        <v>OK</v>
      </c>
    </row>
    <row r="6" customFormat="false" ht="15" hidden="false" customHeight="true" outlineLevel="0" collapsed="false">
      <c r="A6" s="4" t="s">
        <v>6223</v>
      </c>
      <c r="B6" s="19" t="n">
        <f aca="false">COUNTBLANK(PurchaseOrders!C2:C3001)</f>
        <v>0</v>
      </c>
      <c r="C6" s="19" t="str">
        <f aca="false">IF(B6=0,"OK","REVIEW")</f>
        <v>OK</v>
      </c>
    </row>
    <row r="7" customFormat="false" ht="15" hidden="false" customHeight="true" outlineLevel="0" collapsed="false">
      <c r="A7" s="4" t="s">
        <v>6224</v>
      </c>
      <c r="B7" s="19" t="n">
        <f aca="false">COUNTBLANK(PurchaseOrders!D2:D3001)</f>
        <v>0</v>
      </c>
      <c r="C7" s="19" t="str">
        <f aca="false">IF(B7=0,"OK","REVIEW")</f>
        <v>OK</v>
      </c>
    </row>
    <row r="8" customFormat="false" ht="15" hidden="false" customHeight="true" outlineLevel="0" collapsed="false">
      <c r="A8" s="4" t="s">
        <v>6225</v>
      </c>
      <c r="B8" s="19" t="n">
        <f aca="false">COUNTBLANK(PurchaseOrders!E2:E3001)</f>
        <v>0</v>
      </c>
      <c r="C8" s="19" t="str">
        <f aca="false">IF(B8=0,"OK","REVIEW")</f>
        <v>OK</v>
      </c>
    </row>
    <row r="9" customFormat="false" ht="15" hidden="false" customHeight="true" outlineLevel="0" collapsed="false">
      <c r="A9" s="4" t="s">
        <v>6226</v>
      </c>
      <c r="B9" s="19" t="n">
        <f aca="false">SUMPRODUCT((PurchaseOrders!G2:G3001&gt;PurchaseOrders!F2:F3001)*1)</f>
        <v>0</v>
      </c>
      <c r="C9" s="19" t="str">
        <f aca="false">IF(B9=0,"OK","REVIEW")</f>
        <v>OK</v>
      </c>
    </row>
    <row r="10" customFormat="false" ht="15" hidden="false" customHeight="true" outlineLevel="0" collapsed="false">
      <c r="A10" s="4" t="s">
        <v>6227</v>
      </c>
      <c r="B10" s="19" t="n">
        <f aca="false">COUNTIF(PurchaseOrders!F2:F3001,"&lt;0")</f>
        <v>0</v>
      </c>
      <c r="C10" s="19" t="str">
        <f aca="false">IF(B10=0,"OK","REVIEW")</f>
        <v>OK</v>
      </c>
    </row>
    <row r="11" customFormat="false" ht="15" hidden="false" customHeight="true" outlineLevel="0" collapsed="false">
      <c r="A11" s="4" t="s">
        <v>6228</v>
      </c>
      <c r="B11" s="19" t="n">
        <f aca="false">COUNTIF(PurchaseOrders!G2:G3001,"&lt;0")</f>
        <v>0</v>
      </c>
      <c r="C11" s="19" t="str">
        <f aca="false">IF(B11=0,"OK","REVIEW")</f>
        <v>OK</v>
      </c>
    </row>
    <row r="12" customFormat="false" ht="15" hidden="false" customHeight="true" outlineLevel="0" collapsed="false">
      <c r="A12" s="4" t="s">
        <v>6229</v>
      </c>
      <c r="B12" s="19" t="n">
        <f aca="false">COUNTIF(PurchaseOrders!H2:H3001,"&lt;=0")</f>
        <v>0</v>
      </c>
      <c r="C12" s="19" t="str">
        <f aca="false">IF(B12=0,"OK","REVIEW")</f>
        <v>OK</v>
      </c>
    </row>
    <row r="13" customFormat="false" ht="15" hidden="false" customHeight="true" outlineLevel="0" collapsed="false">
      <c r="A13" s="4" t="s">
        <v>6230</v>
      </c>
      <c r="B13" s="19" t="n">
        <f aca="false">SUMPRODUCT((PurchaseOrders!E2:E3001&lt;PurchaseOrders!C2:C3001)*1)</f>
        <v>0</v>
      </c>
      <c r="C13" s="19" t="str">
        <f aca="false">IF(B13=0,"OK","REVIEW")</f>
        <v>OK</v>
      </c>
    </row>
    <row r="15" customFormat="false" ht="15" hidden="false" customHeight="true" outlineLevel="0" collapsed="false">
      <c r="A15" s="8" t="s">
        <v>6231</v>
      </c>
      <c r="B15" s="8"/>
      <c r="C15" s="8"/>
    </row>
  </sheetData>
  <mergeCells count="2">
    <mergeCell ref="A1:C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7" min="6" style="1" width="13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3" min="10" style="1" width="10"/>
    <col collapsed="false" customWidth="true" hidden="false" outlineLevel="0" max="17" min="14" style="1" width="13"/>
    <col collapsed="false" customWidth="true" hidden="false" outlineLevel="0" max="18" min="18" style="1" width="11"/>
    <col collapsed="false" customWidth="true" hidden="false" outlineLevel="0" max="20" min="19" style="1" width="10"/>
    <col collapsed="false" customWidth="true" hidden="false" outlineLevel="0" max="21" min="21" style="1" width="14"/>
    <col collapsed="false" customWidth="true" hidden="false" outlineLevel="0" max="22" min="22" style="1" width="15"/>
    <col collapsed="false" customWidth="true" hidden="false" outlineLevel="0" max="23" min="23" style="1" width="13"/>
    <col collapsed="false" customWidth="true" hidden="false" outlineLevel="0" max="24" min="24" style="1" width="15"/>
  </cols>
  <sheetData>
    <row r="1" customFormat="false" ht="15" hidden="false" customHeight="true" outlineLevel="0" collapsed="false">
      <c r="A1" s="12" t="s">
        <v>26</v>
      </c>
      <c r="B1" s="12" t="s">
        <v>27</v>
      </c>
      <c r="C1" s="12" t="s">
        <v>28</v>
      </c>
      <c r="D1" s="12" t="s">
        <v>6232</v>
      </c>
      <c r="E1" s="12" t="s">
        <v>6233</v>
      </c>
      <c r="F1" s="12" t="s">
        <v>6234</v>
      </c>
      <c r="G1" s="12" t="s">
        <v>6235</v>
      </c>
      <c r="H1" s="12" t="s">
        <v>6236</v>
      </c>
      <c r="I1" s="12" t="s">
        <v>6237</v>
      </c>
      <c r="J1" s="12" t="s">
        <v>6238</v>
      </c>
      <c r="K1" s="12" t="s">
        <v>6239</v>
      </c>
      <c r="L1" s="12" t="s">
        <v>6240</v>
      </c>
      <c r="M1" s="12" t="s">
        <v>6241</v>
      </c>
      <c r="N1" s="12" t="s">
        <v>6242</v>
      </c>
      <c r="O1" s="12" t="s">
        <v>6243</v>
      </c>
      <c r="P1" s="12" t="s">
        <v>6244</v>
      </c>
      <c r="Q1" s="12" t="s">
        <v>6245</v>
      </c>
      <c r="R1" s="12" t="s">
        <v>6246</v>
      </c>
      <c r="S1" s="12" t="s">
        <v>6247</v>
      </c>
      <c r="T1" s="12" t="s">
        <v>6248</v>
      </c>
      <c r="U1" s="12" t="s">
        <v>6249</v>
      </c>
      <c r="V1" s="12" t="s">
        <v>6250</v>
      </c>
      <c r="W1" s="12" t="s">
        <v>6251</v>
      </c>
      <c r="X1" s="12" t="s">
        <v>6252</v>
      </c>
    </row>
    <row r="2" customFormat="false" ht="15" hidden="false" customHeight="true" outlineLevel="0" collapsed="false">
      <c r="A2" s="4" t="str">
        <f aca="false">Vendors!A2</f>
        <v>V001</v>
      </c>
      <c r="B2" s="4" t="str">
        <f aca="false">INDEX(Vendors!$B$2:$B$61,MATCH(A2,Vendors!$A$2:$A$61,0))</f>
        <v>Everest Supplies</v>
      </c>
      <c r="C2" s="4" t="str">
        <f aca="false">INDEX(Vendors!$C$2:$C$61,MATCH(A2,Vendors!$A$2:$A$61,0))</f>
        <v>Packaging</v>
      </c>
      <c r="D2" s="4" t="n">
        <f aca="false">COUNTIF(PurchaseOrders!$B$2:$B$3001,A2)</f>
        <v>53</v>
      </c>
      <c r="E2" s="15" t="n">
        <f aca="false">IFERROR(AVERAGEIFS(PurchaseOrders!$K$2:$K$3001,PurchaseOrders!$B$2:$B$3001,A2),0)</f>
        <v>0.641509433962264</v>
      </c>
      <c r="F2" s="20" t="n">
        <f aca="false">IFERROR(AVERAGEIFS(PurchaseOrders!$J$2:$J$3001,PurchaseOrders!$B$2:$B$3001,A2),0)</f>
        <v>-0.207547169811321</v>
      </c>
      <c r="G2" s="15" t="n">
        <f aca="false">IFERROR(AVERAGEIFS(PurchaseOrders!$L$2:$L$3001,PurchaseOrders!$B$2:$B$3001,A2),0)</f>
        <v>0.902907215606846</v>
      </c>
      <c r="H2" s="15" t="n">
        <f aca="false">IFERROR(AVERAGEIFS(PurchaseOrders!$M$2:$M$3001,PurchaseOrders!$B$2:$B$3001,A2),0)</f>
        <v>0.00900131825757702</v>
      </c>
      <c r="I2" s="15" t="n">
        <f aca="false">IFERROR(SUMIFS(QualityInspections!$D$2:$D$3001,QualityInspections!$G$2:$G$3001,A2)/SUMIFS(QualityInspections!$C$2:$C$3001,QualityInspections!$G$2:$G$3001,A2),0)</f>
        <v>0.066034588437934</v>
      </c>
      <c r="J2" s="15" t="n">
        <f aca="false">1-E2</f>
        <v>0.358490566037736</v>
      </c>
      <c r="K2" s="15" t="n">
        <f aca="false">I2</f>
        <v>0.066034588437934</v>
      </c>
      <c r="L2" s="15" t="n">
        <f aca="false">MAX(H2,0)</f>
        <v>0.00900131825757702</v>
      </c>
      <c r="M2" s="15" t="n">
        <f aca="false">1-G2</f>
        <v>0.0970927843931539</v>
      </c>
      <c r="N2" s="20" t="n">
        <f aca="false">IFERROR((J2-MIN($J$2:$J$61))/(MAX($J$2:$J$61)-MIN($J$2:$J$61))*100,0)</f>
        <v>27.1012006861064</v>
      </c>
      <c r="O2" s="20" t="n">
        <f aca="false">IFERROR((K2-MIN($K$2:$K$61))/(MAX($K$2:$K$61)-MIN($K$2:$K$61))*100,0)</f>
        <v>26.7379181327669</v>
      </c>
      <c r="P2" s="20" t="n">
        <f aca="false">IFERROR((L2-MIN($L$2:$L$61))/(MAX($L$2:$L$61)-MIN($L$2:$L$61))*100,0)</f>
        <v>7.95501369704755</v>
      </c>
      <c r="Q2" s="20" t="n">
        <f aca="false">IFERROR((M2-MIN($M$2:$M$61))/(MAX($M$2:$M$61)-MIN($M$2:$M$61))*100,0)</f>
        <v>65.9755751750886</v>
      </c>
      <c r="R2" s="20" t="n">
        <f aca="false">0.35*N2+0.3*O2+0.2*P2+0.15*Q2</f>
        <v>28.9941346956401</v>
      </c>
      <c r="S2" s="4" t="str">
        <f aca="false">IF(R2&gt;=65,"High",IF(R2&gt;=40,"Medium","Low"))</f>
        <v>Low</v>
      </c>
      <c r="T2" s="4" t="n">
        <f aca="false">RANK(R2,$R$2:$R$61,0)</f>
        <v>41</v>
      </c>
      <c r="U2" s="16" t="n">
        <f aca="false">SUMIFS(PurchaseOrders!$N$2:$N$3001,PurchaseOrders!$B$2:$B$3001,A2)</f>
        <v>4228138.2</v>
      </c>
      <c r="V2" s="4" t="str">
        <f aca="false">IF(R2&gt;=MEDIAN($R$2:$R$61),"High Risk","Low Risk")</f>
        <v>Low Risk</v>
      </c>
      <c r="W2" s="4" t="str">
        <f aca="false">IF(U2&gt;=MEDIAN($U$2:$U$61),"High Spend","Low Spend")</f>
        <v>Low Spend</v>
      </c>
      <c r="X2" s="4" t="str">
        <f aca="false">IF(AND(V2="High Risk",W2="High Spend"),"Strategic",IF(AND(V2="High Risk",W2="Low Spend"),"Bottleneck",IF(AND(V2="Low Risk",W2="High Spend"),"Leverage","Non-Critical")))</f>
        <v>Non-Critical</v>
      </c>
    </row>
    <row r="3" customFormat="false" ht="15" hidden="false" customHeight="true" outlineLevel="0" collapsed="false">
      <c r="A3" s="4" t="str">
        <f aca="false">Vendors!A3</f>
        <v>V002</v>
      </c>
      <c r="B3" s="4" t="str">
        <f aca="false">INDEX(Vendors!$B$2:$B$61,MATCH(A3,Vendors!$A$2:$A$61,0))</f>
        <v>Global Enterprises</v>
      </c>
      <c r="C3" s="4" t="str">
        <f aca="false">INDEX(Vendors!$C$2:$C$61,MATCH(A3,Vendors!$A$2:$A$61,0))</f>
        <v>Packaging</v>
      </c>
      <c r="D3" s="4" t="n">
        <f aca="false">COUNTIF(PurchaseOrders!$B$2:$B$3001,A3)</f>
        <v>61</v>
      </c>
      <c r="E3" s="15" t="n">
        <f aca="false">IFERROR(AVERAGEIFS(PurchaseOrders!$K$2:$K$3001,PurchaseOrders!$B$2:$B$3001,A3),0)</f>
        <v>0.508196721311475</v>
      </c>
      <c r="F3" s="20" t="n">
        <f aca="false">IFERROR(AVERAGEIFS(PurchaseOrders!$J$2:$J$3001,PurchaseOrders!$B$2:$B$3001,A3),0)</f>
        <v>0.377049180327869</v>
      </c>
      <c r="G3" s="15" t="n">
        <f aca="false">IFERROR(AVERAGEIFS(PurchaseOrders!$L$2:$L$3001,PurchaseOrders!$B$2:$B$3001,A3),0)</f>
        <v>0.985622794661542</v>
      </c>
      <c r="H3" s="15" t="n">
        <f aca="false">IFERROR(AVERAGEIFS(PurchaseOrders!$M$2:$M$3001,PurchaseOrders!$B$2:$B$3001,A3),0)</f>
        <v>-0.0339062937268939</v>
      </c>
      <c r="I3" s="15" t="n">
        <f aca="false">IFERROR(SUMIFS(QualityInspections!$D$2:$D$3001,QualityInspections!$G$2:$G$3001,A3)/SUMIFS(QualityInspections!$C$2:$C$3001,QualityInspections!$G$2:$G$3001,A3),0)</f>
        <v>0.0311058839887836</v>
      </c>
      <c r="J3" s="15" t="n">
        <f aca="false">1-E3</f>
        <v>0.491803278688525</v>
      </c>
      <c r="K3" s="15" t="n">
        <f aca="false">I3</f>
        <v>0.0311058839887836</v>
      </c>
      <c r="L3" s="15" t="n">
        <f aca="false">MAX(H3,0)</f>
        <v>0</v>
      </c>
      <c r="M3" s="15" t="n">
        <f aca="false">1-G3</f>
        <v>0.0143772053384577</v>
      </c>
      <c r="N3" s="20" t="n">
        <f aca="false">IFERROR((J3-MIN($J$2:$J$61))/(MAX($J$2:$J$61)-MIN($J$2:$J$61))*100,0)</f>
        <v>42.2503725782414</v>
      </c>
      <c r="O3" s="20" t="n">
        <f aca="false">IFERROR((K3-MIN($K$2:$K$61))/(MAX($K$2:$K$61)-MIN($K$2:$K$61))*100,0)</f>
        <v>10.483589502968</v>
      </c>
      <c r="P3" s="20" t="n">
        <f aca="false">IFERROR((L3-MIN($L$2:$L$61))/(MAX($L$2:$L$61)-MIN($L$2:$L$61))*100,0)</f>
        <v>0</v>
      </c>
      <c r="Q3" s="20" t="n">
        <f aca="false">IFERROR((M3-MIN($M$2:$M$61))/(MAX($M$2:$M$61)-MIN($M$2:$M$61))*100,0)</f>
        <v>7.22482330939556</v>
      </c>
      <c r="R3" s="20" t="n">
        <f aca="false">0.35*N3+0.3*O3+0.2*P3+0.15*Q3</f>
        <v>19.0164307496842</v>
      </c>
      <c r="S3" s="4" t="str">
        <f aca="false">IF(R3&gt;=65,"High",IF(R3&gt;=40,"Medium","Low"))</f>
        <v>Low</v>
      </c>
      <c r="T3" s="4" t="n">
        <f aca="false">RANK(R3,$R$2:$R$61,0)</f>
        <v>55</v>
      </c>
      <c r="U3" s="16" t="n">
        <f aca="false">SUMIFS(PurchaseOrders!$N$2:$N$3001,PurchaseOrders!$B$2:$B$3001,A3)</f>
        <v>3710902.56</v>
      </c>
      <c r="V3" s="4" t="str">
        <f aca="false">IF(R3&gt;=MEDIAN($R$2:$R$61),"High Risk","Low Risk")</f>
        <v>Low Risk</v>
      </c>
      <c r="W3" s="4" t="str">
        <f aca="false">IF(U3&gt;=MEDIAN($U$2:$U$61),"High Spend","Low Spend")</f>
        <v>Low Spend</v>
      </c>
      <c r="X3" s="4" t="str">
        <f aca="false">IF(AND(V3="High Risk",W3="High Spend"),"Strategic",IF(AND(V3="High Risk",W3="Low Spend"),"Bottleneck",IF(AND(V3="Low Risk",W3="High Spend"),"Leverage","Non-Critical")))</f>
        <v>Non-Critical</v>
      </c>
    </row>
    <row r="4" customFormat="false" ht="15" hidden="false" customHeight="true" outlineLevel="0" collapsed="false">
      <c r="A4" s="4" t="str">
        <f aca="false">Vendors!A4</f>
        <v>V003</v>
      </c>
      <c r="B4" s="4" t="str">
        <f aca="false">INDEX(Vendors!$B$2:$B$61,MATCH(A4,Vendors!$A$2:$A$61,0))</f>
        <v>Vertex Logistics</v>
      </c>
      <c r="C4" s="4" t="str">
        <f aca="false">INDEX(Vendors!$C$2:$C$61,MATCH(A4,Vendors!$A$2:$A$61,0))</f>
        <v>Packaging</v>
      </c>
      <c r="D4" s="4" t="n">
        <f aca="false">COUNTIF(PurchaseOrders!$B$2:$B$3001,A4)</f>
        <v>57</v>
      </c>
      <c r="E4" s="15" t="n">
        <f aca="false">IFERROR(AVERAGEIFS(PurchaseOrders!$K$2:$K$3001,PurchaseOrders!$B$2:$B$3001,A4),0)</f>
        <v>0.631578947368421</v>
      </c>
      <c r="F4" s="20" t="n">
        <f aca="false">IFERROR(AVERAGEIFS(PurchaseOrders!$J$2:$J$3001,PurchaseOrders!$B$2:$B$3001,A4),0)</f>
        <v>-0.210526315789474</v>
      </c>
      <c r="G4" s="15" t="n">
        <f aca="false">IFERROR(AVERAGEIFS(PurchaseOrders!$L$2:$L$3001,PurchaseOrders!$B$2:$B$3001,A4),0)</f>
        <v>0.990686240754124</v>
      </c>
      <c r="H4" s="15" t="n">
        <f aca="false">IFERROR(AVERAGEIFS(PurchaseOrders!$M$2:$M$3001,PurchaseOrders!$B$2:$B$3001,A4),0)</f>
        <v>-0.0190588534619343</v>
      </c>
      <c r="I4" s="15" t="n">
        <f aca="false">IFERROR(SUMIFS(QualityInspections!$D$2:$D$3001,QualityInspections!$G$2:$G$3001,A4)/SUMIFS(QualityInspections!$C$2:$C$3001,QualityInspections!$G$2:$G$3001,A4),0)</f>
        <v>0.0441610633510645</v>
      </c>
      <c r="J4" s="15" t="n">
        <f aca="false">1-E4</f>
        <v>0.368421052631579</v>
      </c>
      <c r="K4" s="15" t="n">
        <f aca="false">I4</f>
        <v>0.0441610633510645</v>
      </c>
      <c r="L4" s="15" t="n">
        <f aca="false">MAX(H4,0)</f>
        <v>0</v>
      </c>
      <c r="M4" s="15" t="n">
        <f aca="false">1-G4</f>
        <v>0.00931375924587574</v>
      </c>
      <c r="N4" s="20" t="n">
        <f aca="false">IFERROR((J4-MIN($J$2:$J$61))/(MAX($J$2:$J$61)-MIN($J$2:$J$61))*100,0)</f>
        <v>28.2296650717703</v>
      </c>
      <c r="O4" s="20" t="n">
        <f aca="false">IFERROR((K4-MIN($K$2:$K$61))/(MAX($K$2:$K$61)-MIN($K$2:$K$61))*100,0)</f>
        <v>16.5589129088049</v>
      </c>
      <c r="P4" s="20" t="n">
        <f aca="false">IFERROR((L4-MIN($L$2:$L$61))/(MAX($L$2:$L$61)-MIN($L$2:$L$61))*100,0)</f>
        <v>0</v>
      </c>
      <c r="Q4" s="20" t="n">
        <f aca="false">IFERROR((M4-MIN($M$2:$M$61))/(MAX($M$2:$M$61)-MIN($M$2:$M$61))*100,0)</f>
        <v>3.62838756693547</v>
      </c>
      <c r="R4" s="20" t="n">
        <f aca="false">0.35*N4+0.3*O4+0.2*P4+0.15*Q4</f>
        <v>15.3923147828014</v>
      </c>
      <c r="S4" s="4" t="str">
        <f aca="false">IF(R4&gt;=65,"High",IF(R4&gt;=40,"Medium","Low"))</f>
        <v>Low</v>
      </c>
      <c r="T4" s="4" t="n">
        <f aca="false">RANK(R4,$R$2:$R$61,0)</f>
        <v>57</v>
      </c>
      <c r="U4" s="16" t="n">
        <f aca="false">SUMIFS(PurchaseOrders!$N$2:$N$3001,PurchaseOrders!$B$2:$B$3001,A4)</f>
        <v>6860856.44</v>
      </c>
      <c r="V4" s="4" t="str">
        <f aca="false">IF(R4&gt;=MEDIAN($R$2:$R$61),"High Risk","Low Risk")</f>
        <v>Low Risk</v>
      </c>
      <c r="W4" s="4" t="str">
        <f aca="false">IF(U4&gt;=MEDIAN($U$2:$U$61),"High Spend","Low Spend")</f>
        <v>High Spend</v>
      </c>
      <c r="X4" s="4" t="str">
        <f aca="false">IF(AND(V4="High Risk",W4="High Spend"),"Strategic",IF(AND(V4="High Risk",W4="Low Spend"),"Bottleneck",IF(AND(V4="Low Risk",W4="High Spend"),"Leverage","Non-Critical")))</f>
        <v>Leverage</v>
      </c>
    </row>
    <row r="5" customFormat="false" ht="15" hidden="false" customHeight="true" outlineLevel="0" collapsed="false">
      <c r="A5" s="4" t="str">
        <f aca="false">Vendors!A5</f>
        <v>V004</v>
      </c>
      <c r="B5" s="4" t="str">
        <f aca="false">INDEX(Vendors!$B$2:$B$61,MATCH(A5,Vendors!$A$2:$A$61,0))</f>
        <v>Everest Manufacturing</v>
      </c>
      <c r="C5" s="4" t="str">
        <f aca="false">INDEX(Vendors!$C$2:$C$61,MATCH(A5,Vendors!$A$2:$A$61,0))</f>
        <v>Electronics</v>
      </c>
      <c r="D5" s="4" t="n">
        <f aca="false">COUNTIF(PurchaseOrders!$B$2:$B$3001,A5)</f>
        <v>48</v>
      </c>
      <c r="E5" s="15" t="n">
        <f aca="false">IFERROR(AVERAGEIFS(PurchaseOrders!$K$2:$K$3001,PurchaseOrders!$B$2:$B$3001,A5),0)</f>
        <v>0.333333333333333</v>
      </c>
      <c r="F5" s="20" t="n">
        <f aca="false">IFERROR(AVERAGEIFS(PurchaseOrders!$J$2:$J$3001,PurchaseOrders!$B$2:$B$3001,A5),0)</f>
        <v>1.5</v>
      </c>
      <c r="G5" s="15" t="n">
        <f aca="false">IFERROR(AVERAGEIFS(PurchaseOrders!$L$2:$L$3001,PurchaseOrders!$B$2:$B$3001,A5),0)</f>
        <v>0.970487256810558</v>
      </c>
      <c r="H5" s="15" t="n">
        <f aca="false">IFERROR(AVERAGEIFS(PurchaseOrders!$M$2:$M$3001,PurchaseOrders!$B$2:$B$3001,A5),0)</f>
        <v>0.00616203843825672</v>
      </c>
      <c r="I5" s="15" t="n">
        <f aca="false">IFERROR(SUMIFS(QualityInspections!$D$2:$D$3001,QualityInspections!$G$2:$G$3001,A5)/SUMIFS(QualityInspections!$C$2:$C$3001,QualityInspections!$G$2:$G$3001,A5),0)</f>
        <v>0.0541812958825407</v>
      </c>
      <c r="J5" s="15" t="n">
        <f aca="false">1-E5</f>
        <v>0.666666666666667</v>
      </c>
      <c r="K5" s="15" t="n">
        <f aca="false">I5</f>
        <v>0.0541812958825407</v>
      </c>
      <c r="L5" s="15" t="n">
        <f aca="false">MAX(H5,0)</f>
        <v>0.00616203843825672</v>
      </c>
      <c r="M5" s="15" t="n">
        <f aca="false">1-G5</f>
        <v>0.0295127431894425</v>
      </c>
      <c r="N5" s="20" t="n">
        <f aca="false">IFERROR((J5-MIN($J$2:$J$61))/(MAX($J$2:$J$61)-MIN($J$2:$J$61))*100,0)</f>
        <v>62.1212121212121</v>
      </c>
      <c r="O5" s="20" t="n">
        <f aca="false">IFERROR((K5-MIN($K$2:$K$61))/(MAX($K$2:$K$61)-MIN($K$2:$K$61))*100,0)</f>
        <v>21.2219015618976</v>
      </c>
      <c r="P5" s="20" t="n">
        <f aca="false">IFERROR((L5-MIN($L$2:$L$61))/(MAX($L$2:$L$61)-MIN($L$2:$L$61))*100,0)</f>
        <v>5.44576902797577</v>
      </c>
      <c r="Q5" s="20" t="n">
        <f aca="false">IFERROR((M5-MIN($M$2:$M$61))/(MAX($M$2:$M$61)-MIN($M$2:$M$61))*100,0)</f>
        <v>17.9752072007906</v>
      </c>
      <c r="R5" s="20" t="n">
        <f aca="false">0.35*N5+0.3*O5+0.2*P5+0.15*Q5</f>
        <v>31.8944295967073</v>
      </c>
      <c r="S5" s="4" t="str">
        <f aca="false">IF(R5&gt;=65,"High",IF(R5&gt;=40,"Medium","Low"))</f>
        <v>Low</v>
      </c>
      <c r="T5" s="4" t="n">
        <f aca="false">RANK(R5,$R$2:$R$61,0)</f>
        <v>36</v>
      </c>
      <c r="U5" s="16" t="n">
        <f aca="false">SUMIFS(PurchaseOrders!$N$2:$N$3001,PurchaseOrders!$B$2:$B$3001,A5)</f>
        <v>16649782.3</v>
      </c>
      <c r="V5" s="4" t="str">
        <f aca="false">IF(R5&gt;=MEDIAN($R$2:$R$61),"High Risk","Low Risk")</f>
        <v>Low Risk</v>
      </c>
      <c r="W5" s="4" t="str">
        <f aca="false">IF(U5&gt;=MEDIAN($U$2:$U$61),"High Spend","Low Spend")</f>
        <v>High Spend</v>
      </c>
      <c r="X5" s="4" t="str">
        <f aca="false">IF(AND(V5="High Risk",W5="High Spend"),"Strategic",IF(AND(V5="High Risk",W5="Low Spend"),"Bottleneck",IF(AND(V5="Low Risk",W5="High Spend"),"Leverage","Non-Critical")))</f>
        <v>Leverage</v>
      </c>
    </row>
    <row r="6" customFormat="false" ht="15" hidden="false" customHeight="true" outlineLevel="0" collapsed="false">
      <c r="A6" s="4" t="str">
        <f aca="false">Vendors!A6</f>
        <v>V005</v>
      </c>
      <c r="B6" s="4" t="str">
        <f aca="false">INDEX(Vendors!$B$2:$B$61,MATCH(A6,Vendors!$A$2:$A$61,0))</f>
        <v>Kiran Industries</v>
      </c>
      <c r="C6" s="4" t="str">
        <f aca="false">INDEX(Vendors!$C$2:$C$61,MATCH(A6,Vendors!$A$2:$A$61,0))</f>
        <v>Raw Materials</v>
      </c>
      <c r="D6" s="4" t="n">
        <f aca="false">COUNTIF(PurchaseOrders!$B$2:$B$3001,A6)</f>
        <v>40</v>
      </c>
      <c r="E6" s="15" t="n">
        <f aca="false">IFERROR(AVERAGEIFS(PurchaseOrders!$K$2:$K$3001,PurchaseOrders!$B$2:$B$3001,A6),0)</f>
        <v>0.775</v>
      </c>
      <c r="F6" s="20" t="n">
        <f aca="false">IFERROR(AVERAGEIFS(PurchaseOrders!$J$2:$J$3001,PurchaseOrders!$B$2:$B$3001,A6),0)</f>
        <v>-0.775</v>
      </c>
      <c r="G6" s="15" t="n">
        <f aca="false">IFERROR(AVERAGEIFS(PurchaseOrders!$L$2:$L$3001,PurchaseOrders!$B$2:$B$3001,A6),0)</f>
        <v>0.980952632484055</v>
      </c>
      <c r="H6" s="15" t="n">
        <f aca="false">IFERROR(AVERAGEIFS(PurchaseOrders!$M$2:$M$3001,PurchaseOrders!$B$2:$B$3001,A6),0)</f>
        <v>0.00590781878607658</v>
      </c>
      <c r="I6" s="15" t="n">
        <f aca="false">IFERROR(SUMIFS(QualityInspections!$D$2:$D$3001,QualityInspections!$G$2:$G$3001,A6)/SUMIFS(QualityInspections!$C$2:$C$3001,QualityInspections!$G$2:$G$3001,A6),0)</f>
        <v>0.0740994686191444</v>
      </c>
      <c r="J6" s="15" t="n">
        <f aca="false">1-E6</f>
        <v>0.225</v>
      </c>
      <c r="K6" s="15" t="n">
        <f aca="false">I6</f>
        <v>0.0740994686191444</v>
      </c>
      <c r="L6" s="15" t="n">
        <f aca="false">MAX(H6,0)</f>
        <v>0.00590781878607658</v>
      </c>
      <c r="M6" s="15" t="n">
        <f aca="false">1-G6</f>
        <v>0.0190473675159453</v>
      </c>
      <c r="N6" s="20" t="n">
        <f aca="false">IFERROR((J6-MIN($J$2:$J$61))/(MAX($J$2:$J$61)-MIN($J$2:$J$61))*100,0)</f>
        <v>11.9318181818182</v>
      </c>
      <c r="O6" s="20" t="n">
        <f aca="false">IFERROR((K6-MIN($K$2:$K$61))/(MAX($K$2:$K$61)-MIN($K$2:$K$61))*100,0)</f>
        <v>30.4909692376594</v>
      </c>
      <c r="P6" s="20" t="n">
        <f aca="false">IFERROR((L6-MIN($L$2:$L$61))/(MAX($L$2:$L$61)-MIN($L$2:$L$61))*100,0)</f>
        <v>5.22109962319727</v>
      </c>
      <c r="Q6" s="20" t="n">
        <f aca="false">IFERROR((M6-MIN($M$2:$M$61))/(MAX($M$2:$M$61)-MIN($M$2:$M$61))*100,0)</f>
        <v>10.5419195855479</v>
      </c>
      <c r="R6" s="20" t="n">
        <f aca="false">0.35*N6+0.3*O6+0.2*P6+0.15*Q6</f>
        <v>15.9489349974058</v>
      </c>
      <c r="S6" s="4" t="str">
        <f aca="false">IF(R6&gt;=65,"High",IF(R6&gt;=40,"Medium","Low"))</f>
        <v>Low</v>
      </c>
      <c r="T6" s="4" t="n">
        <f aca="false">RANK(R6,$R$2:$R$61,0)</f>
        <v>56</v>
      </c>
      <c r="U6" s="16" t="n">
        <f aca="false">SUMIFS(PurchaseOrders!$N$2:$N$3001,PurchaseOrders!$B$2:$B$3001,A6)</f>
        <v>9405257.24</v>
      </c>
      <c r="V6" s="4" t="str">
        <f aca="false">IF(R6&gt;=MEDIAN($R$2:$R$61),"High Risk","Low Risk")</f>
        <v>Low Risk</v>
      </c>
      <c r="W6" s="4" t="str">
        <f aca="false">IF(U6&gt;=MEDIAN($U$2:$U$61),"High Spend","Low Spend")</f>
        <v>High Spend</v>
      </c>
      <c r="X6" s="4" t="str">
        <f aca="false">IF(AND(V6="High Risk",W6="High Spend"),"Strategic",IF(AND(V6="High Risk",W6="Low Spend"),"Bottleneck",IF(AND(V6="Low Risk",W6="High Spend"),"Leverage","Non-Critical")))</f>
        <v>Leverage</v>
      </c>
    </row>
    <row r="7" customFormat="false" ht="15" hidden="false" customHeight="true" outlineLevel="0" collapsed="false">
      <c r="A7" s="4" t="str">
        <f aca="false">Vendors!A7</f>
        <v>V006</v>
      </c>
      <c r="B7" s="4" t="str">
        <f aca="false">INDEX(Vendors!$B$2:$B$61,MATCH(A7,Vendors!$A$2:$A$61,0))</f>
        <v>Apex Systems</v>
      </c>
      <c r="C7" s="4" t="str">
        <f aca="false">INDEX(Vendors!$C$2:$C$61,MATCH(A7,Vendors!$A$2:$A$61,0))</f>
        <v>Electronics</v>
      </c>
      <c r="D7" s="4" t="n">
        <f aca="false">COUNTIF(PurchaseOrders!$B$2:$B$3001,A7)</f>
        <v>38</v>
      </c>
      <c r="E7" s="15" t="n">
        <f aca="false">IFERROR(AVERAGEIFS(PurchaseOrders!$K$2:$K$3001,PurchaseOrders!$B$2:$B$3001,A7),0)</f>
        <v>0.842105263157895</v>
      </c>
      <c r="F7" s="20" t="n">
        <f aca="false">IFERROR(AVERAGEIFS(PurchaseOrders!$J$2:$J$3001,PurchaseOrders!$B$2:$B$3001,A7),0)</f>
        <v>-1.5</v>
      </c>
      <c r="G7" s="15" t="n">
        <f aca="false">IFERROR(AVERAGEIFS(PurchaseOrders!$L$2:$L$3001,PurchaseOrders!$B$2:$B$3001,A7),0)</f>
        <v>0.984283133728726</v>
      </c>
      <c r="H7" s="15" t="n">
        <f aca="false">IFERROR(AVERAGEIFS(PurchaseOrders!$M$2:$M$3001,PurchaseOrders!$B$2:$B$3001,A7),0)</f>
        <v>0.0522036436273732</v>
      </c>
      <c r="I7" s="15" t="n">
        <f aca="false">IFERROR(SUMIFS(QualityInspections!$D$2:$D$3001,QualityInspections!$G$2:$G$3001,A7)/SUMIFS(QualityInspections!$C$2:$C$3001,QualityInspections!$G$2:$G$3001,A7),0)</f>
        <v>0.0319024907260201</v>
      </c>
      <c r="J7" s="15" t="n">
        <f aca="false">1-E7</f>
        <v>0.157894736842105</v>
      </c>
      <c r="K7" s="15" t="n">
        <f aca="false">I7</f>
        <v>0.0319024907260201</v>
      </c>
      <c r="L7" s="15" t="n">
        <f aca="false">MAX(H7,0)</f>
        <v>0.0522036436273732</v>
      </c>
      <c r="M7" s="15" t="n">
        <f aca="false">1-G7</f>
        <v>0.0157168662712737</v>
      </c>
      <c r="N7" s="20" t="n">
        <f aca="false">IFERROR((J7-MIN($J$2:$J$61))/(MAX($J$2:$J$61)-MIN($J$2:$J$61))*100,0)</f>
        <v>4.30622009569379</v>
      </c>
      <c r="O7" s="20" t="n">
        <f aca="false">IFERROR((K7-MIN($K$2:$K$61))/(MAX($K$2:$K$61)-MIN($K$2:$K$61))*100,0)</f>
        <v>10.8542962869715</v>
      </c>
      <c r="P7" s="20" t="n">
        <f aca="false">IFERROR((L7-MIN($L$2:$L$61))/(MAX($L$2:$L$61)-MIN($L$2:$L$61))*100,0)</f>
        <v>46.1355423959122</v>
      </c>
      <c r="Q7" s="20" t="n">
        <f aca="false">IFERROR((M7-MIN($M$2:$M$61))/(MAX($M$2:$M$61)-MIN($M$2:$M$61))*100,0)</f>
        <v>8.17635007070846</v>
      </c>
      <c r="R7" s="20" t="n">
        <f aca="false">0.35*N7+0.3*O7+0.2*P7+0.15*Q7</f>
        <v>15.217026909373</v>
      </c>
      <c r="S7" s="4" t="str">
        <f aca="false">IF(R7&gt;=65,"High",IF(R7&gt;=40,"Medium","Low"))</f>
        <v>Low</v>
      </c>
      <c r="T7" s="4" t="n">
        <f aca="false">RANK(R7,$R$2:$R$61,0)</f>
        <v>58</v>
      </c>
      <c r="U7" s="16" t="n">
        <f aca="false">SUMIFS(PurchaseOrders!$N$2:$N$3001,PurchaseOrders!$B$2:$B$3001,A7)</f>
        <v>7008212.58</v>
      </c>
      <c r="V7" s="4" t="str">
        <f aca="false">IF(R7&gt;=MEDIAN($R$2:$R$61),"High Risk","Low Risk")</f>
        <v>Low Risk</v>
      </c>
      <c r="W7" s="4" t="str">
        <f aca="false">IF(U7&gt;=MEDIAN($U$2:$U$61),"High Spend","Low Spend")</f>
        <v>High Spend</v>
      </c>
      <c r="X7" s="4" t="str">
        <f aca="false">IF(AND(V7="High Risk",W7="High Spend"),"Strategic",IF(AND(V7="High Risk",W7="Low Spend"),"Bottleneck",IF(AND(V7="Low Risk",W7="High Spend"),"Leverage","Non-Critical")))</f>
        <v>Leverage</v>
      </c>
    </row>
    <row r="8" customFormat="false" ht="15" hidden="false" customHeight="true" outlineLevel="0" collapsed="false">
      <c r="A8" s="4" t="str">
        <f aca="false">Vendors!A8</f>
        <v>V007</v>
      </c>
      <c r="B8" s="4" t="str">
        <f aca="false">INDEX(Vendors!$B$2:$B$61,MATCH(A8,Vendors!$A$2:$A$61,0))</f>
        <v>Kingfisher Supplies</v>
      </c>
      <c r="C8" s="4" t="str">
        <f aca="false">INDEX(Vendors!$C$2:$C$61,MATCH(A8,Vendors!$A$2:$A$61,0))</f>
        <v>Raw Materials</v>
      </c>
      <c r="D8" s="4" t="n">
        <f aca="false">COUNTIF(PurchaseOrders!$B$2:$B$3001,A8)</f>
        <v>54</v>
      </c>
      <c r="E8" s="15" t="n">
        <f aca="false">IFERROR(AVERAGEIFS(PurchaseOrders!$K$2:$K$3001,PurchaseOrders!$B$2:$B$3001,A8),0)</f>
        <v>0</v>
      </c>
      <c r="F8" s="20" t="n">
        <f aca="false">IFERROR(AVERAGEIFS(PurchaseOrders!$J$2:$J$3001,PurchaseOrders!$B$2:$B$3001,A8),0)</f>
        <v>6.75925925925926</v>
      </c>
      <c r="G8" s="15" t="n">
        <f aca="false">IFERROR(AVERAGEIFS(PurchaseOrders!$L$2:$L$3001,PurchaseOrders!$B$2:$B$3001,A8),0)</f>
        <v>0.855003998847523</v>
      </c>
      <c r="H8" s="15" t="n">
        <f aca="false">IFERROR(AVERAGEIFS(PurchaseOrders!$M$2:$M$3001,PurchaseOrders!$B$2:$B$3001,A8),0)</f>
        <v>0.0225455130882762</v>
      </c>
      <c r="I8" s="15" t="n">
        <f aca="false">IFERROR(SUMIFS(QualityInspections!$D$2:$D$3001,QualityInspections!$G$2:$G$3001,A8)/SUMIFS(QualityInspections!$C$2:$C$3001,QualityInspections!$G$2:$G$3001,A8),0)</f>
        <v>0.0689397477814106</v>
      </c>
      <c r="J8" s="15" t="n">
        <f aca="false">1-E8</f>
        <v>1</v>
      </c>
      <c r="K8" s="15" t="n">
        <f aca="false">I8</f>
        <v>0.0689397477814106</v>
      </c>
      <c r="L8" s="15" t="n">
        <f aca="false">MAX(H8,0)</f>
        <v>0.0225455130882762</v>
      </c>
      <c r="M8" s="15" t="n">
        <f aca="false">1-G8</f>
        <v>0.144996001152477</v>
      </c>
      <c r="N8" s="20" t="n">
        <f aca="false">IFERROR((J8-MIN($J$2:$J$61))/(MAX($J$2:$J$61)-MIN($J$2:$J$61))*100,0)</f>
        <v>100</v>
      </c>
      <c r="O8" s="20" t="n">
        <f aca="false">IFERROR((K8-MIN($K$2:$K$61))/(MAX($K$2:$K$61)-MIN($K$2:$K$61))*100,0)</f>
        <v>28.0898553269891</v>
      </c>
      <c r="P8" s="20" t="n">
        <f aca="false">IFERROR((L8-MIN($L$2:$L$61))/(MAX($L$2:$L$61)-MIN($L$2:$L$61))*100,0)</f>
        <v>19.9248443719042</v>
      </c>
      <c r="Q8" s="20" t="n">
        <f aca="false">IFERROR((M8-MIN($M$2:$M$61))/(MAX($M$2:$M$61)-MIN($M$2:$M$61))*100,0)</f>
        <v>100</v>
      </c>
      <c r="R8" s="20" t="n">
        <f aca="false">0.35*N8+0.3*O8+0.2*P8+0.15*Q8</f>
        <v>62.4119254724776</v>
      </c>
      <c r="S8" s="4" t="str">
        <f aca="false">IF(R8&gt;=65,"High",IF(R8&gt;=40,"Medium","Low"))</f>
        <v>Medium</v>
      </c>
      <c r="T8" s="4" t="n">
        <f aca="false">RANK(R8,$R$2:$R$61,0)</f>
        <v>3</v>
      </c>
      <c r="U8" s="16" t="n">
        <f aca="false">SUMIFS(PurchaseOrders!$N$2:$N$3001,PurchaseOrders!$B$2:$B$3001,A8)</f>
        <v>9306915.28</v>
      </c>
      <c r="V8" s="4" t="str">
        <f aca="false">IF(R8&gt;=MEDIAN($R$2:$R$61),"High Risk","Low Risk")</f>
        <v>High Risk</v>
      </c>
      <c r="W8" s="4" t="str">
        <f aca="false">IF(U8&gt;=MEDIAN($U$2:$U$61),"High Spend","Low Spend")</f>
        <v>High Spend</v>
      </c>
      <c r="X8" s="4" t="str">
        <f aca="false">IF(AND(V8="High Risk",W8="High Spend"),"Strategic",IF(AND(V8="High Risk",W8="Low Spend"),"Bottleneck",IF(AND(V8="Low Risk",W8="High Spend"),"Leverage","Non-Critical")))</f>
        <v>Strategic</v>
      </c>
    </row>
    <row r="9" customFormat="false" ht="15" hidden="false" customHeight="true" outlineLevel="0" collapsed="false">
      <c r="A9" s="4" t="str">
        <f aca="false">Vendors!A9</f>
        <v>V008</v>
      </c>
      <c r="B9" s="4" t="str">
        <f aca="false">INDEX(Vendors!$B$2:$B$61,MATCH(A9,Vendors!$A$2:$A$61,0))</f>
        <v>Jyoti Supplies</v>
      </c>
      <c r="C9" s="4" t="str">
        <f aca="false">INDEX(Vendors!$C$2:$C$61,MATCH(A9,Vendors!$A$2:$A$61,0))</f>
        <v>Electronics</v>
      </c>
      <c r="D9" s="4" t="n">
        <f aca="false">COUNTIF(PurchaseOrders!$B$2:$B$3001,A9)</f>
        <v>47</v>
      </c>
      <c r="E9" s="15" t="n">
        <f aca="false">IFERROR(AVERAGEIFS(PurchaseOrders!$K$2:$K$3001,PurchaseOrders!$B$2:$B$3001,A9),0)</f>
        <v>0.638297872340426</v>
      </c>
      <c r="F9" s="20" t="n">
        <f aca="false">IFERROR(AVERAGEIFS(PurchaseOrders!$J$2:$J$3001,PurchaseOrders!$B$2:$B$3001,A9),0)</f>
        <v>-0.74468085106383</v>
      </c>
      <c r="G9" s="15" t="n">
        <f aca="false">IFERROR(AVERAGEIFS(PurchaseOrders!$L$2:$L$3001,PurchaseOrders!$B$2:$B$3001,A9),0)</f>
        <v>0.953020737568905</v>
      </c>
      <c r="H9" s="15" t="n">
        <f aca="false">IFERROR(AVERAGEIFS(PurchaseOrders!$M$2:$M$3001,PurchaseOrders!$B$2:$B$3001,A9),0)</f>
        <v>-0.0346742093536766</v>
      </c>
      <c r="I9" s="15" t="n">
        <f aca="false">IFERROR(SUMIFS(QualityInspections!$D$2:$D$3001,QualityInspections!$G$2:$G$3001,A9)/SUMIFS(QualityInspections!$C$2:$C$3001,QualityInspections!$G$2:$G$3001,A9),0)</f>
        <v>0.00857784191117524</v>
      </c>
      <c r="J9" s="15" t="n">
        <f aca="false">1-E9</f>
        <v>0.361702127659574</v>
      </c>
      <c r="K9" s="15" t="n">
        <f aca="false">I9</f>
        <v>0.00857784191117524</v>
      </c>
      <c r="L9" s="15" t="n">
        <f aca="false">MAX(H9,0)</f>
        <v>0</v>
      </c>
      <c r="M9" s="15" t="n">
        <f aca="false">1-G9</f>
        <v>0.0469792624310954</v>
      </c>
      <c r="N9" s="20" t="n">
        <f aca="false">IFERROR((J9-MIN($J$2:$J$61))/(MAX($J$2:$J$61)-MIN($J$2:$J$61))*100,0)</f>
        <v>27.4661508704062</v>
      </c>
      <c r="O9" s="20" t="n">
        <f aca="false">IFERROR((K9-MIN($K$2:$K$61))/(MAX($K$2:$K$61)-MIN($K$2:$K$61))*100,0)</f>
        <v>0</v>
      </c>
      <c r="P9" s="20" t="n">
        <f aca="false">IFERROR((L9-MIN($L$2:$L$61))/(MAX($L$2:$L$61)-MIN($L$2:$L$61))*100,0)</f>
        <v>0</v>
      </c>
      <c r="Q9" s="20" t="n">
        <f aca="false">IFERROR((M9-MIN($M$2:$M$61))/(MAX($M$2:$M$61)-MIN($M$2:$M$61))*100,0)</f>
        <v>30.3812273199889</v>
      </c>
      <c r="R9" s="20" t="n">
        <f aca="false">0.35*N9+0.3*O9+0.2*P9+0.15*Q9</f>
        <v>14.1703369026405</v>
      </c>
      <c r="S9" s="4" t="str">
        <f aca="false">IF(R9&gt;=65,"High",IF(R9&gt;=40,"Medium","Low"))</f>
        <v>Low</v>
      </c>
      <c r="T9" s="4" t="n">
        <f aca="false">RANK(R9,$R$2:$R$61,0)</f>
        <v>59</v>
      </c>
      <c r="U9" s="16" t="n">
        <f aca="false">SUMIFS(PurchaseOrders!$N$2:$N$3001,PurchaseOrders!$B$2:$B$3001,A9)</f>
        <v>7183322.29</v>
      </c>
      <c r="V9" s="4" t="str">
        <f aca="false">IF(R9&gt;=MEDIAN($R$2:$R$61),"High Risk","Low Risk")</f>
        <v>Low Risk</v>
      </c>
      <c r="W9" s="4" t="str">
        <f aca="false">IF(U9&gt;=MEDIAN($U$2:$U$61),"High Spend","Low Spend")</f>
        <v>High Spend</v>
      </c>
      <c r="X9" s="4" t="str">
        <f aca="false">IF(AND(V9="High Risk",W9="High Spend"),"Strategic",IF(AND(V9="High Risk",W9="Low Spend"),"Bottleneck",IF(AND(V9="Low Risk",W9="High Spend"),"Leverage","Non-Critical")))</f>
        <v>Leverage</v>
      </c>
    </row>
    <row r="10" customFormat="false" ht="15" hidden="false" customHeight="true" outlineLevel="0" collapsed="false">
      <c r="A10" s="4" t="str">
        <f aca="false">Vendors!A10</f>
        <v>V009</v>
      </c>
      <c r="B10" s="4" t="str">
        <f aca="false">INDEX(Vendors!$B$2:$B$61,MATCH(A10,Vendors!$A$2:$A$61,0))</f>
        <v>Zenith Traders</v>
      </c>
      <c r="C10" s="4" t="str">
        <f aca="false">INDEX(Vendors!$C$2:$C$61,MATCH(A10,Vendors!$A$2:$A$61,0))</f>
        <v>MRO/Spares</v>
      </c>
      <c r="D10" s="4" t="n">
        <f aca="false">COUNTIF(PurchaseOrders!$B$2:$B$3001,A10)</f>
        <v>64</v>
      </c>
      <c r="E10" s="15" t="n">
        <f aca="false">IFERROR(AVERAGEIFS(PurchaseOrders!$K$2:$K$3001,PurchaseOrders!$B$2:$B$3001,A10),0)</f>
        <v>0.71875</v>
      </c>
      <c r="F10" s="20" t="n">
        <f aca="false">IFERROR(AVERAGEIFS(PurchaseOrders!$J$2:$J$3001,PurchaseOrders!$B$2:$B$3001,A10),0)</f>
        <v>-0.625</v>
      </c>
      <c r="G10" s="15" t="n">
        <f aca="false">IFERROR(AVERAGEIFS(PurchaseOrders!$L$2:$L$3001,PurchaseOrders!$B$2:$B$3001,A10),0)</f>
        <v>0.980442943666462</v>
      </c>
      <c r="H10" s="15" t="n">
        <f aca="false">IFERROR(AVERAGEIFS(PurchaseOrders!$M$2:$M$3001,PurchaseOrders!$B$2:$B$3001,A10),0)</f>
        <v>0.0310265882959905</v>
      </c>
      <c r="I10" s="15" t="n">
        <f aca="false">IFERROR(SUMIFS(QualityInspections!$D$2:$D$3001,QualityInspections!$G$2:$G$3001,A10)/SUMIFS(QualityInspections!$C$2:$C$3001,QualityInspections!$G$2:$G$3001,A10),0)</f>
        <v>0.0884431511120349</v>
      </c>
      <c r="J10" s="15" t="n">
        <f aca="false">1-E10</f>
        <v>0.28125</v>
      </c>
      <c r="K10" s="15" t="n">
        <f aca="false">I10</f>
        <v>0.0884431511120349</v>
      </c>
      <c r="L10" s="15" t="n">
        <f aca="false">MAX(H10,0)</f>
        <v>0.0310265882959905</v>
      </c>
      <c r="M10" s="15" t="n">
        <f aca="false">1-G10</f>
        <v>0.0195570563335381</v>
      </c>
      <c r="N10" s="20" t="n">
        <f aca="false">IFERROR((J10-MIN($J$2:$J$61))/(MAX($J$2:$J$61)-MIN($J$2:$J$61))*100,0)</f>
        <v>18.3238636363636</v>
      </c>
      <c r="O10" s="20" t="n">
        <f aca="false">IFERROR((K10-MIN($K$2:$K$61))/(MAX($K$2:$K$61)-MIN($K$2:$K$61))*100,0)</f>
        <v>37.1659070195732</v>
      </c>
      <c r="P10" s="20" t="n">
        <f aca="false">IFERROR((L10-MIN($L$2:$L$61))/(MAX($L$2:$L$61)-MIN($L$2:$L$61))*100,0)</f>
        <v>27.4200875698954</v>
      </c>
      <c r="Q10" s="20" t="n">
        <f aca="false">IFERROR((M10-MIN($M$2:$M$61))/(MAX($M$2:$M$61)-MIN($M$2:$M$61))*100,0)</f>
        <v>10.9039384651028</v>
      </c>
      <c r="R10" s="20" t="n">
        <f aca="false">0.35*N10+0.3*O10+0.2*P10+0.15*Q10</f>
        <v>24.6827326623437</v>
      </c>
      <c r="S10" s="4" t="str">
        <f aca="false">IF(R10&gt;=65,"High",IF(R10&gt;=40,"Medium","Low"))</f>
        <v>Low</v>
      </c>
      <c r="T10" s="4" t="n">
        <f aca="false">RANK(R10,$R$2:$R$61,0)</f>
        <v>47</v>
      </c>
      <c r="U10" s="16" t="n">
        <f aca="false">SUMIFS(PurchaseOrders!$N$2:$N$3001,PurchaseOrders!$B$2:$B$3001,A10)</f>
        <v>1347400.75</v>
      </c>
      <c r="V10" s="4" t="str">
        <f aca="false">IF(R10&gt;=MEDIAN($R$2:$R$61),"High Risk","Low Risk")</f>
        <v>Low Risk</v>
      </c>
      <c r="W10" s="4" t="str">
        <f aca="false">IF(U10&gt;=MEDIAN($U$2:$U$61),"High Spend","Low Spend")</f>
        <v>Low Spend</v>
      </c>
      <c r="X10" s="4" t="str">
        <f aca="false">IF(AND(V10="High Risk",W10="High Spend"),"Strategic",IF(AND(V10="High Risk",W10="Low Spend"),"Bottleneck",IF(AND(V10="Low Risk",W10="High Spend"),"Leverage","Non-Critical")))</f>
        <v>Non-Critical</v>
      </c>
    </row>
    <row r="11" customFormat="false" ht="15" hidden="false" customHeight="true" outlineLevel="0" collapsed="false">
      <c r="A11" s="4" t="str">
        <f aca="false">Vendors!A11</f>
        <v>V010</v>
      </c>
      <c r="B11" s="4" t="str">
        <f aca="false">INDEX(Vendors!$B$2:$B$61,MATCH(A11,Vendors!$A$2:$A$61,0))</f>
        <v>Precision Enterprises</v>
      </c>
      <c r="C11" s="4" t="str">
        <f aca="false">INDEX(Vendors!$C$2:$C$61,MATCH(A11,Vendors!$A$2:$A$61,0))</f>
        <v>Raw Materials</v>
      </c>
      <c r="D11" s="4" t="n">
        <f aca="false">COUNTIF(PurchaseOrders!$B$2:$B$3001,A11)</f>
        <v>48</v>
      </c>
      <c r="E11" s="15" t="n">
        <f aca="false">IFERROR(AVERAGEIFS(PurchaseOrders!$K$2:$K$3001,PurchaseOrders!$B$2:$B$3001,A11),0)</f>
        <v>0.0625</v>
      </c>
      <c r="F11" s="20" t="n">
        <f aca="false">IFERROR(AVERAGEIFS(PurchaseOrders!$J$2:$J$3001,PurchaseOrders!$B$2:$B$3001,A11),0)</f>
        <v>6</v>
      </c>
      <c r="G11" s="15" t="n">
        <f aca="false">IFERROR(AVERAGEIFS(PurchaseOrders!$L$2:$L$3001,PurchaseOrders!$B$2:$B$3001,A11),0)</f>
        <v>0.978023044080768</v>
      </c>
      <c r="H11" s="15" t="n">
        <f aca="false">IFERROR(AVERAGEIFS(PurchaseOrders!$M$2:$M$3001,PurchaseOrders!$B$2:$B$3001,A11),0)</f>
        <v>-0.000230813394159418</v>
      </c>
      <c r="I11" s="15" t="n">
        <f aca="false">IFERROR(SUMIFS(QualityInspections!$D$2:$D$3001,QualityInspections!$G$2:$G$3001,A11)/SUMIFS(QualityInspections!$C$2:$C$3001,QualityInspections!$G$2:$G$3001,A11),0)</f>
        <v>0.0322208749925461</v>
      </c>
      <c r="J11" s="15" t="n">
        <f aca="false">1-E11</f>
        <v>0.9375</v>
      </c>
      <c r="K11" s="15" t="n">
        <f aca="false">I11</f>
        <v>0.0322208749925461</v>
      </c>
      <c r="L11" s="15" t="n">
        <f aca="false">MAX(H11,0)</f>
        <v>0</v>
      </c>
      <c r="M11" s="15" t="n">
        <f aca="false">1-G11</f>
        <v>0.0219769559192317</v>
      </c>
      <c r="N11" s="20" t="n">
        <f aca="false">IFERROR((J11-MIN($J$2:$J$61))/(MAX($J$2:$J$61)-MIN($J$2:$J$61))*100,0)</f>
        <v>92.8977272727273</v>
      </c>
      <c r="O11" s="20" t="n">
        <f aca="false">IFERROR((K11-MIN($K$2:$K$61))/(MAX($K$2:$K$61)-MIN($K$2:$K$61))*100,0)</f>
        <v>11.0024587390374</v>
      </c>
      <c r="P11" s="20" t="n">
        <f aca="false">IFERROR((L11-MIN($L$2:$L$61))/(MAX($L$2:$L$61)-MIN($L$2:$L$61))*100,0)</f>
        <v>0</v>
      </c>
      <c r="Q11" s="20" t="n">
        <f aca="false">IFERROR((M11-MIN($M$2:$M$61))/(MAX($M$2:$M$61)-MIN($M$2:$M$61))*100,0)</f>
        <v>12.6227310036277</v>
      </c>
      <c r="R11" s="20" t="n">
        <f aca="false">0.35*N11+0.3*O11+0.2*P11+0.15*Q11</f>
        <v>37.7083518177099</v>
      </c>
      <c r="S11" s="4" t="str">
        <f aca="false">IF(R11&gt;=65,"High",IF(R11&gt;=40,"Medium","Low"))</f>
        <v>Low</v>
      </c>
      <c r="T11" s="4" t="n">
        <f aca="false">RANK(R11,$R$2:$R$61,0)</f>
        <v>29</v>
      </c>
      <c r="U11" s="16" t="n">
        <f aca="false">SUMIFS(PurchaseOrders!$N$2:$N$3001,PurchaseOrders!$B$2:$B$3001,A11)</f>
        <v>5400464.55</v>
      </c>
      <c r="V11" s="4" t="str">
        <f aca="false">IF(R11&gt;=MEDIAN($R$2:$R$61),"High Risk","Low Risk")</f>
        <v>High Risk</v>
      </c>
      <c r="W11" s="4" t="str">
        <f aca="false">IF(U11&gt;=MEDIAN($U$2:$U$61),"High Spend","Low Spend")</f>
        <v>Low Spend</v>
      </c>
      <c r="X11" s="4" t="str">
        <f aca="false">IF(AND(V11="High Risk",W11="High Spend"),"Strategic",IF(AND(V11="High Risk",W11="Low Spend"),"Bottleneck",IF(AND(V11="Low Risk",W11="High Spend"),"Leverage","Non-Critical")))</f>
        <v>Bottleneck</v>
      </c>
    </row>
    <row r="12" customFormat="false" ht="15" hidden="false" customHeight="true" outlineLevel="0" collapsed="false">
      <c r="A12" s="4" t="str">
        <f aca="false">Vendors!A12</f>
        <v>V011</v>
      </c>
      <c r="B12" s="4" t="str">
        <f aca="false">INDEX(Vendors!$B$2:$B$61,MATCH(A12,Vendors!$A$2:$A$61,0))</f>
        <v>Zenith Pvt Ltd</v>
      </c>
      <c r="C12" s="4" t="str">
        <f aca="false">INDEX(Vendors!$C$2:$C$61,MATCH(A12,Vendors!$A$2:$A$61,0))</f>
        <v>Raw Materials</v>
      </c>
      <c r="D12" s="4" t="n">
        <f aca="false">COUNTIF(PurchaseOrders!$B$2:$B$3001,A12)</f>
        <v>46</v>
      </c>
      <c r="E12" s="15" t="n">
        <f aca="false">IFERROR(AVERAGEIFS(PurchaseOrders!$K$2:$K$3001,PurchaseOrders!$B$2:$B$3001,A12),0)</f>
        <v>0.0434782608695652</v>
      </c>
      <c r="F12" s="20" t="n">
        <f aca="false">IFERROR(AVERAGEIFS(PurchaseOrders!$J$2:$J$3001,PurchaseOrders!$B$2:$B$3001,A12),0)</f>
        <v>8.10869565217391</v>
      </c>
      <c r="G12" s="15" t="n">
        <f aca="false">IFERROR(AVERAGEIFS(PurchaseOrders!$L$2:$L$3001,PurchaseOrders!$B$2:$B$3001,A12),0)</f>
        <v>0.925599960135796</v>
      </c>
      <c r="H12" s="15" t="n">
        <f aca="false">IFERROR(AVERAGEIFS(PurchaseOrders!$M$2:$M$3001,PurchaseOrders!$B$2:$B$3001,A12),0)</f>
        <v>0.0642265293541719</v>
      </c>
      <c r="I12" s="15" t="n">
        <f aca="false">IFERROR(SUMIFS(QualityInspections!$D$2:$D$3001,QualityInspections!$G$2:$G$3001,A12)/SUMIFS(QualityInspections!$C$2:$C$3001,QualityInspections!$G$2:$G$3001,A12),0)</f>
        <v>0.022309403911465</v>
      </c>
      <c r="J12" s="15" t="n">
        <f aca="false">1-E12</f>
        <v>0.956521739130435</v>
      </c>
      <c r="K12" s="15" t="n">
        <f aca="false">I12</f>
        <v>0.022309403911465</v>
      </c>
      <c r="L12" s="15" t="n">
        <f aca="false">MAX(H12,0)</f>
        <v>0.0642265293541719</v>
      </c>
      <c r="M12" s="15" t="n">
        <f aca="false">1-G12</f>
        <v>0.074400039864204</v>
      </c>
      <c r="N12" s="20" t="n">
        <f aca="false">IFERROR((J12-MIN($J$2:$J$61))/(MAX($J$2:$J$61)-MIN($J$2:$J$61))*100,0)</f>
        <v>95.0592885375494</v>
      </c>
      <c r="O12" s="20" t="n">
        <f aca="false">IFERROR((K12-MIN($K$2:$K$61))/(MAX($K$2:$K$61)-MIN($K$2:$K$61))*100,0)</f>
        <v>6.390083024067</v>
      </c>
      <c r="P12" s="20" t="n">
        <f aca="false">IFERROR((L12-MIN($L$2:$L$61))/(MAX($L$2:$L$61)-MIN($L$2:$L$61))*100,0)</f>
        <v>56.760899471162</v>
      </c>
      <c r="Q12" s="20" t="n">
        <f aca="false">IFERROR((M12-MIN($M$2:$M$61))/(MAX($M$2:$M$61)-MIN($M$2:$M$61))*100,0)</f>
        <v>49.8575014312017</v>
      </c>
      <c r="R12" s="20" t="n">
        <f aca="false">0.35*N12+0.3*O12+0.2*P12+0.15*Q12</f>
        <v>54.018581004275</v>
      </c>
      <c r="S12" s="4" t="str">
        <f aca="false">IF(R12&gt;=65,"High",IF(R12&gt;=40,"Medium","Low"))</f>
        <v>Medium</v>
      </c>
      <c r="T12" s="4" t="n">
        <f aca="false">RANK(R12,$R$2:$R$61,0)</f>
        <v>9</v>
      </c>
      <c r="U12" s="16" t="n">
        <f aca="false">SUMIFS(PurchaseOrders!$N$2:$N$3001,PurchaseOrders!$B$2:$B$3001,A12)</f>
        <v>13048707.63</v>
      </c>
      <c r="V12" s="4" t="str">
        <f aca="false">IF(R12&gt;=MEDIAN($R$2:$R$61),"High Risk","Low Risk")</f>
        <v>High Risk</v>
      </c>
      <c r="W12" s="4" t="str">
        <f aca="false">IF(U12&gt;=MEDIAN($U$2:$U$61),"High Spend","Low Spend")</f>
        <v>High Spend</v>
      </c>
      <c r="X12" s="4" t="str">
        <f aca="false">IF(AND(V12="High Risk",W12="High Spend"),"Strategic",IF(AND(V12="High Risk",W12="Low Spend"),"Bottleneck",IF(AND(V12="Low Risk",W12="High Spend"),"Leverage","Non-Critical")))</f>
        <v>Strategic</v>
      </c>
    </row>
    <row r="13" customFormat="false" ht="15" hidden="false" customHeight="true" outlineLevel="0" collapsed="false">
      <c r="A13" s="4" t="str">
        <f aca="false">Vendors!A13</f>
        <v>V012</v>
      </c>
      <c r="B13" s="4" t="str">
        <f aca="false">INDEX(Vendors!$B$2:$B$61,MATCH(A13,Vendors!$A$2:$A$61,0))</f>
        <v>Jupiter Systems</v>
      </c>
      <c r="C13" s="4" t="str">
        <f aca="false">INDEX(Vendors!$C$2:$C$61,MATCH(A13,Vendors!$A$2:$A$61,0))</f>
        <v>Electronics</v>
      </c>
      <c r="D13" s="4" t="n">
        <f aca="false">COUNTIF(PurchaseOrders!$B$2:$B$3001,A13)</f>
        <v>44</v>
      </c>
      <c r="E13" s="15" t="n">
        <f aca="false">IFERROR(AVERAGEIFS(PurchaseOrders!$K$2:$K$3001,PurchaseOrders!$B$2:$B$3001,A13),0)</f>
        <v>0.568181818181818</v>
      </c>
      <c r="F13" s="20" t="n">
        <f aca="false">IFERROR(AVERAGEIFS(PurchaseOrders!$J$2:$J$3001,PurchaseOrders!$B$2:$B$3001,A13),0)</f>
        <v>-0.340909090909091</v>
      </c>
      <c r="G13" s="15" t="n">
        <f aca="false">IFERROR(AVERAGEIFS(PurchaseOrders!$L$2:$L$3001,PurchaseOrders!$B$2:$B$3001,A13),0)</f>
        <v>0.990809614496706</v>
      </c>
      <c r="H13" s="15" t="n">
        <f aca="false">IFERROR(AVERAGEIFS(PurchaseOrders!$M$2:$M$3001,PurchaseOrders!$B$2:$B$3001,A13),0)</f>
        <v>0.00209632999123263</v>
      </c>
      <c r="I13" s="15" t="n">
        <f aca="false">IFERROR(SUMIFS(QualityInspections!$D$2:$D$3001,QualityInspections!$G$2:$G$3001,A13)/SUMIFS(QualityInspections!$C$2:$C$3001,QualityInspections!$G$2:$G$3001,A13),0)</f>
        <v>0.0720789074355084</v>
      </c>
      <c r="J13" s="15" t="n">
        <f aca="false">1-E13</f>
        <v>0.431818181818182</v>
      </c>
      <c r="K13" s="15" t="n">
        <f aca="false">I13</f>
        <v>0.0720789074355084</v>
      </c>
      <c r="L13" s="15" t="n">
        <f aca="false">MAX(H13,0)</f>
        <v>0.00209632999123263</v>
      </c>
      <c r="M13" s="15" t="n">
        <f aca="false">1-G13</f>
        <v>0.00919038550329399</v>
      </c>
      <c r="N13" s="20" t="n">
        <f aca="false">IFERROR((J13-MIN($J$2:$J$61))/(MAX($J$2:$J$61)-MIN($J$2:$J$61))*100,0)</f>
        <v>35.4338842975207</v>
      </c>
      <c r="O13" s="20" t="n">
        <f aca="false">IFERROR((K13-MIN($K$2:$K$61))/(MAX($K$2:$K$61)-MIN($K$2:$K$61))*100,0)</f>
        <v>29.5506862808939</v>
      </c>
      <c r="P13" s="20" t="n">
        <f aca="false">IFERROR((L13-MIN($L$2:$L$61))/(MAX($L$2:$L$61)-MIN($L$2:$L$61))*100,0)</f>
        <v>1.85265461308954</v>
      </c>
      <c r="Q13" s="20" t="n">
        <f aca="false">IFERROR((M13-MIN($M$2:$M$61))/(MAX($M$2:$M$61)-MIN($M$2:$M$61))*100,0)</f>
        <v>3.54075836552022</v>
      </c>
      <c r="R13" s="20" t="n">
        <f aca="false">0.35*N13+0.3*O13+0.2*P13+0.15*Q13</f>
        <v>22.1687100658463</v>
      </c>
      <c r="S13" s="4" t="str">
        <f aca="false">IF(R13&gt;=65,"High",IF(R13&gt;=40,"Medium","Low"))</f>
        <v>Low</v>
      </c>
      <c r="T13" s="4" t="n">
        <f aca="false">RANK(R13,$R$2:$R$61,0)</f>
        <v>52</v>
      </c>
      <c r="U13" s="16" t="n">
        <f aca="false">SUMIFS(PurchaseOrders!$N$2:$N$3001,PurchaseOrders!$B$2:$B$3001,A13)</f>
        <v>16245988.34</v>
      </c>
      <c r="V13" s="4" t="str">
        <f aca="false">IF(R13&gt;=MEDIAN($R$2:$R$61),"High Risk","Low Risk")</f>
        <v>Low Risk</v>
      </c>
      <c r="W13" s="4" t="str">
        <f aca="false">IF(U13&gt;=MEDIAN($U$2:$U$61),"High Spend","Low Spend")</f>
        <v>High Spend</v>
      </c>
      <c r="X13" s="4" t="str">
        <f aca="false">IF(AND(V13="High Risk",W13="High Spend"),"Strategic",IF(AND(V13="High Risk",W13="Low Spend"),"Bottleneck",IF(AND(V13="Low Risk",W13="High Spend"),"Leverage","Non-Critical")))</f>
        <v>Leverage</v>
      </c>
    </row>
    <row r="14" customFormat="false" ht="15" hidden="false" customHeight="true" outlineLevel="0" collapsed="false">
      <c r="A14" s="4" t="str">
        <f aca="false">Vendors!A14</f>
        <v>V013</v>
      </c>
      <c r="B14" s="4" t="str">
        <f aca="false">INDEX(Vendors!$B$2:$B$61,MATCH(A14,Vendors!$A$2:$A$61,0))</f>
        <v>Nirvana Manufacturing</v>
      </c>
      <c r="C14" s="4" t="str">
        <f aca="false">INDEX(Vendors!$C$2:$C$61,MATCH(A14,Vendors!$A$2:$A$61,0))</f>
        <v>Electronics</v>
      </c>
      <c r="D14" s="4" t="n">
        <f aca="false">COUNTIF(PurchaseOrders!$B$2:$B$3001,A14)</f>
        <v>48</v>
      </c>
      <c r="E14" s="15" t="n">
        <f aca="false">IFERROR(AVERAGEIFS(PurchaseOrders!$K$2:$K$3001,PurchaseOrders!$B$2:$B$3001,A14),0)</f>
        <v>0.4375</v>
      </c>
      <c r="F14" s="20" t="n">
        <f aca="false">IFERROR(AVERAGEIFS(PurchaseOrders!$J$2:$J$3001,PurchaseOrders!$B$2:$B$3001,A14),0)</f>
        <v>0.458333333333333</v>
      </c>
      <c r="G14" s="15" t="n">
        <f aca="false">IFERROR(AVERAGEIFS(PurchaseOrders!$L$2:$L$3001,PurchaseOrders!$B$2:$B$3001,A14),0)</f>
        <v>0.913666266065124</v>
      </c>
      <c r="H14" s="15" t="n">
        <f aca="false">IFERROR(AVERAGEIFS(PurchaseOrders!$M$2:$M$3001,PurchaseOrders!$B$2:$B$3001,A14),0)</f>
        <v>-8.68597725016948E-005</v>
      </c>
      <c r="I14" s="15" t="n">
        <f aca="false">IFERROR(SUMIFS(QualityInspections!$D$2:$D$3001,QualityInspections!$G$2:$G$3001,A14)/SUMIFS(QualityInspections!$C$2:$C$3001,QualityInspections!$G$2:$G$3001,A14),0)</f>
        <v>0.0807922345327973</v>
      </c>
      <c r="J14" s="15" t="n">
        <f aca="false">1-E14</f>
        <v>0.5625</v>
      </c>
      <c r="K14" s="15" t="n">
        <f aca="false">I14</f>
        <v>0.0807922345327973</v>
      </c>
      <c r="L14" s="15" t="n">
        <f aca="false">MAX(H14,0)</f>
        <v>0</v>
      </c>
      <c r="M14" s="15" t="n">
        <f aca="false">1-G14</f>
        <v>0.0863337339348758</v>
      </c>
      <c r="N14" s="20" t="n">
        <f aca="false">IFERROR((J14-MIN($J$2:$J$61))/(MAX($J$2:$J$61)-MIN($J$2:$J$61))*100,0)</f>
        <v>50.2840909090909</v>
      </c>
      <c r="O14" s="20" t="n">
        <f aca="false">IFERROR((K14-MIN($K$2:$K$61))/(MAX($K$2:$K$61)-MIN($K$2:$K$61))*100,0)</f>
        <v>33.6054969110577</v>
      </c>
      <c r="P14" s="20" t="n">
        <f aca="false">IFERROR((L14-MIN($L$2:$L$61))/(MAX($L$2:$L$61)-MIN($L$2:$L$61))*100,0)</f>
        <v>0</v>
      </c>
      <c r="Q14" s="20" t="n">
        <f aca="false">IFERROR((M14-MIN($M$2:$M$61))/(MAX($M$2:$M$61)-MIN($M$2:$M$61))*100,0)</f>
        <v>58.3336979010773</v>
      </c>
      <c r="R14" s="20" t="n">
        <f aca="false">0.35*N14+0.3*O14+0.2*P14+0.15*Q14</f>
        <v>36.4311355766607</v>
      </c>
      <c r="S14" s="4" t="str">
        <f aca="false">IF(R14&gt;=65,"High",IF(R14&gt;=40,"Medium","Low"))</f>
        <v>Low</v>
      </c>
      <c r="T14" s="4" t="n">
        <f aca="false">RANK(R14,$R$2:$R$61,0)</f>
        <v>30</v>
      </c>
      <c r="U14" s="16" t="n">
        <f aca="false">SUMIFS(PurchaseOrders!$N$2:$N$3001,PurchaseOrders!$B$2:$B$3001,A14)</f>
        <v>12561558.26</v>
      </c>
      <c r="V14" s="4" t="str">
        <f aca="false">IF(R14&gt;=MEDIAN($R$2:$R$61),"High Risk","Low Risk")</f>
        <v>High Risk</v>
      </c>
      <c r="W14" s="4" t="str">
        <f aca="false">IF(U14&gt;=MEDIAN($U$2:$U$61),"High Spend","Low Spend")</f>
        <v>High Spend</v>
      </c>
      <c r="X14" s="4" t="str">
        <f aca="false">IF(AND(V14="High Risk",W14="High Spend"),"Strategic",IF(AND(V14="High Risk",W14="Low Spend"),"Bottleneck",IF(AND(V14="Low Risk",W14="High Spend"),"Leverage","Non-Critical")))</f>
        <v>Strategic</v>
      </c>
    </row>
    <row r="15" customFormat="false" ht="15" hidden="false" customHeight="true" outlineLevel="0" collapsed="false">
      <c r="A15" s="4" t="str">
        <f aca="false">Vendors!A15</f>
        <v>V014</v>
      </c>
      <c r="B15" s="4" t="str">
        <f aca="false">INDEX(Vendors!$B$2:$B$61,MATCH(A15,Vendors!$A$2:$A$61,0))</f>
        <v>Unity Logistics</v>
      </c>
      <c r="C15" s="4" t="str">
        <f aca="false">INDEX(Vendors!$C$2:$C$61,MATCH(A15,Vendors!$A$2:$A$61,0))</f>
        <v>Packaging</v>
      </c>
      <c r="D15" s="4" t="n">
        <f aca="false">COUNTIF(PurchaseOrders!$B$2:$B$3001,A15)</f>
        <v>54</v>
      </c>
      <c r="E15" s="15" t="n">
        <f aca="false">IFERROR(AVERAGEIFS(PurchaseOrders!$K$2:$K$3001,PurchaseOrders!$B$2:$B$3001,A15),0)</f>
        <v>0.240740740740741</v>
      </c>
      <c r="F15" s="20" t="n">
        <f aca="false">IFERROR(AVERAGEIFS(PurchaseOrders!$J$2:$J$3001,PurchaseOrders!$B$2:$B$3001,A15),0)</f>
        <v>2.27777777777778</v>
      </c>
      <c r="G15" s="15" t="n">
        <f aca="false">IFERROR(AVERAGEIFS(PurchaseOrders!$L$2:$L$3001,PurchaseOrders!$B$2:$B$3001,A15),0)</f>
        <v>0.917553344627145</v>
      </c>
      <c r="H15" s="15" t="n">
        <f aca="false">IFERROR(AVERAGEIFS(PurchaseOrders!$M$2:$M$3001,PurchaseOrders!$B$2:$B$3001,A15),0)</f>
        <v>0.0376512242454271</v>
      </c>
      <c r="I15" s="15" t="n">
        <f aca="false">IFERROR(SUMIFS(QualityInspections!$D$2:$D$3001,QualityInspections!$G$2:$G$3001,A15)/SUMIFS(QualityInspections!$C$2:$C$3001,QualityInspections!$G$2:$G$3001,A15),0)</f>
        <v>0.0618191335842223</v>
      </c>
      <c r="J15" s="15" t="n">
        <f aca="false">1-E15</f>
        <v>0.759259259259259</v>
      </c>
      <c r="K15" s="15" t="n">
        <f aca="false">I15</f>
        <v>0.0618191335842223</v>
      </c>
      <c r="L15" s="15" t="n">
        <f aca="false">MAX(H15,0)</f>
        <v>0.0376512242454271</v>
      </c>
      <c r="M15" s="15" t="n">
        <f aca="false">1-G15</f>
        <v>0.082446655372855</v>
      </c>
      <c r="N15" s="20" t="n">
        <f aca="false">IFERROR((J15-MIN($J$2:$J$61))/(MAX($J$2:$J$61)-MIN($J$2:$J$61))*100,0)</f>
        <v>72.6430976430977</v>
      </c>
      <c r="O15" s="20" t="n">
        <f aca="false">IFERROR((K15-MIN($K$2:$K$61))/(MAX($K$2:$K$61)-MIN($K$2:$K$61))*100,0)</f>
        <v>24.7762253188791</v>
      </c>
      <c r="P15" s="20" t="n">
        <f aca="false">IFERROR((L15-MIN($L$2:$L$61))/(MAX($L$2:$L$61)-MIN($L$2:$L$61))*100,0)</f>
        <v>33.2746822201135</v>
      </c>
      <c r="Q15" s="20" t="n">
        <f aca="false">IFERROR((M15-MIN($M$2:$M$61))/(MAX($M$2:$M$61)-MIN($M$2:$M$61))*100,0)</f>
        <v>55.5728058092898</v>
      </c>
      <c r="R15" s="20" t="n">
        <f aca="false">0.35*N15+0.3*O15+0.2*P15+0.15*Q15</f>
        <v>47.8488090861641</v>
      </c>
      <c r="S15" s="4" t="str">
        <f aca="false">IF(R15&gt;=65,"High",IF(R15&gt;=40,"Medium","Low"))</f>
        <v>Medium</v>
      </c>
      <c r="T15" s="4" t="n">
        <f aca="false">RANK(R15,$R$2:$R$61,0)</f>
        <v>10</v>
      </c>
      <c r="U15" s="16" t="n">
        <f aca="false">SUMIFS(PurchaseOrders!$N$2:$N$3001,PurchaseOrders!$B$2:$B$3001,A15)</f>
        <v>5255090.19</v>
      </c>
      <c r="V15" s="4" t="str">
        <f aca="false">IF(R15&gt;=MEDIAN($R$2:$R$61),"High Risk","Low Risk")</f>
        <v>High Risk</v>
      </c>
      <c r="W15" s="4" t="str">
        <f aca="false">IF(U15&gt;=MEDIAN($U$2:$U$61),"High Spend","Low Spend")</f>
        <v>Low Spend</v>
      </c>
      <c r="X15" s="4" t="str">
        <f aca="false">IF(AND(V15="High Risk",W15="High Spend"),"Strategic",IF(AND(V15="High Risk",W15="Low Spend"),"Bottleneck",IF(AND(V15="Low Risk",W15="High Spend"),"Leverage","Non-Critical")))</f>
        <v>Bottleneck</v>
      </c>
    </row>
    <row r="16" customFormat="false" ht="15" hidden="false" customHeight="true" outlineLevel="0" collapsed="false">
      <c r="A16" s="4" t="str">
        <f aca="false">Vendors!A16</f>
        <v>V015</v>
      </c>
      <c r="B16" s="4" t="str">
        <f aca="false">INDEX(Vendors!$B$2:$B$61,MATCH(A16,Vendors!$A$2:$A$61,0))</f>
        <v>Bluepeak Enterprises</v>
      </c>
      <c r="C16" s="4" t="str">
        <f aca="false">INDEX(Vendors!$C$2:$C$61,MATCH(A16,Vendors!$A$2:$A$61,0))</f>
        <v>Packaging</v>
      </c>
      <c r="D16" s="4" t="n">
        <f aca="false">COUNTIF(PurchaseOrders!$B$2:$B$3001,A16)</f>
        <v>52</v>
      </c>
      <c r="E16" s="15" t="n">
        <f aca="false">IFERROR(AVERAGEIFS(PurchaseOrders!$K$2:$K$3001,PurchaseOrders!$B$2:$B$3001,A16),0)</f>
        <v>0.134615384615385</v>
      </c>
      <c r="F16" s="20" t="n">
        <f aca="false">IFERROR(AVERAGEIFS(PurchaseOrders!$J$2:$J$3001,PurchaseOrders!$B$2:$B$3001,A16),0)</f>
        <v>5.21153846153846</v>
      </c>
      <c r="G16" s="15" t="n">
        <f aca="false">IFERROR(AVERAGEIFS(PurchaseOrders!$L$2:$L$3001,PurchaseOrders!$B$2:$B$3001,A16),0)</f>
        <v>0.975948895187692</v>
      </c>
      <c r="H16" s="15" t="n">
        <f aca="false">IFERROR(AVERAGEIFS(PurchaseOrders!$M$2:$M$3001,PurchaseOrders!$B$2:$B$3001,A16),0)</f>
        <v>0.0411347991712891</v>
      </c>
      <c r="I16" s="15" t="n">
        <f aca="false">IFERROR(SUMIFS(QualityInspections!$D$2:$D$3001,QualityInspections!$G$2:$G$3001,A16)/SUMIFS(QualityInspections!$C$2:$C$3001,QualityInspections!$G$2:$G$3001,A16),0)</f>
        <v>0.0140332172032677</v>
      </c>
      <c r="J16" s="15" t="n">
        <f aca="false">1-E16</f>
        <v>0.865384615384615</v>
      </c>
      <c r="K16" s="15" t="n">
        <f aca="false">I16</f>
        <v>0.0140332172032677</v>
      </c>
      <c r="L16" s="15" t="n">
        <f aca="false">MAX(H16,0)</f>
        <v>0.0411347991712891</v>
      </c>
      <c r="M16" s="15" t="n">
        <f aca="false">1-G16</f>
        <v>0.0240511048123084</v>
      </c>
      <c r="N16" s="20" t="n">
        <f aca="false">IFERROR((J16-MIN($J$2:$J$61))/(MAX($J$2:$J$61)-MIN($J$2:$J$61))*100,0)</f>
        <v>84.7027972027972</v>
      </c>
      <c r="O16" s="20" t="n">
        <f aca="false">IFERROR((K16-MIN($K$2:$K$61))/(MAX($K$2:$K$61)-MIN($K$2:$K$61))*100,0)</f>
        <v>2.53869887804305</v>
      </c>
      <c r="P16" s="20" t="n">
        <f aca="false">IFERROR((L16-MIN($L$2:$L$61))/(MAX($L$2:$L$61)-MIN($L$2:$L$61))*100,0)</f>
        <v>36.3533297533898</v>
      </c>
      <c r="Q16" s="20" t="n">
        <f aca="false">IFERROR((M16-MIN($M$2:$M$61))/(MAX($M$2:$M$61)-MIN($M$2:$M$61))*100,0)</f>
        <v>14.0959457032319</v>
      </c>
      <c r="R16" s="20" t="n">
        <f aca="false">0.35*N16+0.3*O16+0.2*P16+0.15*Q16</f>
        <v>39.7926464905547</v>
      </c>
      <c r="S16" s="4" t="str">
        <f aca="false">IF(R16&gt;=65,"High",IF(R16&gt;=40,"Medium","Low"))</f>
        <v>Low</v>
      </c>
      <c r="T16" s="4" t="n">
        <f aca="false">RANK(R16,$R$2:$R$61,0)</f>
        <v>23</v>
      </c>
      <c r="U16" s="16" t="n">
        <f aca="false">SUMIFS(PurchaseOrders!$N$2:$N$3001,PurchaseOrders!$B$2:$B$3001,A16)</f>
        <v>4788990.41</v>
      </c>
      <c r="V16" s="4" t="str">
        <f aca="false">IF(R16&gt;=MEDIAN($R$2:$R$61),"High Risk","Low Risk")</f>
        <v>High Risk</v>
      </c>
      <c r="W16" s="4" t="str">
        <f aca="false">IF(U16&gt;=MEDIAN($U$2:$U$61),"High Spend","Low Spend")</f>
        <v>Low Spend</v>
      </c>
      <c r="X16" s="4" t="str">
        <f aca="false">IF(AND(V16="High Risk",W16="High Spend"),"Strategic",IF(AND(V16="High Risk",W16="Low Spend"),"Bottleneck",IF(AND(V16="Low Risk",W16="High Spend"),"Leverage","Non-Critical")))</f>
        <v>Bottleneck</v>
      </c>
    </row>
    <row r="17" customFormat="false" ht="15" hidden="false" customHeight="true" outlineLevel="0" collapsed="false">
      <c r="A17" s="4" t="str">
        <f aca="false">Vendors!A17</f>
        <v>V016</v>
      </c>
      <c r="B17" s="4" t="str">
        <f aca="false">INDEX(Vendors!$B$2:$B$61,MATCH(A17,Vendors!$A$2:$A$61,0))</f>
        <v>Wave Components</v>
      </c>
      <c r="C17" s="4" t="str">
        <f aca="false">INDEX(Vendors!$C$2:$C$61,MATCH(A17,Vendors!$A$2:$A$61,0))</f>
        <v>Logistics Services</v>
      </c>
      <c r="D17" s="4" t="n">
        <f aca="false">COUNTIF(PurchaseOrders!$B$2:$B$3001,A17)</f>
        <v>46</v>
      </c>
      <c r="E17" s="15" t="n">
        <f aca="false">IFERROR(AVERAGEIFS(PurchaseOrders!$K$2:$K$3001,PurchaseOrders!$B$2:$B$3001,A17),0)</f>
        <v>0.434782608695652</v>
      </c>
      <c r="F17" s="20" t="n">
        <f aca="false">IFERROR(AVERAGEIFS(PurchaseOrders!$J$2:$J$3001,PurchaseOrders!$B$2:$B$3001,A17),0)</f>
        <v>0.695652173913044</v>
      </c>
      <c r="G17" s="15" t="n">
        <f aca="false">IFERROR(AVERAGEIFS(PurchaseOrders!$L$2:$L$3001,PurchaseOrders!$B$2:$B$3001,A17),0)</f>
        <v>0.99516160392456</v>
      </c>
      <c r="H17" s="15" t="n">
        <f aca="false">IFERROR(AVERAGEIFS(PurchaseOrders!$M$2:$M$3001,PurchaseOrders!$B$2:$B$3001,A17),0)</f>
        <v>0.0316015174504791</v>
      </c>
      <c r="I17" s="15" t="n">
        <f aca="false">IFERROR(SUMIFS(QualityInspections!$D$2:$D$3001,QualityInspections!$G$2:$G$3001,A17)/SUMIFS(QualityInspections!$C$2:$C$3001,QualityInspections!$G$2:$G$3001,A17),0)</f>
        <v>0.014018691588785</v>
      </c>
      <c r="J17" s="15" t="n">
        <f aca="false">1-E17</f>
        <v>0.565217391304348</v>
      </c>
      <c r="K17" s="15" t="n">
        <f aca="false">I17</f>
        <v>0.014018691588785</v>
      </c>
      <c r="L17" s="15" t="n">
        <f aca="false">MAX(H17,0)</f>
        <v>0.0316015174504791</v>
      </c>
      <c r="M17" s="15" t="n">
        <f aca="false">1-G17</f>
        <v>0.00483839607544012</v>
      </c>
      <c r="N17" s="20" t="n">
        <f aca="false">IFERROR((J17-MIN($J$2:$J$61))/(MAX($J$2:$J$61)-MIN($J$2:$J$61))*100,0)</f>
        <v>50.5928853754941</v>
      </c>
      <c r="O17" s="20" t="n">
        <f aca="false">IFERROR((K17-MIN($K$2:$K$61))/(MAX($K$2:$K$61)-MIN($K$2:$K$61))*100,0)</f>
        <v>2.53193927687623</v>
      </c>
      <c r="P17" s="20" t="n">
        <f aca="false">IFERROR((L17-MIN($L$2:$L$61))/(MAX($L$2:$L$61)-MIN($L$2:$L$61))*100,0)</f>
        <v>27.9281875134718</v>
      </c>
      <c r="Q17" s="20" t="n">
        <f aca="false">IFERROR((M17-MIN($M$2:$M$61))/(MAX($M$2:$M$61)-MIN($M$2:$M$61))*100,0)</f>
        <v>0.449652023522787</v>
      </c>
      <c r="R17" s="20" t="n">
        <f aca="false">0.35*N17+0.3*O17+0.2*P17+0.15*Q17</f>
        <v>24.1201769707086</v>
      </c>
      <c r="S17" s="4" t="str">
        <f aca="false">IF(R17&gt;=65,"High",IF(R17&gt;=40,"Medium","Low"))</f>
        <v>Low</v>
      </c>
      <c r="T17" s="4" t="n">
        <f aca="false">RANK(R17,$R$2:$R$61,0)</f>
        <v>51</v>
      </c>
      <c r="U17" s="16" t="n">
        <f aca="false">SUMIFS(PurchaseOrders!$N$2:$N$3001,PurchaseOrders!$B$2:$B$3001,A17)</f>
        <v>571932.37</v>
      </c>
      <c r="V17" s="4" t="str">
        <f aca="false">IF(R17&gt;=MEDIAN($R$2:$R$61),"High Risk","Low Risk")</f>
        <v>Low Risk</v>
      </c>
      <c r="W17" s="4" t="str">
        <f aca="false">IF(U17&gt;=MEDIAN($U$2:$U$61),"High Spend","Low Spend")</f>
        <v>Low Spend</v>
      </c>
      <c r="X17" s="4" t="str">
        <f aca="false">IF(AND(V17="High Risk",W17="High Spend"),"Strategic",IF(AND(V17="High Risk",W17="Low Spend"),"Bottleneck",IF(AND(V17="Low Risk",W17="High Spend"),"Leverage","Non-Critical")))</f>
        <v>Non-Critical</v>
      </c>
    </row>
    <row r="18" customFormat="false" ht="15" hidden="false" customHeight="true" outlineLevel="0" collapsed="false">
      <c r="A18" s="4" t="str">
        <f aca="false">Vendors!A18</f>
        <v>V017</v>
      </c>
      <c r="B18" s="4" t="str">
        <f aca="false">INDEX(Vendors!$B$2:$B$61,MATCH(A18,Vendors!$A$2:$A$61,0))</f>
        <v>Everest Corp</v>
      </c>
      <c r="C18" s="4" t="str">
        <f aca="false">INDEX(Vendors!$C$2:$C$61,MATCH(A18,Vendors!$A$2:$A$61,0))</f>
        <v>Packaging</v>
      </c>
      <c r="D18" s="4" t="n">
        <f aca="false">COUNTIF(PurchaseOrders!$B$2:$B$3001,A18)</f>
        <v>50</v>
      </c>
      <c r="E18" s="15" t="n">
        <f aca="false">IFERROR(AVERAGEIFS(PurchaseOrders!$K$2:$K$3001,PurchaseOrders!$B$2:$B$3001,A18),0)</f>
        <v>0</v>
      </c>
      <c r="F18" s="20" t="n">
        <f aca="false">IFERROR(AVERAGEIFS(PurchaseOrders!$J$2:$J$3001,PurchaseOrders!$B$2:$B$3001,A18),0)</f>
        <v>12.48</v>
      </c>
      <c r="G18" s="15" t="n">
        <f aca="false">IFERROR(AVERAGEIFS(PurchaseOrders!$L$2:$L$3001,PurchaseOrders!$B$2:$B$3001,A18),0)</f>
        <v>0.987714417046882</v>
      </c>
      <c r="H18" s="15" t="n">
        <f aca="false">IFERROR(AVERAGEIFS(PurchaseOrders!$M$2:$M$3001,PurchaseOrders!$B$2:$B$3001,A18),0)</f>
        <v>-0.0286071137659516</v>
      </c>
      <c r="I18" s="15" t="n">
        <f aca="false">IFERROR(SUMIFS(QualityInspections!$D$2:$D$3001,QualityInspections!$G$2:$G$3001,A18)/SUMIFS(QualityInspections!$C$2:$C$3001,QualityInspections!$G$2:$G$3001,A18),0)</f>
        <v>0.0414656146281231</v>
      </c>
      <c r="J18" s="15" t="n">
        <f aca="false">1-E18</f>
        <v>1</v>
      </c>
      <c r="K18" s="15" t="n">
        <f aca="false">I18</f>
        <v>0.0414656146281231</v>
      </c>
      <c r="L18" s="15" t="n">
        <f aca="false">MAX(H18,0)</f>
        <v>0</v>
      </c>
      <c r="M18" s="15" t="n">
        <f aca="false">1-G18</f>
        <v>0.0122855829531177</v>
      </c>
      <c r="N18" s="20" t="n">
        <f aca="false">IFERROR((J18-MIN($J$2:$J$61))/(MAX($J$2:$J$61)-MIN($J$2:$J$61))*100,0)</f>
        <v>100</v>
      </c>
      <c r="O18" s="20" t="n">
        <f aca="false">IFERROR((K18-MIN($K$2:$K$61))/(MAX($K$2:$K$61)-MIN($K$2:$K$61))*100,0)</f>
        <v>15.3045660889495</v>
      </c>
      <c r="P18" s="20" t="n">
        <f aca="false">IFERROR((L18-MIN($L$2:$L$61))/(MAX($L$2:$L$61)-MIN($L$2:$L$61))*100,0)</f>
        <v>0</v>
      </c>
      <c r="Q18" s="20" t="n">
        <f aca="false">IFERROR((M18-MIN($M$2:$M$61))/(MAX($M$2:$M$61)-MIN($M$2:$M$61))*100,0)</f>
        <v>5.73919763691395</v>
      </c>
      <c r="R18" s="20" t="n">
        <f aca="false">0.35*N18+0.3*O18+0.2*P18+0.15*Q18</f>
        <v>40.4522494722219</v>
      </c>
      <c r="S18" s="4" t="str">
        <f aca="false">IF(R18&gt;=65,"High",IF(R18&gt;=40,"Medium","Low"))</f>
        <v>Medium</v>
      </c>
      <c r="T18" s="4" t="n">
        <f aca="false">RANK(R18,$R$2:$R$61,0)</f>
        <v>22</v>
      </c>
      <c r="U18" s="16" t="n">
        <f aca="false">SUMIFS(PurchaseOrders!$N$2:$N$3001,PurchaseOrders!$B$2:$B$3001,A18)</f>
        <v>4078885.15</v>
      </c>
      <c r="V18" s="4" t="str">
        <f aca="false">IF(R18&gt;=MEDIAN($R$2:$R$61),"High Risk","Low Risk")</f>
        <v>High Risk</v>
      </c>
      <c r="W18" s="4" t="str">
        <f aca="false">IF(U18&gt;=MEDIAN($U$2:$U$61),"High Spend","Low Spend")</f>
        <v>Low Spend</v>
      </c>
      <c r="X18" s="4" t="str">
        <f aca="false">IF(AND(V18="High Risk",W18="High Spend"),"Strategic",IF(AND(V18="High Risk",W18="Low Spend"),"Bottleneck",IF(AND(V18="Low Risk",W18="High Spend"),"Leverage","Non-Critical")))</f>
        <v>Bottleneck</v>
      </c>
    </row>
    <row r="19" customFormat="false" ht="15" hidden="false" customHeight="true" outlineLevel="0" collapsed="false">
      <c r="A19" s="4" t="str">
        <f aca="false">Vendors!A19</f>
        <v>V018</v>
      </c>
      <c r="B19" s="4" t="str">
        <f aca="false">INDEX(Vendors!$B$2:$B$61,MATCH(A19,Vendors!$A$2:$A$61,0))</f>
        <v>Summit Industries</v>
      </c>
      <c r="C19" s="4" t="str">
        <f aca="false">INDEX(Vendors!$C$2:$C$61,MATCH(A19,Vendors!$A$2:$A$61,0))</f>
        <v>Electronics</v>
      </c>
      <c r="D19" s="4" t="n">
        <f aca="false">COUNTIF(PurchaseOrders!$B$2:$B$3001,A19)</f>
        <v>47</v>
      </c>
      <c r="E19" s="15" t="n">
        <f aca="false">IFERROR(AVERAGEIFS(PurchaseOrders!$K$2:$K$3001,PurchaseOrders!$B$2:$B$3001,A19),0)</f>
        <v>0.170212765957447</v>
      </c>
      <c r="F19" s="20" t="n">
        <f aca="false">IFERROR(AVERAGEIFS(PurchaseOrders!$J$2:$J$3001,PurchaseOrders!$B$2:$B$3001,A19),0)</f>
        <v>2.68085106382979</v>
      </c>
      <c r="G19" s="15" t="n">
        <f aca="false">IFERROR(AVERAGEIFS(PurchaseOrders!$L$2:$L$3001,PurchaseOrders!$B$2:$B$3001,A19),0)</f>
        <v>0.956290176981271</v>
      </c>
      <c r="H19" s="15" t="n">
        <f aca="false">IFERROR(AVERAGEIFS(PurchaseOrders!$M$2:$M$3001,PurchaseOrders!$B$2:$B$3001,A19),0)</f>
        <v>0.0412584344395533</v>
      </c>
      <c r="I19" s="15" t="n">
        <f aca="false">IFERROR(SUMIFS(QualityInspections!$D$2:$D$3001,QualityInspections!$G$2:$G$3001,A19)/SUMIFS(QualityInspections!$C$2:$C$3001,QualityInspections!$G$2:$G$3001,A19),0)</f>
        <v>0.056368294900405</v>
      </c>
      <c r="J19" s="15" t="n">
        <f aca="false">1-E19</f>
        <v>0.829787234042553</v>
      </c>
      <c r="K19" s="15" t="n">
        <f aca="false">I19</f>
        <v>0.056368294900405</v>
      </c>
      <c r="L19" s="15" t="n">
        <f aca="false">MAX(H19,0)</f>
        <v>0.0412584344395533</v>
      </c>
      <c r="M19" s="15" t="n">
        <f aca="false">1-G19</f>
        <v>0.0437098230187286</v>
      </c>
      <c r="N19" s="20" t="n">
        <f aca="false">IFERROR((J19-MIN($J$2:$J$61))/(MAX($J$2:$J$61)-MIN($J$2:$J$61))*100,0)</f>
        <v>80.6576402321083</v>
      </c>
      <c r="O19" s="20" t="n">
        <f aca="false">IFERROR((K19-MIN($K$2:$K$61))/(MAX($K$2:$K$61)-MIN($K$2:$K$61))*100,0)</f>
        <v>22.2396375847485</v>
      </c>
      <c r="P19" s="20" t="n">
        <f aca="false">IFERROR((L19-MIN($L$2:$L$61))/(MAX($L$2:$L$61)-MIN($L$2:$L$61))*100,0)</f>
        <v>36.4625937772067</v>
      </c>
      <c r="Q19" s="20" t="n">
        <f aca="false">IFERROR((M19-MIN($M$2:$M$61))/(MAX($M$2:$M$61)-MIN($M$2:$M$61))*100,0)</f>
        <v>28.0590284567148</v>
      </c>
      <c r="R19" s="20" t="n">
        <f aca="false">0.35*N19+0.3*O19+0.2*P19+0.15*Q19</f>
        <v>46.403438380611</v>
      </c>
      <c r="S19" s="4" t="str">
        <f aca="false">IF(R19&gt;=65,"High",IF(R19&gt;=40,"Medium","Low"))</f>
        <v>Medium</v>
      </c>
      <c r="T19" s="4" t="n">
        <f aca="false">RANK(R19,$R$2:$R$61,0)</f>
        <v>13</v>
      </c>
      <c r="U19" s="16" t="n">
        <f aca="false">SUMIFS(PurchaseOrders!$N$2:$N$3001,PurchaseOrders!$B$2:$B$3001,A19)</f>
        <v>10349027.96</v>
      </c>
      <c r="V19" s="4" t="str">
        <f aca="false">IF(R19&gt;=MEDIAN($R$2:$R$61),"High Risk","Low Risk")</f>
        <v>High Risk</v>
      </c>
      <c r="W19" s="4" t="str">
        <f aca="false">IF(U19&gt;=MEDIAN($U$2:$U$61),"High Spend","Low Spend")</f>
        <v>High Spend</v>
      </c>
      <c r="X19" s="4" t="str">
        <f aca="false">IF(AND(V19="High Risk",W19="High Spend"),"Strategic",IF(AND(V19="High Risk",W19="Low Spend"),"Bottleneck",IF(AND(V19="Low Risk",W19="High Spend"),"Leverage","Non-Critical")))</f>
        <v>Strategic</v>
      </c>
    </row>
    <row r="20" customFormat="false" ht="15" hidden="false" customHeight="true" outlineLevel="0" collapsed="false">
      <c r="A20" s="4" t="str">
        <f aca="false">Vendors!A20</f>
        <v>V019</v>
      </c>
      <c r="B20" s="4" t="str">
        <f aca="false">INDEX(Vendors!$B$2:$B$61,MATCH(A20,Vendors!$A$2:$A$61,0))</f>
        <v>Quality Logistics</v>
      </c>
      <c r="C20" s="4" t="str">
        <f aca="false">INDEX(Vendors!$C$2:$C$61,MATCH(A20,Vendors!$A$2:$A$61,0))</f>
        <v>Logistics Services</v>
      </c>
      <c r="D20" s="4" t="n">
        <f aca="false">COUNTIF(PurchaseOrders!$B$2:$B$3001,A20)</f>
        <v>40</v>
      </c>
      <c r="E20" s="15" t="n">
        <f aca="false">IFERROR(AVERAGEIFS(PurchaseOrders!$K$2:$K$3001,PurchaseOrders!$B$2:$B$3001,A20),0)</f>
        <v>0.175</v>
      </c>
      <c r="F20" s="20" t="n">
        <f aca="false">IFERROR(AVERAGEIFS(PurchaseOrders!$J$2:$J$3001,PurchaseOrders!$B$2:$B$3001,A20),0)</f>
        <v>3.625</v>
      </c>
      <c r="G20" s="15" t="n">
        <f aca="false">IFERROR(AVERAGEIFS(PurchaseOrders!$L$2:$L$3001,PurchaseOrders!$B$2:$B$3001,A20),0)</f>
        <v>0.994939668174962</v>
      </c>
      <c r="H20" s="15" t="n">
        <f aca="false">IFERROR(AVERAGEIFS(PurchaseOrders!$M$2:$M$3001,PurchaseOrders!$B$2:$B$3001,A20),0)</f>
        <v>-0.00843032839757464</v>
      </c>
      <c r="I20" s="15" t="n">
        <f aca="false">IFERROR(SUMIFS(QualityInspections!$D$2:$D$3001,QualityInspections!$G$2:$G$3001,A20)/SUMIFS(QualityInspections!$C$2:$C$3001,QualityInspections!$G$2:$G$3001,A20),0)</f>
        <v>0.0117647058823529</v>
      </c>
      <c r="J20" s="15" t="n">
        <f aca="false">1-E20</f>
        <v>0.825</v>
      </c>
      <c r="K20" s="15" t="n">
        <f aca="false">I20</f>
        <v>0.0117647058823529</v>
      </c>
      <c r="L20" s="15" t="n">
        <f aca="false">MAX(H20,0)</f>
        <v>0</v>
      </c>
      <c r="M20" s="15" t="n">
        <f aca="false">1-G20</f>
        <v>0.00506033182503773</v>
      </c>
      <c r="N20" s="20" t="n">
        <f aca="false">IFERROR((J20-MIN($J$2:$J$61))/(MAX($J$2:$J$61)-MIN($J$2:$J$61))*100,0)</f>
        <v>80.1136363636364</v>
      </c>
      <c r="O20" s="20" t="n">
        <f aca="false">IFERROR((K20-MIN($K$2:$K$61))/(MAX($K$2:$K$61)-MIN($K$2:$K$61))*100,0)</f>
        <v>1.48303050751281</v>
      </c>
      <c r="P20" s="20" t="n">
        <f aca="false">IFERROR((L20-MIN($L$2:$L$61))/(MAX($L$2:$L$61)-MIN($L$2:$L$61))*100,0)</f>
        <v>0</v>
      </c>
      <c r="Q20" s="20" t="n">
        <f aca="false">IFERROR((M20-MIN($M$2:$M$61))/(MAX($M$2:$M$61)-MIN($M$2:$M$61))*100,0)</f>
        <v>0.607287287686433</v>
      </c>
      <c r="R20" s="20" t="n">
        <f aca="false">0.35*N20+0.3*O20+0.2*P20+0.15*Q20</f>
        <v>28.5757749726795</v>
      </c>
      <c r="S20" s="4" t="str">
        <f aca="false">IF(R20&gt;=65,"High",IF(R20&gt;=40,"Medium","Low"))</f>
        <v>Low</v>
      </c>
      <c r="T20" s="4" t="n">
        <f aca="false">RANK(R20,$R$2:$R$61,0)</f>
        <v>42</v>
      </c>
      <c r="U20" s="16" t="n">
        <f aca="false">SUMIFS(PurchaseOrders!$N$2:$N$3001,PurchaseOrders!$B$2:$B$3001,A20)</f>
        <v>235274.67</v>
      </c>
      <c r="V20" s="4" t="str">
        <f aca="false">IF(R20&gt;=MEDIAN($R$2:$R$61),"High Risk","Low Risk")</f>
        <v>Low Risk</v>
      </c>
      <c r="W20" s="4" t="str">
        <f aca="false">IF(U20&gt;=MEDIAN($U$2:$U$61),"High Spend","Low Spend")</f>
        <v>Low Spend</v>
      </c>
      <c r="X20" s="4" t="str">
        <f aca="false">IF(AND(V20="High Risk",W20="High Spend"),"Strategic",IF(AND(V20="High Risk",W20="Low Spend"),"Bottleneck",IF(AND(V20="Low Risk",W20="High Spend"),"Leverage","Non-Critical")))</f>
        <v>Non-Critical</v>
      </c>
    </row>
    <row r="21" customFormat="false" ht="15" hidden="false" customHeight="true" outlineLevel="0" collapsed="false">
      <c r="A21" s="4" t="str">
        <f aca="false">Vendors!A21</f>
        <v>V020</v>
      </c>
      <c r="B21" s="4" t="str">
        <f aca="false">INDEX(Vendors!$B$2:$B$61,MATCH(A21,Vendors!$A$2:$A$61,0))</f>
        <v>Nova Manufacturing</v>
      </c>
      <c r="C21" s="4" t="str">
        <f aca="false">INDEX(Vendors!$C$2:$C$61,MATCH(A21,Vendors!$A$2:$A$61,0))</f>
        <v>Raw Materials</v>
      </c>
      <c r="D21" s="4" t="n">
        <f aca="false">COUNTIF(PurchaseOrders!$B$2:$B$3001,A21)</f>
        <v>61</v>
      </c>
      <c r="E21" s="15" t="n">
        <f aca="false">IFERROR(AVERAGEIFS(PurchaseOrders!$K$2:$K$3001,PurchaseOrders!$B$2:$B$3001,A21),0)</f>
        <v>0.295081967213115</v>
      </c>
      <c r="F21" s="20" t="n">
        <f aca="false">IFERROR(AVERAGEIFS(PurchaseOrders!$J$2:$J$3001,PurchaseOrders!$B$2:$B$3001,A21),0)</f>
        <v>1.57377049180328</v>
      </c>
      <c r="G21" s="15" t="n">
        <f aca="false">IFERROR(AVERAGEIFS(PurchaseOrders!$L$2:$L$3001,PurchaseOrders!$B$2:$B$3001,A21),0)</f>
        <v>0.988095479619413</v>
      </c>
      <c r="H21" s="15" t="n">
        <f aca="false">IFERROR(AVERAGEIFS(PurchaseOrders!$M$2:$M$3001,PurchaseOrders!$B$2:$B$3001,A21),0)</f>
        <v>0.026660369790521</v>
      </c>
      <c r="I21" s="15" t="n">
        <f aca="false">IFERROR(SUMIFS(QualityInspections!$D$2:$D$3001,QualityInspections!$G$2:$G$3001,A21)/SUMIFS(QualityInspections!$C$2:$C$3001,QualityInspections!$G$2:$G$3001,A21),0)</f>
        <v>0.0175289127361056</v>
      </c>
      <c r="J21" s="15" t="n">
        <f aca="false">1-E21</f>
        <v>0.704918032786885</v>
      </c>
      <c r="K21" s="15" t="n">
        <f aca="false">I21</f>
        <v>0.0175289127361056</v>
      </c>
      <c r="L21" s="15" t="n">
        <f aca="false">MAX(H21,0)</f>
        <v>0.026660369790521</v>
      </c>
      <c r="M21" s="15" t="n">
        <f aca="false">1-G21</f>
        <v>0.0119045203805866</v>
      </c>
      <c r="N21" s="20" t="n">
        <f aca="false">IFERROR((J21-MIN($J$2:$J$61))/(MAX($J$2:$J$61)-MIN($J$2:$J$61))*100,0)</f>
        <v>66.467958271237</v>
      </c>
      <c r="O21" s="20" t="n">
        <f aca="false">IFERROR((K21-MIN($K$2:$K$61))/(MAX($K$2:$K$61)-MIN($K$2:$K$61))*100,0)</f>
        <v>4.1654464163947</v>
      </c>
      <c r="P21" s="20" t="n">
        <f aca="false">IFERROR((L21-MIN($L$2:$L$61))/(MAX($L$2:$L$61)-MIN($L$2:$L$61))*100,0)</f>
        <v>23.5613940961839</v>
      </c>
      <c r="Q21" s="20" t="n">
        <f aca="false">IFERROR((M21-MIN($M$2:$M$61))/(MAX($M$2:$M$61)-MIN($M$2:$M$61))*100,0)</f>
        <v>5.46853867641428</v>
      </c>
      <c r="R21" s="20" t="n">
        <f aca="false">0.35*N21+0.3*O21+0.2*P21+0.15*Q21</f>
        <v>30.0459789405503</v>
      </c>
      <c r="S21" s="4" t="str">
        <f aca="false">IF(R21&gt;=65,"High",IF(R21&gt;=40,"Medium","Low"))</f>
        <v>Low</v>
      </c>
      <c r="T21" s="4" t="n">
        <f aca="false">RANK(R21,$R$2:$R$61,0)</f>
        <v>40</v>
      </c>
      <c r="U21" s="16" t="n">
        <f aca="false">SUMIFS(PurchaseOrders!$N$2:$N$3001,PurchaseOrders!$B$2:$B$3001,A21)</f>
        <v>5747288.49</v>
      </c>
      <c r="V21" s="4" t="str">
        <f aca="false">IF(R21&gt;=MEDIAN($R$2:$R$61),"High Risk","Low Risk")</f>
        <v>Low Risk</v>
      </c>
      <c r="W21" s="4" t="str">
        <f aca="false">IF(U21&gt;=MEDIAN($U$2:$U$61),"High Spend","Low Spend")</f>
        <v>Low Spend</v>
      </c>
      <c r="X21" s="4" t="str">
        <f aca="false">IF(AND(V21="High Risk",W21="High Spend"),"Strategic",IF(AND(V21="High Risk",W21="Low Spend"),"Bottleneck",IF(AND(V21="Low Risk",W21="High Spend"),"Leverage","Non-Critical")))</f>
        <v>Non-Critical</v>
      </c>
    </row>
    <row r="22" customFormat="false" ht="15" hidden="false" customHeight="true" outlineLevel="0" collapsed="false">
      <c r="A22" s="4" t="str">
        <f aca="false">Vendors!A22</f>
        <v>V021</v>
      </c>
      <c r="B22" s="4" t="str">
        <f aca="false">INDEX(Vendors!$B$2:$B$61,MATCH(A22,Vendors!$A$2:$A$61,0))</f>
        <v>Indus Supplies</v>
      </c>
      <c r="C22" s="4" t="str">
        <f aca="false">INDEX(Vendors!$C$2:$C$61,MATCH(A22,Vendors!$A$2:$A$61,0))</f>
        <v>Raw Materials</v>
      </c>
      <c r="D22" s="4" t="n">
        <f aca="false">COUNTIF(PurchaseOrders!$B$2:$B$3001,A22)</f>
        <v>50</v>
      </c>
      <c r="E22" s="15" t="n">
        <f aca="false">IFERROR(AVERAGEIFS(PurchaseOrders!$K$2:$K$3001,PurchaseOrders!$B$2:$B$3001,A22),0)</f>
        <v>0.32</v>
      </c>
      <c r="F22" s="20" t="n">
        <f aca="false">IFERROR(AVERAGEIFS(PurchaseOrders!$J$2:$J$3001,PurchaseOrders!$B$2:$B$3001,A22),0)</f>
        <v>2.28</v>
      </c>
      <c r="G22" s="15" t="n">
        <f aca="false">IFERROR(AVERAGEIFS(PurchaseOrders!$L$2:$L$3001,PurchaseOrders!$B$2:$B$3001,A22),0)</f>
        <v>0.952447565293194</v>
      </c>
      <c r="H22" s="15" t="n">
        <f aca="false">IFERROR(AVERAGEIFS(PurchaseOrders!$M$2:$M$3001,PurchaseOrders!$B$2:$B$3001,A22),0)</f>
        <v>-0.0229427815445675</v>
      </c>
      <c r="I22" s="15" t="n">
        <f aca="false">IFERROR(SUMIFS(QualityInspections!$D$2:$D$3001,QualityInspections!$G$2:$G$3001,A22)/SUMIFS(QualityInspections!$C$2:$C$3001,QualityInspections!$G$2:$G$3001,A22),0)</f>
        <v>0.0358087567610249</v>
      </c>
      <c r="J22" s="15" t="n">
        <f aca="false">1-E22</f>
        <v>0.68</v>
      </c>
      <c r="K22" s="15" t="n">
        <f aca="false">I22</f>
        <v>0.0358087567610249</v>
      </c>
      <c r="L22" s="15" t="n">
        <f aca="false">MAX(H22,0)</f>
        <v>0</v>
      </c>
      <c r="M22" s="15" t="n">
        <f aca="false">1-G22</f>
        <v>0.0475524347068058</v>
      </c>
      <c r="N22" s="20" t="n">
        <f aca="false">IFERROR((J22-MIN($J$2:$J$61))/(MAX($J$2:$J$61)-MIN($J$2:$J$61))*100,0)</f>
        <v>63.6363636363636</v>
      </c>
      <c r="O22" s="20" t="n">
        <f aca="false">IFERROR((K22-MIN($K$2:$K$61))/(MAX($K$2:$K$61)-MIN($K$2:$K$61))*100,0)</f>
        <v>12.6721058178353</v>
      </c>
      <c r="P22" s="20" t="n">
        <f aca="false">IFERROR((L22-MIN($L$2:$L$61))/(MAX($L$2:$L$61)-MIN($L$2:$L$61))*100,0)</f>
        <v>0</v>
      </c>
      <c r="Q22" s="20" t="n">
        <f aca="false">IFERROR((M22-MIN($M$2:$M$61))/(MAX($M$2:$M$61)-MIN($M$2:$M$61))*100,0)</f>
        <v>30.7883368697424</v>
      </c>
      <c r="R22" s="20" t="n">
        <f aca="false">0.35*N22+0.3*O22+0.2*P22+0.15*Q22</f>
        <v>30.6926095485392</v>
      </c>
      <c r="S22" s="4" t="str">
        <f aca="false">IF(R22&gt;=65,"High",IF(R22&gt;=40,"Medium","Low"))</f>
        <v>Low</v>
      </c>
      <c r="T22" s="4" t="n">
        <f aca="false">RANK(R22,$R$2:$R$61,0)</f>
        <v>39</v>
      </c>
      <c r="U22" s="16" t="n">
        <f aca="false">SUMIFS(PurchaseOrders!$N$2:$N$3001,PurchaseOrders!$B$2:$B$3001,A22)</f>
        <v>11977930.8</v>
      </c>
      <c r="V22" s="4" t="str">
        <f aca="false">IF(R22&gt;=MEDIAN($R$2:$R$61),"High Risk","Low Risk")</f>
        <v>Low Risk</v>
      </c>
      <c r="W22" s="4" t="str">
        <f aca="false">IF(U22&gt;=MEDIAN($U$2:$U$61),"High Spend","Low Spend")</f>
        <v>High Spend</v>
      </c>
      <c r="X22" s="4" t="str">
        <f aca="false">IF(AND(V22="High Risk",W22="High Spend"),"Strategic",IF(AND(V22="High Risk",W22="Low Spend"),"Bottleneck",IF(AND(V22="Low Risk",W22="High Spend"),"Leverage","Non-Critical")))</f>
        <v>Leverage</v>
      </c>
    </row>
    <row r="23" customFormat="false" ht="15" hidden="false" customHeight="true" outlineLevel="0" collapsed="false">
      <c r="A23" s="4" t="str">
        <f aca="false">Vendors!A23</f>
        <v>V022</v>
      </c>
      <c r="B23" s="4" t="str">
        <f aca="false">INDEX(Vendors!$B$2:$B$61,MATCH(A23,Vendors!$A$2:$A$61,0))</f>
        <v>Jyoti Pvt Ltd</v>
      </c>
      <c r="C23" s="4" t="str">
        <f aca="false">INDEX(Vendors!$C$2:$C$61,MATCH(A23,Vendors!$A$2:$A$61,0))</f>
        <v>Raw Materials</v>
      </c>
      <c r="D23" s="4" t="n">
        <f aca="false">COUNTIF(PurchaseOrders!$B$2:$B$3001,A23)</f>
        <v>55</v>
      </c>
      <c r="E23" s="15" t="n">
        <f aca="false">IFERROR(AVERAGEIFS(PurchaseOrders!$K$2:$K$3001,PurchaseOrders!$B$2:$B$3001,A23),0)</f>
        <v>0.672727272727273</v>
      </c>
      <c r="F23" s="20" t="n">
        <f aca="false">IFERROR(AVERAGEIFS(PurchaseOrders!$J$2:$J$3001,PurchaseOrders!$B$2:$B$3001,A23),0)</f>
        <v>-0.545454545454545</v>
      </c>
      <c r="G23" s="15" t="n">
        <f aca="false">IFERROR(AVERAGEIFS(PurchaseOrders!$L$2:$L$3001,PurchaseOrders!$B$2:$B$3001,A23),0)</f>
        <v>0.925951008820306</v>
      </c>
      <c r="H23" s="15" t="n">
        <f aca="false">IFERROR(AVERAGEIFS(PurchaseOrders!$M$2:$M$3001,PurchaseOrders!$B$2:$B$3001,A23),0)</f>
        <v>0.113152768811923</v>
      </c>
      <c r="I23" s="15" t="n">
        <f aca="false">IFERROR(SUMIFS(QualityInspections!$D$2:$D$3001,QualityInspections!$G$2:$G$3001,A23)/SUMIFS(QualityInspections!$C$2:$C$3001,QualityInspections!$G$2:$G$3001,A23),0)</f>
        <v>0.0332813665017285</v>
      </c>
      <c r="J23" s="15" t="n">
        <f aca="false">1-E23</f>
        <v>0.327272727272727</v>
      </c>
      <c r="K23" s="15" t="n">
        <f aca="false">I23</f>
        <v>0.0332813665017285</v>
      </c>
      <c r="L23" s="15" t="n">
        <f aca="false">MAX(H23,0)</f>
        <v>0.113152768811923</v>
      </c>
      <c r="M23" s="15" t="n">
        <f aca="false">1-G23</f>
        <v>0.0740489911796944</v>
      </c>
      <c r="N23" s="20" t="n">
        <f aca="false">IFERROR((J23-MIN($J$2:$J$61))/(MAX($J$2:$J$61)-MIN($J$2:$J$61))*100,0)</f>
        <v>23.5537190082645</v>
      </c>
      <c r="O23" s="20" t="n">
        <f aca="false">IFERROR((K23-MIN($K$2:$K$61))/(MAX($K$2:$K$61)-MIN($K$2:$K$61))*100,0)</f>
        <v>11.495966235843</v>
      </c>
      <c r="P23" s="20" t="n">
        <f aca="false">IFERROR((L23-MIN($L$2:$L$61))/(MAX($L$2:$L$61)-MIN($L$2:$L$61))*100,0)</f>
        <v>100</v>
      </c>
      <c r="Q23" s="20" t="n">
        <f aca="false">IFERROR((M23-MIN($M$2:$M$61))/(MAX($M$2:$M$61)-MIN($M$2:$M$61))*100,0)</f>
        <v>49.6081605646793</v>
      </c>
      <c r="R23" s="20" t="n">
        <f aca="false">0.35*N23+0.3*O23+0.2*P23+0.15*Q23</f>
        <v>39.1338156083474</v>
      </c>
      <c r="S23" s="4" t="str">
        <f aca="false">IF(R23&gt;=65,"High",IF(R23&gt;=40,"Medium","Low"))</f>
        <v>Low</v>
      </c>
      <c r="T23" s="4" t="n">
        <f aca="false">RANK(R23,$R$2:$R$61,0)</f>
        <v>27</v>
      </c>
      <c r="U23" s="16" t="n">
        <f aca="false">SUMIFS(PurchaseOrders!$N$2:$N$3001,PurchaseOrders!$B$2:$B$3001,A23)</f>
        <v>10686048.44</v>
      </c>
      <c r="V23" s="4" t="str">
        <f aca="false">IF(R23&gt;=MEDIAN($R$2:$R$61),"High Risk","Low Risk")</f>
        <v>High Risk</v>
      </c>
      <c r="W23" s="4" t="str">
        <f aca="false">IF(U23&gt;=MEDIAN($U$2:$U$61),"High Spend","Low Spend")</f>
        <v>High Spend</v>
      </c>
      <c r="X23" s="4" t="str">
        <f aca="false">IF(AND(V23="High Risk",W23="High Spend"),"Strategic",IF(AND(V23="High Risk",W23="Low Spend"),"Bottleneck",IF(AND(V23="Low Risk",W23="High Spend"),"Leverage","Non-Critical")))</f>
        <v>Strategic</v>
      </c>
    </row>
    <row r="24" customFormat="false" ht="15" hidden="false" customHeight="true" outlineLevel="0" collapsed="false">
      <c r="A24" s="4" t="str">
        <f aca="false">Vendors!A24</f>
        <v>V023</v>
      </c>
      <c r="B24" s="4" t="str">
        <f aca="false">INDEX(Vendors!$B$2:$B$61,MATCH(A24,Vendors!$A$2:$A$61,0))</f>
        <v>Delta Systems</v>
      </c>
      <c r="C24" s="4" t="str">
        <f aca="false">INDEX(Vendors!$C$2:$C$61,MATCH(A24,Vendors!$A$2:$A$61,0))</f>
        <v>Logistics Services</v>
      </c>
      <c r="D24" s="4" t="n">
        <f aca="false">COUNTIF(PurchaseOrders!$B$2:$B$3001,A24)</f>
        <v>39</v>
      </c>
      <c r="E24" s="15" t="n">
        <f aca="false">IFERROR(AVERAGEIFS(PurchaseOrders!$K$2:$K$3001,PurchaseOrders!$B$2:$B$3001,A24),0)</f>
        <v>0.256410256410256</v>
      </c>
      <c r="F24" s="20" t="n">
        <f aca="false">IFERROR(AVERAGEIFS(PurchaseOrders!$J$2:$J$3001,PurchaseOrders!$B$2:$B$3001,A24),0)</f>
        <v>2.25641025641026</v>
      </c>
      <c r="G24" s="15" t="n">
        <f aca="false">IFERROR(AVERAGEIFS(PurchaseOrders!$L$2:$L$3001,PurchaseOrders!$B$2:$B$3001,A24),0)</f>
        <v>0.936713722668712</v>
      </c>
      <c r="H24" s="15" t="n">
        <f aca="false">IFERROR(AVERAGEIFS(PurchaseOrders!$M$2:$M$3001,PurchaseOrders!$B$2:$B$3001,A24),0)</f>
        <v>-0.00554099985132053</v>
      </c>
      <c r="I24" s="15" t="n">
        <f aca="false">IFERROR(SUMIFS(QualityInspections!$D$2:$D$3001,QualityInspections!$G$2:$G$3001,A24)/SUMIFS(QualityInspections!$C$2:$C$3001,QualityInspections!$G$2:$G$3001,A24),0)</f>
        <v>0.0328767123287671</v>
      </c>
      <c r="J24" s="15" t="n">
        <f aca="false">1-E24</f>
        <v>0.743589743589744</v>
      </c>
      <c r="K24" s="15" t="n">
        <f aca="false">I24</f>
        <v>0.0328767123287671</v>
      </c>
      <c r="L24" s="15" t="n">
        <f aca="false">MAX(H24,0)</f>
        <v>0</v>
      </c>
      <c r="M24" s="15" t="n">
        <f aca="false">1-G24</f>
        <v>0.063286277331288</v>
      </c>
      <c r="N24" s="20" t="n">
        <f aca="false">IFERROR((J24-MIN($J$2:$J$61))/(MAX($J$2:$J$61)-MIN($J$2:$J$61))*100,0)</f>
        <v>70.8624708624709</v>
      </c>
      <c r="O24" s="20" t="n">
        <f aca="false">IFERROR((K24-MIN($K$2:$K$61))/(MAX($K$2:$K$61)-MIN($K$2:$K$61))*100,0)</f>
        <v>11.3076574504911</v>
      </c>
      <c r="P24" s="20" t="n">
        <f aca="false">IFERROR((L24-MIN($L$2:$L$61))/(MAX($L$2:$L$61)-MIN($L$2:$L$61))*100,0)</f>
        <v>0</v>
      </c>
      <c r="Q24" s="20" t="n">
        <f aca="false">IFERROR((M24-MIN($M$2:$M$61))/(MAX($M$2:$M$61)-MIN($M$2:$M$61))*100,0)</f>
        <v>41.9636812787269</v>
      </c>
      <c r="R24" s="20" t="n">
        <f aca="false">0.35*N24+0.3*O24+0.2*P24+0.15*Q24</f>
        <v>34.4887142288212</v>
      </c>
      <c r="S24" s="4" t="str">
        <f aca="false">IF(R24&gt;=65,"High",IF(R24&gt;=40,"Medium","Low"))</f>
        <v>Low</v>
      </c>
      <c r="T24" s="4" t="n">
        <f aca="false">RANK(R24,$R$2:$R$61,0)</f>
        <v>35</v>
      </c>
      <c r="U24" s="16" t="n">
        <f aca="false">SUMIFS(PurchaseOrders!$N$2:$N$3001,PurchaseOrders!$B$2:$B$3001,A24)</f>
        <v>700379.95</v>
      </c>
      <c r="V24" s="4" t="str">
        <f aca="false">IF(R24&gt;=MEDIAN($R$2:$R$61),"High Risk","Low Risk")</f>
        <v>Low Risk</v>
      </c>
      <c r="W24" s="4" t="str">
        <f aca="false">IF(U24&gt;=MEDIAN($U$2:$U$61),"High Spend","Low Spend")</f>
        <v>Low Spend</v>
      </c>
      <c r="X24" s="4" t="str">
        <f aca="false">IF(AND(V24="High Risk",W24="High Spend"),"Strategic",IF(AND(V24="High Risk",W24="Low Spend"),"Bottleneck",IF(AND(V24="Low Risk",W24="High Spend"),"Leverage","Non-Critical")))</f>
        <v>Non-Critical</v>
      </c>
    </row>
    <row r="25" customFormat="false" ht="15" hidden="false" customHeight="true" outlineLevel="0" collapsed="false">
      <c r="A25" s="4" t="str">
        <f aca="false">Vendors!A25</f>
        <v>V024</v>
      </c>
      <c r="B25" s="4" t="str">
        <f aca="false">INDEX(Vendors!$B$2:$B$61,MATCH(A25,Vendors!$A$2:$A$61,0))</f>
        <v>Wave Logistics</v>
      </c>
      <c r="C25" s="4" t="str">
        <f aca="false">INDEX(Vendors!$C$2:$C$61,MATCH(A25,Vendors!$A$2:$A$61,0))</f>
        <v>Electronics</v>
      </c>
      <c r="D25" s="4" t="n">
        <f aca="false">COUNTIF(PurchaseOrders!$B$2:$B$3001,A25)</f>
        <v>47</v>
      </c>
      <c r="E25" s="15" t="n">
        <f aca="false">IFERROR(AVERAGEIFS(PurchaseOrders!$K$2:$K$3001,PurchaseOrders!$B$2:$B$3001,A25),0)</f>
        <v>0.51063829787234</v>
      </c>
      <c r="F25" s="20" t="n">
        <f aca="false">IFERROR(AVERAGEIFS(PurchaseOrders!$J$2:$J$3001,PurchaseOrders!$B$2:$B$3001,A25),0)</f>
        <v>0.0638297872340426</v>
      </c>
      <c r="G25" s="15" t="n">
        <f aca="false">IFERROR(AVERAGEIFS(PurchaseOrders!$L$2:$L$3001,PurchaseOrders!$B$2:$B$3001,A25),0)</f>
        <v>0.975040602979128</v>
      </c>
      <c r="H25" s="15" t="n">
        <f aca="false">IFERROR(AVERAGEIFS(PurchaseOrders!$M$2:$M$3001,PurchaseOrders!$B$2:$B$3001,A25),0)</f>
        <v>-0.017339724586217</v>
      </c>
      <c r="I25" s="15" t="n">
        <f aca="false">IFERROR(SUMIFS(QualityInspections!$D$2:$D$3001,QualityInspections!$G$2:$G$3001,A25)/SUMIFS(QualityInspections!$C$2:$C$3001,QualityInspections!$G$2:$G$3001,A25),0)</f>
        <v>0.0279687129651576</v>
      </c>
      <c r="J25" s="15" t="n">
        <f aca="false">1-E25</f>
        <v>0.48936170212766</v>
      </c>
      <c r="K25" s="15" t="n">
        <f aca="false">I25</f>
        <v>0.0279687129651576</v>
      </c>
      <c r="L25" s="15" t="n">
        <f aca="false">MAX(H25,0)</f>
        <v>0</v>
      </c>
      <c r="M25" s="15" t="n">
        <f aca="false">1-G25</f>
        <v>0.0249593970208718</v>
      </c>
      <c r="N25" s="20" t="n">
        <f aca="false">IFERROR((J25-MIN($J$2:$J$61))/(MAX($J$2:$J$61)-MIN($J$2:$J$61))*100,0)</f>
        <v>41.972920696325</v>
      </c>
      <c r="O25" s="20" t="n">
        <f aca="false">IFERROR((K25-MIN($K$2:$K$61))/(MAX($K$2:$K$61)-MIN($K$2:$K$61))*100,0)</f>
        <v>9.02368397282916</v>
      </c>
      <c r="P25" s="20" t="n">
        <f aca="false">IFERROR((L25-MIN($L$2:$L$61))/(MAX($L$2:$L$61)-MIN($L$2:$L$61))*100,0)</f>
        <v>0</v>
      </c>
      <c r="Q25" s="20" t="n">
        <f aca="false">IFERROR((M25-MIN($M$2:$M$61))/(MAX($M$2:$M$61)-MIN($M$2:$M$61))*100,0)</f>
        <v>14.7410823362181</v>
      </c>
      <c r="R25" s="20" t="n">
        <f aca="false">0.35*N25+0.3*O25+0.2*P25+0.15*Q25</f>
        <v>19.6087897859952</v>
      </c>
      <c r="S25" s="4" t="str">
        <f aca="false">IF(R25&gt;=65,"High",IF(R25&gt;=40,"Medium","Low"))</f>
        <v>Low</v>
      </c>
      <c r="T25" s="4" t="n">
        <f aca="false">RANK(R25,$R$2:$R$61,0)</f>
        <v>54</v>
      </c>
      <c r="U25" s="16" t="n">
        <f aca="false">SUMIFS(PurchaseOrders!$N$2:$N$3001,PurchaseOrders!$B$2:$B$3001,A25)</f>
        <v>6174416.36</v>
      </c>
      <c r="V25" s="4" t="str">
        <f aca="false">IF(R25&gt;=MEDIAN($R$2:$R$61),"High Risk","Low Risk")</f>
        <v>Low Risk</v>
      </c>
      <c r="W25" s="4" t="str">
        <f aca="false">IF(U25&gt;=MEDIAN($U$2:$U$61),"High Spend","Low Spend")</f>
        <v>High Spend</v>
      </c>
      <c r="X25" s="4" t="str">
        <f aca="false">IF(AND(V25="High Risk",W25="High Spend"),"Strategic",IF(AND(V25="High Risk",W25="Low Spend"),"Bottleneck",IF(AND(V25="Low Risk",W25="High Spend"),"Leverage","Non-Critical")))</f>
        <v>Leverage</v>
      </c>
    </row>
    <row r="26" customFormat="false" ht="15" hidden="false" customHeight="true" outlineLevel="0" collapsed="false">
      <c r="A26" s="4" t="str">
        <f aca="false">Vendors!A26</f>
        <v>V025</v>
      </c>
      <c r="B26" s="4" t="str">
        <f aca="false">INDEX(Vendors!$B$2:$B$61,MATCH(A26,Vendors!$A$2:$A$61,0))</f>
        <v>Highland Supplies</v>
      </c>
      <c r="C26" s="4" t="str">
        <f aca="false">INDEX(Vendors!$C$2:$C$61,MATCH(A26,Vendors!$A$2:$A$61,0))</f>
        <v>Raw Materials</v>
      </c>
      <c r="D26" s="4" t="n">
        <f aca="false">COUNTIF(PurchaseOrders!$B$2:$B$3001,A26)</f>
        <v>60</v>
      </c>
      <c r="E26" s="15" t="n">
        <f aca="false">IFERROR(AVERAGEIFS(PurchaseOrders!$K$2:$K$3001,PurchaseOrders!$B$2:$B$3001,A26),0)</f>
        <v>0.1</v>
      </c>
      <c r="F26" s="20" t="n">
        <f aca="false">IFERROR(AVERAGEIFS(PurchaseOrders!$J$2:$J$3001,PurchaseOrders!$B$2:$B$3001,A26),0)</f>
        <v>2.86666666666667</v>
      </c>
      <c r="G26" s="15" t="n">
        <f aca="false">IFERROR(AVERAGEIFS(PurchaseOrders!$L$2:$L$3001,PurchaseOrders!$B$2:$B$3001,A26),0)</f>
        <v>0.980030369294899</v>
      </c>
      <c r="H26" s="15" t="n">
        <f aca="false">IFERROR(AVERAGEIFS(PurchaseOrders!$M$2:$M$3001,PurchaseOrders!$B$2:$B$3001,A26),0)</f>
        <v>0.0404170253467241</v>
      </c>
      <c r="I26" s="15" t="n">
        <f aca="false">IFERROR(SUMIFS(QualityInspections!$D$2:$D$3001,QualityInspections!$G$2:$G$3001,A26)/SUMIFS(QualityInspections!$C$2:$C$3001,QualityInspections!$G$2:$G$3001,A26),0)</f>
        <v>0.16375718659001</v>
      </c>
      <c r="J26" s="15" t="n">
        <f aca="false">1-E26</f>
        <v>0.9</v>
      </c>
      <c r="K26" s="15" t="n">
        <f aca="false">I26</f>
        <v>0.16375718659001</v>
      </c>
      <c r="L26" s="15" t="n">
        <f aca="false">MAX(H26,0)</f>
        <v>0.0404170253467241</v>
      </c>
      <c r="M26" s="15" t="n">
        <f aca="false">1-G26</f>
        <v>0.0199696307051008</v>
      </c>
      <c r="N26" s="20" t="n">
        <f aca="false">IFERROR((J26-MIN($J$2:$J$61))/(MAX($J$2:$J$61)-MIN($J$2:$J$61))*100,0)</f>
        <v>88.6363636363636</v>
      </c>
      <c r="O26" s="20" t="n">
        <f aca="false">IFERROR((K26-MIN($K$2:$K$61))/(MAX($K$2:$K$61)-MIN($K$2:$K$61))*100,0)</f>
        <v>72.2138454530617</v>
      </c>
      <c r="P26" s="20" t="n">
        <f aca="false">IFERROR((L26-MIN($L$2:$L$61))/(MAX($L$2:$L$61)-MIN($L$2:$L$61))*100,0)</f>
        <v>35.7189892665404</v>
      </c>
      <c r="Q26" s="20" t="n">
        <f aca="false">IFERROR((M26-MIN($M$2:$M$61))/(MAX($M$2:$M$61)-MIN($M$2:$M$61))*100,0)</f>
        <v>11.1969794473076</v>
      </c>
      <c r="R26" s="20" t="n">
        <f aca="false">0.35*N26+0.3*O26+0.2*P26+0.15*Q26</f>
        <v>61.51022567905</v>
      </c>
      <c r="S26" s="4" t="str">
        <f aca="false">IF(R26&gt;=65,"High",IF(R26&gt;=40,"Medium","Low"))</f>
        <v>Medium</v>
      </c>
      <c r="T26" s="4" t="n">
        <f aca="false">RANK(R26,$R$2:$R$61,0)</f>
        <v>4</v>
      </c>
      <c r="U26" s="16" t="n">
        <f aca="false">SUMIFS(PurchaseOrders!$N$2:$N$3001,PurchaseOrders!$B$2:$B$3001,A26)</f>
        <v>12134362.76</v>
      </c>
      <c r="V26" s="4" t="str">
        <f aca="false">IF(R26&gt;=MEDIAN($R$2:$R$61),"High Risk","Low Risk")</f>
        <v>High Risk</v>
      </c>
      <c r="W26" s="4" t="str">
        <f aca="false">IF(U26&gt;=MEDIAN($U$2:$U$61),"High Spend","Low Spend")</f>
        <v>High Spend</v>
      </c>
      <c r="X26" s="4" t="str">
        <f aca="false">IF(AND(V26="High Risk",W26="High Spend"),"Strategic",IF(AND(V26="High Risk",W26="Low Spend"),"Bottleneck",IF(AND(V26="Low Risk",W26="High Spend"),"Leverage","Non-Critical")))</f>
        <v>Strategic</v>
      </c>
    </row>
    <row r="27" customFormat="false" ht="15" hidden="false" customHeight="true" outlineLevel="0" collapsed="false">
      <c r="A27" s="4" t="str">
        <f aca="false">Vendors!A27</f>
        <v>V026</v>
      </c>
      <c r="B27" s="4" t="str">
        <f aca="false">INDEX(Vendors!$B$2:$B$61,MATCH(A27,Vendors!$A$2:$A$61,0))</f>
        <v>Legacy Traders</v>
      </c>
      <c r="C27" s="4" t="str">
        <f aca="false">INDEX(Vendors!$C$2:$C$61,MATCH(A27,Vendors!$A$2:$A$61,0))</f>
        <v>Packaging</v>
      </c>
      <c r="D27" s="4" t="n">
        <f aca="false">COUNTIF(PurchaseOrders!$B$2:$B$3001,A27)</f>
        <v>52</v>
      </c>
      <c r="E27" s="15" t="n">
        <f aca="false">IFERROR(AVERAGEIFS(PurchaseOrders!$K$2:$K$3001,PurchaseOrders!$B$2:$B$3001,A27),0)</f>
        <v>0.557692307692308</v>
      </c>
      <c r="F27" s="20" t="n">
        <f aca="false">IFERROR(AVERAGEIFS(PurchaseOrders!$J$2:$J$3001,PurchaseOrders!$B$2:$B$3001,A27),0)</f>
        <v>-0.0384615384615385</v>
      </c>
      <c r="G27" s="15" t="n">
        <f aca="false">IFERROR(AVERAGEIFS(PurchaseOrders!$L$2:$L$3001,PurchaseOrders!$B$2:$B$3001,A27),0)</f>
        <v>0.990578235174568</v>
      </c>
      <c r="H27" s="15" t="n">
        <f aca="false">IFERROR(AVERAGEIFS(PurchaseOrders!$M$2:$M$3001,PurchaseOrders!$B$2:$B$3001,A27),0)</f>
        <v>0.0242671747085675</v>
      </c>
      <c r="I27" s="15" t="n">
        <f aca="false">IFERROR(SUMIFS(QualityInspections!$D$2:$D$3001,QualityInspections!$G$2:$G$3001,A27)/SUMIFS(QualityInspections!$C$2:$C$3001,QualityInspections!$G$2:$G$3001,A27),0)</f>
        <v>0.165215889005542</v>
      </c>
      <c r="J27" s="15" t="n">
        <f aca="false">1-E27</f>
        <v>0.442307692307692</v>
      </c>
      <c r="K27" s="15" t="n">
        <f aca="false">I27</f>
        <v>0.165215889005542</v>
      </c>
      <c r="L27" s="15" t="n">
        <f aca="false">MAX(H27,0)</f>
        <v>0.0242671747085675</v>
      </c>
      <c r="M27" s="15" t="n">
        <f aca="false">1-G27</f>
        <v>0.00942176482543167</v>
      </c>
      <c r="N27" s="20" t="n">
        <f aca="false">IFERROR((J27-MIN($J$2:$J$61))/(MAX($J$2:$J$61)-MIN($J$2:$J$61))*100,0)</f>
        <v>36.6258741258741</v>
      </c>
      <c r="O27" s="20" t="n">
        <f aca="false">IFERROR((K27-MIN($K$2:$K$61))/(MAX($K$2:$K$61)-MIN($K$2:$K$61))*100,0)</f>
        <v>72.8926633138746</v>
      </c>
      <c r="P27" s="20" t="n">
        <f aca="false">IFERROR((L27-MIN($L$2:$L$61))/(MAX($L$2:$L$61)-MIN($L$2:$L$61))*100,0)</f>
        <v>21.4463817044577</v>
      </c>
      <c r="Q27" s="20" t="n">
        <f aca="false">IFERROR((M27-MIN($M$2:$M$61))/(MAX($M$2:$M$61)-MIN($M$2:$M$61))*100,0)</f>
        <v>3.70510115677088</v>
      </c>
      <c r="R27" s="20" t="n">
        <f aca="false">0.35*N27+0.3*O27+0.2*P27+0.15*Q27</f>
        <v>39.5318964526255</v>
      </c>
      <c r="S27" s="4" t="str">
        <f aca="false">IF(R27&gt;=65,"High",IF(R27&gt;=40,"Medium","Low"))</f>
        <v>Low</v>
      </c>
      <c r="T27" s="4" t="n">
        <f aca="false">RANK(R27,$R$2:$R$61,0)</f>
        <v>24</v>
      </c>
      <c r="U27" s="16" t="n">
        <f aca="false">SUMIFS(PurchaseOrders!$N$2:$N$3001,PurchaseOrders!$B$2:$B$3001,A27)</f>
        <v>3147051.2</v>
      </c>
      <c r="V27" s="4" t="str">
        <f aca="false">IF(R27&gt;=MEDIAN($R$2:$R$61),"High Risk","Low Risk")</f>
        <v>High Risk</v>
      </c>
      <c r="W27" s="4" t="str">
        <f aca="false">IF(U27&gt;=MEDIAN($U$2:$U$61),"High Spend","Low Spend")</f>
        <v>Low Spend</v>
      </c>
      <c r="X27" s="4" t="str">
        <f aca="false">IF(AND(V27="High Risk",W27="High Spend"),"Strategic",IF(AND(V27="High Risk",W27="Low Spend"),"Bottleneck",IF(AND(V27="Low Risk",W27="High Spend"),"Leverage","Non-Critical")))</f>
        <v>Bottleneck</v>
      </c>
    </row>
    <row r="28" customFormat="false" ht="15" hidden="false" customHeight="true" outlineLevel="0" collapsed="false">
      <c r="A28" s="4" t="str">
        <f aca="false">Vendors!A28</f>
        <v>V027</v>
      </c>
      <c r="B28" s="4" t="str">
        <f aca="false">INDEX(Vendors!$B$2:$B$61,MATCH(A28,Vendors!$A$2:$A$61,0))</f>
        <v>Sapphire Enterprises</v>
      </c>
      <c r="C28" s="4" t="str">
        <f aca="false">INDEX(Vendors!$C$2:$C$61,MATCH(A28,Vendors!$A$2:$A$61,0))</f>
        <v>Raw Materials</v>
      </c>
      <c r="D28" s="4" t="n">
        <f aca="false">COUNTIF(PurchaseOrders!$B$2:$B$3001,A28)</f>
        <v>42</v>
      </c>
      <c r="E28" s="15" t="n">
        <f aca="false">IFERROR(AVERAGEIFS(PurchaseOrders!$K$2:$K$3001,PurchaseOrders!$B$2:$B$3001,A28),0)</f>
        <v>0.0476190476190476</v>
      </c>
      <c r="F28" s="20" t="n">
        <f aca="false">IFERROR(AVERAGEIFS(PurchaseOrders!$J$2:$J$3001,PurchaseOrders!$B$2:$B$3001,A28),0)</f>
        <v>3.57142857142857</v>
      </c>
      <c r="G28" s="15" t="n">
        <f aca="false">IFERROR(AVERAGEIFS(PurchaseOrders!$L$2:$L$3001,PurchaseOrders!$B$2:$B$3001,A28),0)</f>
        <v>0.984511736432688</v>
      </c>
      <c r="H28" s="15" t="n">
        <f aca="false">IFERROR(AVERAGEIFS(PurchaseOrders!$M$2:$M$3001,PurchaseOrders!$B$2:$B$3001,A28),0)</f>
        <v>0.00332063904885747</v>
      </c>
      <c r="I28" s="15" t="n">
        <f aca="false">IFERROR(SUMIFS(QualityInspections!$D$2:$D$3001,QualityInspections!$G$2:$G$3001,A28)/SUMIFS(QualityInspections!$C$2:$C$3001,QualityInspections!$G$2:$G$3001,A28),0)</f>
        <v>0.0983364636436813</v>
      </c>
      <c r="J28" s="15" t="n">
        <f aca="false">1-E28</f>
        <v>0.952380952380952</v>
      </c>
      <c r="K28" s="15" t="n">
        <f aca="false">I28</f>
        <v>0.0983364636436813</v>
      </c>
      <c r="L28" s="15" t="n">
        <f aca="false">MAX(H28,0)</f>
        <v>0.00332063904885747</v>
      </c>
      <c r="M28" s="15" t="n">
        <f aca="false">1-G28</f>
        <v>0.0154882635673116</v>
      </c>
      <c r="N28" s="20" t="n">
        <f aca="false">IFERROR((J28-MIN($J$2:$J$61))/(MAX($J$2:$J$61)-MIN($J$2:$J$61))*100,0)</f>
        <v>94.5887445887446</v>
      </c>
      <c r="O28" s="20" t="n">
        <f aca="false">IFERROR((K28-MIN($K$2:$K$61))/(MAX($K$2:$K$61)-MIN($K$2:$K$61))*100,0)</f>
        <v>41.7698325204688</v>
      </c>
      <c r="P28" s="20" t="n">
        <f aca="false">IFERROR((L28-MIN($L$2:$L$61))/(MAX($L$2:$L$61)-MIN($L$2:$L$61))*100,0)</f>
        <v>2.93465116560857</v>
      </c>
      <c r="Q28" s="20" t="n">
        <f aca="false">IFERROR((M28-MIN($M$2:$M$61))/(MAX($M$2:$M$61)-MIN($M$2:$M$61))*100,0)</f>
        <v>8.01397944005107</v>
      </c>
      <c r="R28" s="20" t="n">
        <f aca="false">0.35*N28+0.3*O28+0.2*P28+0.15*Q28</f>
        <v>47.4260375113306</v>
      </c>
      <c r="S28" s="4" t="str">
        <f aca="false">IF(R28&gt;=65,"High",IF(R28&gt;=40,"Medium","Low"))</f>
        <v>Medium</v>
      </c>
      <c r="T28" s="4" t="n">
        <f aca="false">RANK(R28,$R$2:$R$61,0)</f>
        <v>12</v>
      </c>
      <c r="U28" s="16" t="n">
        <f aca="false">SUMIFS(PurchaseOrders!$N$2:$N$3001,PurchaseOrders!$B$2:$B$3001,A28)</f>
        <v>5518533.27</v>
      </c>
      <c r="V28" s="4" t="str">
        <f aca="false">IF(R28&gt;=MEDIAN($R$2:$R$61),"High Risk","Low Risk")</f>
        <v>High Risk</v>
      </c>
      <c r="W28" s="4" t="str">
        <f aca="false">IF(U28&gt;=MEDIAN($U$2:$U$61),"High Spend","Low Spend")</f>
        <v>Low Spend</v>
      </c>
      <c r="X28" s="4" t="str">
        <f aca="false">IF(AND(V28="High Risk",W28="High Spend"),"Strategic",IF(AND(V28="High Risk",W28="Low Spend"),"Bottleneck",IF(AND(V28="Low Risk",W28="High Spend"),"Leverage","Non-Critical")))</f>
        <v>Bottleneck</v>
      </c>
    </row>
    <row r="29" customFormat="false" ht="15" hidden="false" customHeight="true" outlineLevel="0" collapsed="false">
      <c r="A29" s="4" t="str">
        <f aca="false">Vendors!A29</f>
        <v>V028</v>
      </c>
      <c r="B29" s="4" t="str">
        <f aca="false">INDEX(Vendors!$B$2:$B$61,MATCH(A29,Vendors!$A$2:$A$61,0))</f>
        <v>Yashaswi Industries</v>
      </c>
      <c r="C29" s="4" t="str">
        <f aca="false">INDEX(Vendors!$C$2:$C$61,MATCH(A29,Vendors!$A$2:$A$61,0))</f>
        <v>Packaging</v>
      </c>
      <c r="D29" s="4" t="n">
        <f aca="false">COUNTIF(PurchaseOrders!$B$2:$B$3001,A29)</f>
        <v>52</v>
      </c>
      <c r="E29" s="15" t="n">
        <f aca="false">IFERROR(AVERAGEIFS(PurchaseOrders!$K$2:$K$3001,PurchaseOrders!$B$2:$B$3001,A29),0)</f>
        <v>0.134615384615385</v>
      </c>
      <c r="F29" s="20" t="n">
        <f aca="false">IFERROR(AVERAGEIFS(PurchaseOrders!$J$2:$J$3001,PurchaseOrders!$B$2:$B$3001,A29),0)</f>
        <v>3.86538461538462</v>
      </c>
      <c r="G29" s="15" t="n">
        <f aca="false">IFERROR(AVERAGEIFS(PurchaseOrders!$L$2:$L$3001,PurchaseOrders!$B$2:$B$3001,A29),0)</f>
        <v>0.927848518537524</v>
      </c>
      <c r="H29" s="15" t="n">
        <f aca="false">IFERROR(AVERAGEIFS(PurchaseOrders!$M$2:$M$3001,PurchaseOrders!$B$2:$B$3001,A29),0)</f>
        <v>0.0538795986622074</v>
      </c>
      <c r="I29" s="15" t="n">
        <f aca="false">IFERROR(SUMIFS(QualityInspections!$D$2:$D$3001,QualityInspections!$G$2:$G$3001,A29)/SUMIFS(QualityInspections!$C$2:$C$3001,QualityInspections!$G$2:$G$3001,A29),0)</f>
        <v>0.0776204205643712</v>
      </c>
      <c r="J29" s="15" t="n">
        <f aca="false">1-E29</f>
        <v>0.865384615384615</v>
      </c>
      <c r="K29" s="15" t="n">
        <f aca="false">I29</f>
        <v>0.0776204205643712</v>
      </c>
      <c r="L29" s="15" t="n">
        <f aca="false">MAX(H29,0)</f>
        <v>0.0538795986622074</v>
      </c>
      <c r="M29" s="15" t="n">
        <f aca="false">1-G29</f>
        <v>0.0721514814624763</v>
      </c>
      <c r="N29" s="20" t="n">
        <f aca="false">IFERROR((J29-MIN($J$2:$J$61))/(MAX($J$2:$J$61)-MIN($J$2:$J$61))*100,0)</f>
        <v>84.7027972027972</v>
      </c>
      <c r="O29" s="20" t="n">
        <f aca="false">IFERROR((K29-MIN($K$2:$K$61))/(MAX($K$2:$K$61)-MIN($K$2:$K$61))*100,0)</f>
        <v>32.1294700326363</v>
      </c>
      <c r="P29" s="20" t="n">
        <f aca="false">IFERROR((L29-MIN($L$2:$L$61))/(MAX($L$2:$L$61)-MIN($L$2:$L$61))*100,0)</f>
        <v>47.6166860324588</v>
      </c>
      <c r="Q29" s="20" t="n">
        <f aca="false">IFERROR((M29-MIN($M$2:$M$61))/(MAX($M$2:$M$61)-MIN($M$2:$M$61))*100,0)</f>
        <v>48.2604081360189</v>
      </c>
      <c r="R29" s="20" t="n">
        <f aca="false">0.35*N29+0.3*O29+0.2*P29+0.15*Q29</f>
        <v>56.0472184576645</v>
      </c>
      <c r="S29" s="4" t="str">
        <f aca="false">IF(R29&gt;=65,"High",IF(R29&gt;=40,"Medium","Low"))</f>
        <v>Medium</v>
      </c>
      <c r="T29" s="4" t="n">
        <f aca="false">RANK(R29,$R$2:$R$61,0)</f>
        <v>7</v>
      </c>
      <c r="U29" s="16" t="n">
        <f aca="false">SUMIFS(PurchaseOrders!$N$2:$N$3001,PurchaseOrders!$B$2:$B$3001,A29)</f>
        <v>1716703.24</v>
      </c>
      <c r="V29" s="4" t="str">
        <f aca="false">IF(R29&gt;=MEDIAN($R$2:$R$61),"High Risk","Low Risk")</f>
        <v>High Risk</v>
      </c>
      <c r="W29" s="4" t="str">
        <f aca="false">IF(U29&gt;=MEDIAN($U$2:$U$61),"High Spend","Low Spend")</f>
        <v>Low Spend</v>
      </c>
      <c r="X29" s="4" t="str">
        <f aca="false">IF(AND(V29="High Risk",W29="High Spend"),"Strategic",IF(AND(V29="High Risk",W29="Low Spend"),"Bottleneck",IF(AND(V29="Low Risk",W29="High Spend"),"Leverage","Non-Critical")))</f>
        <v>Bottleneck</v>
      </c>
    </row>
    <row r="30" customFormat="false" ht="15" hidden="false" customHeight="true" outlineLevel="0" collapsed="false">
      <c r="A30" s="4" t="str">
        <f aca="false">Vendors!A30</f>
        <v>V029</v>
      </c>
      <c r="B30" s="4" t="str">
        <f aca="false">INDEX(Vendors!$B$2:$B$61,MATCH(A30,Vendors!$A$2:$A$61,0))</f>
        <v>Bluepeak Traders</v>
      </c>
      <c r="C30" s="4" t="str">
        <f aca="false">INDEX(Vendors!$C$2:$C$61,MATCH(A30,Vendors!$A$2:$A$61,0))</f>
        <v>Electronics</v>
      </c>
      <c r="D30" s="4" t="n">
        <f aca="false">COUNTIF(PurchaseOrders!$B$2:$B$3001,A30)</f>
        <v>57</v>
      </c>
      <c r="E30" s="15" t="n">
        <f aca="false">IFERROR(AVERAGEIFS(PurchaseOrders!$K$2:$K$3001,PurchaseOrders!$B$2:$B$3001,A30),0)</f>
        <v>0.12280701754386</v>
      </c>
      <c r="F30" s="20" t="n">
        <f aca="false">IFERROR(AVERAGEIFS(PurchaseOrders!$J$2:$J$3001,PurchaseOrders!$B$2:$B$3001,A30),0)</f>
        <v>1.78947368421053</v>
      </c>
      <c r="G30" s="15" t="n">
        <f aca="false">IFERROR(AVERAGEIFS(PurchaseOrders!$L$2:$L$3001,PurchaseOrders!$B$2:$B$3001,A30),0)</f>
        <v>0.961944445704523</v>
      </c>
      <c r="H30" s="15" t="n">
        <f aca="false">IFERROR(AVERAGEIFS(PurchaseOrders!$M$2:$M$3001,PurchaseOrders!$B$2:$B$3001,A30),0)</f>
        <v>0.00685048212526616</v>
      </c>
      <c r="I30" s="15" t="n">
        <f aca="false">IFERROR(SUMIFS(QualityInspections!$D$2:$D$3001,QualityInspections!$G$2:$G$3001,A30)/SUMIFS(QualityInspections!$C$2:$C$3001,QualityInspections!$G$2:$G$3001,A30),0)</f>
        <v>0.0191540303272147</v>
      </c>
      <c r="J30" s="15" t="n">
        <f aca="false">1-E30</f>
        <v>0.87719298245614</v>
      </c>
      <c r="K30" s="15" t="n">
        <f aca="false">I30</f>
        <v>0.0191540303272147</v>
      </c>
      <c r="L30" s="15" t="n">
        <f aca="false">MAX(H30,0)</f>
        <v>0.00685048212526616</v>
      </c>
      <c r="M30" s="15" t="n">
        <f aca="false">1-G30</f>
        <v>0.0380555542954767</v>
      </c>
      <c r="N30" s="20" t="n">
        <f aca="false">IFERROR((J30-MIN($J$2:$J$61))/(MAX($J$2:$J$61)-MIN($J$2:$J$61))*100,0)</f>
        <v>86.0446570972887</v>
      </c>
      <c r="O30" s="20" t="n">
        <f aca="false">IFERROR((K30-MIN($K$2:$K$61))/(MAX($K$2:$K$61)-MIN($K$2:$K$61))*100,0)</f>
        <v>4.92170679892363</v>
      </c>
      <c r="P30" s="20" t="n">
        <f aca="false">IFERROR((L30-MIN($L$2:$L$61))/(MAX($L$2:$L$61)-MIN($L$2:$L$61))*100,0)</f>
        <v>6.05418868419623</v>
      </c>
      <c r="Q30" s="20" t="n">
        <f aca="false">IFERROR((M30-MIN($M$2:$M$61))/(MAX($M$2:$M$61)-MIN($M$2:$M$61))*100,0)</f>
        <v>24.042946570592</v>
      </c>
      <c r="R30" s="20" t="n">
        <f aca="false">0.35*N30+0.3*O30+0.2*P30+0.15*Q30</f>
        <v>36.4094217461562</v>
      </c>
      <c r="S30" s="4" t="str">
        <f aca="false">IF(R30&gt;=65,"High",IF(R30&gt;=40,"Medium","Low"))</f>
        <v>Low</v>
      </c>
      <c r="T30" s="4" t="n">
        <f aca="false">RANK(R30,$R$2:$R$61,0)</f>
        <v>31</v>
      </c>
      <c r="U30" s="16" t="n">
        <f aca="false">SUMIFS(PurchaseOrders!$N$2:$N$3001,PurchaseOrders!$B$2:$B$3001,A30)</f>
        <v>6701787.19</v>
      </c>
      <c r="V30" s="4" t="str">
        <f aca="false">IF(R30&gt;=MEDIAN($R$2:$R$61),"High Risk","Low Risk")</f>
        <v>Low Risk</v>
      </c>
      <c r="W30" s="4" t="str">
        <f aca="false">IF(U30&gt;=MEDIAN($U$2:$U$61),"High Spend","Low Spend")</f>
        <v>High Spend</v>
      </c>
      <c r="X30" s="4" t="str">
        <f aca="false">IF(AND(V30="High Risk",W30="High Spend"),"Strategic",IF(AND(V30="High Risk",W30="Low Spend"),"Bottleneck",IF(AND(V30="Low Risk",W30="High Spend"),"Leverage","Non-Critical")))</f>
        <v>Leverage</v>
      </c>
    </row>
    <row r="31" customFormat="false" ht="15" hidden="false" customHeight="true" outlineLevel="0" collapsed="false">
      <c r="A31" s="4" t="str">
        <f aca="false">Vendors!A31</f>
        <v>V030</v>
      </c>
      <c r="B31" s="4" t="str">
        <f aca="false">INDEX(Vendors!$B$2:$B$61,MATCH(A31,Vendors!$A$2:$A$61,0))</f>
        <v>Legacy Manufacturing</v>
      </c>
      <c r="C31" s="4" t="str">
        <f aca="false">INDEX(Vendors!$C$2:$C$61,MATCH(A31,Vendors!$A$2:$A$61,0))</f>
        <v>Electronics</v>
      </c>
      <c r="D31" s="4" t="n">
        <f aca="false">COUNTIF(PurchaseOrders!$B$2:$B$3001,A31)</f>
        <v>49</v>
      </c>
      <c r="E31" s="15" t="n">
        <f aca="false">IFERROR(AVERAGEIFS(PurchaseOrders!$K$2:$K$3001,PurchaseOrders!$B$2:$B$3001,A31),0)</f>
        <v>0.224489795918367</v>
      </c>
      <c r="F31" s="20" t="n">
        <f aca="false">IFERROR(AVERAGEIFS(PurchaseOrders!$J$2:$J$3001,PurchaseOrders!$B$2:$B$3001,A31),0)</f>
        <v>2.69387755102041</v>
      </c>
      <c r="G31" s="15" t="n">
        <f aca="false">IFERROR(AVERAGEIFS(PurchaseOrders!$L$2:$L$3001,PurchaseOrders!$B$2:$B$3001,A31),0)</f>
        <v>0.988165484614526</v>
      </c>
      <c r="H31" s="15" t="n">
        <f aca="false">IFERROR(AVERAGEIFS(PurchaseOrders!$M$2:$M$3001,PurchaseOrders!$B$2:$B$3001,A31),0)</f>
        <v>0.0190703268495125</v>
      </c>
      <c r="I31" s="15" t="n">
        <f aca="false">IFERROR(SUMIFS(QualityInspections!$D$2:$D$3001,QualityInspections!$G$2:$G$3001,A31)/SUMIFS(QualityInspections!$C$2:$C$3001,QualityInspections!$G$2:$G$3001,A31),0)</f>
        <v>0.0941844819853491</v>
      </c>
      <c r="J31" s="15" t="n">
        <f aca="false">1-E31</f>
        <v>0.775510204081633</v>
      </c>
      <c r="K31" s="15" t="n">
        <f aca="false">I31</f>
        <v>0.0941844819853491</v>
      </c>
      <c r="L31" s="15" t="n">
        <f aca="false">MAX(H31,0)</f>
        <v>0.0190703268495125</v>
      </c>
      <c r="M31" s="15" t="n">
        <f aca="false">1-G31</f>
        <v>0.0118345153854743</v>
      </c>
      <c r="N31" s="20" t="n">
        <f aca="false">IFERROR((J31-MIN($J$2:$J$61))/(MAX($J$2:$J$61)-MIN($J$2:$J$61))*100,0)</f>
        <v>74.4897959183673</v>
      </c>
      <c r="O31" s="20" t="n">
        <f aca="false">IFERROR((K31-MIN($K$2:$K$61))/(MAX($K$2:$K$61)-MIN($K$2:$K$61))*100,0)</f>
        <v>39.8376774232857</v>
      </c>
      <c r="P31" s="20" t="n">
        <f aca="false">IFERROR((L31-MIN($L$2:$L$61))/(MAX($L$2:$L$61)-MIN($L$2:$L$61))*100,0)</f>
        <v>16.8536104328214</v>
      </c>
      <c r="Q31" s="20" t="n">
        <f aca="false">IFERROR((M31-MIN($M$2:$M$61))/(MAX($M$2:$M$61)-MIN($M$2:$M$61))*100,0)</f>
        <v>5.41881592594566</v>
      </c>
      <c r="R31" s="20" t="n">
        <f aca="false">0.35*N31+0.3*O31+0.2*P31+0.15*Q31</f>
        <v>42.2062762738704</v>
      </c>
      <c r="S31" s="4" t="str">
        <f aca="false">IF(R31&gt;=65,"High",IF(R31&gt;=40,"Medium","Low"))</f>
        <v>Medium</v>
      </c>
      <c r="T31" s="4" t="n">
        <f aca="false">RANK(R31,$R$2:$R$61,0)</f>
        <v>21</v>
      </c>
      <c r="U31" s="16" t="n">
        <f aca="false">SUMIFS(PurchaseOrders!$N$2:$N$3001,PurchaseOrders!$B$2:$B$3001,A31)</f>
        <v>19059399.35</v>
      </c>
      <c r="V31" s="4" t="str">
        <f aca="false">IF(R31&gt;=MEDIAN($R$2:$R$61),"High Risk","Low Risk")</f>
        <v>High Risk</v>
      </c>
      <c r="W31" s="4" t="str">
        <f aca="false">IF(U31&gt;=MEDIAN($U$2:$U$61),"High Spend","Low Spend")</f>
        <v>High Spend</v>
      </c>
      <c r="X31" s="4" t="str">
        <f aca="false">IF(AND(V31="High Risk",W31="High Spend"),"Strategic",IF(AND(V31="High Risk",W31="Low Spend"),"Bottleneck",IF(AND(V31="Low Risk",W31="High Spend"),"Leverage","Non-Critical")))</f>
        <v>Strategic</v>
      </c>
    </row>
    <row r="32" customFormat="false" ht="15" hidden="false" customHeight="true" outlineLevel="0" collapsed="false">
      <c r="A32" s="4" t="str">
        <f aca="false">Vendors!A32</f>
        <v>V031</v>
      </c>
      <c r="B32" s="4" t="str">
        <f aca="false">INDEX(Vendors!$B$2:$B$61,MATCH(A32,Vendors!$A$2:$A$61,0))</f>
        <v>United Supplies</v>
      </c>
      <c r="C32" s="4" t="str">
        <f aca="false">INDEX(Vendors!$C$2:$C$61,MATCH(A32,Vendors!$A$2:$A$61,0))</f>
        <v>Electronics</v>
      </c>
      <c r="D32" s="4" t="n">
        <f aca="false">COUNTIF(PurchaseOrders!$B$2:$B$3001,A32)</f>
        <v>49</v>
      </c>
      <c r="E32" s="15" t="n">
        <f aca="false">IFERROR(AVERAGEIFS(PurchaseOrders!$K$2:$K$3001,PurchaseOrders!$B$2:$B$3001,A32),0)</f>
        <v>0.204081632653061</v>
      </c>
      <c r="F32" s="20" t="n">
        <f aca="false">IFERROR(AVERAGEIFS(PurchaseOrders!$J$2:$J$3001,PurchaseOrders!$B$2:$B$3001,A32),0)</f>
        <v>1.48979591836735</v>
      </c>
      <c r="G32" s="15" t="n">
        <f aca="false">IFERROR(AVERAGEIFS(PurchaseOrders!$L$2:$L$3001,PurchaseOrders!$B$2:$B$3001,A32),0)</f>
        <v>0.962608809888782</v>
      </c>
      <c r="H32" s="15" t="n">
        <f aca="false">IFERROR(AVERAGEIFS(PurchaseOrders!$M$2:$M$3001,PurchaseOrders!$B$2:$B$3001,A32),0)</f>
        <v>0.0295240515429314</v>
      </c>
      <c r="I32" s="15" t="n">
        <f aca="false">IFERROR(SUMIFS(QualityInspections!$D$2:$D$3001,QualityInspections!$G$2:$G$3001,A32)/SUMIFS(QualityInspections!$C$2:$C$3001,QualityInspections!$G$2:$G$3001,A32),0)</f>
        <v>0.0341432428140384</v>
      </c>
      <c r="J32" s="15" t="n">
        <f aca="false">1-E32</f>
        <v>0.795918367346939</v>
      </c>
      <c r="K32" s="15" t="n">
        <f aca="false">I32</f>
        <v>0.0341432428140384</v>
      </c>
      <c r="L32" s="15" t="n">
        <f aca="false">MAX(H32,0)</f>
        <v>0.0295240515429314</v>
      </c>
      <c r="M32" s="15" t="n">
        <f aca="false">1-G32</f>
        <v>0.0373911901112185</v>
      </c>
      <c r="N32" s="20" t="n">
        <f aca="false">IFERROR((J32-MIN($J$2:$J$61))/(MAX($J$2:$J$61)-MIN($J$2:$J$61))*100,0)</f>
        <v>76.808905380334</v>
      </c>
      <c r="O32" s="20" t="n">
        <f aca="false">IFERROR((K32-MIN($K$2:$K$61))/(MAX($K$2:$K$61)-MIN($K$2:$K$61))*100,0)</f>
        <v>11.8970466950086</v>
      </c>
      <c r="P32" s="20" t="n">
        <f aca="false">IFERROR((L32-MIN($L$2:$L$61))/(MAX($L$2:$L$61)-MIN($L$2:$L$61))*100,0)</f>
        <v>26.0922042411572</v>
      </c>
      <c r="Q32" s="20" t="n">
        <f aca="false">IFERROR((M32-MIN($M$2:$M$61))/(MAX($M$2:$M$61)-MIN($M$2:$M$61))*100,0)</f>
        <v>23.5710657497856</v>
      </c>
      <c r="R32" s="20" t="n">
        <f aca="false">0.35*N32+0.3*O32+0.2*P32+0.15*Q32</f>
        <v>39.2063316023187</v>
      </c>
      <c r="S32" s="4" t="str">
        <f aca="false">IF(R32&gt;=65,"High",IF(R32&gt;=40,"Medium","Low"))</f>
        <v>Low</v>
      </c>
      <c r="T32" s="4" t="n">
        <f aca="false">RANK(R32,$R$2:$R$61,0)</f>
        <v>25</v>
      </c>
      <c r="U32" s="16" t="n">
        <f aca="false">SUMIFS(PurchaseOrders!$N$2:$N$3001,PurchaseOrders!$B$2:$B$3001,A32)</f>
        <v>8891153.86</v>
      </c>
      <c r="V32" s="4" t="str">
        <f aca="false">IF(R32&gt;=MEDIAN($R$2:$R$61),"High Risk","Low Risk")</f>
        <v>High Risk</v>
      </c>
      <c r="W32" s="4" t="str">
        <f aca="false">IF(U32&gt;=MEDIAN($U$2:$U$61),"High Spend","Low Spend")</f>
        <v>High Spend</v>
      </c>
      <c r="X32" s="4" t="str">
        <f aca="false">IF(AND(V32="High Risk",W32="High Spend"),"Strategic",IF(AND(V32="High Risk",W32="Low Spend"),"Bottleneck",IF(AND(V32="Low Risk",W32="High Spend"),"Leverage","Non-Critical")))</f>
        <v>Strategic</v>
      </c>
    </row>
    <row r="33" customFormat="false" ht="15" hidden="false" customHeight="true" outlineLevel="0" collapsed="false">
      <c r="A33" s="4" t="str">
        <f aca="false">Vendors!A33</f>
        <v>V032</v>
      </c>
      <c r="B33" s="4" t="str">
        <f aca="false">INDEX(Vendors!$B$2:$B$61,MATCH(A33,Vendors!$A$2:$A$61,0))</f>
        <v>Sapphire Systems</v>
      </c>
      <c r="C33" s="4" t="str">
        <f aca="false">INDEX(Vendors!$C$2:$C$61,MATCH(A33,Vendors!$A$2:$A$61,0))</f>
        <v>Packaging</v>
      </c>
      <c r="D33" s="4" t="n">
        <f aca="false">COUNTIF(PurchaseOrders!$B$2:$B$3001,A33)</f>
        <v>64</v>
      </c>
      <c r="E33" s="15" t="n">
        <f aca="false">IFERROR(AVERAGEIFS(PurchaseOrders!$K$2:$K$3001,PurchaseOrders!$B$2:$B$3001,A33),0)</f>
        <v>0.328125</v>
      </c>
      <c r="F33" s="20" t="n">
        <f aca="false">IFERROR(AVERAGEIFS(PurchaseOrders!$J$2:$J$3001,PurchaseOrders!$B$2:$B$3001,A33),0)</f>
        <v>1.796875</v>
      </c>
      <c r="G33" s="15" t="n">
        <f aca="false">IFERROR(AVERAGEIFS(PurchaseOrders!$L$2:$L$3001,PurchaseOrders!$B$2:$B$3001,A33),0)</f>
        <v>0.987413582381212</v>
      </c>
      <c r="H33" s="15" t="n">
        <f aca="false">IFERROR(AVERAGEIFS(PurchaseOrders!$M$2:$M$3001,PurchaseOrders!$B$2:$B$3001,A33),0)</f>
        <v>0.00147318114328145</v>
      </c>
      <c r="I33" s="15" t="n">
        <f aca="false">IFERROR(SUMIFS(QualityInspections!$D$2:$D$3001,QualityInspections!$G$2:$G$3001,A33)/SUMIFS(QualityInspections!$C$2:$C$3001,QualityInspections!$G$2:$G$3001,A33),0)</f>
        <v>0.0987725221305675</v>
      </c>
      <c r="J33" s="15" t="n">
        <f aca="false">1-E33</f>
        <v>0.671875</v>
      </c>
      <c r="K33" s="15" t="n">
        <f aca="false">I33</f>
        <v>0.0987725221305675</v>
      </c>
      <c r="L33" s="15" t="n">
        <f aca="false">MAX(H33,0)</f>
        <v>0.00147318114328145</v>
      </c>
      <c r="M33" s="15" t="n">
        <f aca="false">1-G33</f>
        <v>0.0125864176187883</v>
      </c>
      <c r="N33" s="20" t="n">
        <f aca="false">IFERROR((J33-MIN($J$2:$J$61))/(MAX($J$2:$J$61)-MIN($J$2:$J$61))*100,0)</f>
        <v>62.7130681818182</v>
      </c>
      <c r="O33" s="20" t="n">
        <f aca="false">IFERROR((K33-MIN($K$2:$K$61))/(MAX($K$2:$K$61)-MIN($K$2:$K$61))*100,0)</f>
        <v>41.9727555334875</v>
      </c>
      <c r="P33" s="20" t="n">
        <f aca="false">IFERROR((L33-MIN($L$2:$L$61))/(MAX($L$2:$L$61)-MIN($L$2:$L$61))*100,0)</f>
        <v>1.30193998675375</v>
      </c>
      <c r="Q33" s="20" t="n">
        <f aca="false">IFERROR((M33-MIN($M$2:$M$61))/(MAX($M$2:$M$61)-MIN($M$2:$M$61))*100,0)</f>
        <v>5.95287277523013</v>
      </c>
      <c r="R33" s="20" t="n">
        <f aca="false">0.35*N33+0.3*O33+0.2*P33+0.15*Q33</f>
        <v>35.6947194373179</v>
      </c>
      <c r="S33" s="4" t="str">
        <f aca="false">IF(R33&gt;=65,"High",IF(R33&gt;=40,"Medium","Low"))</f>
        <v>Low</v>
      </c>
      <c r="T33" s="4" t="n">
        <f aca="false">RANK(R33,$R$2:$R$61,0)</f>
        <v>33</v>
      </c>
      <c r="U33" s="16" t="n">
        <f aca="false">SUMIFS(PurchaseOrders!$N$2:$N$3001,PurchaseOrders!$B$2:$B$3001,A33)</f>
        <v>6978714.69</v>
      </c>
      <c r="V33" s="4" t="str">
        <f aca="false">IF(R33&gt;=MEDIAN($R$2:$R$61),"High Risk","Low Risk")</f>
        <v>Low Risk</v>
      </c>
      <c r="W33" s="4" t="str">
        <f aca="false">IF(U33&gt;=MEDIAN($U$2:$U$61),"High Spend","Low Spend")</f>
        <v>High Spend</v>
      </c>
      <c r="X33" s="4" t="str">
        <f aca="false">IF(AND(V33="High Risk",W33="High Spend"),"Strategic",IF(AND(V33="High Risk",W33="Low Spend"),"Bottleneck",IF(AND(V33="Low Risk",W33="High Spend"),"Leverage","Non-Critical")))</f>
        <v>Leverage</v>
      </c>
    </row>
    <row r="34" customFormat="false" ht="15" hidden="false" customHeight="true" outlineLevel="0" collapsed="false">
      <c r="A34" s="4" t="str">
        <f aca="false">Vendors!A34</f>
        <v>V033</v>
      </c>
      <c r="B34" s="4" t="str">
        <f aca="false">INDEX(Vendors!$B$2:$B$61,MATCH(A34,Vendors!$A$2:$A$61,0))</f>
        <v>Unity Pvt Ltd</v>
      </c>
      <c r="C34" s="4" t="str">
        <f aca="false">INDEX(Vendors!$C$2:$C$61,MATCH(A34,Vendors!$A$2:$A$61,0))</f>
        <v>Electronics</v>
      </c>
      <c r="D34" s="4" t="n">
        <f aca="false">COUNTIF(PurchaseOrders!$B$2:$B$3001,A34)</f>
        <v>57</v>
      </c>
      <c r="E34" s="15" t="n">
        <f aca="false">IFERROR(AVERAGEIFS(PurchaseOrders!$K$2:$K$3001,PurchaseOrders!$B$2:$B$3001,A34),0)</f>
        <v>0.508771929824561</v>
      </c>
      <c r="F34" s="20" t="n">
        <f aca="false">IFERROR(AVERAGEIFS(PurchaseOrders!$J$2:$J$3001,PurchaseOrders!$B$2:$B$3001,A34),0)</f>
        <v>0.228070175438596</v>
      </c>
      <c r="G34" s="15" t="n">
        <f aca="false">IFERROR(AVERAGEIFS(PurchaseOrders!$L$2:$L$3001,PurchaseOrders!$B$2:$B$3001,A34),0)</f>
        <v>0.981956143636033</v>
      </c>
      <c r="H34" s="15" t="n">
        <f aca="false">IFERROR(AVERAGEIFS(PurchaseOrders!$M$2:$M$3001,PurchaseOrders!$B$2:$B$3001,A34),0)</f>
        <v>0.0306415382293874</v>
      </c>
      <c r="I34" s="15" t="n">
        <f aca="false">IFERROR(SUMIFS(QualityInspections!$D$2:$D$3001,QualityInspections!$G$2:$G$3001,A34)/SUMIFS(QualityInspections!$C$2:$C$3001,QualityInspections!$G$2:$G$3001,A34),0)</f>
        <v>0.0551960657434968</v>
      </c>
      <c r="J34" s="15" t="n">
        <f aca="false">1-E34</f>
        <v>0.491228070175439</v>
      </c>
      <c r="K34" s="15" t="n">
        <f aca="false">I34</f>
        <v>0.0551960657434968</v>
      </c>
      <c r="L34" s="15" t="n">
        <f aca="false">MAX(H34,0)</f>
        <v>0.0306415382293874</v>
      </c>
      <c r="M34" s="15" t="n">
        <f aca="false">1-G34</f>
        <v>0.0180438563639675</v>
      </c>
      <c r="N34" s="20" t="n">
        <f aca="false">IFERROR((J34-MIN($J$2:$J$61))/(MAX($J$2:$J$61)-MIN($J$2:$J$61))*100,0)</f>
        <v>42.1850079744817</v>
      </c>
      <c r="O34" s="20" t="n">
        <f aca="false">IFERROR((K34-MIN($K$2:$K$61))/(MAX($K$2:$K$61)-MIN($K$2:$K$61))*100,0)</f>
        <v>21.6941321545784</v>
      </c>
      <c r="P34" s="20" t="n">
        <f aca="false">IFERROR((L34-MIN($L$2:$L$61))/(MAX($L$2:$L$61)-MIN($L$2:$L$61))*100,0)</f>
        <v>27.0797953519973</v>
      </c>
      <c r="Q34" s="20" t="n">
        <f aca="false">IFERROR((M34-MIN($M$2:$M$61))/(MAX($M$2:$M$61)-MIN($M$2:$M$61))*100,0)</f>
        <v>9.82915138204768</v>
      </c>
      <c r="R34" s="20" t="n">
        <f aca="false">0.35*N34+0.3*O34+0.2*P34+0.15*Q34</f>
        <v>28.1633242151487</v>
      </c>
      <c r="S34" s="4" t="str">
        <f aca="false">IF(R34&gt;=65,"High",IF(R34&gt;=40,"Medium","Low"))</f>
        <v>Low</v>
      </c>
      <c r="T34" s="4" t="n">
        <f aca="false">RANK(R34,$R$2:$R$61,0)</f>
        <v>43</v>
      </c>
      <c r="U34" s="16" t="n">
        <f aca="false">SUMIFS(PurchaseOrders!$N$2:$N$3001,PurchaseOrders!$B$2:$B$3001,A34)</f>
        <v>13662953.62</v>
      </c>
      <c r="V34" s="4" t="str">
        <f aca="false">IF(R34&gt;=MEDIAN($R$2:$R$61),"High Risk","Low Risk")</f>
        <v>Low Risk</v>
      </c>
      <c r="W34" s="4" t="str">
        <f aca="false">IF(U34&gt;=MEDIAN($U$2:$U$61),"High Spend","Low Spend")</f>
        <v>High Spend</v>
      </c>
      <c r="X34" s="4" t="str">
        <f aca="false">IF(AND(V34="High Risk",W34="High Spend"),"Strategic",IF(AND(V34="High Risk",W34="Low Spend"),"Bottleneck",IF(AND(V34="Low Risk",W34="High Spend"),"Leverage","Non-Critical")))</f>
        <v>Leverage</v>
      </c>
    </row>
    <row r="35" customFormat="false" ht="15" hidden="false" customHeight="true" outlineLevel="0" collapsed="false">
      <c r="A35" s="4" t="str">
        <f aca="false">Vendors!A35</f>
        <v>V034</v>
      </c>
      <c r="B35" s="4" t="str">
        <f aca="false">INDEX(Vendors!$B$2:$B$61,MATCH(A35,Vendors!$A$2:$A$61,0))</f>
        <v>Trident Pvt Ltd</v>
      </c>
      <c r="C35" s="4" t="str">
        <f aca="false">INDEX(Vendors!$C$2:$C$61,MATCH(A35,Vendors!$A$2:$A$61,0))</f>
        <v>Raw Materials</v>
      </c>
      <c r="D35" s="4" t="n">
        <f aca="false">COUNTIF(PurchaseOrders!$B$2:$B$3001,A35)</f>
        <v>43</v>
      </c>
      <c r="E35" s="15" t="n">
        <f aca="false">IFERROR(AVERAGEIFS(PurchaseOrders!$K$2:$K$3001,PurchaseOrders!$B$2:$B$3001,A35),0)</f>
        <v>0.232558139534884</v>
      </c>
      <c r="F35" s="20" t="n">
        <f aca="false">IFERROR(AVERAGEIFS(PurchaseOrders!$J$2:$J$3001,PurchaseOrders!$B$2:$B$3001,A35),0)</f>
        <v>3.23255813953488</v>
      </c>
      <c r="G35" s="15" t="n">
        <f aca="false">IFERROR(AVERAGEIFS(PurchaseOrders!$L$2:$L$3001,PurchaseOrders!$B$2:$B$3001,A35),0)</f>
        <v>0.972463873355261</v>
      </c>
      <c r="H35" s="15" t="n">
        <f aca="false">IFERROR(AVERAGEIFS(PurchaseOrders!$M$2:$M$3001,PurchaseOrders!$B$2:$B$3001,A35),0)</f>
        <v>0.00474444988880924</v>
      </c>
      <c r="I35" s="15" t="n">
        <f aca="false">IFERROR(SUMIFS(QualityInspections!$D$2:$D$3001,QualityInspections!$G$2:$G$3001,A35)/SUMIFS(QualityInspections!$C$2:$C$3001,QualityInspections!$G$2:$G$3001,A35),0)</f>
        <v>0.049607082268978</v>
      </c>
      <c r="J35" s="15" t="n">
        <f aca="false">1-E35</f>
        <v>0.767441860465116</v>
      </c>
      <c r="K35" s="15" t="n">
        <f aca="false">I35</f>
        <v>0.049607082268978</v>
      </c>
      <c r="L35" s="15" t="n">
        <f aca="false">MAX(H35,0)</f>
        <v>0.00474444988880924</v>
      </c>
      <c r="M35" s="15" t="n">
        <f aca="false">1-G35</f>
        <v>0.0275361266447395</v>
      </c>
      <c r="N35" s="20" t="n">
        <f aca="false">IFERROR((J35-MIN($J$2:$J$61))/(MAX($J$2:$J$61)-MIN($J$2:$J$61))*100,0)</f>
        <v>73.5729386892178</v>
      </c>
      <c r="O35" s="20" t="n">
        <f aca="false">IFERROR((K35-MIN($K$2:$K$61))/(MAX($K$2:$K$61)-MIN($K$2:$K$61))*100,0)</f>
        <v>19.093257729545</v>
      </c>
      <c r="P35" s="20" t="n">
        <f aca="false">IFERROR((L35-MIN($L$2:$L$61))/(MAX($L$2:$L$61)-MIN($L$2:$L$61))*100,0)</f>
        <v>4.19295960551813</v>
      </c>
      <c r="Q35" s="20" t="n">
        <f aca="false">IFERROR((M35-MIN($M$2:$M$61))/(MAX($M$2:$M$61)-MIN($M$2:$M$61))*100,0)</f>
        <v>16.5712672238404</v>
      </c>
      <c r="R35" s="20" t="n">
        <f aca="false">0.35*N35+0.3*O35+0.2*P35+0.15*Q35</f>
        <v>34.8027878647694</v>
      </c>
      <c r="S35" s="4" t="str">
        <f aca="false">IF(R35&gt;=65,"High",IF(R35&gt;=40,"Medium","Low"))</f>
        <v>Low</v>
      </c>
      <c r="T35" s="4" t="n">
        <f aca="false">RANK(R35,$R$2:$R$61,0)</f>
        <v>34</v>
      </c>
      <c r="U35" s="16" t="n">
        <f aca="false">SUMIFS(PurchaseOrders!$N$2:$N$3001,PurchaseOrders!$B$2:$B$3001,A35)</f>
        <v>7632298.34</v>
      </c>
      <c r="V35" s="4" t="str">
        <f aca="false">IF(R35&gt;=MEDIAN($R$2:$R$61),"High Risk","Low Risk")</f>
        <v>Low Risk</v>
      </c>
      <c r="W35" s="4" t="str">
        <f aca="false">IF(U35&gt;=MEDIAN($U$2:$U$61),"High Spend","Low Spend")</f>
        <v>High Spend</v>
      </c>
      <c r="X35" s="4" t="str">
        <f aca="false">IF(AND(V35="High Risk",W35="High Spend"),"Strategic",IF(AND(V35="High Risk",W35="Low Spend"),"Bottleneck",IF(AND(V35="Low Risk",W35="High Spend"),"Leverage","Non-Critical")))</f>
        <v>Leverage</v>
      </c>
    </row>
    <row r="36" customFormat="false" ht="15" hidden="false" customHeight="true" outlineLevel="0" collapsed="false">
      <c r="A36" s="4" t="str">
        <f aca="false">Vendors!A36</f>
        <v>V035</v>
      </c>
      <c r="B36" s="4" t="str">
        <f aca="false">INDEX(Vendors!$B$2:$B$61,MATCH(A36,Vendors!$A$2:$A$61,0))</f>
        <v>Delta Enterprises</v>
      </c>
      <c r="C36" s="4" t="str">
        <f aca="false">INDEX(Vendors!$C$2:$C$61,MATCH(A36,Vendors!$A$2:$A$61,0))</f>
        <v>Raw Materials</v>
      </c>
      <c r="D36" s="4" t="n">
        <f aca="false">COUNTIF(PurchaseOrders!$B$2:$B$3001,A36)</f>
        <v>56</v>
      </c>
      <c r="E36" s="15" t="n">
        <f aca="false">IFERROR(AVERAGEIFS(PurchaseOrders!$K$2:$K$3001,PurchaseOrders!$B$2:$B$3001,A36),0)</f>
        <v>0.375</v>
      </c>
      <c r="F36" s="20" t="n">
        <f aca="false">IFERROR(AVERAGEIFS(PurchaseOrders!$J$2:$J$3001,PurchaseOrders!$B$2:$B$3001,A36),0)</f>
        <v>1.875</v>
      </c>
      <c r="G36" s="15" t="n">
        <f aca="false">IFERROR(AVERAGEIFS(PurchaseOrders!$L$2:$L$3001,PurchaseOrders!$B$2:$B$3001,A36),0)</f>
        <v>0.985024902000079</v>
      </c>
      <c r="H36" s="15" t="n">
        <f aca="false">IFERROR(AVERAGEIFS(PurchaseOrders!$M$2:$M$3001,PurchaseOrders!$B$2:$B$3001,A36),0)</f>
        <v>0.00987266752728559</v>
      </c>
      <c r="I36" s="15" t="n">
        <f aca="false">IFERROR(SUMIFS(QualityInspections!$D$2:$D$3001,QualityInspections!$G$2:$G$3001,A36)/SUMIFS(QualityInspections!$C$2:$C$3001,QualityInspections!$G$2:$G$3001,A36),0)</f>
        <v>0.0174101699777666</v>
      </c>
      <c r="J36" s="15" t="n">
        <f aca="false">1-E36</f>
        <v>0.625</v>
      </c>
      <c r="K36" s="15" t="n">
        <f aca="false">I36</f>
        <v>0.0174101699777666</v>
      </c>
      <c r="L36" s="15" t="n">
        <f aca="false">MAX(H36,0)</f>
        <v>0.00987266752728559</v>
      </c>
      <c r="M36" s="15" t="n">
        <f aca="false">1-G36</f>
        <v>0.0149750979999209</v>
      </c>
      <c r="N36" s="20" t="n">
        <f aca="false">IFERROR((J36-MIN($J$2:$J$61))/(MAX($J$2:$J$61)-MIN($J$2:$J$61))*100,0)</f>
        <v>57.3863636363636</v>
      </c>
      <c r="O36" s="20" t="n">
        <f aca="false">IFERROR((K36-MIN($K$2:$K$61))/(MAX($K$2:$K$61)-MIN($K$2:$K$61))*100,0)</f>
        <v>4.1101886034615</v>
      </c>
      <c r="P36" s="20" t="n">
        <f aca="false">IFERROR((L36-MIN($L$2:$L$61))/(MAX($L$2:$L$61)-MIN($L$2:$L$61))*100,0)</f>
        <v>8.72507816728326</v>
      </c>
      <c r="Q36" s="20" t="n">
        <f aca="false">IFERROR((M36-MIN($M$2:$M$61))/(MAX($M$2:$M$61)-MIN($M$2:$M$61))*100,0)</f>
        <v>7.64949111438934</v>
      </c>
      <c r="R36" s="20" t="n">
        <f aca="false">0.35*N36+0.3*O36+0.2*P36+0.15*Q36</f>
        <v>24.2107231543808</v>
      </c>
      <c r="S36" s="4" t="str">
        <f aca="false">IF(R36&gt;=65,"High",IF(R36&gt;=40,"Medium","Low"))</f>
        <v>Low</v>
      </c>
      <c r="T36" s="4" t="n">
        <f aca="false">RANK(R36,$R$2:$R$61,0)</f>
        <v>50</v>
      </c>
      <c r="U36" s="16" t="n">
        <f aca="false">SUMIFS(PurchaseOrders!$N$2:$N$3001,PurchaseOrders!$B$2:$B$3001,A36)</f>
        <v>9591825.4</v>
      </c>
      <c r="V36" s="4" t="str">
        <f aca="false">IF(R36&gt;=MEDIAN($R$2:$R$61),"High Risk","Low Risk")</f>
        <v>Low Risk</v>
      </c>
      <c r="W36" s="4" t="str">
        <f aca="false">IF(U36&gt;=MEDIAN($U$2:$U$61),"High Spend","Low Spend")</f>
        <v>High Spend</v>
      </c>
      <c r="X36" s="4" t="str">
        <f aca="false">IF(AND(V36="High Risk",W36="High Spend"),"Strategic",IF(AND(V36="High Risk",W36="Low Spend"),"Bottleneck",IF(AND(V36="Low Risk",W36="High Spend"),"Leverage","Non-Critical")))</f>
        <v>Leverage</v>
      </c>
    </row>
    <row r="37" customFormat="false" ht="15" hidden="false" customHeight="true" outlineLevel="0" collapsed="false">
      <c r="A37" s="4" t="str">
        <f aca="false">Vendors!A37</f>
        <v>V036</v>
      </c>
      <c r="B37" s="4" t="str">
        <f aca="false">INDEX(Vendors!$B$2:$B$61,MATCH(A37,Vendors!$A$2:$A$61,0))</f>
        <v>Nirvana Traders</v>
      </c>
      <c r="C37" s="4" t="str">
        <f aca="false">INDEX(Vendors!$C$2:$C$61,MATCH(A37,Vendors!$A$2:$A$61,0))</f>
        <v>MRO/Spares</v>
      </c>
      <c r="D37" s="4" t="n">
        <f aca="false">COUNTIF(PurchaseOrders!$B$2:$B$3001,A37)</f>
        <v>37</v>
      </c>
      <c r="E37" s="15" t="n">
        <f aca="false">IFERROR(AVERAGEIFS(PurchaseOrders!$K$2:$K$3001,PurchaseOrders!$B$2:$B$3001,A37),0)</f>
        <v>0</v>
      </c>
      <c r="F37" s="20" t="n">
        <f aca="false">IFERROR(AVERAGEIFS(PurchaseOrders!$J$2:$J$3001,PurchaseOrders!$B$2:$B$3001,A37),0)</f>
        <v>7.18918918918919</v>
      </c>
      <c r="G37" s="15" t="n">
        <f aca="false">IFERROR(AVERAGEIFS(PurchaseOrders!$L$2:$L$3001,PurchaseOrders!$B$2:$B$3001,A37),0)</f>
        <v>0.932064042186204</v>
      </c>
      <c r="H37" s="15" t="n">
        <f aca="false">IFERROR(AVERAGEIFS(PurchaseOrders!$M$2:$M$3001,PurchaseOrders!$B$2:$B$3001,A37),0)</f>
        <v>0.0481915309232889</v>
      </c>
      <c r="I37" s="15" t="n">
        <f aca="false">IFERROR(SUMIFS(QualityInspections!$D$2:$D$3001,QualityInspections!$G$2:$G$3001,A37)/SUMIFS(QualityInspections!$C$2:$C$3001,QualityInspections!$G$2:$G$3001,A37),0)</f>
        <v>0.100508097808828</v>
      </c>
      <c r="J37" s="15" t="n">
        <f aca="false">1-E37</f>
        <v>1</v>
      </c>
      <c r="K37" s="15" t="n">
        <f aca="false">I37</f>
        <v>0.100508097808828</v>
      </c>
      <c r="L37" s="15" t="n">
        <f aca="false">MAX(H37,0)</f>
        <v>0.0481915309232889</v>
      </c>
      <c r="M37" s="15" t="n">
        <f aca="false">1-G37</f>
        <v>0.0679359578137959</v>
      </c>
      <c r="N37" s="20" t="n">
        <f aca="false">IFERROR((J37-MIN($J$2:$J$61))/(MAX($J$2:$J$61)-MIN($J$2:$J$61))*100,0)</f>
        <v>100</v>
      </c>
      <c r="O37" s="20" t="n">
        <f aca="false">IFERROR((K37-MIN($K$2:$K$61))/(MAX($K$2:$K$61)-MIN($K$2:$K$61))*100,0)</f>
        <v>42.780418396489</v>
      </c>
      <c r="P37" s="20" t="n">
        <f aca="false">IFERROR((L37-MIN($L$2:$L$61))/(MAX($L$2:$L$61)-MIN($L$2:$L$61))*100,0)</f>
        <v>42.5897938064516</v>
      </c>
      <c r="Q37" s="20" t="n">
        <f aca="false">IFERROR((M37-MIN($M$2:$M$61))/(MAX($M$2:$M$61)-MIN($M$2:$M$61))*100,0)</f>
        <v>45.2662299328558</v>
      </c>
      <c r="R37" s="20" t="n">
        <f aca="false">0.35*N37+0.3*O37+0.2*P37+0.15*Q37</f>
        <v>63.1420187701654</v>
      </c>
      <c r="S37" s="4" t="str">
        <f aca="false">IF(R37&gt;=65,"High",IF(R37&gt;=40,"Medium","Low"))</f>
        <v>Medium</v>
      </c>
      <c r="T37" s="4" t="n">
        <f aca="false">RANK(R37,$R$2:$R$61,0)</f>
        <v>2</v>
      </c>
      <c r="U37" s="16" t="n">
        <f aca="false">SUMIFS(PurchaseOrders!$N$2:$N$3001,PurchaseOrders!$B$2:$B$3001,A37)</f>
        <v>763614.46</v>
      </c>
      <c r="V37" s="4" t="str">
        <f aca="false">IF(R37&gt;=MEDIAN($R$2:$R$61),"High Risk","Low Risk")</f>
        <v>High Risk</v>
      </c>
      <c r="W37" s="4" t="str">
        <f aca="false">IF(U37&gt;=MEDIAN($U$2:$U$61),"High Spend","Low Spend")</f>
        <v>Low Spend</v>
      </c>
      <c r="X37" s="4" t="str">
        <f aca="false">IF(AND(V37="High Risk",W37="High Spend"),"Strategic",IF(AND(V37="High Risk",W37="Low Spend"),"Bottleneck",IF(AND(V37="Low Risk",W37="High Spend"),"Leverage","Non-Critical")))</f>
        <v>Bottleneck</v>
      </c>
    </row>
    <row r="38" customFormat="false" ht="15" hidden="false" customHeight="true" outlineLevel="0" collapsed="false">
      <c r="A38" s="4" t="str">
        <f aca="false">Vendors!A38</f>
        <v>V037</v>
      </c>
      <c r="B38" s="4" t="str">
        <f aca="false">INDEX(Vendors!$B$2:$B$61,MATCH(A38,Vendors!$A$2:$A$61,0))</f>
        <v>Xenon Traders</v>
      </c>
      <c r="C38" s="4" t="str">
        <f aca="false">INDEX(Vendors!$C$2:$C$61,MATCH(A38,Vendors!$A$2:$A$61,0))</f>
        <v>MRO/Spares</v>
      </c>
      <c r="D38" s="4" t="n">
        <f aca="false">COUNTIF(PurchaseOrders!$B$2:$B$3001,A38)</f>
        <v>51</v>
      </c>
      <c r="E38" s="15" t="n">
        <f aca="false">IFERROR(AVERAGEIFS(PurchaseOrders!$K$2:$K$3001,PurchaseOrders!$B$2:$B$3001,A38),0)</f>
        <v>0.176470588235294</v>
      </c>
      <c r="F38" s="20" t="n">
        <f aca="false">IFERROR(AVERAGEIFS(PurchaseOrders!$J$2:$J$3001,PurchaseOrders!$B$2:$B$3001,A38),0)</f>
        <v>4.52941176470588</v>
      </c>
      <c r="G38" s="15" t="n">
        <f aca="false">IFERROR(AVERAGEIFS(PurchaseOrders!$L$2:$L$3001,PurchaseOrders!$B$2:$B$3001,A38),0)</f>
        <v>0.943237627562321</v>
      </c>
      <c r="H38" s="15" t="n">
        <f aca="false">IFERROR(AVERAGEIFS(PurchaseOrders!$M$2:$M$3001,PurchaseOrders!$B$2:$B$3001,A38),0)</f>
        <v>-0.014642628850232</v>
      </c>
      <c r="I38" s="15" t="n">
        <f aca="false">IFERROR(SUMIFS(QualityInspections!$D$2:$D$3001,QualityInspections!$G$2:$G$3001,A38)/SUMIFS(QualityInspections!$C$2:$C$3001,QualityInspections!$G$2:$G$3001,A38),0)</f>
        <v>0.0488468700759204</v>
      </c>
      <c r="J38" s="15" t="n">
        <f aca="false">1-E38</f>
        <v>0.823529411764706</v>
      </c>
      <c r="K38" s="15" t="n">
        <f aca="false">I38</f>
        <v>0.0488468700759204</v>
      </c>
      <c r="L38" s="15" t="n">
        <f aca="false">MAX(H38,0)</f>
        <v>0</v>
      </c>
      <c r="M38" s="15" t="n">
        <f aca="false">1-G38</f>
        <v>0.0567623724376788</v>
      </c>
      <c r="N38" s="20" t="n">
        <f aca="false">IFERROR((J38-MIN($J$2:$J$61))/(MAX($J$2:$J$61)-MIN($J$2:$J$61))*100,0)</f>
        <v>79.9465240641711</v>
      </c>
      <c r="O38" s="20" t="n">
        <f aca="false">IFERROR((K38-MIN($K$2:$K$61))/(MAX($K$2:$K$61)-MIN($K$2:$K$61))*100,0)</f>
        <v>18.7394874134336</v>
      </c>
      <c r="P38" s="20" t="n">
        <f aca="false">IFERROR((L38-MIN($L$2:$L$61))/(MAX($L$2:$L$61)-MIN($L$2:$L$61))*100,0)</f>
        <v>0</v>
      </c>
      <c r="Q38" s="20" t="n">
        <f aca="false">IFERROR((M38-MIN($M$2:$M$61))/(MAX($M$2:$M$61)-MIN($M$2:$M$61))*100,0)</f>
        <v>37.3299191509618</v>
      </c>
      <c r="R38" s="20" t="n">
        <f aca="false">0.35*N38+0.3*O38+0.2*P38+0.15*Q38</f>
        <v>39.2026175191342</v>
      </c>
      <c r="S38" s="4" t="str">
        <f aca="false">IF(R38&gt;=65,"High",IF(R38&gt;=40,"Medium","Low"))</f>
        <v>Low</v>
      </c>
      <c r="T38" s="4" t="n">
        <f aca="false">RANK(R38,$R$2:$R$61,0)</f>
        <v>26</v>
      </c>
      <c r="U38" s="16" t="n">
        <f aca="false">SUMIFS(PurchaseOrders!$N$2:$N$3001,PurchaseOrders!$B$2:$B$3001,A38)</f>
        <v>2719248.03</v>
      </c>
      <c r="V38" s="4" t="str">
        <f aca="false">IF(R38&gt;=MEDIAN($R$2:$R$61),"High Risk","Low Risk")</f>
        <v>High Risk</v>
      </c>
      <c r="W38" s="4" t="str">
        <f aca="false">IF(U38&gt;=MEDIAN($U$2:$U$61),"High Spend","Low Spend")</f>
        <v>Low Spend</v>
      </c>
      <c r="X38" s="4" t="str">
        <f aca="false">IF(AND(V38="High Risk",W38="High Spend"),"Strategic",IF(AND(V38="High Risk",W38="Low Spend"),"Bottleneck",IF(AND(V38="Low Risk",W38="High Spend"),"Leverage","Non-Critical")))</f>
        <v>Bottleneck</v>
      </c>
    </row>
    <row r="39" customFormat="false" ht="15" hidden="false" customHeight="true" outlineLevel="0" collapsed="false">
      <c r="A39" s="4" t="str">
        <f aca="false">Vendors!A39</f>
        <v>V038</v>
      </c>
      <c r="B39" s="4" t="str">
        <f aca="false">INDEX(Vendors!$B$2:$B$61,MATCH(A39,Vendors!$A$2:$A$61,0))</f>
        <v>Infinity Enterprises</v>
      </c>
      <c r="C39" s="4" t="str">
        <f aca="false">INDEX(Vendors!$C$2:$C$61,MATCH(A39,Vendors!$A$2:$A$61,0))</f>
        <v>Packaging</v>
      </c>
      <c r="D39" s="4" t="n">
        <f aca="false">COUNTIF(PurchaseOrders!$B$2:$B$3001,A39)</f>
        <v>48</v>
      </c>
      <c r="E39" s="15" t="n">
        <f aca="false">IFERROR(AVERAGEIFS(PurchaseOrders!$K$2:$K$3001,PurchaseOrders!$B$2:$B$3001,A39),0)</f>
        <v>0.1875</v>
      </c>
      <c r="F39" s="20" t="n">
        <f aca="false">IFERROR(AVERAGEIFS(PurchaseOrders!$J$2:$J$3001,PurchaseOrders!$B$2:$B$3001,A39),0)</f>
        <v>2.125</v>
      </c>
      <c r="G39" s="15" t="n">
        <f aca="false">IFERROR(AVERAGEIFS(PurchaseOrders!$L$2:$L$3001,PurchaseOrders!$B$2:$B$3001,A39),0)</f>
        <v>0.985126751002257</v>
      </c>
      <c r="H39" s="15" t="n">
        <f aca="false">IFERROR(AVERAGEIFS(PurchaseOrders!$M$2:$M$3001,PurchaseOrders!$B$2:$B$3001,A39),0)</f>
        <v>-0.058277690494894</v>
      </c>
      <c r="I39" s="15" t="n">
        <f aca="false">IFERROR(SUMIFS(QualityInspections!$D$2:$D$3001,QualityInspections!$G$2:$G$3001,A39)/SUMIFS(QualityInspections!$C$2:$C$3001,QualityInspections!$G$2:$G$3001,A39),0)</f>
        <v>0.133901227375432</v>
      </c>
      <c r="J39" s="15" t="n">
        <f aca="false">1-E39</f>
        <v>0.8125</v>
      </c>
      <c r="K39" s="15" t="n">
        <f aca="false">I39</f>
        <v>0.133901227375432</v>
      </c>
      <c r="L39" s="15" t="n">
        <f aca="false">MAX(H39,0)</f>
        <v>0</v>
      </c>
      <c r="M39" s="15" t="n">
        <f aca="false">1-G39</f>
        <v>0.0148732489977426</v>
      </c>
      <c r="N39" s="20" t="n">
        <f aca="false">IFERROR((J39-MIN($J$2:$J$61))/(MAX($J$2:$J$61)-MIN($J$2:$J$61))*100,0)</f>
        <v>78.6931818181818</v>
      </c>
      <c r="O39" s="20" t="n">
        <f aca="false">IFERROR((K39-MIN($K$2:$K$61))/(MAX($K$2:$K$61)-MIN($K$2:$K$61))*100,0)</f>
        <v>58.3201559995033</v>
      </c>
      <c r="P39" s="20" t="n">
        <f aca="false">IFERROR((L39-MIN($L$2:$L$61))/(MAX($L$2:$L$61)-MIN($L$2:$L$61))*100,0)</f>
        <v>0</v>
      </c>
      <c r="Q39" s="20" t="n">
        <f aca="false">IFERROR((M39-MIN($M$2:$M$61))/(MAX($M$2:$M$61)-MIN($M$2:$M$61))*100,0)</f>
        <v>7.57715038337913</v>
      </c>
      <c r="R39" s="20" t="n">
        <f aca="false">0.35*N39+0.3*O39+0.2*P39+0.15*Q39</f>
        <v>46.1752329937215</v>
      </c>
      <c r="S39" s="4" t="str">
        <f aca="false">IF(R39&gt;=65,"High",IF(R39&gt;=40,"Medium","Low"))</f>
        <v>Medium</v>
      </c>
      <c r="T39" s="4" t="n">
        <f aca="false">RANK(R39,$R$2:$R$61,0)</f>
        <v>14</v>
      </c>
      <c r="U39" s="16" t="n">
        <f aca="false">SUMIFS(PurchaseOrders!$N$2:$N$3001,PurchaseOrders!$B$2:$B$3001,A39)</f>
        <v>6073617.6</v>
      </c>
      <c r="V39" s="4" t="str">
        <f aca="false">IF(R39&gt;=MEDIAN($R$2:$R$61),"High Risk","Low Risk")</f>
        <v>High Risk</v>
      </c>
      <c r="W39" s="4" t="str">
        <f aca="false">IF(U39&gt;=MEDIAN($U$2:$U$61),"High Spend","Low Spend")</f>
        <v>Low Spend</v>
      </c>
      <c r="X39" s="4" t="str">
        <f aca="false">IF(AND(V39="High Risk",W39="High Spend"),"Strategic",IF(AND(V39="High Risk",W39="Low Spend"),"Bottleneck",IF(AND(V39="Low Risk",W39="High Spend"),"Leverage","Non-Critical")))</f>
        <v>Bottleneck</v>
      </c>
    </row>
    <row r="40" customFormat="false" ht="15" hidden="false" customHeight="true" outlineLevel="0" collapsed="false">
      <c r="A40" s="4" t="str">
        <f aca="false">Vendors!A40</f>
        <v>V039</v>
      </c>
      <c r="B40" s="4" t="str">
        <f aca="false">INDEX(Vendors!$B$2:$B$61,MATCH(A40,Vendors!$A$2:$A$61,0))</f>
        <v>Quantum Components</v>
      </c>
      <c r="C40" s="4" t="str">
        <f aca="false">INDEX(Vendors!$C$2:$C$61,MATCH(A40,Vendors!$A$2:$A$61,0))</f>
        <v>Raw Materials</v>
      </c>
      <c r="D40" s="4" t="n">
        <f aca="false">COUNTIF(PurchaseOrders!$B$2:$B$3001,A40)</f>
        <v>66</v>
      </c>
      <c r="E40" s="15" t="n">
        <f aca="false">IFERROR(AVERAGEIFS(PurchaseOrders!$K$2:$K$3001,PurchaseOrders!$B$2:$B$3001,A40),0)</f>
        <v>0.454545454545455</v>
      </c>
      <c r="F40" s="20" t="n">
        <f aca="false">IFERROR(AVERAGEIFS(PurchaseOrders!$J$2:$J$3001,PurchaseOrders!$B$2:$B$3001,A40),0)</f>
        <v>1.04545454545455</v>
      </c>
      <c r="G40" s="15" t="n">
        <f aca="false">IFERROR(AVERAGEIFS(PurchaseOrders!$L$2:$L$3001,PurchaseOrders!$B$2:$B$3001,A40),0)</f>
        <v>0.913245934174229</v>
      </c>
      <c r="H40" s="15" t="n">
        <f aca="false">IFERROR(AVERAGEIFS(PurchaseOrders!$M$2:$M$3001,PurchaseOrders!$B$2:$B$3001,A40),0)</f>
        <v>0.0724393446769339</v>
      </c>
      <c r="I40" s="15" t="n">
        <f aca="false">IFERROR(SUMIFS(QualityInspections!$D$2:$D$3001,QualityInspections!$G$2:$G$3001,A40)/SUMIFS(QualityInspections!$C$2:$C$3001,QualityInspections!$G$2:$G$3001,A40),0)</f>
        <v>0.223466474008326</v>
      </c>
      <c r="J40" s="15" t="n">
        <f aca="false">1-E40</f>
        <v>0.545454545454545</v>
      </c>
      <c r="K40" s="15" t="n">
        <f aca="false">I40</f>
        <v>0.223466474008326</v>
      </c>
      <c r="L40" s="15" t="n">
        <f aca="false">MAX(H40,0)</f>
        <v>0.0724393446769339</v>
      </c>
      <c r="M40" s="15" t="n">
        <f aca="false">1-G40</f>
        <v>0.0867540658257706</v>
      </c>
      <c r="N40" s="20" t="n">
        <f aca="false">IFERROR((J40-MIN($J$2:$J$61))/(MAX($J$2:$J$61)-MIN($J$2:$J$61))*100,0)</f>
        <v>48.3471074380165</v>
      </c>
      <c r="O40" s="20" t="n">
        <f aca="false">IFERROR((K40-MIN($K$2:$K$61))/(MAX($K$2:$K$61)-MIN($K$2:$K$61))*100,0)</f>
        <v>100</v>
      </c>
      <c r="P40" s="20" t="n">
        <f aca="false">IFERROR((L40-MIN($L$2:$L$61))/(MAX($L$2:$L$61)-MIN($L$2:$L$61))*100,0)</f>
        <v>64.0190650547306</v>
      </c>
      <c r="Q40" s="20" t="n">
        <f aca="false">IFERROR((M40-MIN($M$2:$M$61))/(MAX($M$2:$M$61)-MIN($M$2:$M$61))*100,0)</f>
        <v>58.6322488500693</v>
      </c>
      <c r="R40" s="20" t="n">
        <f aca="false">0.35*N40+0.3*O40+0.2*P40+0.15*Q40</f>
        <v>68.5201379417623</v>
      </c>
      <c r="S40" s="4" t="str">
        <f aca="false">IF(R40&gt;=65,"High",IF(R40&gt;=40,"Medium","Low"))</f>
        <v>High</v>
      </c>
      <c r="T40" s="4" t="n">
        <f aca="false">RANK(R40,$R$2:$R$61,0)</f>
        <v>1</v>
      </c>
      <c r="U40" s="16" t="n">
        <f aca="false">SUMIFS(PurchaseOrders!$N$2:$N$3001,PurchaseOrders!$B$2:$B$3001,A40)</f>
        <v>12830937.21</v>
      </c>
      <c r="V40" s="4" t="str">
        <f aca="false">IF(R40&gt;=MEDIAN($R$2:$R$61),"High Risk","Low Risk")</f>
        <v>High Risk</v>
      </c>
      <c r="W40" s="4" t="str">
        <f aca="false">IF(U40&gt;=MEDIAN($U$2:$U$61),"High Spend","Low Spend")</f>
        <v>High Spend</v>
      </c>
      <c r="X40" s="4" t="str">
        <f aca="false">IF(AND(V40="High Risk",W40="High Spend"),"Strategic",IF(AND(V40="High Risk",W40="Low Spend"),"Bottleneck",IF(AND(V40="Low Risk",W40="High Spend"),"Leverage","Non-Critical")))</f>
        <v>Strategic</v>
      </c>
    </row>
    <row r="41" customFormat="false" ht="15" hidden="false" customHeight="true" outlineLevel="0" collapsed="false">
      <c r="A41" s="4" t="str">
        <f aca="false">Vendors!A41</f>
        <v>V040</v>
      </c>
      <c r="B41" s="4" t="str">
        <f aca="false">INDEX(Vendors!$B$2:$B$61,MATCH(A41,Vendors!$A$2:$A$61,0))</f>
        <v>Continental Manufacturing</v>
      </c>
      <c r="C41" s="4" t="str">
        <f aca="false">INDEX(Vendors!$C$2:$C$61,MATCH(A41,Vendors!$A$2:$A$61,0))</f>
        <v>MRO/Spares</v>
      </c>
      <c r="D41" s="4" t="n">
        <f aca="false">COUNTIF(PurchaseOrders!$B$2:$B$3001,A41)</f>
        <v>53</v>
      </c>
      <c r="E41" s="15" t="n">
        <f aca="false">IFERROR(AVERAGEIFS(PurchaseOrders!$K$2:$K$3001,PurchaseOrders!$B$2:$B$3001,A41),0)</f>
        <v>0.792452830188679</v>
      </c>
      <c r="F41" s="20" t="n">
        <f aca="false">IFERROR(AVERAGEIFS(PurchaseOrders!$J$2:$J$3001,PurchaseOrders!$B$2:$B$3001,A41),0)</f>
        <v>-0.584905660377359</v>
      </c>
      <c r="G41" s="15" t="n">
        <f aca="false">IFERROR(AVERAGEIFS(PurchaseOrders!$L$2:$L$3001,PurchaseOrders!$B$2:$B$3001,A41),0)</f>
        <v>0.97629404232973</v>
      </c>
      <c r="H41" s="15" t="n">
        <f aca="false">IFERROR(AVERAGEIFS(PurchaseOrders!$M$2:$M$3001,PurchaseOrders!$B$2:$B$3001,A41),0)</f>
        <v>0.104502054080353</v>
      </c>
      <c r="I41" s="15" t="n">
        <f aca="false">IFERROR(SUMIFS(QualityInspections!$D$2:$D$3001,QualityInspections!$G$2:$G$3001,A41)/SUMIFS(QualityInspections!$C$2:$C$3001,QualityInspections!$G$2:$G$3001,A41),0)</f>
        <v>0.0103753788761949</v>
      </c>
      <c r="J41" s="15" t="n">
        <f aca="false">1-E41</f>
        <v>0.207547169811321</v>
      </c>
      <c r="K41" s="15" t="n">
        <f aca="false">I41</f>
        <v>0.0103753788761949</v>
      </c>
      <c r="L41" s="15" t="n">
        <f aca="false">MAX(H41,0)</f>
        <v>0.104502054080353</v>
      </c>
      <c r="M41" s="15" t="n">
        <f aca="false">1-G41</f>
        <v>0.0237059576702697</v>
      </c>
      <c r="N41" s="20" t="n">
        <f aca="false">IFERROR((J41-MIN($J$2:$J$61))/(MAX($J$2:$J$61)-MIN($J$2:$J$61))*100,0)</f>
        <v>9.94854202401372</v>
      </c>
      <c r="O41" s="20" t="n">
        <f aca="false">IFERROR((K41-MIN($K$2:$K$61))/(MAX($K$2:$K$61)-MIN($K$2:$K$61))*100,0)</f>
        <v>0.836497001947974</v>
      </c>
      <c r="P41" s="20" t="n">
        <f aca="false">IFERROR((L41-MIN($L$2:$L$61))/(MAX($L$2:$L$61)-MIN($L$2:$L$61))*100,0)</f>
        <v>92.3548360129403</v>
      </c>
      <c r="Q41" s="20" t="n">
        <f aca="false">IFERROR((M41-MIN($M$2:$M$61))/(MAX($M$2:$M$61)-MIN($M$2:$M$61))*100,0)</f>
        <v>13.8507965507892</v>
      </c>
      <c r="R41" s="20" t="n">
        <f aca="false">0.35*N41+0.3*O41+0.2*P41+0.15*Q41</f>
        <v>24.2815254941956</v>
      </c>
      <c r="S41" s="4" t="str">
        <f aca="false">IF(R41&gt;=65,"High",IF(R41&gt;=40,"Medium","Low"))</f>
        <v>Low</v>
      </c>
      <c r="T41" s="4" t="n">
        <f aca="false">RANK(R41,$R$2:$R$61,0)</f>
        <v>49</v>
      </c>
      <c r="U41" s="16" t="n">
        <f aca="false">SUMIFS(PurchaseOrders!$N$2:$N$3001,PurchaseOrders!$B$2:$B$3001,A41)</f>
        <v>2040494.87</v>
      </c>
      <c r="V41" s="4" t="str">
        <f aca="false">IF(R41&gt;=MEDIAN($R$2:$R$61),"High Risk","Low Risk")</f>
        <v>Low Risk</v>
      </c>
      <c r="W41" s="4" t="str">
        <f aca="false">IF(U41&gt;=MEDIAN($U$2:$U$61),"High Spend","Low Spend")</f>
        <v>Low Spend</v>
      </c>
      <c r="X41" s="4" t="str">
        <f aca="false">IF(AND(V41="High Risk",W41="High Spend"),"Strategic",IF(AND(V41="High Risk",W41="Low Spend"),"Bottleneck",IF(AND(V41="Low Risk",W41="High Spend"),"Leverage","Non-Critical")))</f>
        <v>Non-Critical</v>
      </c>
    </row>
    <row r="42" customFormat="false" ht="15" hidden="false" customHeight="true" outlineLevel="0" collapsed="false">
      <c r="A42" s="4" t="str">
        <f aca="false">Vendors!A42</f>
        <v>V041</v>
      </c>
      <c r="B42" s="4" t="str">
        <f aca="false">INDEX(Vendors!$B$2:$B$61,MATCH(A42,Vendors!$A$2:$A$61,0))</f>
        <v>Vantage Enterprises</v>
      </c>
      <c r="C42" s="4" t="str">
        <f aca="false">INDEX(Vendors!$C$2:$C$61,MATCH(A42,Vendors!$A$2:$A$61,0))</f>
        <v>Logistics Services</v>
      </c>
      <c r="D42" s="4" t="n">
        <f aca="false">COUNTIF(PurchaseOrders!$B$2:$B$3001,A42)</f>
        <v>51</v>
      </c>
      <c r="E42" s="15" t="n">
        <f aca="false">IFERROR(AVERAGEIFS(PurchaseOrders!$K$2:$K$3001,PurchaseOrders!$B$2:$B$3001,A42),0)</f>
        <v>0.0588235294117647</v>
      </c>
      <c r="F42" s="20" t="n">
        <f aca="false">IFERROR(AVERAGEIFS(PurchaseOrders!$J$2:$J$3001,PurchaseOrders!$B$2:$B$3001,A42),0)</f>
        <v>4.6078431372549</v>
      </c>
      <c r="G42" s="15" t="n">
        <f aca="false">IFERROR(AVERAGEIFS(PurchaseOrders!$L$2:$L$3001,PurchaseOrders!$B$2:$B$3001,A42),0)</f>
        <v>0.880239990251828</v>
      </c>
      <c r="H42" s="15" t="n">
        <f aca="false">IFERROR(AVERAGEIFS(PurchaseOrders!$M$2:$M$3001,PurchaseOrders!$B$2:$B$3001,A42),0)</f>
        <v>0.00766897555929072</v>
      </c>
      <c r="I42" s="15" t="n">
        <f aca="false">IFERROR(SUMIFS(QualityInspections!$D$2:$D$3001,QualityInspections!$G$2:$G$3001,A42)/SUMIFS(QualityInspections!$C$2:$C$3001,QualityInspections!$G$2:$G$3001,A42),0)</f>
        <v>0.0702947845804989</v>
      </c>
      <c r="J42" s="15" t="n">
        <f aca="false">1-E42</f>
        <v>0.941176470588235</v>
      </c>
      <c r="K42" s="15" t="n">
        <f aca="false">I42</f>
        <v>0.0702947845804989</v>
      </c>
      <c r="L42" s="15" t="n">
        <f aca="false">MAX(H42,0)</f>
        <v>0.00766897555929072</v>
      </c>
      <c r="M42" s="15" t="n">
        <f aca="false">1-G42</f>
        <v>0.119760009748172</v>
      </c>
      <c r="N42" s="20" t="n">
        <f aca="false">IFERROR((J42-MIN($J$2:$J$61))/(MAX($J$2:$J$61)-MIN($J$2:$J$61))*100,0)</f>
        <v>93.3155080213904</v>
      </c>
      <c r="O42" s="20" t="n">
        <f aca="false">IFERROR((K42-MIN($K$2:$K$61))/(MAX($K$2:$K$61)-MIN($K$2:$K$61))*100,0)</f>
        <v>28.7204316333596</v>
      </c>
      <c r="P42" s="20" t="n">
        <f aca="false">IFERROR((L42-MIN($L$2:$L$61))/(MAX($L$2:$L$61)-MIN($L$2:$L$61))*100,0)</f>
        <v>6.77754123015559</v>
      </c>
      <c r="Q42" s="20" t="n">
        <f aca="false">IFERROR((M42-MIN($M$2:$M$61))/(MAX($M$2:$M$61)-MIN($M$2:$M$61))*100,0)</f>
        <v>82.0755233050029</v>
      </c>
      <c r="R42" s="20" t="n">
        <f aca="false">0.35*N42+0.3*O42+0.2*P42+0.15*Q42</f>
        <v>54.943394039276</v>
      </c>
      <c r="S42" s="4" t="str">
        <f aca="false">IF(R42&gt;=65,"High",IF(R42&gt;=40,"Medium","Low"))</f>
        <v>Medium</v>
      </c>
      <c r="T42" s="4" t="n">
        <f aca="false">RANK(R42,$R$2:$R$61,0)</f>
        <v>8</v>
      </c>
      <c r="U42" s="16" t="n">
        <f aca="false">SUMIFS(PurchaseOrders!$N$2:$N$3001,PurchaseOrders!$B$2:$B$3001,A42)</f>
        <v>324242.23</v>
      </c>
      <c r="V42" s="4" t="str">
        <f aca="false">IF(R42&gt;=MEDIAN($R$2:$R$61),"High Risk","Low Risk")</f>
        <v>High Risk</v>
      </c>
      <c r="W42" s="4" t="str">
        <f aca="false">IF(U42&gt;=MEDIAN($U$2:$U$61),"High Spend","Low Spend")</f>
        <v>Low Spend</v>
      </c>
      <c r="X42" s="4" t="str">
        <f aca="false">IF(AND(V42="High Risk",W42="High Spend"),"Strategic",IF(AND(V42="High Risk",W42="Low Spend"),"Bottleneck",IF(AND(V42="Low Risk",W42="High Spend"),"Leverage","Non-Critical")))</f>
        <v>Bottleneck</v>
      </c>
    </row>
    <row r="43" customFormat="false" ht="15" hidden="false" customHeight="true" outlineLevel="0" collapsed="false">
      <c r="A43" s="4" t="str">
        <f aca="false">Vendors!A43</f>
        <v>V042</v>
      </c>
      <c r="B43" s="4" t="str">
        <f aca="false">INDEX(Vendors!$B$2:$B$61,MATCH(A43,Vendors!$A$2:$A$61,0))</f>
        <v>Indus Logistics</v>
      </c>
      <c r="C43" s="4" t="str">
        <f aca="false">INDEX(Vendors!$C$2:$C$61,MATCH(A43,Vendors!$A$2:$A$61,0))</f>
        <v>Logistics Services</v>
      </c>
      <c r="D43" s="4" t="n">
        <f aca="false">COUNTIF(PurchaseOrders!$B$2:$B$3001,A43)</f>
        <v>64</v>
      </c>
      <c r="E43" s="15" t="n">
        <f aca="false">IFERROR(AVERAGEIFS(PurchaseOrders!$K$2:$K$3001,PurchaseOrders!$B$2:$B$3001,A43),0)</f>
        <v>0.109375</v>
      </c>
      <c r="F43" s="20" t="n">
        <f aca="false">IFERROR(AVERAGEIFS(PurchaseOrders!$J$2:$J$3001,PurchaseOrders!$B$2:$B$3001,A43),0)</f>
        <v>2.953125</v>
      </c>
      <c r="G43" s="15" t="n">
        <f aca="false">IFERROR(AVERAGEIFS(PurchaseOrders!$L$2:$L$3001,PurchaseOrders!$B$2:$B$3001,A43),0)</f>
        <v>0.995794672035481</v>
      </c>
      <c r="H43" s="15" t="n">
        <f aca="false">IFERROR(AVERAGEIFS(PurchaseOrders!$M$2:$M$3001,PurchaseOrders!$B$2:$B$3001,A43),0)</f>
        <v>-0.04221557682084</v>
      </c>
      <c r="I43" s="15" t="n">
        <f aca="false">IFERROR(SUMIFS(QualityInspections!$D$2:$D$3001,QualityInspections!$G$2:$G$3001,A43)/SUMIFS(QualityInspections!$C$2:$C$3001,QualityInspections!$G$2:$G$3001,A43),0)</f>
        <v>0.104477611940299</v>
      </c>
      <c r="J43" s="15" t="n">
        <f aca="false">1-E43</f>
        <v>0.890625</v>
      </c>
      <c r="K43" s="15" t="n">
        <f aca="false">I43</f>
        <v>0.104477611940299</v>
      </c>
      <c r="L43" s="15" t="n">
        <f aca="false">MAX(H43,0)</f>
        <v>0</v>
      </c>
      <c r="M43" s="15" t="n">
        <f aca="false">1-G43</f>
        <v>0.00420532796451911</v>
      </c>
      <c r="N43" s="20" t="n">
        <f aca="false">IFERROR((J43-MIN($J$2:$J$61))/(MAX($J$2:$J$61)-MIN($J$2:$J$61))*100,0)</f>
        <v>87.5710227272727</v>
      </c>
      <c r="O43" s="20" t="n">
        <f aca="false">IFERROR((K43-MIN($K$2:$K$61))/(MAX($K$2:$K$61)-MIN($K$2:$K$61))*100,0)</f>
        <v>44.627660892628</v>
      </c>
      <c r="P43" s="20" t="n">
        <f aca="false">IFERROR((L43-MIN($L$2:$L$61))/(MAX($L$2:$L$61)-MIN($L$2:$L$61))*100,0)</f>
        <v>0</v>
      </c>
      <c r="Q43" s="20" t="n">
        <f aca="false">IFERROR((M43-MIN($M$2:$M$61))/(MAX($M$2:$M$61)-MIN($M$2:$M$61))*100,0)</f>
        <v>0</v>
      </c>
      <c r="R43" s="20" t="n">
        <f aca="false">0.35*N43+0.3*O43+0.2*P43+0.15*Q43</f>
        <v>44.0381562223339</v>
      </c>
      <c r="S43" s="4" t="str">
        <f aca="false">IF(R43&gt;=65,"High",IF(R43&gt;=40,"Medium","Low"))</f>
        <v>Medium</v>
      </c>
      <c r="T43" s="4" t="n">
        <f aca="false">RANK(R43,$R$2:$R$61,0)</f>
        <v>16</v>
      </c>
      <c r="U43" s="16" t="n">
        <f aca="false">SUMIFS(PurchaseOrders!$N$2:$N$3001,PurchaseOrders!$B$2:$B$3001,A43)</f>
        <v>1087084.88</v>
      </c>
      <c r="V43" s="4" t="str">
        <f aca="false">IF(R43&gt;=MEDIAN($R$2:$R$61),"High Risk","Low Risk")</f>
        <v>High Risk</v>
      </c>
      <c r="W43" s="4" t="str">
        <f aca="false">IF(U43&gt;=MEDIAN($U$2:$U$61),"High Spend","Low Spend")</f>
        <v>Low Spend</v>
      </c>
      <c r="X43" s="4" t="str">
        <f aca="false">IF(AND(V43="High Risk",W43="High Spend"),"Strategic",IF(AND(V43="High Risk",W43="Low Spend"),"Bottleneck",IF(AND(V43="Low Risk",W43="High Spend"),"Leverage","Non-Critical")))</f>
        <v>Bottleneck</v>
      </c>
    </row>
    <row r="44" customFormat="false" ht="15" hidden="false" customHeight="true" outlineLevel="0" collapsed="false">
      <c r="A44" s="4" t="str">
        <f aca="false">Vendors!A44</f>
        <v>V043</v>
      </c>
      <c r="B44" s="4" t="str">
        <f aca="false">INDEX(Vendors!$B$2:$B$61,MATCH(A44,Vendors!$A$2:$A$61,0))</f>
        <v>Frontier Supplies</v>
      </c>
      <c r="C44" s="4" t="str">
        <f aca="false">INDEX(Vendors!$C$2:$C$61,MATCH(A44,Vendors!$A$2:$A$61,0))</f>
        <v>Electronics</v>
      </c>
      <c r="D44" s="4" t="n">
        <f aca="false">COUNTIF(PurchaseOrders!$B$2:$B$3001,A44)</f>
        <v>52</v>
      </c>
      <c r="E44" s="15" t="n">
        <f aca="false">IFERROR(AVERAGEIFS(PurchaseOrders!$K$2:$K$3001,PurchaseOrders!$B$2:$B$3001,A44),0)</f>
        <v>0.288461538461538</v>
      </c>
      <c r="F44" s="20" t="n">
        <f aca="false">IFERROR(AVERAGEIFS(PurchaseOrders!$J$2:$J$3001,PurchaseOrders!$B$2:$B$3001,A44),0)</f>
        <v>2</v>
      </c>
      <c r="G44" s="15" t="n">
        <f aca="false">IFERROR(AVERAGEIFS(PurchaseOrders!$L$2:$L$3001,PurchaseOrders!$B$2:$B$3001,A44),0)</f>
        <v>0.97593809361831</v>
      </c>
      <c r="H44" s="15" t="n">
        <f aca="false">IFERROR(AVERAGEIFS(PurchaseOrders!$M$2:$M$3001,PurchaseOrders!$B$2:$B$3001,A44),0)</f>
        <v>0.00847263803468187</v>
      </c>
      <c r="I44" s="15" t="n">
        <f aca="false">IFERROR(SUMIFS(QualityInspections!$D$2:$D$3001,QualityInspections!$G$2:$G$3001,A44)/SUMIFS(QualityInspections!$C$2:$C$3001,QualityInspections!$G$2:$G$3001,A44),0)</f>
        <v>0.0872023299640226</v>
      </c>
      <c r="J44" s="15" t="n">
        <f aca="false">1-E44</f>
        <v>0.711538461538462</v>
      </c>
      <c r="K44" s="15" t="n">
        <f aca="false">I44</f>
        <v>0.0872023299640226</v>
      </c>
      <c r="L44" s="15" t="n">
        <f aca="false">MAX(H44,0)</f>
        <v>0.00847263803468187</v>
      </c>
      <c r="M44" s="15" t="n">
        <f aca="false">1-G44</f>
        <v>0.0240619063816899</v>
      </c>
      <c r="N44" s="20" t="n">
        <f aca="false">IFERROR((J44-MIN($J$2:$J$61))/(MAX($J$2:$J$61)-MIN($J$2:$J$61))*100,0)</f>
        <v>67.2202797202797</v>
      </c>
      <c r="O44" s="20" t="n">
        <f aca="false">IFERROR((K44-MIN($K$2:$K$61))/(MAX($K$2:$K$61)-MIN($K$2:$K$61))*100,0)</f>
        <v>36.5884818035891</v>
      </c>
      <c r="P44" s="20" t="n">
        <f aca="false">IFERROR((L44-MIN($L$2:$L$61))/(MAX($L$2:$L$61)-MIN($L$2:$L$61))*100,0)</f>
        <v>7.48778675382189</v>
      </c>
      <c r="Q44" s="20" t="n">
        <f aca="false">IFERROR((M44-MIN($M$2:$M$61))/(MAX($M$2:$M$61)-MIN($M$2:$M$61))*100,0)</f>
        <v>14.1036177806053</v>
      </c>
      <c r="R44" s="20" t="n">
        <f aca="false">0.35*N44+0.3*O44+0.2*P44+0.15*Q44</f>
        <v>38.1167424610298</v>
      </c>
      <c r="S44" s="4" t="str">
        <f aca="false">IF(R44&gt;=65,"High",IF(R44&gt;=40,"Medium","Low"))</f>
        <v>Low</v>
      </c>
      <c r="T44" s="4" t="n">
        <f aca="false">RANK(R44,$R$2:$R$61,0)</f>
        <v>28</v>
      </c>
      <c r="U44" s="16" t="n">
        <f aca="false">SUMIFS(PurchaseOrders!$N$2:$N$3001,PurchaseOrders!$B$2:$B$3001,A44)</f>
        <v>8351636.05</v>
      </c>
      <c r="V44" s="4" t="str">
        <f aca="false">IF(R44&gt;=MEDIAN($R$2:$R$61),"High Risk","Low Risk")</f>
        <v>High Risk</v>
      </c>
      <c r="W44" s="4" t="str">
        <f aca="false">IF(U44&gt;=MEDIAN($U$2:$U$61),"High Spend","Low Spend")</f>
        <v>High Spend</v>
      </c>
      <c r="X44" s="4" t="str">
        <f aca="false">IF(AND(V44="High Risk",W44="High Spend"),"Strategic",IF(AND(V44="High Risk",W44="Low Spend"),"Bottleneck",IF(AND(V44="Low Risk",W44="High Spend"),"Leverage","Non-Critical")))</f>
        <v>Strategic</v>
      </c>
    </row>
    <row r="45" customFormat="false" ht="15" hidden="false" customHeight="true" outlineLevel="0" collapsed="false">
      <c r="A45" s="4" t="str">
        <f aca="false">Vendors!A45</f>
        <v>V044</v>
      </c>
      <c r="B45" s="4" t="str">
        <f aca="false">INDEX(Vendors!$B$2:$B$61,MATCH(A45,Vendors!$A$2:$A$61,0))</f>
        <v>Everest Pvt Ltd</v>
      </c>
      <c r="C45" s="4" t="str">
        <f aca="false">INDEX(Vendors!$C$2:$C$61,MATCH(A45,Vendors!$A$2:$A$61,0))</f>
        <v>Raw Materials</v>
      </c>
      <c r="D45" s="4" t="n">
        <f aca="false">COUNTIF(PurchaseOrders!$B$2:$B$3001,A45)</f>
        <v>45</v>
      </c>
      <c r="E45" s="15" t="n">
        <f aca="false">IFERROR(AVERAGEIFS(PurchaseOrders!$K$2:$K$3001,PurchaseOrders!$B$2:$B$3001,A45),0)</f>
        <v>0.777777777777778</v>
      </c>
      <c r="F45" s="20" t="n">
        <f aca="false">IFERROR(AVERAGEIFS(PurchaseOrders!$J$2:$J$3001,PurchaseOrders!$B$2:$B$3001,A45),0)</f>
        <v>-1.35555555555556</v>
      </c>
      <c r="G45" s="15" t="n">
        <f aca="false">IFERROR(AVERAGEIFS(PurchaseOrders!$L$2:$L$3001,PurchaseOrders!$B$2:$B$3001,A45),0)</f>
        <v>0.975332366827182</v>
      </c>
      <c r="H45" s="15" t="n">
        <f aca="false">IFERROR(AVERAGEIFS(PurchaseOrders!$M$2:$M$3001,PurchaseOrders!$B$2:$B$3001,A45),0)</f>
        <v>0.011806496962394</v>
      </c>
      <c r="I45" s="15" t="n">
        <f aca="false">IFERROR(SUMIFS(QualityInspections!$D$2:$D$3001,QualityInspections!$G$2:$G$3001,A45)/SUMIFS(QualityInspections!$C$2:$C$3001,QualityInspections!$G$2:$G$3001,A45),0)</f>
        <v>0.125121544021869</v>
      </c>
      <c r="J45" s="15" t="n">
        <f aca="false">1-E45</f>
        <v>0.222222222222222</v>
      </c>
      <c r="K45" s="15" t="n">
        <f aca="false">I45</f>
        <v>0.125121544021869</v>
      </c>
      <c r="L45" s="15" t="n">
        <f aca="false">MAX(H45,0)</f>
        <v>0.011806496962394</v>
      </c>
      <c r="M45" s="15" t="n">
        <f aca="false">1-G45</f>
        <v>0.0246676331728183</v>
      </c>
      <c r="N45" s="20" t="n">
        <f aca="false">IFERROR((J45-MIN($J$2:$J$61))/(MAX($J$2:$J$61)-MIN($J$2:$J$61))*100,0)</f>
        <v>11.6161616161616</v>
      </c>
      <c r="O45" s="20" t="n">
        <f aca="false">IFERROR((K45-MIN($K$2:$K$61))/(MAX($K$2:$K$61)-MIN($K$2:$K$61))*100,0)</f>
        <v>54.2344659991156</v>
      </c>
      <c r="P45" s="20" t="n">
        <f aca="false">IFERROR((L45-MIN($L$2:$L$61))/(MAX($L$2:$L$61)-MIN($L$2:$L$61))*100,0)</f>
        <v>10.4341211323058</v>
      </c>
      <c r="Q45" s="20" t="n">
        <f aca="false">IFERROR((M45-MIN($M$2:$M$61))/(MAX($M$2:$M$61)-MIN($M$2:$M$61))*100,0)</f>
        <v>14.5338499667386</v>
      </c>
      <c r="R45" s="20" t="n">
        <f aca="false">0.35*N45+0.3*O45+0.2*P45+0.15*Q45</f>
        <v>24.6028980868632</v>
      </c>
      <c r="S45" s="4" t="str">
        <f aca="false">IF(R45&gt;=65,"High",IF(R45&gt;=40,"Medium","Low"))</f>
        <v>Low</v>
      </c>
      <c r="T45" s="4" t="n">
        <f aca="false">RANK(R45,$R$2:$R$61,0)</f>
        <v>48</v>
      </c>
      <c r="U45" s="16" t="n">
        <f aca="false">SUMIFS(PurchaseOrders!$N$2:$N$3001,PurchaseOrders!$B$2:$B$3001,A45)</f>
        <v>4881012.03</v>
      </c>
      <c r="V45" s="4" t="str">
        <f aca="false">IF(R45&gt;=MEDIAN($R$2:$R$61),"High Risk","Low Risk")</f>
        <v>Low Risk</v>
      </c>
      <c r="W45" s="4" t="str">
        <f aca="false">IF(U45&gt;=MEDIAN($U$2:$U$61),"High Spend","Low Spend")</f>
        <v>Low Spend</v>
      </c>
      <c r="X45" s="4" t="str">
        <f aca="false">IF(AND(V45="High Risk",W45="High Spend"),"Strategic",IF(AND(V45="High Risk",W45="Low Spend"),"Bottleneck",IF(AND(V45="Low Risk",W45="High Spend"),"Leverage","Non-Critical")))</f>
        <v>Non-Critical</v>
      </c>
    </row>
    <row r="46" customFormat="false" ht="15" hidden="false" customHeight="true" outlineLevel="0" collapsed="false">
      <c r="A46" s="4" t="str">
        <f aca="false">Vendors!A46</f>
        <v>V045</v>
      </c>
      <c r="B46" s="4" t="str">
        <f aca="false">INDEX(Vendors!$B$2:$B$61,MATCH(A46,Vendors!$A$2:$A$61,0))</f>
        <v>Metro Logistics</v>
      </c>
      <c r="C46" s="4" t="str">
        <f aca="false">INDEX(Vendors!$C$2:$C$61,MATCH(A46,Vendors!$A$2:$A$61,0))</f>
        <v>Raw Materials</v>
      </c>
      <c r="D46" s="4" t="n">
        <f aca="false">COUNTIF(PurchaseOrders!$B$2:$B$3001,A46)</f>
        <v>54</v>
      </c>
      <c r="E46" s="15" t="n">
        <f aca="false">IFERROR(AVERAGEIFS(PurchaseOrders!$K$2:$K$3001,PurchaseOrders!$B$2:$B$3001,A46),0)</f>
        <v>0.0740740740740741</v>
      </c>
      <c r="F46" s="20" t="n">
        <f aca="false">IFERROR(AVERAGEIFS(PurchaseOrders!$J$2:$J$3001,PurchaseOrders!$B$2:$B$3001,A46),0)</f>
        <v>4.42592592592593</v>
      </c>
      <c r="G46" s="15" t="n">
        <f aca="false">IFERROR(AVERAGEIFS(PurchaseOrders!$L$2:$L$3001,PurchaseOrders!$B$2:$B$3001,A46),0)</f>
        <v>0.950888594060428</v>
      </c>
      <c r="H46" s="15" t="n">
        <f aca="false">IFERROR(AVERAGEIFS(PurchaseOrders!$M$2:$M$3001,PurchaseOrders!$B$2:$B$3001,A46),0)</f>
        <v>0.0151339748691604</v>
      </c>
      <c r="I46" s="15" t="n">
        <f aca="false">IFERROR(SUMIFS(QualityInspections!$D$2:$D$3001,QualityInspections!$G$2:$G$3001,A46)/SUMIFS(QualityInspections!$C$2:$C$3001,QualityInspections!$G$2:$G$3001,A46),0)</f>
        <v>0.0356554748574301</v>
      </c>
      <c r="J46" s="15" t="n">
        <f aca="false">1-E46</f>
        <v>0.925925925925926</v>
      </c>
      <c r="K46" s="15" t="n">
        <f aca="false">I46</f>
        <v>0.0356554748574301</v>
      </c>
      <c r="L46" s="15" t="n">
        <f aca="false">MAX(H46,0)</f>
        <v>0.0151339748691604</v>
      </c>
      <c r="M46" s="15" t="n">
        <f aca="false">1-G46</f>
        <v>0.049111405939572</v>
      </c>
      <c r="N46" s="20" t="n">
        <f aca="false">IFERROR((J46-MIN($J$2:$J$61))/(MAX($J$2:$J$61)-MIN($J$2:$J$61))*100,0)</f>
        <v>91.5824915824916</v>
      </c>
      <c r="O46" s="20" t="n">
        <f aca="false">IFERROR((K46-MIN($K$2:$K$61))/(MAX($K$2:$K$61)-MIN($K$2:$K$61))*100,0)</f>
        <v>12.6007749604982</v>
      </c>
      <c r="P46" s="20" t="n">
        <f aca="false">IFERROR((L46-MIN($L$2:$L$61))/(MAX($L$2:$L$61)-MIN($L$2:$L$61))*100,0)</f>
        <v>13.37481621357</v>
      </c>
      <c r="Q46" s="20" t="n">
        <f aca="false">IFERROR((M46-MIN($M$2:$M$61))/(MAX($M$2:$M$61)-MIN($M$2:$M$61))*100,0)</f>
        <v>31.8956341057496</v>
      </c>
      <c r="R46" s="20" t="n">
        <f aca="false">0.35*N46+0.3*O46+0.2*P46+0.15*Q46</f>
        <v>43.293412900598</v>
      </c>
      <c r="S46" s="4" t="str">
        <f aca="false">IF(R46&gt;=65,"High",IF(R46&gt;=40,"Medium","Low"))</f>
        <v>Medium</v>
      </c>
      <c r="T46" s="4" t="n">
        <f aca="false">RANK(R46,$R$2:$R$61,0)</f>
        <v>20</v>
      </c>
      <c r="U46" s="16" t="n">
        <f aca="false">SUMIFS(PurchaseOrders!$N$2:$N$3001,PurchaseOrders!$B$2:$B$3001,A46)</f>
        <v>8078548.13</v>
      </c>
      <c r="V46" s="4" t="str">
        <f aca="false">IF(R46&gt;=MEDIAN($R$2:$R$61),"High Risk","Low Risk")</f>
        <v>High Risk</v>
      </c>
      <c r="W46" s="4" t="str">
        <f aca="false">IF(U46&gt;=MEDIAN($U$2:$U$61),"High Spend","Low Spend")</f>
        <v>High Spend</v>
      </c>
      <c r="X46" s="4" t="str">
        <f aca="false">IF(AND(V46="High Risk",W46="High Spend"),"Strategic",IF(AND(V46="High Risk",W46="Low Spend"),"Bottleneck",IF(AND(V46="Low Risk",W46="High Spend"),"Leverage","Non-Critical")))</f>
        <v>Strategic</v>
      </c>
    </row>
    <row r="47" customFormat="false" ht="15" hidden="false" customHeight="true" outlineLevel="0" collapsed="false">
      <c r="A47" s="4" t="str">
        <f aca="false">Vendors!A47</f>
        <v>V046</v>
      </c>
      <c r="B47" s="4" t="str">
        <f aca="false">INDEX(Vendors!$B$2:$B$61,MATCH(A47,Vendors!$A$2:$A$61,0))</f>
        <v>Quality Pvt Ltd</v>
      </c>
      <c r="C47" s="4" t="str">
        <f aca="false">INDEX(Vendors!$C$2:$C$61,MATCH(A47,Vendors!$A$2:$A$61,0))</f>
        <v>MRO/Spares</v>
      </c>
      <c r="D47" s="4" t="n">
        <f aca="false">COUNTIF(PurchaseOrders!$B$2:$B$3001,A47)</f>
        <v>43</v>
      </c>
      <c r="E47" s="15" t="n">
        <f aca="false">IFERROR(AVERAGEIFS(PurchaseOrders!$K$2:$K$3001,PurchaseOrders!$B$2:$B$3001,A47),0)</f>
        <v>0.255813953488372</v>
      </c>
      <c r="F47" s="20" t="n">
        <f aca="false">IFERROR(AVERAGEIFS(PurchaseOrders!$J$2:$J$3001,PurchaseOrders!$B$2:$B$3001,A47),0)</f>
        <v>2.2093023255814</v>
      </c>
      <c r="G47" s="15" t="n">
        <f aca="false">IFERROR(AVERAGEIFS(PurchaseOrders!$L$2:$L$3001,PurchaseOrders!$B$2:$B$3001,A47),0)</f>
        <v>0.989202562695705</v>
      </c>
      <c r="H47" s="15" t="n">
        <f aca="false">IFERROR(AVERAGEIFS(PurchaseOrders!$M$2:$M$3001,PurchaseOrders!$B$2:$B$3001,A47),0)</f>
        <v>-0.0126394916414893</v>
      </c>
      <c r="I47" s="15" t="n">
        <f aca="false">IFERROR(SUMIFS(QualityInspections!$D$2:$D$3001,QualityInspections!$G$2:$G$3001,A47)/SUMIFS(QualityInspections!$C$2:$C$3001,QualityInspections!$G$2:$G$3001,A47),0)</f>
        <v>0.0139117427075542</v>
      </c>
      <c r="J47" s="15" t="n">
        <f aca="false">1-E47</f>
        <v>0.744186046511628</v>
      </c>
      <c r="K47" s="15" t="n">
        <f aca="false">I47</f>
        <v>0.0139117427075542</v>
      </c>
      <c r="L47" s="15" t="n">
        <f aca="false">MAX(H47,0)</f>
        <v>0</v>
      </c>
      <c r="M47" s="15" t="n">
        <f aca="false">1-G47</f>
        <v>0.0107974373042951</v>
      </c>
      <c r="N47" s="20" t="n">
        <f aca="false">IFERROR((J47-MIN($J$2:$J$61))/(MAX($J$2:$J$61)-MIN($J$2:$J$61))*100,0)</f>
        <v>70.9302325581395</v>
      </c>
      <c r="O47" s="20" t="n">
        <f aca="false">IFERROR((K47-MIN($K$2:$K$61))/(MAX($K$2:$K$61)-MIN($K$2:$K$61))*100,0)</f>
        <v>2.48216983110002</v>
      </c>
      <c r="P47" s="20" t="n">
        <f aca="false">IFERROR((L47-MIN($L$2:$L$61))/(MAX($L$2:$L$61)-MIN($L$2:$L$61))*100,0)</f>
        <v>0</v>
      </c>
      <c r="Q47" s="20" t="n">
        <f aca="false">IFERROR((M47-MIN($M$2:$M$61))/(MAX($M$2:$M$61)-MIN($M$2:$M$61))*100,0)</f>
        <v>4.68220599455146</v>
      </c>
      <c r="R47" s="20" t="n">
        <f aca="false">0.35*N47+0.3*O47+0.2*P47+0.15*Q47</f>
        <v>26.2725632438616</v>
      </c>
      <c r="S47" s="4" t="str">
        <f aca="false">IF(R47&gt;=65,"High",IF(R47&gt;=40,"Medium","Low"))</f>
        <v>Low</v>
      </c>
      <c r="T47" s="4" t="n">
        <f aca="false">RANK(R47,$R$2:$R$61,0)</f>
        <v>46</v>
      </c>
      <c r="U47" s="16" t="n">
        <f aca="false">SUMIFS(PurchaseOrders!$N$2:$N$3001,PurchaseOrders!$B$2:$B$3001,A47)</f>
        <v>2164178.44</v>
      </c>
      <c r="V47" s="4" t="str">
        <f aca="false">IF(R47&gt;=MEDIAN($R$2:$R$61),"High Risk","Low Risk")</f>
        <v>Low Risk</v>
      </c>
      <c r="W47" s="4" t="str">
        <f aca="false">IF(U47&gt;=MEDIAN($U$2:$U$61),"High Spend","Low Spend")</f>
        <v>Low Spend</v>
      </c>
      <c r="X47" s="4" t="str">
        <f aca="false">IF(AND(V47="High Risk",W47="High Spend"),"Strategic",IF(AND(V47="High Risk",W47="Low Spend"),"Bottleneck",IF(AND(V47="Low Risk",W47="High Spend"),"Leverage","Non-Critical")))</f>
        <v>Non-Critical</v>
      </c>
    </row>
    <row r="48" customFormat="false" ht="15" hidden="false" customHeight="true" outlineLevel="0" collapsed="false">
      <c r="A48" s="4" t="str">
        <f aca="false">Vendors!A48</f>
        <v>V047</v>
      </c>
      <c r="B48" s="4" t="str">
        <f aca="false">INDEX(Vendors!$B$2:$B$61,MATCH(A48,Vendors!$A$2:$A$61,0))</f>
        <v>Summit Components</v>
      </c>
      <c r="C48" s="4" t="str">
        <f aca="false">INDEX(Vendors!$C$2:$C$61,MATCH(A48,Vendors!$A$2:$A$61,0))</f>
        <v>Electronics</v>
      </c>
      <c r="D48" s="4" t="n">
        <f aca="false">COUNTIF(PurchaseOrders!$B$2:$B$3001,A48)</f>
        <v>28</v>
      </c>
      <c r="E48" s="15" t="n">
        <f aca="false">IFERROR(AVERAGEIFS(PurchaseOrders!$K$2:$K$3001,PurchaseOrders!$B$2:$B$3001,A48),0)</f>
        <v>0.714285714285714</v>
      </c>
      <c r="F48" s="20" t="n">
        <f aca="false">IFERROR(AVERAGEIFS(PurchaseOrders!$J$2:$J$3001,PurchaseOrders!$B$2:$B$3001,A48),0)</f>
        <v>-0.785714285714286</v>
      </c>
      <c r="G48" s="15" t="n">
        <f aca="false">IFERROR(AVERAGEIFS(PurchaseOrders!$L$2:$L$3001,PurchaseOrders!$B$2:$B$3001,A48),0)</f>
        <v>0.906054212771967</v>
      </c>
      <c r="H48" s="15" t="n">
        <f aca="false">IFERROR(AVERAGEIFS(PurchaseOrders!$M$2:$M$3001,PurchaseOrders!$B$2:$B$3001,A48),0)</f>
        <v>0.030656481260444</v>
      </c>
      <c r="I48" s="15" t="n">
        <f aca="false">IFERROR(SUMIFS(QualityInspections!$D$2:$D$3001,QualityInspections!$G$2:$G$3001,A48)/SUMIFS(QualityInspections!$C$2:$C$3001,QualityInspections!$G$2:$G$3001,A48),0)</f>
        <v>0.012545302481182</v>
      </c>
      <c r="J48" s="15" t="n">
        <f aca="false">1-E48</f>
        <v>0.285714285714286</v>
      </c>
      <c r="K48" s="15" t="n">
        <f aca="false">I48</f>
        <v>0.012545302481182</v>
      </c>
      <c r="L48" s="15" t="n">
        <f aca="false">MAX(H48,0)</f>
        <v>0.030656481260444</v>
      </c>
      <c r="M48" s="15" t="n">
        <f aca="false">1-G48</f>
        <v>0.0939457872280335</v>
      </c>
      <c r="N48" s="20" t="n">
        <f aca="false">IFERROR((J48-MIN($J$2:$J$61))/(MAX($J$2:$J$61)-MIN($J$2:$J$61))*100,0)</f>
        <v>18.8311688311688</v>
      </c>
      <c r="O48" s="20" t="n">
        <f aca="false">IFERROR((K48-MIN($K$2:$K$61))/(MAX($K$2:$K$61)-MIN($K$2:$K$61))*100,0)</f>
        <v>1.8462868562601</v>
      </c>
      <c r="P48" s="20" t="n">
        <f aca="false">IFERROR((L48-MIN($L$2:$L$61))/(MAX($L$2:$L$61)-MIN($L$2:$L$61))*100,0)</f>
        <v>27.0930014195231</v>
      </c>
      <c r="Q48" s="20" t="n">
        <f aca="false">IFERROR((M48-MIN($M$2:$M$61))/(MAX($M$2:$M$61)-MIN($M$2:$M$61))*100,0)</f>
        <v>63.7403438960115</v>
      </c>
      <c r="R48" s="20" t="n">
        <f aca="false">0.35*N48+0.3*O48+0.2*P48+0.15*Q48</f>
        <v>22.1244470160935</v>
      </c>
      <c r="S48" s="4" t="str">
        <f aca="false">IF(R48&gt;=65,"High",IF(R48&gt;=40,"Medium","Low"))</f>
        <v>Low</v>
      </c>
      <c r="T48" s="4" t="n">
        <f aca="false">RANK(R48,$R$2:$R$61,0)</f>
        <v>53</v>
      </c>
      <c r="U48" s="16" t="n">
        <f aca="false">SUMIFS(PurchaseOrders!$N$2:$N$3001,PurchaseOrders!$B$2:$B$3001,A48)</f>
        <v>7733711.37</v>
      </c>
      <c r="V48" s="4" t="str">
        <f aca="false">IF(R48&gt;=MEDIAN($R$2:$R$61),"High Risk","Low Risk")</f>
        <v>Low Risk</v>
      </c>
      <c r="W48" s="4" t="str">
        <f aca="false">IF(U48&gt;=MEDIAN($U$2:$U$61),"High Spend","Low Spend")</f>
        <v>High Spend</v>
      </c>
      <c r="X48" s="4" t="str">
        <f aca="false">IF(AND(V48="High Risk",W48="High Spend"),"Strategic",IF(AND(V48="High Risk",W48="Low Spend"),"Bottleneck",IF(AND(V48="Low Risk",W48="High Spend"),"Leverage","Non-Critical")))</f>
        <v>Leverage</v>
      </c>
    </row>
    <row r="49" customFormat="false" ht="15" hidden="false" customHeight="true" outlineLevel="0" collapsed="false">
      <c r="A49" s="4" t="str">
        <f aca="false">Vendors!A49</f>
        <v>V048</v>
      </c>
      <c r="B49" s="4" t="str">
        <f aca="false">INDEX(Vendors!$B$2:$B$61,MATCH(A49,Vendors!$A$2:$A$61,0))</f>
        <v>Lakshmi Manufacturing</v>
      </c>
      <c r="C49" s="4" t="str">
        <f aca="false">INDEX(Vendors!$C$2:$C$61,MATCH(A49,Vendors!$A$2:$A$61,0))</f>
        <v>Raw Materials</v>
      </c>
      <c r="D49" s="4" t="n">
        <f aca="false">COUNTIF(PurchaseOrders!$B$2:$B$3001,A49)</f>
        <v>49</v>
      </c>
      <c r="E49" s="15" t="n">
        <f aca="false">IFERROR(AVERAGEIFS(PurchaseOrders!$K$2:$K$3001,PurchaseOrders!$B$2:$B$3001,A49),0)</f>
        <v>0.408163265306122</v>
      </c>
      <c r="F49" s="20" t="n">
        <f aca="false">IFERROR(AVERAGEIFS(PurchaseOrders!$J$2:$J$3001,PurchaseOrders!$B$2:$B$3001,A49),0)</f>
        <v>1.28571428571429</v>
      </c>
      <c r="G49" s="15" t="n">
        <f aca="false">IFERROR(AVERAGEIFS(PurchaseOrders!$L$2:$L$3001,PurchaseOrders!$B$2:$B$3001,A49),0)</f>
        <v>0.891491038967328</v>
      </c>
      <c r="H49" s="15" t="n">
        <f aca="false">IFERROR(AVERAGEIFS(PurchaseOrders!$M$2:$M$3001,PurchaseOrders!$B$2:$B$3001,A49),0)</f>
        <v>0.0360248703603962</v>
      </c>
      <c r="I49" s="15" t="n">
        <f aca="false">IFERROR(SUMIFS(QualityInspections!$D$2:$D$3001,QualityInspections!$G$2:$G$3001,A49)/SUMIFS(QualityInspections!$C$2:$C$3001,QualityInspections!$G$2:$G$3001,A49),0)</f>
        <v>0.0608162176580422</v>
      </c>
      <c r="J49" s="15" t="n">
        <f aca="false">1-E49</f>
        <v>0.591836734693878</v>
      </c>
      <c r="K49" s="15" t="n">
        <f aca="false">I49</f>
        <v>0.0608162176580422</v>
      </c>
      <c r="L49" s="15" t="n">
        <f aca="false">MAX(H49,0)</f>
        <v>0.0360248703603962</v>
      </c>
      <c r="M49" s="15" t="n">
        <f aca="false">1-G49</f>
        <v>0.108508961032672</v>
      </c>
      <c r="N49" s="20" t="n">
        <f aca="false">IFERROR((J49-MIN($J$2:$J$61))/(MAX($J$2:$J$61)-MIN($J$2:$J$61))*100,0)</f>
        <v>53.6178107606679</v>
      </c>
      <c r="O49" s="20" t="n">
        <f aca="false">IFERROR((K49-MIN($K$2:$K$61))/(MAX($K$2:$K$61)-MIN($K$2:$K$61))*100,0)</f>
        <v>24.3095110416312</v>
      </c>
      <c r="P49" s="20" t="n">
        <f aca="false">IFERROR((L49-MIN($L$2:$L$61))/(MAX($L$2:$L$61)-MIN($L$2:$L$61))*100,0)</f>
        <v>31.837374143513</v>
      </c>
      <c r="Q49" s="20" t="n">
        <f aca="false">IFERROR((M49-MIN($M$2:$M$61))/(MAX($M$2:$M$61)-MIN($M$2:$M$61))*100,0)</f>
        <v>74.084192302217</v>
      </c>
      <c r="R49" s="20" t="n">
        <f aca="false">0.35*N49+0.3*O49+0.2*P49+0.15*Q49</f>
        <v>43.5391907527583</v>
      </c>
      <c r="S49" s="4" t="str">
        <f aca="false">IF(R49&gt;=65,"High",IF(R49&gt;=40,"Medium","Low"))</f>
        <v>Medium</v>
      </c>
      <c r="T49" s="4" t="n">
        <f aca="false">RANK(R49,$R$2:$R$61,0)</f>
        <v>18</v>
      </c>
      <c r="U49" s="16" t="n">
        <f aca="false">SUMIFS(PurchaseOrders!$N$2:$N$3001,PurchaseOrders!$B$2:$B$3001,A49)</f>
        <v>11286343.54</v>
      </c>
      <c r="V49" s="4" t="str">
        <f aca="false">IF(R49&gt;=MEDIAN($R$2:$R$61),"High Risk","Low Risk")</f>
        <v>High Risk</v>
      </c>
      <c r="W49" s="4" t="str">
        <f aca="false">IF(U49&gt;=MEDIAN($U$2:$U$61),"High Spend","Low Spend")</f>
        <v>High Spend</v>
      </c>
      <c r="X49" s="4" t="str">
        <f aca="false">IF(AND(V49="High Risk",W49="High Spend"),"Strategic",IF(AND(V49="High Risk",W49="Low Spend"),"Bottleneck",IF(AND(V49="Low Risk",W49="High Spend"),"Leverage","Non-Critical")))</f>
        <v>Strategic</v>
      </c>
    </row>
    <row r="50" customFormat="false" ht="15" hidden="false" customHeight="true" outlineLevel="0" collapsed="false">
      <c r="A50" s="4" t="str">
        <f aca="false">Vendors!A50</f>
        <v>V049</v>
      </c>
      <c r="B50" s="4" t="str">
        <f aca="false">INDEX(Vendors!$B$2:$B$61,MATCH(A50,Vendors!$A$2:$A$61,0))</f>
        <v>Frontier Traders</v>
      </c>
      <c r="C50" s="4" t="str">
        <f aca="false">INDEX(Vendors!$C$2:$C$61,MATCH(A50,Vendors!$A$2:$A$61,0))</f>
        <v>Electronics</v>
      </c>
      <c r="D50" s="4" t="n">
        <f aca="false">COUNTIF(PurchaseOrders!$B$2:$B$3001,A50)</f>
        <v>51</v>
      </c>
      <c r="E50" s="15" t="n">
        <f aca="false">IFERROR(AVERAGEIFS(PurchaseOrders!$K$2:$K$3001,PurchaseOrders!$B$2:$B$3001,A50),0)</f>
        <v>0.333333333333333</v>
      </c>
      <c r="F50" s="20" t="n">
        <f aca="false">IFERROR(AVERAGEIFS(PurchaseOrders!$J$2:$J$3001,PurchaseOrders!$B$2:$B$3001,A50),0)</f>
        <v>1.74509803921569</v>
      </c>
      <c r="G50" s="15" t="n">
        <f aca="false">IFERROR(AVERAGEIFS(PurchaseOrders!$L$2:$L$3001,PurchaseOrders!$B$2:$B$3001,A50),0)</f>
        <v>0.985831810188874</v>
      </c>
      <c r="H50" s="15" t="n">
        <f aca="false">IFERROR(AVERAGEIFS(PurchaseOrders!$M$2:$M$3001,PurchaseOrders!$B$2:$B$3001,A50),0)</f>
        <v>-0.0232751154056435</v>
      </c>
      <c r="I50" s="15" t="n">
        <f aca="false">IFERROR(SUMIFS(QualityInspections!$D$2:$D$3001,QualityInspections!$G$2:$G$3001,A50)/SUMIFS(QualityInspections!$C$2:$C$3001,QualityInspections!$G$2:$G$3001,A50),0)</f>
        <v>0.10583908045977</v>
      </c>
      <c r="J50" s="15" t="n">
        <f aca="false">1-E50</f>
        <v>0.666666666666667</v>
      </c>
      <c r="K50" s="15" t="n">
        <f aca="false">I50</f>
        <v>0.10583908045977</v>
      </c>
      <c r="L50" s="15" t="n">
        <f aca="false">MAX(H50,0)</f>
        <v>0</v>
      </c>
      <c r="M50" s="15" t="n">
        <f aca="false">1-G50</f>
        <v>0.0141681898111263</v>
      </c>
      <c r="N50" s="20" t="n">
        <f aca="false">IFERROR((J50-MIN($J$2:$J$61))/(MAX($J$2:$J$61)-MIN($J$2:$J$61))*100,0)</f>
        <v>62.1212121212121</v>
      </c>
      <c r="O50" s="20" t="n">
        <f aca="false">IFERROR((K50-MIN($K$2:$K$61))/(MAX($K$2:$K$61)-MIN($K$2:$K$61))*100,0)</f>
        <v>45.261230247221</v>
      </c>
      <c r="P50" s="20" t="n">
        <f aca="false">IFERROR((L50-MIN($L$2:$L$61))/(MAX($L$2:$L$61)-MIN($L$2:$L$61))*100,0)</f>
        <v>0</v>
      </c>
      <c r="Q50" s="20" t="n">
        <f aca="false">IFERROR((M50-MIN($M$2:$M$61))/(MAX($M$2:$M$61)-MIN($M$2:$M$61))*100,0)</f>
        <v>7.07636494734747</v>
      </c>
      <c r="R50" s="20" t="n">
        <f aca="false">0.35*N50+0.3*O50+0.2*P50+0.15*Q50</f>
        <v>36.3822480586927</v>
      </c>
      <c r="S50" s="4" t="str">
        <f aca="false">IF(R50&gt;=65,"High",IF(R50&gt;=40,"Medium","Low"))</f>
        <v>Low</v>
      </c>
      <c r="T50" s="4" t="n">
        <f aca="false">RANK(R50,$R$2:$R$61,0)</f>
        <v>32</v>
      </c>
      <c r="U50" s="16" t="n">
        <f aca="false">SUMIFS(PurchaseOrders!$N$2:$N$3001,PurchaseOrders!$B$2:$B$3001,A50)</f>
        <v>13291506.65</v>
      </c>
      <c r="V50" s="4" t="str">
        <f aca="false">IF(R50&gt;=MEDIAN($R$2:$R$61),"High Risk","Low Risk")</f>
        <v>Low Risk</v>
      </c>
      <c r="W50" s="4" t="str">
        <f aca="false">IF(U50&gt;=MEDIAN($U$2:$U$61),"High Spend","Low Spend")</f>
        <v>High Spend</v>
      </c>
      <c r="X50" s="4" t="str">
        <f aca="false">IF(AND(V50="High Risk",W50="High Spend"),"Strategic",IF(AND(V50="High Risk",W50="Low Spend"),"Bottleneck",IF(AND(V50="Low Risk",W50="High Spend"),"Leverage","Non-Critical")))</f>
        <v>Leverage</v>
      </c>
    </row>
    <row r="51" customFormat="false" ht="15" hidden="false" customHeight="true" outlineLevel="0" collapsed="false">
      <c r="A51" s="4" t="str">
        <f aca="false">Vendors!A51</f>
        <v>V050</v>
      </c>
      <c r="B51" s="4" t="str">
        <f aca="false">INDEX(Vendors!$B$2:$B$61,MATCH(A51,Vendors!$A$2:$A$61,0))</f>
        <v>Precision Traders</v>
      </c>
      <c r="C51" s="4" t="str">
        <f aca="false">INDEX(Vendors!$C$2:$C$61,MATCH(A51,Vendors!$A$2:$A$61,0))</f>
        <v>Packaging</v>
      </c>
      <c r="D51" s="4" t="n">
        <f aca="false">COUNTIF(PurchaseOrders!$B$2:$B$3001,A51)</f>
        <v>46</v>
      </c>
      <c r="E51" s="15" t="n">
        <f aca="false">IFERROR(AVERAGEIFS(PurchaseOrders!$K$2:$K$3001,PurchaseOrders!$B$2:$B$3001,A51),0)</f>
        <v>0</v>
      </c>
      <c r="F51" s="20" t="n">
        <f aca="false">IFERROR(AVERAGEIFS(PurchaseOrders!$J$2:$J$3001,PurchaseOrders!$B$2:$B$3001,A51),0)</f>
        <v>12.6521739130435</v>
      </c>
      <c r="G51" s="15" t="n">
        <f aca="false">IFERROR(AVERAGEIFS(PurchaseOrders!$L$2:$L$3001,PurchaseOrders!$B$2:$B$3001,A51),0)</f>
        <v>0.939273469706539</v>
      </c>
      <c r="H51" s="15" t="n">
        <f aca="false">IFERROR(AVERAGEIFS(PurchaseOrders!$M$2:$M$3001,PurchaseOrders!$B$2:$B$3001,A51),0)</f>
        <v>0.0455888560574081</v>
      </c>
      <c r="I51" s="15" t="n">
        <f aca="false">IFERROR(SUMIFS(QualityInspections!$D$2:$D$3001,QualityInspections!$G$2:$G$3001,A51)/SUMIFS(QualityInspections!$C$2:$C$3001,QualityInspections!$G$2:$G$3001,A51),0)</f>
        <v>0.0587468055903117</v>
      </c>
      <c r="J51" s="15" t="n">
        <f aca="false">1-E51</f>
        <v>1</v>
      </c>
      <c r="K51" s="15" t="n">
        <f aca="false">I51</f>
        <v>0.0587468055903117</v>
      </c>
      <c r="L51" s="15" t="n">
        <f aca="false">MAX(H51,0)</f>
        <v>0.0455888560574081</v>
      </c>
      <c r="M51" s="15" t="n">
        <f aca="false">1-G51</f>
        <v>0.0607265302934606</v>
      </c>
      <c r="N51" s="20" t="n">
        <f aca="false">IFERROR((J51-MIN($J$2:$J$61))/(MAX($J$2:$J$61)-MIN($J$2:$J$61))*100,0)</f>
        <v>100</v>
      </c>
      <c r="O51" s="20" t="n">
        <f aca="false">IFERROR((K51-MIN($K$2:$K$61))/(MAX($K$2:$K$61)-MIN($K$2:$K$61))*100,0)</f>
        <v>23.3464949678936</v>
      </c>
      <c r="P51" s="20" t="n">
        <f aca="false">IFERROR((L51-MIN($L$2:$L$61))/(MAX($L$2:$L$61)-MIN($L$2:$L$61))*100,0)</f>
        <v>40.2896513590257</v>
      </c>
      <c r="Q51" s="20" t="n">
        <f aca="false">IFERROR((M51-MIN($M$2:$M$61))/(MAX($M$2:$M$61)-MIN($M$2:$M$61))*100,0)</f>
        <v>40.1455586858972</v>
      </c>
      <c r="R51" s="20" t="n">
        <f aca="false">0.35*N51+0.3*O51+0.2*P51+0.15*Q51</f>
        <v>56.0837125650578</v>
      </c>
      <c r="S51" s="4" t="str">
        <f aca="false">IF(R51&gt;=65,"High",IF(R51&gt;=40,"Medium","Low"))</f>
        <v>Medium</v>
      </c>
      <c r="T51" s="4" t="n">
        <f aca="false">RANK(R51,$R$2:$R$61,0)</f>
        <v>6</v>
      </c>
      <c r="U51" s="16" t="n">
        <f aca="false">SUMIFS(PurchaseOrders!$N$2:$N$3001,PurchaseOrders!$B$2:$B$3001,A51)</f>
        <v>2841469.53</v>
      </c>
      <c r="V51" s="4" t="str">
        <f aca="false">IF(R51&gt;=MEDIAN($R$2:$R$61),"High Risk","Low Risk")</f>
        <v>High Risk</v>
      </c>
      <c r="W51" s="4" t="str">
        <f aca="false">IF(U51&gt;=MEDIAN($U$2:$U$61),"High Spend","Low Spend")</f>
        <v>Low Spend</v>
      </c>
      <c r="X51" s="4" t="str">
        <f aca="false">IF(AND(V51="High Risk",W51="High Spend"),"Strategic",IF(AND(V51="High Risk",W51="Low Spend"),"Bottleneck",IF(AND(V51="Low Risk",W51="High Spend"),"Leverage","Non-Critical")))</f>
        <v>Bottleneck</v>
      </c>
    </row>
    <row r="52" customFormat="false" ht="15" hidden="false" customHeight="true" outlineLevel="0" collapsed="false">
      <c r="A52" s="4" t="str">
        <f aca="false">Vendors!A52</f>
        <v>V051</v>
      </c>
      <c r="B52" s="4" t="str">
        <f aca="false">INDEX(Vendors!$B$2:$B$61,MATCH(A52,Vendors!$A$2:$A$61,0))</f>
        <v>Oceanic Industries</v>
      </c>
      <c r="C52" s="4" t="str">
        <f aca="false">INDEX(Vendors!$C$2:$C$61,MATCH(A52,Vendors!$A$2:$A$61,0))</f>
        <v>Raw Materials</v>
      </c>
      <c r="D52" s="4" t="n">
        <f aca="false">COUNTIF(PurchaseOrders!$B$2:$B$3001,A52)</f>
        <v>60</v>
      </c>
      <c r="E52" s="15" t="n">
        <f aca="false">IFERROR(AVERAGEIFS(PurchaseOrders!$K$2:$K$3001,PurchaseOrders!$B$2:$B$3001,A52),0)</f>
        <v>0.3</v>
      </c>
      <c r="F52" s="20" t="n">
        <f aca="false">IFERROR(AVERAGEIFS(PurchaseOrders!$J$2:$J$3001,PurchaseOrders!$B$2:$B$3001,A52),0)</f>
        <v>2</v>
      </c>
      <c r="G52" s="15" t="n">
        <f aca="false">IFERROR(AVERAGEIFS(PurchaseOrders!$L$2:$L$3001,PurchaseOrders!$B$2:$B$3001,A52),0)</f>
        <v>0.940909750186909</v>
      </c>
      <c r="H52" s="15" t="n">
        <f aca="false">IFERROR(AVERAGEIFS(PurchaseOrders!$M$2:$M$3001,PurchaseOrders!$B$2:$B$3001,A52),0)</f>
        <v>0.075207419282259</v>
      </c>
      <c r="I52" s="15" t="n">
        <f aca="false">IFERROR(SUMIFS(QualityInspections!$D$2:$D$3001,QualityInspections!$G$2:$G$3001,A52)/SUMIFS(QualityInspections!$C$2:$C$3001,QualityInspections!$G$2:$G$3001,A52),0)</f>
        <v>0.0483780236264767</v>
      </c>
      <c r="J52" s="15" t="n">
        <f aca="false">1-E52</f>
        <v>0.7</v>
      </c>
      <c r="K52" s="15" t="n">
        <f aca="false">I52</f>
        <v>0.0483780236264767</v>
      </c>
      <c r="L52" s="15" t="n">
        <f aca="false">MAX(H52,0)</f>
        <v>0.075207419282259</v>
      </c>
      <c r="M52" s="15" t="n">
        <f aca="false">1-G52</f>
        <v>0.0590902498130913</v>
      </c>
      <c r="N52" s="20" t="n">
        <f aca="false">IFERROR((J52-MIN($J$2:$J$61))/(MAX($J$2:$J$61)-MIN($J$2:$J$61))*100,0)</f>
        <v>65.9090909090909</v>
      </c>
      <c r="O52" s="20" t="n">
        <f aca="false">IFERROR((K52-MIN($K$2:$K$61))/(MAX($K$2:$K$61)-MIN($K$2:$K$61))*100,0)</f>
        <v>18.5213062817152</v>
      </c>
      <c r="P52" s="20" t="n">
        <f aca="false">IFERROR((L52-MIN($L$2:$L$61))/(MAX($L$2:$L$61)-MIN($L$2:$L$61))*100,0)</f>
        <v>66.4653813352682</v>
      </c>
      <c r="Q52" s="20" t="n">
        <f aca="false">IFERROR((M52-MIN($M$2:$M$61))/(MAX($M$2:$M$61)-MIN($M$2:$M$61))*100,0)</f>
        <v>38.9833506764328</v>
      </c>
      <c r="R52" s="20" t="n">
        <f aca="false">0.35*N52+0.3*O52+0.2*P52+0.15*Q52</f>
        <v>47.7651525712149</v>
      </c>
      <c r="S52" s="4" t="str">
        <f aca="false">IF(R52&gt;=65,"High",IF(R52&gt;=40,"Medium","Low"))</f>
        <v>Medium</v>
      </c>
      <c r="T52" s="4" t="n">
        <f aca="false">RANK(R52,$R$2:$R$61,0)</f>
        <v>11</v>
      </c>
      <c r="U52" s="16" t="n">
        <f aca="false">SUMIFS(PurchaseOrders!$N$2:$N$3001,PurchaseOrders!$B$2:$B$3001,A52)</f>
        <v>16320779.43</v>
      </c>
      <c r="V52" s="4" t="str">
        <f aca="false">IF(R52&gt;=MEDIAN($R$2:$R$61),"High Risk","Low Risk")</f>
        <v>High Risk</v>
      </c>
      <c r="W52" s="4" t="str">
        <f aca="false">IF(U52&gt;=MEDIAN($U$2:$U$61),"High Spend","Low Spend")</f>
        <v>High Spend</v>
      </c>
      <c r="X52" s="4" t="str">
        <f aca="false">IF(AND(V52="High Risk",W52="High Spend"),"Strategic",IF(AND(V52="High Risk",W52="Low Spend"),"Bottleneck",IF(AND(V52="Low Risk",W52="High Spend"),"Leverage","Non-Critical")))</f>
        <v>Strategic</v>
      </c>
    </row>
    <row r="53" customFormat="false" ht="15" hidden="false" customHeight="true" outlineLevel="0" collapsed="false">
      <c r="A53" s="4" t="str">
        <f aca="false">Vendors!A53</f>
        <v>V052</v>
      </c>
      <c r="B53" s="4" t="str">
        <f aca="false">INDEX(Vendors!$B$2:$B$61,MATCH(A53,Vendors!$A$2:$A$61,0))</f>
        <v>Nirvana Supplies</v>
      </c>
      <c r="C53" s="4" t="str">
        <f aca="false">INDEX(Vendors!$C$2:$C$61,MATCH(A53,Vendors!$A$2:$A$61,0))</f>
        <v>MRO/Spares</v>
      </c>
      <c r="D53" s="4" t="n">
        <f aca="false">COUNTIF(PurchaseOrders!$B$2:$B$3001,A53)</f>
        <v>46</v>
      </c>
      <c r="E53" s="15" t="n">
        <f aca="false">IFERROR(AVERAGEIFS(PurchaseOrders!$K$2:$K$3001,PurchaseOrders!$B$2:$B$3001,A53),0)</f>
        <v>0.239130434782609</v>
      </c>
      <c r="F53" s="20" t="n">
        <f aca="false">IFERROR(AVERAGEIFS(PurchaseOrders!$J$2:$J$3001,PurchaseOrders!$B$2:$B$3001,A53),0)</f>
        <v>1.39130434782609</v>
      </c>
      <c r="G53" s="15" t="n">
        <f aca="false">IFERROR(AVERAGEIFS(PurchaseOrders!$L$2:$L$3001,PurchaseOrders!$B$2:$B$3001,A53),0)</f>
        <v>0.987508281050155</v>
      </c>
      <c r="H53" s="15" t="n">
        <f aca="false">IFERROR(AVERAGEIFS(PurchaseOrders!$M$2:$M$3001,PurchaseOrders!$B$2:$B$3001,A53),0)</f>
        <v>0.0232372377510211</v>
      </c>
      <c r="I53" s="15" t="n">
        <f aca="false">IFERROR(SUMIFS(QualityInspections!$D$2:$D$3001,QualityInspections!$G$2:$G$3001,A53)/SUMIFS(QualityInspections!$C$2:$C$3001,QualityInspections!$G$2:$G$3001,A53),0)</f>
        <v>0.0169656515088305</v>
      </c>
      <c r="J53" s="15" t="n">
        <f aca="false">1-E53</f>
        <v>0.760869565217391</v>
      </c>
      <c r="K53" s="15" t="n">
        <f aca="false">I53</f>
        <v>0.0169656515088305</v>
      </c>
      <c r="L53" s="15" t="n">
        <f aca="false">MAX(H53,0)</f>
        <v>0.0232372377510211</v>
      </c>
      <c r="M53" s="15" t="n">
        <f aca="false">1-G53</f>
        <v>0.0124917189498447</v>
      </c>
      <c r="N53" s="20" t="n">
        <f aca="false">IFERROR((J53-MIN($J$2:$J$61))/(MAX($J$2:$J$61)-MIN($J$2:$J$61))*100,0)</f>
        <v>72.8260869565217</v>
      </c>
      <c r="O53" s="20" t="n">
        <f aca="false">IFERROR((K53-MIN($K$2:$K$61))/(MAX($K$2:$K$61)-MIN($K$2:$K$61))*100,0)</f>
        <v>3.90332867578735</v>
      </c>
      <c r="P53" s="20" t="n">
        <f aca="false">IFERROR((L53-MIN($L$2:$L$61))/(MAX($L$2:$L$61)-MIN($L$2:$L$61))*100,0)</f>
        <v>20.5361636264022</v>
      </c>
      <c r="Q53" s="20" t="n">
        <f aca="false">IFERROR((M53-MIN($M$2:$M$61))/(MAX($M$2:$M$61)-MIN($M$2:$M$61))*100,0)</f>
        <v>5.88561074231322</v>
      </c>
      <c r="R53" s="20" t="n">
        <f aca="false">0.35*N53+0.3*O53+0.2*P53+0.15*Q53</f>
        <v>31.6502033741462</v>
      </c>
      <c r="S53" s="4" t="str">
        <f aca="false">IF(R53&gt;=65,"High",IF(R53&gt;=40,"Medium","Low"))</f>
        <v>Low</v>
      </c>
      <c r="T53" s="4" t="n">
        <f aca="false">RANK(R53,$R$2:$R$61,0)</f>
        <v>37</v>
      </c>
      <c r="U53" s="16" t="n">
        <f aca="false">SUMIFS(PurchaseOrders!$N$2:$N$3001,PurchaseOrders!$B$2:$B$3001,A53)</f>
        <v>1497210.41</v>
      </c>
      <c r="V53" s="4" t="str">
        <f aca="false">IF(R53&gt;=MEDIAN($R$2:$R$61),"High Risk","Low Risk")</f>
        <v>Low Risk</v>
      </c>
      <c r="W53" s="4" t="str">
        <f aca="false">IF(U53&gt;=MEDIAN($U$2:$U$61),"High Spend","Low Spend")</f>
        <v>Low Spend</v>
      </c>
      <c r="X53" s="4" t="str">
        <f aca="false">IF(AND(V53="High Risk",W53="High Spend"),"Strategic",IF(AND(V53="High Risk",W53="Low Spend"),"Bottleneck",IF(AND(V53="Low Risk",W53="High Spend"),"Leverage","Non-Critical")))</f>
        <v>Non-Critical</v>
      </c>
    </row>
    <row r="54" customFormat="false" ht="15" hidden="false" customHeight="true" outlineLevel="0" collapsed="false">
      <c r="A54" s="4" t="str">
        <f aca="false">Vendors!A54</f>
        <v>V053</v>
      </c>
      <c r="B54" s="4" t="str">
        <f aca="false">INDEX(Vendors!$B$2:$B$61,MATCH(A54,Vendors!$A$2:$A$61,0))</f>
        <v>Xenon Supplies</v>
      </c>
      <c r="C54" s="4" t="str">
        <f aca="false">INDEX(Vendors!$C$2:$C$61,MATCH(A54,Vendors!$A$2:$A$61,0))</f>
        <v>Logistics Services</v>
      </c>
      <c r="D54" s="4" t="n">
        <f aca="false">COUNTIF(PurchaseOrders!$B$2:$B$3001,A54)</f>
        <v>45</v>
      </c>
      <c r="E54" s="15" t="n">
        <f aca="false">IFERROR(AVERAGEIFS(PurchaseOrders!$K$2:$K$3001,PurchaseOrders!$B$2:$B$3001,A54),0)</f>
        <v>0.2</v>
      </c>
      <c r="F54" s="20" t="n">
        <f aca="false">IFERROR(AVERAGEIFS(PurchaseOrders!$J$2:$J$3001,PurchaseOrders!$B$2:$B$3001,A54),0)</f>
        <v>2.02222222222222</v>
      </c>
      <c r="G54" s="15" t="n">
        <f aca="false">IFERROR(AVERAGEIFS(PurchaseOrders!$L$2:$L$3001,PurchaseOrders!$B$2:$B$3001,A54),0)</f>
        <v>0.993157894736842</v>
      </c>
      <c r="H54" s="15" t="n">
        <f aca="false">IFERROR(AVERAGEIFS(PurchaseOrders!$M$2:$M$3001,PurchaseOrders!$B$2:$B$3001,A54),0)</f>
        <v>0.00636703263886986</v>
      </c>
      <c r="I54" s="15" t="n">
        <f aca="false">IFERROR(SUMIFS(QualityInspections!$D$2:$D$3001,QualityInspections!$G$2:$G$3001,A54)/SUMIFS(QualityInspections!$C$2:$C$3001,QualityInspections!$G$2:$G$3001,A54),0)</f>
        <v>0.0311688311688312</v>
      </c>
      <c r="J54" s="15" t="n">
        <f aca="false">1-E54</f>
        <v>0.8</v>
      </c>
      <c r="K54" s="15" t="n">
        <f aca="false">I54</f>
        <v>0.0311688311688312</v>
      </c>
      <c r="L54" s="15" t="n">
        <f aca="false">MAX(H54,0)</f>
        <v>0.00636703263886986</v>
      </c>
      <c r="M54" s="15" t="n">
        <f aca="false">1-G54</f>
        <v>0.00684210526315798</v>
      </c>
      <c r="N54" s="20" t="n">
        <f aca="false">IFERROR((J54-MIN($J$2:$J$61))/(MAX($J$2:$J$61)-MIN($J$2:$J$61))*100,0)</f>
        <v>77.2727272727273</v>
      </c>
      <c r="O54" s="20" t="n">
        <f aca="false">IFERROR((K54-MIN($K$2:$K$61))/(MAX($K$2:$K$61)-MIN($K$2:$K$61))*100,0)</f>
        <v>10.5128824345825</v>
      </c>
      <c r="P54" s="20" t="n">
        <f aca="false">IFERROR((L54-MIN($L$2:$L$61))/(MAX($L$2:$L$61)-MIN($L$2:$L$61))*100,0)</f>
        <v>5.62693490024343</v>
      </c>
      <c r="Q54" s="20" t="n">
        <f aca="false">IFERROR((M54-MIN($M$2:$M$61))/(MAX($M$2:$M$61)-MIN($M$2:$M$61))*100,0)</f>
        <v>1.87283520913258</v>
      </c>
      <c r="R54" s="20" t="n">
        <f aca="false">0.35*N54+0.3*O54+0.2*P54+0.15*Q54</f>
        <v>31.6056315372479</v>
      </c>
      <c r="S54" s="4" t="str">
        <f aca="false">IF(R54&gt;=65,"High",IF(R54&gt;=40,"Medium","Low"))</f>
        <v>Low</v>
      </c>
      <c r="T54" s="4" t="n">
        <f aca="false">RANK(R54,$R$2:$R$61,0)</f>
        <v>38</v>
      </c>
      <c r="U54" s="16" t="n">
        <f aca="false">SUMIFS(PurchaseOrders!$N$2:$N$3001,PurchaseOrders!$B$2:$B$3001,A54)</f>
        <v>564696.55</v>
      </c>
      <c r="V54" s="4" t="str">
        <f aca="false">IF(R54&gt;=MEDIAN($R$2:$R$61),"High Risk","Low Risk")</f>
        <v>Low Risk</v>
      </c>
      <c r="W54" s="4" t="str">
        <f aca="false">IF(U54&gt;=MEDIAN($U$2:$U$61),"High Spend","Low Spend")</f>
        <v>Low Spend</v>
      </c>
      <c r="X54" s="4" t="str">
        <f aca="false">IF(AND(V54="High Risk",W54="High Spend"),"Strategic",IF(AND(V54="High Risk",W54="Low Spend"),"Bottleneck",IF(AND(V54="Low Risk",W54="High Spend"),"Leverage","Non-Critical")))</f>
        <v>Non-Critical</v>
      </c>
    </row>
    <row r="55" customFormat="false" ht="15" hidden="false" customHeight="true" outlineLevel="0" collapsed="false">
      <c r="A55" s="4" t="str">
        <f aca="false">Vendors!A55</f>
        <v>V054</v>
      </c>
      <c r="B55" s="4" t="str">
        <f aca="false">INDEX(Vendors!$B$2:$B$61,MATCH(A55,Vendors!$A$2:$A$61,0))</f>
        <v>Nova Supplies</v>
      </c>
      <c r="C55" s="4" t="str">
        <f aca="false">INDEX(Vendors!$C$2:$C$61,MATCH(A55,Vendors!$A$2:$A$61,0))</f>
        <v>Logistics Services</v>
      </c>
      <c r="D55" s="4" t="n">
        <f aca="false">COUNTIF(PurchaseOrders!$B$2:$B$3001,A55)</f>
        <v>55</v>
      </c>
      <c r="E55" s="15" t="n">
        <f aca="false">IFERROR(AVERAGEIFS(PurchaseOrders!$K$2:$K$3001,PurchaseOrders!$B$2:$B$3001,A55),0)</f>
        <v>0.127272727272727</v>
      </c>
      <c r="F55" s="20" t="n">
        <f aca="false">IFERROR(AVERAGEIFS(PurchaseOrders!$J$2:$J$3001,PurchaseOrders!$B$2:$B$3001,A55),0)</f>
        <v>2.63636363636364</v>
      </c>
      <c r="G55" s="15" t="n">
        <f aca="false">IFERROR(AVERAGEIFS(PurchaseOrders!$L$2:$L$3001,PurchaseOrders!$B$2:$B$3001,A55),0)</f>
        <v>0.993589920180829</v>
      </c>
      <c r="H55" s="15" t="n">
        <f aca="false">IFERROR(AVERAGEIFS(PurchaseOrders!$M$2:$M$3001,PurchaseOrders!$B$2:$B$3001,A55),0)</f>
        <v>0.0144956898264014</v>
      </c>
      <c r="I55" s="15" t="n">
        <f aca="false">IFERROR(SUMIFS(QualityInspections!$D$2:$D$3001,QualityInspections!$G$2:$G$3001,A55)/SUMIFS(QualityInspections!$C$2:$C$3001,QualityInspections!$G$2:$G$3001,A55),0)</f>
        <v>0.0879120879120879</v>
      </c>
      <c r="J55" s="15" t="n">
        <f aca="false">1-E55</f>
        <v>0.872727272727273</v>
      </c>
      <c r="K55" s="15" t="n">
        <f aca="false">I55</f>
        <v>0.0879120879120879</v>
      </c>
      <c r="L55" s="15" t="n">
        <f aca="false">MAX(H55,0)</f>
        <v>0.0144956898264014</v>
      </c>
      <c r="M55" s="15" t="n">
        <f aca="false">1-G55</f>
        <v>0.00641007981917063</v>
      </c>
      <c r="N55" s="20" t="n">
        <f aca="false">IFERROR((J55-MIN($J$2:$J$61))/(MAX($J$2:$J$61)-MIN($J$2:$J$61))*100,0)</f>
        <v>85.5371900826446</v>
      </c>
      <c r="O55" s="20" t="n">
        <f aca="false">IFERROR((K55-MIN($K$2:$K$61))/(MAX($K$2:$K$61)-MIN($K$2:$K$61))*100,0)</f>
        <v>36.9187728669825</v>
      </c>
      <c r="P55" s="20" t="n">
        <f aca="false">IFERROR((L55-MIN($L$2:$L$61))/(MAX($L$2:$L$61)-MIN($L$2:$L$61))*100,0)</f>
        <v>12.8107248091254</v>
      </c>
      <c r="Q55" s="20" t="n">
        <f aca="false">IFERROR((M55-MIN($M$2:$M$61))/(MAX($M$2:$M$61)-MIN($M$2:$M$61))*100,0)</f>
        <v>1.56597862964128</v>
      </c>
      <c r="R55" s="20" t="n">
        <f aca="false">0.35*N55+0.3*O55+0.2*P55+0.15*Q55</f>
        <v>43.8106901452917</v>
      </c>
      <c r="S55" s="4" t="str">
        <f aca="false">IF(R55&gt;=65,"High",IF(R55&gt;=40,"Medium","Low"))</f>
        <v>Medium</v>
      </c>
      <c r="T55" s="4" t="n">
        <f aca="false">RANK(R55,$R$2:$R$61,0)</f>
        <v>17</v>
      </c>
      <c r="U55" s="16" t="n">
        <f aca="false">SUMIFS(PurchaseOrders!$N$2:$N$3001,PurchaseOrders!$B$2:$B$3001,A55)</f>
        <v>278956.11</v>
      </c>
      <c r="V55" s="4" t="str">
        <f aca="false">IF(R55&gt;=MEDIAN($R$2:$R$61),"High Risk","Low Risk")</f>
        <v>High Risk</v>
      </c>
      <c r="W55" s="4" t="str">
        <f aca="false">IF(U55&gt;=MEDIAN($U$2:$U$61),"High Spend","Low Spend")</f>
        <v>Low Spend</v>
      </c>
      <c r="X55" s="4" t="str">
        <f aca="false">IF(AND(V55="High Risk",W55="High Spend"),"Strategic",IF(AND(V55="High Risk",W55="Low Spend"),"Bottleneck",IF(AND(V55="Low Risk",W55="High Spend"),"Leverage","Non-Critical")))</f>
        <v>Bottleneck</v>
      </c>
    </row>
    <row r="56" customFormat="false" ht="15" hidden="false" customHeight="true" outlineLevel="0" collapsed="false">
      <c r="A56" s="4" t="str">
        <f aca="false">Vendors!A56</f>
        <v>V055</v>
      </c>
      <c r="B56" s="4" t="str">
        <f aca="false">INDEX(Vendors!$B$2:$B$61,MATCH(A56,Vendors!$A$2:$A$61,0))</f>
        <v>Zenith Corp</v>
      </c>
      <c r="C56" s="4" t="str">
        <f aca="false">INDEX(Vendors!$C$2:$C$61,MATCH(A56,Vendors!$A$2:$A$61,0))</f>
        <v>Electronics</v>
      </c>
      <c r="D56" s="4" t="n">
        <f aca="false">COUNTIF(PurchaseOrders!$B$2:$B$3001,A56)</f>
        <v>43</v>
      </c>
      <c r="E56" s="15" t="n">
        <f aca="false">IFERROR(AVERAGEIFS(PurchaseOrders!$K$2:$K$3001,PurchaseOrders!$B$2:$B$3001,A56),0)</f>
        <v>0.0465116279069767</v>
      </c>
      <c r="F56" s="20" t="n">
        <f aca="false">IFERROR(AVERAGEIFS(PurchaseOrders!$J$2:$J$3001,PurchaseOrders!$B$2:$B$3001,A56),0)</f>
        <v>5.18604651162791</v>
      </c>
      <c r="G56" s="15" t="n">
        <f aca="false">IFERROR(AVERAGEIFS(PurchaseOrders!$L$2:$L$3001,PurchaseOrders!$B$2:$B$3001,A56),0)</f>
        <v>0.923480217063297</v>
      </c>
      <c r="H56" s="15" t="n">
        <f aca="false">IFERROR(AVERAGEIFS(PurchaseOrders!$M$2:$M$3001,PurchaseOrders!$B$2:$B$3001,A56),0)</f>
        <v>0.0376233756436482</v>
      </c>
      <c r="I56" s="15" t="n">
        <f aca="false">IFERROR(SUMIFS(QualityInspections!$D$2:$D$3001,QualityInspections!$G$2:$G$3001,A56)/SUMIFS(QualityInspections!$C$2:$C$3001,QualityInspections!$G$2:$G$3001,A56),0)</f>
        <v>0.0973047053449063</v>
      </c>
      <c r="J56" s="15" t="n">
        <f aca="false">1-E56</f>
        <v>0.953488372093023</v>
      </c>
      <c r="K56" s="15" t="n">
        <f aca="false">I56</f>
        <v>0.0973047053449063</v>
      </c>
      <c r="L56" s="15" t="n">
        <f aca="false">MAX(H56,0)</f>
        <v>0.0376233756436482</v>
      </c>
      <c r="M56" s="15" t="n">
        <f aca="false">1-G56</f>
        <v>0.0765197829367035</v>
      </c>
      <c r="N56" s="20" t="n">
        <f aca="false">IFERROR((J56-MIN($J$2:$J$61))/(MAX($J$2:$J$61)-MIN($J$2:$J$61))*100,0)</f>
        <v>94.7145877378436</v>
      </c>
      <c r="O56" s="20" t="n">
        <f aca="false">IFERROR((K56-MIN($K$2:$K$61))/(MAX($K$2:$K$61)-MIN($K$2:$K$61))*100,0)</f>
        <v>41.28969623373</v>
      </c>
      <c r="P56" s="20" t="n">
        <f aca="false">IFERROR((L56-MIN($L$2:$L$61))/(MAX($L$2:$L$61)-MIN($L$2:$L$61))*100,0)</f>
        <v>33.2500707129703</v>
      </c>
      <c r="Q56" s="20" t="n">
        <f aca="false">IFERROR((M56-MIN($M$2:$M$61))/(MAX($M$2:$M$61)-MIN($M$2:$M$61))*100,0)</f>
        <v>51.3631005057012</v>
      </c>
      <c r="R56" s="20" t="n">
        <f aca="false">0.35*N56+0.3*O56+0.2*P56+0.15*Q56</f>
        <v>59.8914937968135</v>
      </c>
      <c r="S56" s="4" t="str">
        <f aca="false">IF(R56&gt;=65,"High",IF(R56&gt;=40,"Medium","Low"))</f>
        <v>Medium</v>
      </c>
      <c r="T56" s="4" t="n">
        <f aca="false">RANK(R56,$R$2:$R$61,0)</f>
        <v>5</v>
      </c>
      <c r="U56" s="16" t="n">
        <f aca="false">SUMIFS(PurchaseOrders!$N$2:$N$3001,PurchaseOrders!$B$2:$B$3001,A56)</f>
        <v>16982392.89</v>
      </c>
      <c r="V56" s="4" t="str">
        <f aca="false">IF(R56&gt;=MEDIAN($R$2:$R$61),"High Risk","Low Risk")</f>
        <v>High Risk</v>
      </c>
      <c r="W56" s="4" t="str">
        <f aca="false">IF(U56&gt;=MEDIAN($U$2:$U$61),"High Spend","Low Spend")</f>
        <v>High Spend</v>
      </c>
      <c r="X56" s="4" t="str">
        <f aca="false">IF(AND(V56="High Risk",W56="High Spend"),"Strategic",IF(AND(V56="High Risk",W56="Low Spend"),"Bottleneck",IF(AND(V56="Low Risk",W56="High Spend"),"Leverage","Non-Critical")))</f>
        <v>Strategic</v>
      </c>
    </row>
    <row r="57" customFormat="false" ht="15" hidden="false" customHeight="true" outlineLevel="0" collapsed="false">
      <c r="A57" s="4" t="str">
        <f aca="false">Vendors!A57</f>
        <v>V056</v>
      </c>
      <c r="B57" s="4" t="str">
        <f aca="false">INDEX(Vendors!$B$2:$B$61,MATCH(A57,Vendors!$A$2:$A$61,0))</f>
        <v>Bharat Traders</v>
      </c>
      <c r="C57" s="4" t="str">
        <f aca="false">INDEX(Vendors!$C$2:$C$61,MATCH(A57,Vendors!$A$2:$A$61,0))</f>
        <v>Packaging</v>
      </c>
      <c r="D57" s="4" t="n">
        <f aca="false">COUNTIF(PurchaseOrders!$B$2:$B$3001,A57)</f>
        <v>50</v>
      </c>
      <c r="E57" s="15" t="n">
        <f aca="false">IFERROR(AVERAGEIFS(PurchaseOrders!$K$2:$K$3001,PurchaseOrders!$B$2:$B$3001,A57),0)</f>
        <v>0.88</v>
      </c>
      <c r="F57" s="20" t="n">
        <f aca="false">IFERROR(AVERAGEIFS(PurchaseOrders!$J$2:$J$3001,PurchaseOrders!$B$2:$B$3001,A57),0)</f>
        <v>-1.8</v>
      </c>
      <c r="G57" s="15" t="n">
        <f aca="false">IFERROR(AVERAGEIFS(PurchaseOrders!$L$2:$L$3001,PurchaseOrders!$B$2:$B$3001,A57),0)</f>
        <v>0.96961404208429</v>
      </c>
      <c r="H57" s="15" t="n">
        <f aca="false">IFERROR(AVERAGEIFS(PurchaseOrders!$M$2:$M$3001,PurchaseOrders!$B$2:$B$3001,A57),0)</f>
        <v>-0.028810316139767</v>
      </c>
      <c r="I57" s="15" t="n">
        <f aca="false">IFERROR(SUMIFS(QualityInspections!$D$2:$D$3001,QualityInspections!$G$2:$G$3001,A57)/SUMIFS(QualityInspections!$C$2:$C$3001,QualityInspections!$G$2:$G$3001,A57),0)</f>
        <v>0.0594784248847116</v>
      </c>
      <c r="J57" s="15" t="n">
        <f aca="false">1-E57</f>
        <v>0.12</v>
      </c>
      <c r="K57" s="15" t="n">
        <f aca="false">I57</f>
        <v>0.0594784248847116</v>
      </c>
      <c r="L57" s="15" t="n">
        <f aca="false">MAX(H57,0)</f>
        <v>0</v>
      </c>
      <c r="M57" s="15" t="n">
        <f aca="false">1-G57</f>
        <v>0.03038595791571</v>
      </c>
      <c r="N57" s="20" t="n">
        <f aca="false">IFERROR((J57-MIN($J$2:$J$61))/(MAX($J$2:$J$61)-MIN($J$2:$J$61))*100,0)</f>
        <v>0</v>
      </c>
      <c r="O57" s="20" t="n">
        <f aca="false">IFERROR((K57-MIN($K$2:$K$61))/(MAX($K$2:$K$61)-MIN($K$2:$K$61))*100,0)</f>
        <v>23.6869593690393</v>
      </c>
      <c r="P57" s="20" t="n">
        <f aca="false">IFERROR((L57-MIN($L$2:$L$61))/(MAX($L$2:$L$61)-MIN($L$2:$L$61))*100,0)</f>
        <v>0</v>
      </c>
      <c r="Q57" s="20" t="n">
        <f aca="false">IFERROR((M57-MIN($M$2:$M$61))/(MAX($M$2:$M$61)-MIN($M$2:$M$61))*100,0)</f>
        <v>18.5954291988072</v>
      </c>
      <c r="R57" s="20" t="n">
        <f aca="false">0.35*N57+0.3*O57+0.2*P57+0.15*Q57</f>
        <v>9.89540219053287</v>
      </c>
      <c r="S57" s="4" t="str">
        <f aca="false">IF(R57&gt;=65,"High",IF(R57&gt;=40,"Medium","Low"))</f>
        <v>Low</v>
      </c>
      <c r="T57" s="4" t="n">
        <f aca="false">RANK(R57,$R$2:$R$61,0)</f>
        <v>60</v>
      </c>
      <c r="U57" s="16" t="n">
        <f aca="false">SUMIFS(PurchaseOrders!$N$2:$N$3001,PurchaseOrders!$B$2:$B$3001,A57)</f>
        <v>2921550.63</v>
      </c>
      <c r="V57" s="4" t="str">
        <f aca="false">IF(R57&gt;=MEDIAN($R$2:$R$61),"High Risk","Low Risk")</f>
        <v>Low Risk</v>
      </c>
      <c r="W57" s="4" t="str">
        <f aca="false">IF(U57&gt;=MEDIAN($U$2:$U$61),"High Spend","Low Spend")</f>
        <v>Low Spend</v>
      </c>
      <c r="X57" s="4" t="str">
        <f aca="false">IF(AND(V57="High Risk",W57="High Spend"),"Strategic",IF(AND(V57="High Risk",W57="Low Spend"),"Bottleneck",IF(AND(V57="Low Risk",W57="High Spend"),"Leverage","Non-Critical")))</f>
        <v>Non-Critical</v>
      </c>
    </row>
    <row r="58" customFormat="false" ht="15" hidden="false" customHeight="true" outlineLevel="0" collapsed="false">
      <c r="A58" s="4" t="str">
        <f aca="false">Vendors!A58</f>
        <v>V057</v>
      </c>
      <c r="B58" s="4" t="str">
        <f aca="false">INDEX(Vendors!$B$2:$B$61,MATCH(A58,Vendors!$A$2:$A$61,0))</f>
        <v>Meridian Traders</v>
      </c>
      <c r="C58" s="4" t="str">
        <f aca="false">INDEX(Vendors!$C$2:$C$61,MATCH(A58,Vendors!$A$2:$A$61,0))</f>
        <v>Packaging</v>
      </c>
      <c r="D58" s="4" t="n">
        <f aca="false">COUNTIF(PurchaseOrders!$B$2:$B$3001,A58)</f>
        <v>54</v>
      </c>
      <c r="E58" s="15" t="n">
        <f aca="false">IFERROR(AVERAGEIFS(PurchaseOrders!$K$2:$K$3001,PurchaseOrders!$B$2:$B$3001,A58),0)</f>
        <v>0.425925925925926</v>
      </c>
      <c r="F58" s="20" t="n">
        <f aca="false">IFERROR(AVERAGEIFS(PurchaseOrders!$J$2:$J$3001,PurchaseOrders!$B$2:$B$3001,A58),0)</f>
        <v>1.35185185185185</v>
      </c>
      <c r="G58" s="15" t="n">
        <f aca="false">IFERROR(AVERAGEIFS(PurchaseOrders!$L$2:$L$3001,PurchaseOrders!$B$2:$B$3001,A58),0)</f>
        <v>0.951928401317382</v>
      </c>
      <c r="H58" s="15" t="n">
        <f aca="false">IFERROR(AVERAGEIFS(PurchaseOrders!$M$2:$M$3001,PurchaseOrders!$B$2:$B$3001,A58),0)</f>
        <v>0.0270426915465084</v>
      </c>
      <c r="I58" s="15" t="n">
        <f aca="false">IFERROR(SUMIFS(QualityInspections!$D$2:$D$3001,QualityInspections!$G$2:$G$3001,A58)/SUMIFS(QualityInspections!$C$2:$C$3001,QualityInspections!$G$2:$G$3001,A58),0)</f>
        <v>0.122008690650274</v>
      </c>
      <c r="J58" s="15" t="n">
        <f aca="false">1-E58</f>
        <v>0.574074074074074</v>
      </c>
      <c r="K58" s="15" t="n">
        <f aca="false">I58</f>
        <v>0.122008690650274</v>
      </c>
      <c r="L58" s="15" t="n">
        <f aca="false">MAX(H58,0)</f>
        <v>0.0270426915465084</v>
      </c>
      <c r="M58" s="15" t="n">
        <f aca="false">1-G58</f>
        <v>0.0480715986826177</v>
      </c>
      <c r="N58" s="20" t="n">
        <f aca="false">IFERROR((J58-MIN($J$2:$J$61))/(MAX($J$2:$J$61)-MIN($J$2:$J$61))*100,0)</f>
        <v>51.5993265993266</v>
      </c>
      <c r="O58" s="20" t="n">
        <f aca="false">IFERROR((K58-MIN($K$2:$K$61))/(MAX($K$2:$K$61)-MIN($K$2:$K$61))*100,0)</f>
        <v>52.7858768665888</v>
      </c>
      <c r="P58" s="20" t="n">
        <f aca="false">IFERROR((L58-MIN($L$2:$L$61))/(MAX($L$2:$L$61)-MIN($L$2:$L$61))*100,0)</f>
        <v>23.8992751396631</v>
      </c>
      <c r="Q58" s="20" t="n">
        <f aca="false">IFERROR((M58-MIN($M$2:$M$61))/(MAX($M$2:$M$61)-MIN($M$2:$M$61))*100,0)</f>
        <v>31.157085710881</v>
      </c>
      <c r="R58" s="20" t="n">
        <f aca="false">0.35*N58+0.3*O58+0.2*P58+0.15*Q58</f>
        <v>43.3489452543057</v>
      </c>
      <c r="S58" s="4" t="str">
        <f aca="false">IF(R58&gt;=65,"High",IF(R58&gt;=40,"Medium","Low"))</f>
        <v>Medium</v>
      </c>
      <c r="T58" s="4" t="n">
        <f aca="false">RANK(R58,$R$2:$R$61,0)</f>
        <v>19</v>
      </c>
      <c r="U58" s="16" t="n">
        <f aca="false">SUMIFS(PurchaseOrders!$N$2:$N$3001,PurchaseOrders!$B$2:$B$3001,A58)</f>
        <v>1942975.64</v>
      </c>
      <c r="V58" s="4" t="str">
        <f aca="false">IF(R58&gt;=MEDIAN($R$2:$R$61),"High Risk","Low Risk")</f>
        <v>High Risk</v>
      </c>
      <c r="W58" s="4" t="str">
        <f aca="false">IF(U58&gt;=MEDIAN($U$2:$U$61),"High Spend","Low Spend")</f>
        <v>Low Spend</v>
      </c>
      <c r="X58" s="4" t="str">
        <f aca="false">IF(AND(V58="High Risk",W58="High Spend"),"Strategic",IF(AND(V58="High Risk",W58="Low Spend"),"Bottleneck",IF(AND(V58="Low Risk",W58="High Spend"),"Leverage","Non-Critical")))</f>
        <v>Bottleneck</v>
      </c>
    </row>
    <row r="59" customFormat="false" ht="15" hidden="false" customHeight="true" outlineLevel="0" collapsed="false">
      <c r="A59" s="4" t="str">
        <f aca="false">Vendors!A59</f>
        <v>V058</v>
      </c>
      <c r="B59" s="4" t="str">
        <f aca="false">INDEX(Vendors!$B$2:$B$61,MATCH(A59,Vendors!$A$2:$A$61,0))</f>
        <v>Vertex Manufacturing</v>
      </c>
      <c r="C59" s="4" t="str">
        <f aca="false">INDEX(Vendors!$C$2:$C$61,MATCH(A59,Vendors!$A$2:$A$61,0))</f>
        <v>Packaging</v>
      </c>
      <c r="D59" s="4" t="n">
        <f aca="false">COUNTIF(PurchaseOrders!$B$2:$B$3001,A59)</f>
        <v>47</v>
      </c>
      <c r="E59" s="15" t="n">
        <f aca="false">IFERROR(AVERAGEIFS(PurchaseOrders!$K$2:$K$3001,PurchaseOrders!$B$2:$B$3001,A59),0)</f>
        <v>0.382978723404255</v>
      </c>
      <c r="F59" s="20" t="n">
        <f aca="false">IFERROR(AVERAGEIFS(PurchaseOrders!$J$2:$J$3001,PurchaseOrders!$B$2:$B$3001,A59),0)</f>
        <v>1.29787234042553</v>
      </c>
      <c r="G59" s="15" t="n">
        <f aca="false">IFERROR(AVERAGEIFS(PurchaseOrders!$L$2:$L$3001,PurchaseOrders!$B$2:$B$3001,A59),0)</f>
        <v>0.986515527963228</v>
      </c>
      <c r="H59" s="15" t="n">
        <f aca="false">IFERROR(AVERAGEIFS(PurchaseOrders!$M$2:$M$3001,PurchaseOrders!$B$2:$B$3001,A59),0)</f>
        <v>0.00968469778958745</v>
      </c>
      <c r="I59" s="15" t="n">
        <f aca="false">IFERROR(SUMIFS(QualityInspections!$D$2:$D$3001,QualityInspections!$G$2:$G$3001,A59)/SUMIFS(QualityInspections!$C$2:$C$3001,QualityInspections!$G$2:$G$3001,A59),0)</f>
        <v>0.0366849436870184</v>
      </c>
      <c r="J59" s="15" t="n">
        <f aca="false">1-E59</f>
        <v>0.617021276595745</v>
      </c>
      <c r="K59" s="15" t="n">
        <f aca="false">I59</f>
        <v>0.0366849436870184</v>
      </c>
      <c r="L59" s="15" t="n">
        <f aca="false">MAX(H59,0)</f>
        <v>0.00968469778958745</v>
      </c>
      <c r="M59" s="15" t="n">
        <f aca="false">1-G59</f>
        <v>0.0134844720367719</v>
      </c>
      <c r="N59" s="20" t="n">
        <f aca="false">IFERROR((J59-MIN($J$2:$J$61))/(MAX($J$2:$J$61)-MIN($J$2:$J$61))*100,0)</f>
        <v>56.4796905222437</v>
      </c>
      <c r="O59" s="20" t="n">
        <f aca="false">IFERROR((K59-MIN($K$2:$K$61))/(MAX($K$2:$K$61)-MIN($K$2:$K$61))*100,0)</f>
        <v>13.07984582597</v>
      </c>
      <c r="P59" s="20" t="n">
        <f aca="false">IFERROR((L59-MIN($L$2:$L$61))/(MAX($L$2:$L$61)-MIN($L$2:$L$61))*100,0)</f>
        <v>8.55895785076623</v>
      </c>
      <c r="Q59" s="20" t="n">
        <f aca="false">IFERROR((M59-MIN($M$2:$M$61))/(MAX($M$2:$M$61)-MIN($M$2:$M$61))*100,0)</f>
        <v>6.59073776844933</v>
      </c>
      <c r="R59" s="20" t="n">
        <f aca="false">0.35*N59+0.3*O59+0.2*P59+0.15*Q59</f>
        <v>26.3922476659969</v>
      </c>
      <c r="S59" s="4" t="str">
        <f aca="false">IF(R59&gt;=65,"High",IF(R59&gt;=40,"Medium","Low"))</f>
        <v>Low</v>
      </c>
      <c r="T59" s="4" t="n">
        <f aca="false">RANK(R59,$R$2:$R$61,0)</f>
        <v>45</v>
      </c>
      <c r="U59" s="16" t="n">
        <f aca="false">SUMIFS(PurchaseOrders!$N$2:$N$3001,PurchaseOrders!$B$2:$B$3001,A59)</f>
        <v>4484434.89</v>
      </c>
      <c r="V59" s="4" t="str">
        <f aca="false">IF(R59&gt;=MEDIAN($R$2:$R$61),"High Risk","Low Risk")</f>
        <v>Low Risk</v>
      </c>
      <c r="W59" s="4" t="str">
        <f aca="false">IF(U59&gt;=MEDIAN($U$2:$U$61),"High Spend","Low Spend")</f>
        <v>Low Spend</v>
      </c>
      <c r="X59" s="4" t="str">
        <f aca="false">IF(AND(V59="High Risk",W59="High Spend"),"Strategic",IF(AND(V59="High Risk",W59="Low Spend"),"Bottleneck",IF(AND(V59="Low Risk",W59="High Spend"),"Leverage","Non-Critical")))</f>
        <v>Non-Critical</v>
      </c>
    </row>
    <row r="60" customFormat="false" ht="15" hidden="false" customHeight="true" outlineLevel="0" collapsed="false">
      <c r="A60" s="4" t="str">
        <f aca="false">Vendors!A60</f>
        <v>V059</v>
      </c>
      <c r="B60" s="4" t="str">
        <f aca="false">INDEX(Vendors!$B$2:$B$61,MATCH(A60,Vendors!$A$2:$A$61,0))</f>
        <v>Quality Corp</v>
      </c>
      <c r="C60" s="4" t="str">
        <f aca="false">INDEX(Vendors!$C$2:$C$61,MATCH(A60,Vendors!$A$2:$A$61,0))</f>
        <v>Raw Materials</v>
      </c>
      <c r="D60" s="4" t="n">
        <f aca="false">COUNTIF(PurchaseOrders!$B$2:$B$3001,A60)</f>
        <v>47</v>
      </c>
      <c r="E60" s="15" t="n">
        <f aca="false">IFERROR(AVERAGEIFS(PurchaseOrders!$K$2:$K$3001,PurchaseOrders!$B$2:$B$3001,A60),0)</f>
        <v>0.148936170212766</v>
      </c>
      <c r="F60" s="20" t="n">
        <f aca="false">IFERROR(AVERAGEIFS(PurchaseOrders!$J$2:$J$3001,PurchaseOrders!$B$2:$B$3001,A60),0)</f>
        <v>3.08510638297872</v>
      </c>
      <c r="G60" s="15" t="n">
        <f aca="false">IFERROR(AVERAGEIFS(PurchaseOrders!$L$2:$L$3001,PurchaseOrders!$B$2:$B$3001,A60),0)</f>
        <v>0.985099712155248</v>
      </c>
      <c r="H60" s="15" t="n">
        <f aca="false">IFERROR(AVERAGEIFS(PurchaseOrders!$M$2:$M$3001,PurchaseOrders!$B$2:$B$3001,A60),0)</f>
        <v>0.0760856406981162</v>
      </c>
      <c r="I60" s="15" t="n">
        <f aca="false">IFERROR(SUMIFS(QualityInspections!$D$2:$D$3001,QualityInspections!$G$2:$G$3001,A60)/SUMIFS(QualityInspections!$C$2:$C$3001,QualityInspections!$G$2:$G$3001,A60),0)</f>
        <v>0.0139795878465569</v>
      </c>
      <c r="J60" s="15" t="n">
        <f aca="false">1-E60</f>
        <v>0.851063829787234</v>
      </c>
      <c r="K60" s="15" t="n">
        <f aca="false">I60</f>
        <v>0.0139795878465569</v>
      </c>
      <c r="L60" s="15" t="n">
        <f aca="false">MAX(H60,0)</f>
        <v>0.0760856406981162</v>
      </c>
      <c r="M60" s="15" t="n">
        <f aca="false">1-G60</f>
        <v>0.0149002878447524</v>
      </c>
      <c r="N60" s="20" t="n">
        <f aca="false">IFERROR((J60-MIN($J$2:$J$61))/(MAX($J$2:$J$61)-MIN($J$2:$J$61))*100,0)</f>
        <v>83.0754352030948</v>
      </c>
      <c r="O60" s="20" t="n">
        <f aca="false">IFERROR((K60-MIN($K$2:$K$61))/(MAX($K$2:$K$61)-MIN($K$2:$K$61))*100,0)</f>
        <v>2.51374206381451</v>
      </c>
      <c r="P60" s="20" t="n">
        <f aca="false">IFERROR((L60-MIN($L$2:$L$61))/(MAX($L$2:$L$61)-MIN($L$2:$L$61))*100,0)</f>
        <v>67.2415191400062</v>
      </c>
      <c r="Q60" s="20" t="n">
        <f aca="false">IFERROR((M60-MIN($M$2:$M$61))/(MAX($M$2:$M$61)-MIN($M$2:$M$61))*100,0)</f>
        <v>7.59635538211774</v>
      </c>
      <c r="R60" s="20" t="n">
        <f aca="false">0.35*N60+0.3*O60+0.2*P60+0.15*Q60</f>
        <v>44.4182820755464</v>
      </c>
      <c r="S60" s="4" t="str">
        <f aca="false">IF(R60&gt;=65,"High",IF(R60&gt;=40,"Medium","Low"))</f>
        <v>Medium</v>
      </c>
      <c r="T60" s="4" t="n">
        <f aca="false">RANK(R60,$R$2:$R$61,0)</f>
        <v>15</v>
      </c>
      <c r="U60" s="16" t="n">
        <f aca="false">SUMIFS(PurchaseOrders!$N$2:$N$3001,PurchaseOrders!$B$2:$B$3001,A60)</f>
        <v>5610598.02</v>
      </c>
      <c r="V60" s="4" t="str">
        <f aca="false">IF(R60&gt;=MEDIAN($R$2:$R$61),"High Risk","Low Risk")</f>
        <v>High Risk</v>
      </c>
      <c r="W60" s="4" t="str">
        <f aca="false">IF(U60&gt;=MEDIAN($U$2:$U$61),"High Spend","Low Spend")</f>
        <v>Low Spend</v>
      </c>
      <c r="X60" s="4" t="str">
        <f aca="false">IF(AND(V60="High Risk",W60="High Spend"),"Strategic",IF(AND(V60="High Risk",W60="Low Spend"),"Bottleneck",IF(AND(V60="Low Risk",W60="High Spend"),"Leverage","Non-Critical")))</f>
        <v>Bottleneck</v>
      </c>
    </row>
    <row r="61" customFormat="false" ht="15" hidden="false" customHeight="true" outlineLevel="0" collapsed="false">
      <c r="A61" s="4" t="str">
        <f aca="false">Vendors!A61</f>
        <v>V060</v>
      </c>
      <c r="B61" s="4" t="str">
        <f aca="false">INDEX(Vendors!$B$2:$B$61,MATCH(A61,Vendors!$A$2:$A$61,0))</f>
        <v>Delta Supplies</v>
      </c>
      <c r="C61" s="4" t="str">
        <f aca="false">INDEX(Vendors!$C$2:$C$61,MATCH(A61,Vendors!$A$2:$A$61,0))</f>
        <v>Electronics</v>
      </c>
      <c r="D61" s="4" t="n">
        <f aca="false">COUNTIF(PurchaseOrders!$B$2:$B$3001,A61)</f>
        <v>45</v>
      </c>
      <c r="E61" s="15" t="n">
        <f aca="false">IFERROR(AVERAGEIFS(PurchaseOrders!$K$2:$K$3001,PurchaseOrders!$B$2:$B$3001,A61),0)</f>
        <v>0.355555555555556</v>
      </c>
      <c r="F61" s="20" t="n">
        <f aca="false">IFERROR(AVERAGEIFS(PurchaseOrders!$J$2:$J$3001,PurchaseOrders!$B$2:$B$3001,A61),0)</f>
        <v>1.08888888888889</v>
      </c>
      <c r="G61" s="15" t="n">
        <f aca="false">IFERROR(AVERAGEIFS(PurchaseOrders!$L$2:$L$3001,PurchaseOrders!$B$2:$B$3001,A61),0)</f>
        <v>0.974278591507788</v>
      </c>
      <c r="H61" s="15" t="n">
        <f aca="false">IFERROR(AVERAGEIFS(PurchaseOrders!$M$2:$M$3001,PurchaseOrders!$B$2:$B$3001,A61),0)</f>
        <v>0.0156626644664922</v>
      </c>
      <c r="I61" s="15" t="n">
        <f aca="false">IFERROR(SUMIFS(QualityInspections!$D$2:$D$3001,QualityInspections!$G$2:$G$3001,A61)/SUMIFS(QualityInspections!$C$2:$C$3001,QualityInspections!$G$2:$G$3001,A61),0)</f>
        <v>0.0129479768786127</v>
      </c>
      <c r="J61" s="15" t="n">
        <f aca="false">1-E61</f>
        <v>0.644444444444444</v>
      </c>
      <c r="K61" s="15" t="n">
        <f aca="false">I61</f>
        <v>0.0129479768786127</v>
      </c>
      <c r="L61" s="15" t="n">
        <f aca="false">MAX(H61,0)</f>
        <v>0.0156626644664922</v>
      </c>
      <c r="M61" s="15" t="n">
        <f aca="false">1-G61</f>
        <v>0.0257214084922123</v>
      </c>
      <c r="N61" s="20" t="n">
        <f aca="false">IFERROR((J61-MIN($J$2:$J$61))/(MAX($J$2:$J$61)-MIN($J$2:$J$61))*100,0)</f>
        <v>59.5959595959596</v>
      </c>
      <c r="O61" s="20" t="n">
        <f aca="false">IFERROR((K61-MIN($K$2:$K$61))/(MAX($K$2:$K$61)-MIN($K$2:$K$61))*100,0)</f>
        <v>2.03367433855773</v>
      </c>
      <c r="P61" s="20" t="n">
        <f aca="false">IFERROR((L61-MIN($L$2:$L$61))/(MAX($L$2:$L$61)-MIN($L$2:$L$61))*100,0)</f>
        <v>13.8420514415568</v>
      </c>
      <c r="Q61" s="20" t="n">
        <f aca="false">IFERROR((M61-MIN($M$2:$M$61))/(MAX($M$2:$M$61)-MIN($M$2:$M$61))*100,0)</f>
        <v>15.2823195176919</v>
      </c>
      <c r="R61" s="20" t="n">
        <f aca="false">0.35*N61+0.3*O61+0.2*P61+0.15*Q61</f>
        <v>26.5294463761183</v>
      </c>
      <c r="S61" s="4" t="str">
        <f aca="false">IF(R61&gt;=65,"High",IF(R61&gt;=40,"Medium","Low"))</f>
        <v>Low</v>
      </c>
      <c r="T61" s="4" t="n">
        <f aca="false">RANK(R61,$R$2:$R$61,0)</f>
        <v>44</v>
      </c>
      <c r="U61" s="16" t="n">
        <f aca="false">SUMIFS(PurchaseOrders!$N$2:$N$3001,PurchaseOrders!$B$2:$B$3001,A61)</f>
        <v>6364869.43</v>
      </c>
      <c r="V61" s="4" t="str">
        <f aca="false">IF(R61&gt;=MEDIAN($R$2:$R$61),"High Risk","Low Risk")</f>
        <v>Low Risk</v>
      </c>
      <c r="W61" s="4" t="str">
        <f aca="false">IF(U61&gt;=MEDIAN($U$2:$U$61),"High Spend","Low Spend")</f>
        <v>High Spend</v>
      </c>
      <c r="X61" s="4" t="str">
        <f aca="false">IF(AND(V61="High Risk",W61="High Spend"),"Strategic",IF(AND(V61="High Risk",W61="Low Spend"),"Bottleneck",IF(AND(V61="Low Risk",W61="High Spend"),"Leverage","Non-Critical")))</f>
        <v>Leverage</v>
      </c>
    </row>
    <row r="63" customFormat="false" ht="30" hidden="false" customHeight="true" outlineLevel="0" collapsed="false">
      <c r="A63" s="8" t="s">
        <v>6253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</sheetData>
  <autoFilter ref="A1:X61"/>
  <mergeCells count="1">
    <mergeCell ref="A63:T63"/>
  </mergeCells>
  <conditionalFormatting sqref="R2:R6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2026-09-10T04:26:40Z</dcterms:created>
  <dc:creator>openpyxl</dc:creator>
  <dc:description/>
  <dc:language>en-US</dc:language>
  <cp:lastModifiedBy/>
  <dcterms:modified xsi:type="dcterms:W3CDTF">2026-09-11T04:42:02Z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